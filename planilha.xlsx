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50" documentId="8_{AF585B22-221D-4780-BB9C-493D365A6A02}" xr6:coauthVersionLast="47" xr6:coauthVersionMax="47" xr10:uidLastSave="{444B9770-87C8-4B00-B2D4-A76FB7D4AF28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<sst xmlns="http://schemas.openxmlformats.org/spreadsheetml/2006/main" count="6891" uniqueCount="332">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</sst>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5" sqref="F42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220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220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220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220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220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220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159</v>
      </c>
      <c r="G432" s="36">
        <f>SUM(G420:G431)</f>
        <v>795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380</v>
      </c>
      <c r="G433" s="40">
        <f>G419+G432</f>
        <v>1900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7" activePane="bottomLeft" state="frozen"/>
      <selection pane="bottomLeft" activeCell="H420" sqref="H4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0.80045682869968005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0.95809571758856893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1.0678179398107912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4</v>
      </c>
      <c r="G420" s="28">
        <f t="shared" ref="G420:G431" si="93">IF(F420="","",IF(E420="PC 17",F420*4.2,IF(E420="PC 19",F420*5,"")))</f>
        <v>16.8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246</v>
      </c>
      <c r="F421" s="27">
        <v>0</v>
      </c>
      <c r="G421" s="34">
        <f t="shared" si="93"/>
        <v>0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246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24</v>
      </c>
      <c r="G432" s="36">
        <f>SUM(G420:G431)</f>
        <v>100.8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163</v>
      </c>
      <c r="G433" s="40">
        <f>G419+G432</f>
        <v>697.40000000000009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F424" sqref="F4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220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246</v>
      </c>
      <c r="F421" s="27">
        <v>0</v>
      </c>
      <c r="G421" s="34">
        <f t="shared" si="93"/>
        <v>0</v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13</v>
      </c>
      <c r="G432" s="36">
        <f>SUM(G420:G431)</f>
        <v>57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74</v>
      </c>
      <c r="G433" s="40">
        <f>G419+G432</f>
        <v>317.2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18" activePane="bottomLeft" state="frozen"/>
      <selection pane="bottomLeft" activeCell="J422" sqref="J42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0.79073460648214677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0.9900401620377024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1.3574012731488134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0</v>
      </c>
      <c r="G420" s="28">
        <f t="shared" ref="G420:G431" si="93">IF(F420="","",IF(E420="PC 17",F420*4.2,IF(E420="PC 19",F420*5,"")))</f>
        <v>0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0</v>
      </c>
      <c r="G421" s="34" t="str">
        <f t="shared" si="93"/>
        <v/>
      </c>
      <c r="H421" s="33" t="s">
        <v>20</v>
      </c>
      <c r="I421" s="33"/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0</v>
      </c>
      <c r="G422" s="28" t="str">
        <f t="shared" si="93"/>
        <v/>
      </c>
      <c r="H422" s="26" t="s">
        <v>20</v>
      </c>
      <c r="I422" s="26" t="s">
        <v>138</v>
      </c>
      <c r="J422" s="26" t="s">
        <v>181</v>
      </c>
      <c r="K422" s="29">
        <v>2.0833333333333332E-2</v>
      </c>
      <c r="L422" s="29"/>
      <c r="M422" s="30">
        <f t="shared" ca="1" si="94"/>
        <v>1.9206828699680045E-2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>
        <v>0</v>
      </c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>
        <v>14</v>
      </c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14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0.16365127314412453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128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0.39767905092190231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2026-07-17T04:57:44Z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