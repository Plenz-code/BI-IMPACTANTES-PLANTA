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773" documentId="13_ncr:1_{A6DBCFB4-28D9-4249-9038-216934055CA6}" xr6:coauthVersionLast="47" xr6:coauthVersionMax="47" xr10:uidLastSave="{868C6A3C-5A64-498F-B917-2FB4159DD74A}"/>
  <bookViews>
    <workbookView xWindow="-110" yWindow="-110" windowWidth="25820" windowHeight="15500" tabRatio="500" firstSheet="6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1" i="6" l="1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<sst xmlns="http://schemas.openxmlformats.org/spreadsheetml/2006/main" count="9461" uniqueCount="416">
  <si>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</si>
  <si>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</si>
  <si>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</si>
  <si>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</si>
  <si>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</si>
  <si>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</si>
  <si>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</si>
  <si>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</si>
  <si>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</si>
  <si>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</si>
  <si>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</si>
  <si>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</si>
  <si>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</si>
  <si>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</si>
  <si>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</si>
  <si>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</si>
  <si>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</si>
  <si>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</si>
  <si>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</si>
  <si>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</si>
  <si>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</si>
  <si>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</si>
  <si>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</si>
  <si>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</si>
  <si>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</si>
  <si>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</si>
  <si>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</si>
  <si>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</si>
  <si>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</si>
  <si>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</si>
  <si>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</si>
  <si>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</si>
  <si>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</si>
  <si>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</si>
  <si>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</si>
  <si>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</si>
  <si>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</si>
  <si>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</si>
  <si>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</si>
  <si>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</si>
  <si>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</si>
  <si>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</si>
  <si>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</si>
  <si>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</si>
  <si>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</si>
  <si>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</si>
  <si>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</si>
  <si>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</si>
  <si>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</si>
  <si>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</si>
  <si>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</si>
  <si>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</si>
  <si>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</si>
  <si>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</si>
  <si>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</si>
  <si>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</si>
  <si>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</si>
  <si>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</si>
  <si>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</si>
  <si>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</si>
  <si>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</si>
  <si>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</si>
  <si>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</si>
  <si>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</si>
  <si>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</si>
  <si>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</si>
  <si>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</si>
  <si>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</si>
  <si>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</si>
  <si>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</si>
  <si>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</si>
  <si>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</si>
  <si>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</si>
  <si>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</si>
  <si>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</si>
  <si>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</si>
  <si>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</si>
  <si>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</si>
  <si>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</si>
  <si>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</si>
  <si>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</si>
  <si>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</si>
  <si>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</si>
  <si>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</si>
  <si>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</si>
  <si>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</si>
  <si>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</si>
  <si>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</si>
  <si>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</si>
  <si>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</si>
  <si>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</si>
  <si>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</si>
  <si>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</si>
  <si>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</si>
  <si>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</si>
  <si>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</si>
  <si>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</si>
  <si>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</si>
  <si>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</si>
  <si>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</si>
  <si>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</si>
  <si>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</si>
  <si>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</si>
  <si>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</si>
  <si>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</si>
  <si>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</si>
  <si>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</si>
  <si>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</si>
  <si>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</si>
  <si>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</si>
  <si>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</si>
  <si>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</si>
  <si>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</si>
  <si>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</si>
  <si>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</si>
  <si>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</si>
  <si>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</si>
  <si>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</si>
  <si>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</si>
  <si>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</si>
  <si>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</si>
  <si>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</si>
  <si>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</si>
  <si>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</si>
  <si>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</si>
  <si>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</si>
  <si>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</si>
  <si>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</si>
  <si>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</si>
  <si>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</si>
  <si>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</si>
  <si>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</si>
  <si>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</si>
  <si>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</si>
  <si>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</si>
  <si>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</si>
  <si>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</si>
  <si>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</si>
  <si>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</si>
  <si>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</si>
  <si>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</si>
  <si>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</si>
  <si>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</si>
  <si>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</si>
  <si>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</si>
  <si>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</si>
  <si>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</si>
  <si>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</si>
  <si>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</si>
  <si>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</si>
  <si>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</si>
  <si>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</si>
  <si>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</si>
  <si>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</si>
  <si>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</si>
  <si>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</si>
  <si>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</si>
  <si>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</si>
  <si>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</si>
  <si>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</si>
  <si>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</si>
  <si>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</si>
  <si>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</si>
  <si>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</si>
  <si>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</si>
  <si>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</si>
  <si>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</si>
  <si>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</si>
  <si>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</si>
  <si>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</si>
  <si>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</si>
  <si>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</si>
  <si>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</si>
  <si>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</si>
  <si>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</si>
  <si>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</si>
  <si>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</si>
  <si>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</si>
  <si>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</si>
  <si>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</si>
  <si>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</si>
  <si>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</si>
  <si>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</si>
  <si>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</si>
  <si>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</si>
  <si>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</si>
  <si>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</si>
  <si>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</si>
  <si>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</si>
  <si>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</si>
  <si>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</si>
  <si>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</si>
  <si>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</si>
  <si>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</si>
  <si>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</si>
  <si>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</si>
  <si>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</si>
  <si>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</si>
  <si>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</si>
  <si>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</si>
  <si>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</si>
  <si>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</si>
  <si>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</si>
  <si>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</si>
  <si>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</si>
  <si>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</si>
  <si>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</si>
  <si>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</si>
  <si>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</si>
  <si>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</si>
  <si>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</si>
  <si>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</si>
  <si>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</si>
  <si>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</si>
  <si>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</si>
  <si>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</si>
  <si>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</si>
  <si>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</si>
  <si>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</si>
  <si>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</si>
  <si>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</si>
  <si>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</si>
  <si>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</si>
  <si>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</si>
  <si>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</si>
  <si>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</si>
  <si>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</si>
  <si>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</si>
  <si>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</si>
  <si>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</si>
  <si>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</si>
  <si>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</si>
  <si>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</si>
  <si>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</si>
  <si>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</si>
  <si>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</si>
  <si>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</si>
  <si>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</si>
  <si>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</si>
  <si>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</si>
  <si>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</si>
  <si>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</si>
  <si>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</si>
  <si>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</si>
  <si>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</si>
  <si>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</si>
  <si>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</si>
  <si>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</si>
  <si>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</si>
  <si>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</si>
  <si>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</si>
  <si>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</si>
  <si>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</si>
  <si>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</si>
  <si>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</si>
  <si>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</si>
  <si>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</si>
  <si>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</si>
  <si>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</si>
  <si>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</si>
  <si>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</si>
  <si>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</si>
  <si>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</si>
  <si>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</si>
  <si>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</si>
  <si>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</si>
  <si>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</si>
  <si>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</si>
  <si>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</si>
  <si>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</si>
  <si>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</si>
  <si>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</si>
  <si>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</si>
  <si>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</si>
  <si>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</si>
  <si>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</si>
  <si>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</si>
  <si>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</si>
  <si>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</si>
  <si>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</si>
  <si>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</si>
  <si>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</si>
  <si>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</si>
  <si>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</si>
  <si>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</si>
  <si>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</si>
  <si>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</si>
  <si>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</si>
  <si>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</si>
  <si>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</si>
  <si>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</si>
  <si>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</si>
  <si>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</si>
  <si>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</si>
  <si>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</si>
  <si>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</si>
  <si>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</si>
  <si>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</si>
  <si>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</si>
  <si>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</si>
  <si>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</si>
  <si>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</si>
  <si>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</si>
  <si>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</si>
  <si>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</si>
  <si>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</si>
  <si>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</si>
  <si>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</si>
  <si>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</si>
  <si>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</si>
  <si>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</si>
  <si>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</si>
  <si>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</si>
  <si>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</si>
  <si>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</si>
  <si>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</si>
  <si>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</si>
  <si>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</si>
  <si>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</si>
  <si>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</si>
  <si>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</si>
  <si>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</si>
  <si>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</si>
  <si>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</si>
  <si>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</si>
  <si>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</si>
  <si>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</si>
  <si>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</si>
  <si>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</si>
  <si>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</si>
  <si>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</si>
  <si>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</si>
  <si>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</si>
  <si>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</si>
  <si>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</si>
  <si>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</si>
  <si>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</si>
  <si>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</si>
  <si>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</si>
  <si>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</si>
  <si>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</si>
  <si>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</si>
  <si>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</si>
  <si>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</si>
  <si>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</si>
  <si>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</si>
  <si>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</si>
  <si>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</si>
  <si>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</si>
  <si>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</si>
  <si>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</si>
  <si>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</si>
  <si>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</si>
  <si>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</si>
  <si>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</si>
  <si>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</si>
  <si>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</si>
  <si>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</si>
  <si>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</si>
  <si>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</si>
  <si>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</si>
  <si>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</si>
  <si>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</si>
  <si>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</si>
  <si>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</si>
  <si>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</si>
  <si>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</si>
  <si>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</si>
  <si>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</si>
  <si>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</si>
  <si>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</si>
  <si>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</si>
  <si>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servoço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</si>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</sst>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G565" sqref="G56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29</v>
      </c>
      <c r="I559" s="70" t="s">
        <v>32</v>
      </c>
      <c r="J559" s="70" t="s">
        <v>175</v>
      </c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65</v>
      </c>
      <c r="G567" s="2">
        <f>SUM(G555:G566)</f>
        <v>325</v>
      </c>
      <c r="H567" s="72"/>
      <c r="I567" s="72"/>
      <c r="J567" s="72"/>
      <c r="K567" s="72"/>
      <c r="L567" s="72"/>
      <c r="M567" s="73">
        <f ca="1">IFERROR(SUM(M555:M566),"")</f>
        <v>0.2236111111111112</v>
      </c>
      <c r="N567" s="2" t="s">
        <v>262</v>
      </c>
      <c r="O567" s="74"/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65</v>
      </c>
      <c r="G568" s="1">
        <f>G554+G567</f>
        <v>325</v>
      </c>
      <c r="H568" s="76"/>
      <c r="I568" s="76"/>
      <c r="J568" s="76"/>
      <c r="K568" s="76"/>
      <c r="L568" s="76"/>
      <c r="M568" s="77">
        <f ca="1">IFERROR(M554+M567,"")</f>
        <v>0.7236111111111112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1" activePane="bottomLeft" state="frozen"/>
      <selection pane="bottomLeft" activeCell="L564" sqref="L56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301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302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303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305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306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307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308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9.5505787030560896E-3</v>
      </c>
      <c r="R53" s="80" t="s">
        <v>309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0.14843946759194382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0.23316168981416663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301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310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311</v>
      </c>
      <c r="Q96" s="66" t="str">
        <f t="shared" ref="Q96:Q107" ca="1" si="22">IFERROR(IF(O96="","",IF(P96="",MOD(NOW()-O96,1),IF(P96&gt;=O96,P96-O96,P96+1-O96))),"")</f>
        <v/>
      </c>
      <c r="R96" s="80" t="s">
        <v>312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313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314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315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316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317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318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320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321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322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315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310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324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325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326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327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328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329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330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322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317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310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331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332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333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334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335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336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337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338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339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340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317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341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342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0.33941168981982628</v>
      </c>
      <c r="R555" s="80" t="s">
        <v>343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260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0.33941168981982628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0.66093946759760391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42" activePane="bottomLeft" state="frozen"/>
      <selection pane="bottomLeft" activeCell="Q564" sqref="Q564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344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304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345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310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344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344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346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347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348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349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350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351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352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318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310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353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354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321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355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357</v>
      </c>
      <c r="Q222" s="66" t="str">
        <f t="shared" ca="1" si="49"/>
        <v/>
      </c>
      <c r="R222" s="63" t="s">
        <v>358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359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328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360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329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310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361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332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362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363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364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364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365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310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366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351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367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368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369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310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370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371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39"/>
        <v>0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310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39"/>
        <v>0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39"/>
        <v>0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0</v>
      </c>
      <c r="I562" s="90">
        <f>IFERROR(IF($D562="","",VLOOKUP($D562,Cadastro!$C$4:$G$7,5,FALSE())),"")</f>
        <v>0.6</v>
      </c>
      <c r="J562" s="91">
        <f t="shared" si="139"/>
        <v>0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372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79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347</v>
      </c>
      <c r="L567" s="72"/>
      <c r="M567" s="72"/>
      <c r="N567" s="72"/>
      <c r="O567" s="72"/>
      <c r="P567" s="72"/>
      <c r="Q567" s="73">
        <f ca="1">IFERROR(SUM(Q555:Q566),"")</f>
        <v>6.8055555555555702E-2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88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384.8</v>
      </c>
      <c r="L568" s="76"/>
      <c r="M568" s="76"/>
      <c r="N568" s="76"/>
      <c r="O568" s="76"/>
      <c r="P568" s="76"/>
      <c r="Q568" s="77">
        <f ca="1">IFERROR(Q554+Q567,"")</f>
        <v>0.47847222222222241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42" activePane="bottomLeft" state="frozen"/>
      <selection pane="bottomLeft" activeCell="G562" sqref="G562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373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307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344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374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375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376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377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378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379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344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344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380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381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310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344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382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383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318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384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386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387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388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389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390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391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392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393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394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395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396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397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398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399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400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401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332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402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403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404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405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406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400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407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366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408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409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410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411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412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42"/>
        <v>0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42"/>
        <v>0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413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42"/>
        <v>0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414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0</v>
      </c>
      <c r="I562" s="90">
        <f>IFERROR(IF($D562="","",VLOOKUP($D562,Cadastro!$C$4:$G$7,5,FALSE())),"")</f>
        <v>0.6</v>
      </c>
      <c r="J562" s="91">
        <f t="shared" si="142"/>
        <v>0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415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77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325.8</v>
      </c>
      <c r="L567" s="72"/>
      <c r="M567" s="72"/>
      <c r="N567" s="72"/>
      <c r="O567" s="134"/>
      <c r="P567" s="134"/>
      <c r="Q567" s="73">
        <f ca="1">IFERROR(SUM(Q555:Q566),"")</f>
        <v>0.10347222222222209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208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876</v>
      </c>
      <c r="L568" s="76"/>
      <c r="M568" s="76"/>
      <c r="N568" s="76"/>
      <c r="O568" s="135"/>
      <c r="P568" s="135"/>
      <c r="Q568" s="77">
        <f ca="1">IFERROR(Q554+Q567,"")</f>
        <v>0.25972222222222213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2026-08-22T07:08:59Z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