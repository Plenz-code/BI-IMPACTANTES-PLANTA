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426" documentId="8_{AF585B22-221D-4780-BB9C-493D365A6A02}" xr6:coauthVersionLast="47" xr6:coauthVersionMax="47" xr10:uidLastSave="{4027A531-215A-4614-8EAF-806A4516A14C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<sst xmlns="http://schemas.openxmlformats.org/spreadsheetml/2006/main" count="8219" uniqueCount="360">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</sst>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0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35" sqref="G35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4" t="s">
        <v>0</v>
      </c>
      <c r="B1" s="104"/>
      <c r="C1" s="104"/>
      <c r="D1" s="104"/>
      <c r="E1" s="104"/>
      <c r="F1" s="104"/>
      <c r="G1" s="104"/>
    </row>
    <row r="2" spans="1:7" ht="24.75" customHeight="1">
      <c r="A2" s="105"/>
      <c r="B2" s="10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6" t="s">
        <v>9</v>
      </c>
      <c r="B35" s="106"/>
      <c r="C35" s="13">
        <f>IFERROR(SUM(C4:C34),"")</f>
        <v>59982441</v>
      </c>
      <c r="D35" s="13">
        <f>IFERROR(SUM(D4:D34),"")</f>
        <v>22393340</v>
      </c>
      <c r="E35" s="13">
        <f>IFERROR(SUM(E4:E34),"")</f>
        <v>13410270</v>
      </c>
      <c r="F35" s="13">
        <f>IFERROR(SUM(F4:F34),"")</f>
        <v>26874360</v>
      </c>
      <c r="G35" s="13">
        <f>IFERROR(SUM(G4:G34),"")</f>
        <v>62677970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7" t="s">
        <v>10</v>
      </c>
      <c r="B1" s="107"/>
      <c r="C1" s="107"/>
      <c r="D1" s="107"/>
      <c r="E1" s="107"/>
      <c r="F1" s="107"/>
      <c r="G1" s="107"/>
      <c r="H1" s="108"/>
      <c r="I1" s="109" t="s">
        <v>11</v>
      </c>
      <c r="J1" s="109"/>
      <c r="K1" s="109"/>
      <c r="L1" s="109"/>
      <c r="M1" s="109"/>
    </row>
    <row r="2" spans="1:13" ht="4.5" customHeight="1">
      <c r="H2" s="108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8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8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8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8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8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8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8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8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8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8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8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8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8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8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8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8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8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8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8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8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8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8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8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8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8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8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8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8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8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8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8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8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8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8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8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8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8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8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8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8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8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8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8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8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8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8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8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8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8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8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8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8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8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8"/>
      <c r="I56" s="16"/>
      <c r="J56" s="16"/>
      <c r="K56" s="16" t="s">
        <v>202</v>
      </c>
      <c r="L56" s="16"/>
      <c r="M56" s="16"/>
    </row>
    <row r="57" spans="1:13" ht="15" customHeight="1">
      <c r="H57" s="108"/>
      <c r="I57" s="17"/>
      <c r="J57" s="17"/>
      <c r="K57" s="17" t="s">
        <v>50</v>
      </c>
      <c r="L57" s="17"/>
      <c r="M57" s="17"/>
    </row>
    <row r="58" spans="1:13" ht="15" customHeight="1">
      <c r="H58" s="108"/>
      <c r="I58" s="16"/>
      <c r="J58" s="16"/>
      <c r="K58" s="16" t="s">
        <v>203</v>
      </c>
      <c r="L58" s="16"/>
      <c r="M58" s="16"/>
    </row>
    <row r="59" spans="1:13" ht="15" customHeight="1">
      <c r="H59" s="108"/>
      <c r="I59" s="17"/>
      <c r="J59" s="17"/>
      <c r="K59" s="17" t="s">
        <v>204</v>
      </c>
      <c r="L59" s="17"/>
      <c r="M59" s="17"/>
    </row>
    <row r="60" spans="1:13" ht="15" customHeight="1">
      <c r="H60" s="108"/>
      <c r="I60" s="16"/>
      <c r="J60" s="16"/>
      <c r="K60" s="86" t="s">
        <v>105</v>
      </c>
      <c r="L60" s="16"/>
      <c r="M60" s="16"/>
    </row>
    <row r="61" spans="1:13" ht="15" customHeight="1">
      <c r="H61" s="108"/>
      <c r="I61" s="17"/>
      <c r="J61" s="17"/>
      <c r="K61" s="17" t="s">
        <v>205</v>
      </c>
      <c r="L61" s="17"/>
      <c r="M61" s="17"/>
    </row>
    <row r="62" spans="1:13" ht="15" customHeight="1">
      <c r="H62" s="108"/>
      <c r="I62" s="16"/>
      <c r="J62" s="16"/>
      <c r="K62" s="16" t="s">
        <v>206</v>
      </c>
      <c r="L62" s="16"/>
      <c r="M62" s="16"/>
    </row>
    <row r="63" spans="1:13" ht="15" customHeight="1">
      <c r="H63" s="108"/>
      <c r="I63" s="17"/>
      <c r="J63" s="17"/>
      <c r="K63" s="17" t="s">
        <v>207</v>
      </c>
      <c r="L63" s="17"/>
      <c r="M63" s="17"/>
    </row>
    <row r="64" spans="1:13" ht="15" customHeight="1">
      <c r="H64" s="108"/>
      <c r="I64" s="16"/>
      <c r="J64" s="16"/>
      <c r="K64" s="16" t="s">
        <v>208</v>
      </c>
      <c r="L64" s="16"/>
      <c r="M64" s="16"/>
    </row>
    <row r="65" spans="8:13" ht="15" customHeight="1">
      <c r="H65" s="108"/>
      <c r="I65" s="17"/>
      <c r="J65" s="17"/>
      <c r="K65" s="17" t="s">
        <v>209</v>
      </c>
      <c r="L65" s="17"/>
      <c r="M65" s="17"/>
    </row>
    <row r="66" spans="8:13" ht="15" customHeight="1">
      <c r="H66" s="108"/>
      <c r="I66" s="16"/>
      <c r="J66" s="16"/>
      <c r="K66" s="16" t="s">
        <v>210</v>
      </c>
      <c r="L66" s="16"/>
      <c r="M66" s="16"/>
    </row>
    <row r="67" spans="8:13" ht="15" customHeight="1">
      <c r="H67" s="108"/>
      <c r="I67" s="17"/>
      <c r="J67" s="17"/>
      <c r="K67" s="17" t="s">
        <v>211</v>
      </c>
      <c r="L67" s="17"/>
      <c r="M67" s="17"/>
    </row>
    <row r="68" spans="8:13" ht="15" customHeight="1">
      <c r="H68" s="108"/>
      <c r="I68" s="16"/>
      <c r="J68" s="16"/>
      <c r="K68" s="16" t="s">
        <v>212</v>
      </c>
      <c r="L68" s="16"/>
      <c r="M68" s="16"/>
    </row>
    <row r="69" spans="8:13" ht="15" customHeight="1">
      <c r="H69" s="108"/>
      <c r="I69" s="17"/>
      <c r="J69" s="17"/>
      <c r="K69" s="17" t="s">
        <v>213</v>
      </c>
      <c r="L69" s="17"/>
      <c r="M69" s="17"/>
    </row>
    <row r="70" spans="8:13" ht="15" customHeight="1">
      <c r="H70" s="108"/>
      <c r="I70" s="16"/>
      <c r="J70" s="16"/>
      <c r="K70" s="16" t="s">
        <v>214</v>
      </c>
      <c r="L70" s="16"/>
      <c r="M70" s="16"/>
    </row>
    <row r="71" spans="8:13" ht="15" customHeight="1">
      <c r="H71" s="108"/>
      <c r="I71" s="17"/>
      <c r="J71" s="17"/>
      <c r="K71" s="17" t="s">
        <v>215</v>
      </c>
      <c r="L71" s="17"/>
      <c r="M71" s="17"/>
    </row>
    <row r="72" spans="8:13" ht="15" customHeight="1">
      <c r="H72" s="108"/>
      <c r="I72" s="16"/>
      <c r="J72" s="16"/>
      <c r="K72" s="16" t="s">
        <v>216</v>
      </c>
      <c r="L72" s="16"/>
      <c r="M72" s="16"/>
    </row>
    <row r="73" spans="8:13" ht="15" customHeight="1">
      <c r="H73" s="108"/>
      <c r="I73" s="17"/>
      <c r="J73" s="17"/>
      <c r="K73" s="17"/>
      <c r="L73" s="17"/>
      <c r="M73" s="17"/>
    </row>
    <row r="74" spans="8:13" ht="15" customHeight="1">
      <c r="H74" s="108"/>
      <c r="I74" s="16"/>
      <c r="J74" s="16"/>
      <c r="K74" s="16"/>
      <c r="L74" s="16"/>
      <c r="M74" s="16"/>
    </row>
    <row r="75" spans="8:13" ht="15" customHeight="1">
      <c r="H75" s="108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96" activePane="bottomLeft" state="frozen"/>
      <selection pane="bottomLeft" activeCell="F525" sqref="F52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8.285156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/>
      <c r="M516" s="30">
        <f t="shared" ca="1" si="115"/>
        <v>2.8464814815379214E-2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0.11388148148204591</v>
      </c>
      <c r="N527" s="36" t="s">
        <v>231</v>
      </c>
      <c r="O527" s="39"/>
    </row>
    <row r="528" spans="1:15" ht="15" customHeight="1">
      <c r="A528" s="68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174</v>
      </c>
      <c r="G541" s="40">
        <f>G527+G540</f>
        <v>870</v>
      </c>
      <c r="H541" s="41"/>
      <c r="I541" s="41"/>
      <c r="J541" s="41"/>
      <c r="K541" s="41"/>
      <c r="L541" s="41"/>
      <c r="M541" s="42">
        <f ca="1">IFERROR(M527+M540,"")</f>
        <v>0.11388148148204591</v>
      </c>
      <c r="N541" s="40" t="s">
        <v>234</v>
      </c>
      <c r="O541" s="48">
        <f>IFERROR(O527+O540,"")</f>
        <v>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502" activePane="bottomLeft" state="frozen"/>
      <selection pane="bottomLeft" activeCell="F525" sqref="F52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259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0.46943703703436768</v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0.62707592592325656</v>
      </c>
      <c r="N378" s="36" t="s">
        <v>231</v>
      </c>
      <c r="O378" s="77">
        <v>511980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0.73679814814547873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0.44790925925917691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0.6187425925925103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0.76388148148139923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298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130</v>
      </c>
      <c r="G500" s="36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36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40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299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/>
      <c r="G525" s="34" t="str">
        <f t="shared" si="114"/>
        <v/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155</v>
      </c>
      <c r="G527" s="36">
        <f>SUM(G515:G526)</f>
        <v>651.00000000000011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/>
    </row>
    <row r="528" spans="1:15" ht="15" customHeight="1">
      <c r="A528" s="68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77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155</v>
      </c>
      <c r="G541" s="40">
        <f>G527+G540</f>
        <v>651.00000000000011</v>
      </c>
      <c r="H541" s="41"/>
      <c r="I541" s="41"/>
      <c r="J541" s="41"/>
      <c r="K541" s="41"/>
      <c r="L541" s="41"/>
      <c r="M541" s="42">
        <f ca="1">IFERROR(M527+M540,"")</f>
        <v>8.7500000000000078E-2</v>
      </c>
      <c r="N541" s="40" t="s">
        <v>234</v>
      </c>
      <c r="O541" s="83">
        <f>IFERROR(O527+O540,"")</f>
        <v>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77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 E513:E514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89" zoomScale="50" zoomScaleNormal="50" workbookViewId="0">
      <selection activeCell="L520" sqref="L52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300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270</v>
      </c>
      <c r="K141" s="29">
        <v>0.71597222222222223</v>
      </c>
      <c r="L141" s="29" t="s">
        <v>306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308</v>
      </c>
      <c r="N166" s="27" t="s">
        <v>309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44</v>
      </c>
      <c r="G527" s="36">
        <f>SUM(G515:G526)</f>
        <v>184.80000000000004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/>
    </row>
    <row r="528" spans="1:15" ht="15" customHeight="1">
      <c r="A528" s="68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44</v>
      </c>
      <c r="G541" s="40">
        <f>G527+G540</f>
        <v>184.80000000000004</v>
      </c>
      <c r="H541" s="41"/>
      <c r="I541" s="41"/>
      <c r="J541" s="41"/>
      <c r="K541" s="41"/>
      <c r="L541" s="41"/>
      <c r="M541" s="42">
        <f ca="1">IFERROR(M527+M540,"")</f>
        <v>0.10416666666666657</v>
      </c>
      <c r="N541" s="40" t="s">
        <v>234</v>
      </c>
      <c r="O541" s="48">
        <f>IFERROR(O527+O540,"")</f>
        <v>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05" activePane="bottomLeft" state="frozen"/>
      <selection pane="bottomLeft" activeCell="F524" sqref="F524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73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321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322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323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324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325</v>
      </c>
      <c r="L58" s="29">
        <v>0.54097222222222219</v>
      </c>
      <c r="M58" s="30" t="str">
        <f t="shared" ca="1" si="13"/>
        <v/>
      </c>
      <c r="N58" s="27" t="s">
        <v>326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300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327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328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329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330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331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332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333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334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0.45971481481683441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0.65902037037239003</v>
      </c>
      <c r="N135" s="36" t="s">
        <v>231</v>
      </c>
      <c r="O135" s="39">
        <v>729290</v>
      </c>
    </row>
    <row r="136" spans="1:18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1.0263814814835011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335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337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338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339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340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341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342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343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344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345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346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8" t="s">
        <v>230</v>
      </c>
      <c r="B338" s="99"/>
      <c r="C338" s="99"/>
      <c r="D338" s="99"/>
      <c r="E338" s="100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347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348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349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350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337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351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352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353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354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355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356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330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330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357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358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359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36</v>
      </c>
      <c r="G527" s="36">
        <f>SUM(G515:G526)</f>
        <v>151.20000000000002</v>
      </c>
      <c r="H527" s="37"/>
      <c r="I527" s="37"/>
      <c r="J527" s="37"/>
      <c r="K527" s="61"/>
      <c r="L527" s="61"/>
      <c r="M527" s="38">
        <f ca="1">IFERROR(SUM(M515:M526),"")</f>
        <v>0.30416666666666664</v>
      </c>
      <c r="N527" s="36" t="s">
        <v>231</v>
      </c>
      <c r="O527" s="39"/>
    </row>
    <row r="528" spans="1:15" ht="15" customHeight="1">
      <c r="A528" s="68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36</v>
      </c>
      <c r="G541" s="40">
        <f>G527+G540</f>
        <v>151.20000000000002</v>
      </c>
      <c r="H541" s="41"/>
      <c r="I541" s="41"/>
      <c r="J541" s="41"/>
      <c r="K541" s="63"/>
      <c r="L541" s="63"/>
      <c r="M541" s="42">
        <f ca="1">IFERROR(M527+M540,"")</f>
        <v>0.30416666666666664</v>
      </c>
      <c r="N541" s="40" t="s">
        <v>234</v>
      </c>
      <c r="O541" s="48">
        <f>IFERROR(O527+O540,"")</f>
        <v>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2026-07-20T21:01:02Z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