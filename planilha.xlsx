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22" documentId="8_{AF585B22-221D-4780-BB9C-493D365A6A02}" xr6:coauthVersionLast="47" xr6:coauthVersionMax="47" xr10:uidLastSave="{8FFCDB24-8882-42C7-A296-9060AE54770E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<sst xmlns="http://schemas.openxmlformats.org/spreadsheetml/2006/main" count="7278" uniqueCount="344">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</sst>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5" activePane="bottomLeft" state="frozen"/>
      <selection pane="bottomLeft" activeCell="F450" sqref="F4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38</v>
      </c>
      <c r="G459" s="36">
        <f>SUM(G447:G458)</f>
        <v>159.6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217</v>
      </c>
      <c r="G460" s="40">
        <f>G446+G459</f>
        <v>1054.5999999999999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26" activePane="bottomLeft" state="frozen"/>
      <selection pane="bottomLeft" activeCell="K448" sqref="K4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0.68846539351943647</v>
      </c>
      <c r="N377" s="46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0.84610428240832536</v>
      </c>
      <c r="N378" s="36" t="s">
        <v>228</v>
      </c>
      <c r="O378" s="78">
        <v>511980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0.95582650463054752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0.6669376157442457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0.8377709490775791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0.98290983796646803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>
        <v>0.92777777777777781</v>
      </c>
      <c r="L448" s="29"/>
      <c r="M448" s="30">
        <f t="shared" ca="1" si="100"/>
        <v>2.709490800043568E-4</v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20</v>
      </c>
      <c r="G459" s="36">
        <f>SUM(G447:G458)</f>
        <v>100</v>
      </c>
      <c r="H459" s="37"/>
      <c r="I459" s="37"/>
      <c r="J459" s="37"/>
      <c r="K459" s="37"/>
      <c r="L459" s="37"/>
      <c r="M459" s="38">
        <f ca="1">IFERROR(SUM(M447:M458),"")</f>
        <v>3.5687615746671009E-2</v>
      </c>
      <c r="N459" s="36" t="s">
        <v>228</v>
      </c>
      <c r="O459" s="78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218</v>
      </c>
      <c r="G460" s="40">
        <f>G446+G459</f>
        <v>931.60000000000014</v>
      </c>
      <c r="H460" s="41"/>
      <c r="I460" s="41"/>
      <c r="J460" s="41"/>
      <c r="K460" s="41"/>
      <c r="L460" s="41"/>
      <c r="M460" s="42">
        <f ca="1">IFERROR(M446+M459,"")</f>
        <v>0.10513206019111548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0" sqref="F4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227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227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225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14</v>
      </c>
      <c r="G459" s="36">
        <f>SUM(G447:G458)</f>
        <v>70</v>
      </c>
      <c r="H459" s="37"/>
      <c r="I459" s="37"/>
      <c r="J459" s="37"/>
      <c r="K459" s="37"/>
      <c r="L459" s="37"/>
      <c r="M459" s="38">
        <f ca="1">IFERROR(SUM(M447:M458),"")</f>
        <v>1.9444444444444597E-2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49</v>
      </c>
      <c r="G460" s="40">
        <f>G446+G459</f>
        <v>217.00000000000003</v>
      </c>
      <c r="H460" s="41"/>
      <c r="I460" s="41"/>
      <c r="J460" s="41"/>
      <c r="K460" s="41"/>
      <c r="L460" s="41"/>
      <c r="M460" s="42">
        <f ca="1">IFERROR(M446+M459,"")</f>
        <v>0.21736111111111134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J451" sqref="J4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227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229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99" t="s">
        <v>230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227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229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99" t="s">
        <v>230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227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229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99" t="s">
        <v>230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227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229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99" t="s">
        <v>230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227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0.6787431713019032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229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0.87804872685745883</v>
      </c>
      <c r="N135" s="36" t="s">
        <v>228</v>
      </c>
      <c r="O135" s="39">
        <v>729290</v>
      </c>
    </row>
    <row r="136" spans="1:18" ht="18" customHeight="1">
      <c r="A136" s="99" t="s">
        <v>230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1.2454098379685699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227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229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99" t="s">
        <v>230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227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229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99" t="s">
        <v>230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227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229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99" t="s">
        <v>230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227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229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99" t="s">
        <v>230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227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229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99" t="s">
        <v>230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227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229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99" t="s">
        <v>230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227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229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99" t="s">
        <v>230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227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229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99" t="s">
        <v>230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229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99" t="s">
        <v>230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227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229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99" t="s">
        <v>230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227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229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99" t="s">
        <v>230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227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343</v>
      </c>
      <c r="F450" s="27"/>
      <c r="G450" s="28" t="str">
        <f>IF(F450="","",IF(E451="PC 17",F450*4.2,IF(E451="PC 19",F450*5,"")))</f>
        <v/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225</v>
      </c>
      <c r="F451" s="27"/>
      <c r="G451" s="34" t="str">
        <f>IF(F451="","",IF(#REF!="PC 17",F451*4.2,IF(#REF!="PC 19",F451*5,"")))</f>
        <v/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/>
      <c r="M451" s="35">
        <f t="shared" ca="1" si="100"/>
        <v>1.6598379661445506E-3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225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225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229</v>
      </c>
      <c r="B459" s="103"/>
      <c r="C459" s="103"/>
      <c r="D459" s="103"/>
      <c r="E459" s="104">
        <f>SUM(E447:E458)</f>
        <v>0</v>
      </c>
      <c r="F459" s="36">
        <f>SUM(F447:F458)</f>
        <v>10</v>
      </c>
      <c r="G459" s="36">
        <f>SUM(G447:G458)</f>
        <v>50</v>
      </c>
      <c r="H459" s="37"/>
      <c r="I459" s="37"/>
      <c r="J459" s="37"/>
      <c r="K459" s="61"/>
      <c r="L459" s="61"/>
      <c r="M459" s="38">
        <f ca="1">IFERROR(SUM(M447:M458),"")</f>
        <v>8.9854282410589126E-2</v>
      </c>
      <c r="N459" s="36" t="s">
        <v>228</v>
      </c>
      <c r="O459" s="39"/>
    </row>
    <row r="460" spans="1:15" ht="18" customHeight="1">
      <c r="A460" s="99" t="s">
        <v>230</v>
      </c>
      <c r="B460" s="100"/>
      <c r="C460" s="100"/>
      <c r="D460" s="100"/>
      <c r="E460" s="101">
        <f>E446+E459</f>
        <v>0</v>
      </c>
      <c r="F460" s="40">
        <f>F446+F459</f>
        <v>205</v>
      </c>
      <c r="G460" s="40">
        <f>G446+G459</f>
        <v>869</v>
      </c>
      <c r="H460" s="41"/>
      <c r="I460" s="41"/>
      <c r="J460" s="41"/>
      <c r="K460" s="63"/>
      <c r="L460" s="63"/>
      <c r="M460" s="42">
        <f ca="1">IFERROR(M446+M459,"")</f>
        <v>0.14054872685503372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227</v>
      </c>
      <c r="B473" s="103"/>
      <c r="C473" s="103"/>
      <c r="D473" s="103"/>
      <c r="E473" s="10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229</v>
      </c>
      <c r="B486" s="103"/>
      <c r="C486" s="103"/>
      <c r="D486" s="103"/>
      <c r="E486" s="10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99" t="s">
        <v>230</v>
      </c>
      <c r="B487" s="100"/>
      <c r="C487" s="100"/>
      <c r="D487" s="100"/>
      <c r="E487" s="10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227</v>
      </c>
      <c r="B500" s="103"/>
      <c r="C500" s="103"/>
      <c r="D500" s="103"/>
      <c r="E500" s="10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229</v>
      </c>
      <c r="B513" s="103"/>
      <c r="C513" s="103"/>
      <c r="D513" s="103"/>
      <c r="E513" s="10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99" t="s">
        <v>230</v>
      </c>
      <c r="B514" s="100"/>
      <c r="C514" s="100"/>
      <c r="D514" s="100"/>
      <c r="E514" s="10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227</v>
      </c>
      <c r="B527" s="103"/>
      <c r="C527" s="103"/>
      <c r="D527" s="103"/>
      <c r="E527" s="10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229</v>
      </c>
      <c r="B540" s="103"/>
      <c r="C540" s="103"/>
      <c r="D540" s="103"/>
      <c r="E540" s="10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99" t="s">
        <v>230</v>
      </c>
      <c r="B541" s="100"/>
      <c r="C541" s="100"/>
      <c r="D541" s="100"/>
      <c r="E541" s="10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227</v>
      </c>
      <c r="B554" s="103"/>
      <c r="C554" s="103"/>
      <c r="D554" s="103"/>
      <c r="E554" s="10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102" t="s">
        <v>229</v>
      </c>
      <c r="B567" s="103"/>
      <c r="C567" s="103"/>
      <c r="D567" s="103"/>
      <c r="E567" s="10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99" t="s">
        <v>230</v>
      </c>
      <c r="B568" s="100"/>
      <c r="C568" s="100"/>
      <c r="D568" s="100"/>
      <c r="E568" s="10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227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229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99" t="s">
        <v>230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227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229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99" t="s">
        <v>230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227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229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99" t="s">
        <v>230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227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229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99" t="s">
        <v>230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227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229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99" t="s">
        <v>230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227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229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99" t="s">
        <v>230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227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229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99" t="s">
        <v>230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227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229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99" t="s">
        <v>230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227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229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99" t="s">
        <v>230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2026-07-18T02:16:58Z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