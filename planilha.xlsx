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762" documentId="8_{AF585B22-221D-4780-BB9C-493D365A6A02}" xr6:coauthVersionLast="47" xr6:coauthVersionMax="47" xr10:uidLastSave="{1404EE8D-B232-48D0-A996-757A2CA74194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<sst xmlns="http://schemas.openxmlformats.org/spreadsheetml/2006/main" count="6061" uniqueCount="314">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</sst>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64" activePane="bottomLeft" state="frozen"/>
      <selection pane="bottomLeft" activeCell="K366" sqref="K36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>
        <v>0.8125</v>
      </c>
      <c r="L366" s="29"/>
      <c r="M366" s="30">
        <f t="shared" ref="M366:M377" ca="1" si="82">IFERROR(IF(K366="","",IF(L366="",MOD(NOW()-K366,1),IF(L366&gt;=K366,L366-K366,L366+1-K366))),"")</f>
        <v>3.8673148148518521E-2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3.8673148148518521E-2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275</v>
      </c>
      <c r="G379" s="40">
        <f>G365+G378</f>
        <v>1375</v>
      </c>
      <c r="H379" s="41"/>
      <c r="I379" s="41"/>
      <c r="J379" s="41"/>
      <c r="K379" s="41"/>
      <c r="L379" s="41"/>
      <c r="M379" s="42">
        <f ca="1">IFERROR(M365+M378,"")</f>
        <v>0.12964537037074064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64" activePane="bottomLeft" state="frozen"/>
      <selection pane="bottomLeft" activeCell="E372" sqref="E37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16</v>
      </c>
      <c r="G378" s="36">
        <f>SUM(G366:G377)</f>
        <v>67.2</v>
      </c>
      <c r="H378" s="37"/>
      <c r="I378" s="37"/>
      <c r="J378" s="37"/>
      <c r="K378" s="37"/>
      <c r="L378" s="37"/>
      <c r="M378" s="38">
        <f ca="1">IFERROR(SUM(M366:M377),"")</f>
        <v>1.388888888888884E-3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174</v>
      </c>
      <c r="G379" s="40">
        <f>G365+G378</f>
        <v>730.80000000000007</v>
      </c>
      <c r="H379" s="41"/>
      <c r="I379" s="41"/>
      <c r="J379" s="41"/>
      <c r="K379" s="41"/>
      <c r="L379" s="41"/>
      <c r="M379" s="42">
        <f ca="1">IFERROR(M365+M378,"")</f>
        <v>0.11111111111111105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58" zoomScale="50" zoomScaleNormal="50" workbookViewId="0">
      <selection activeCell="E377" sqref="E37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12</v>
      </c>
      <c r="G378" s="36">
        <f>SUM(G366:G377)</f>
        <v>50.400000000000006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21</v>
      </c>
      <c r="G379" s="40">
        <f>G365+G378</f>
        <v>88.200000000000017</v>
      </c>
      <c r="H379" s="41"/>
      <c r="I379" s="41"/>
      <c r="J379" s="41"/>
      <c r="K379" s="41"/>
      <c r="L379" s="41"/>
      <c r="M379" s="42">
        <f ca="1">IFERROR(M365+M378,"")</f>
        <v>0.43124999999999997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58" activePane="bottomLeft" state="frozen"/>
      <selection pane="bottomLeft" activeCell="I367" sqref="I36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0.6018675925952266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0.80117314815078222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1.1685342592618932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/>
      <c r="F366" s="27">
        <v>20</v>
      </c>
      <c r="G366" s="28" t="str">
        <f t="shared" ref="G366:G377" si="81">IF(F366="","",IF(E366="PC 17",F366*4.2,IF(E366="PC 19",F366*5,"")))</f>
        <v/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/>
      <c r="F367" s="27"/>
      <c r="G367" s="34" t="str">
        <f t="shared" si="81"/>
        <v/>
      </c>
      <c r="H367" s="33"/>
      <c r="I367" s="33" t="s">
        <v>57</v>
      </c>
      <c r="J367" s="33"/>
      <c r="K367" s="29">
        <v>0.85069444444444442</v>
      </c>
      <c r="L367" s="29"/>
      <c r="M367" s="35">
        <f t="shared" ca="1" si="82"/>
        <v>4.7870370326563716E-4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46</v>
      </c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46</v>
      </c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46</v>
      </c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46</v>
      </c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46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46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46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46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46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20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1.2284259258821151E-2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145</v>
      </c>
      <c r="G379" s="40">
        <f>G365+G378</f>
        <v>525</v>
      </c>
      <c r="H379" s="41"/>
      <c r="I379" s="41"/>
      <c r="J379" s="41"/>
      <c r="K379" s="63"/>
      <c r="L379" s="63"/>
      <c r="M379" s="42">
        <f ca="1">IFERROR(M365+M378,"")</f>
        <v>0.11714537036993233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2026-07-15T00:26:15Z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