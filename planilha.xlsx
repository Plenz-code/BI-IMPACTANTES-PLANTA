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56" documentId="8_{AF585B22-221D-4780-BB9C-493D365A6A02}" xr6:coauthVersionLast="47" xr6:coauthVersionMax="47" xr10:uidLastSave="{31470D3C-623A-4DFF-B49A-98BF035B3806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<sst xmlns="http://schemas.openxmlformats.org/spreadsheetml/2006/main" count="8580" uniqueCount="375">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</sst>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 x14ac:dyDescent="0.25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 x14ac:dyDescent="0.25">
      <c r="H2" s="108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8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8"/>
      <c r="I57" s="17"/>
      <c r="J57" s="17"/>
      <c r="K57" s="17" t="s">
        <v>50</v>
      </c>
      <c r="L57" s="17"/>
      <c r="M57" s="17"/>
    </row>
    <row r="58" spans="1:13" ht="15" customHeight="1" x14ac:dyDescent="0.25">
      <c r="H58" s="108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8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8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8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8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8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8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8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8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8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8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8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8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8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8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8"/>
      <c r="I73" s="17"/>
      <c r="J73" s="17"/>
      <c r="K73" s="17"/>
      <c r="L73" s="17"/>
      <c r="M73" s="17"/>
    </row>
    <row r="74" spans="8:13" ht="15" customHeight="1" x14ac:dyDescent="0.25">
      <c r="H74" s="108"/>
      <c r="I74" s="16"/>
      <c r="J74" s="16"/>
      <c r="K74" s="16"/>
      <c r="L74" s="16"/>
      <c r="M74" s="16"/>
    </row>
    <row r="75" spans="8:13" ht="15" customHeight="1" x14ac:dyDescent="0.25">
      <c r="H75" s="108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90" zoomScaleNormal="90" workbookViewId="0">
      <pane ySplit="1" topLeftCell="A514" activePane="bottomLeft" state="frozen"/>
      <selection pane="bottomLeft" activeCell="Z573" sqref="Z57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1" t="s">
        <v>232</v>
      </c>
      <c r="B432" s="102"/>
      <c r="C432" s="102"/>
      <c r="D432" s="102"/>
      <c r="E432" s="103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 x14ac:dyDescent="0.25">
      <c r="A433" s="98" t="s">
        <v>233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1" t="s">
        <v>232</v>
      </c>
      <c r="B513" s="102"/>
      <c r="C513" s="102"/>
      <c r="D513" s="102"/>
      <c r="E513" s="103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 x14ac:dyDescent="0.25">
      <c r="A514" s="98" t="s">
        <v>233</v>
      </c>
      <c r="B514" s="99"/>
      <c r="C514" s="99"/>
      <c r="D514" s="99"/>
      <c r="E514" s="100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3.7314699075068347E-2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3.7314699075068347E-2</v>
      </c>
      <c r="N554" s="36" t="s">
        <v>231</v>
      </c>
      <c r="O554" s="39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3.7314699075068347E-2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513" activePane="bottomLeft" state="frozen"/>
      <selection pane="bottomLeft" activeCell="F543" sqref="F543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9.9814699075068347E-2</v>
      </c>
      <c r="N377" s="46"/>
      <c r="O377" s="47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0.25745358796395723</v>
      </c>
      <c r="N378" s="36" t="s">
        <v>231</v>
      </c>
      <c r="O378" s="77">
        <v>511980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0.3671758101861794</v>
      </c>
      <c r="N379" s="40" t="s">
        <v>234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7.8286921299877577E-2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0.24912025463321094</v>
      </c>
      <c r="N432" s="36" t="s">
        <v>231</v>
      </c>
      <c r="O432" s="77">
        <v>484540</v>
      </c>
    </row>
    <row r="433" spans="1:15" ht="18" customHeight="1" x14ac:dyDescent="0.25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0.39425914352209979</v>
      </c>
      <c r="N433" s="40" t="s">
        <v>234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 x14ac:dyDescent="0.25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12</v>
      </c>
      <c r="G554" s="36">
        <f>SUM(G542:G553)</f>
        <v>50.400000000000006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12</v>
      </c>
      <c r="G568" s="40">
        <f>G554+G567</f>
        <v>50.400000000000006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98" t="s">
        <v>233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3" zoomScale="80" zoomScaleNormal="80" workbookViewId="0">
      <selection activeCell="F542" sqref="F542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1" t="s">
        <v>232</v>
      </c>
      <c r="B432" s="102"/>
      <c r="C432" s="102"/>
      <c r="D432" s="102"/>
      <c r="E432" s="103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 x14ac:dyDescent="0.25">
      <c r="A433" s="98" t="s">
        <v>233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1" t="s">
        <v>232</v>
      </c>
      <c r="B513" s="102"/>
      <c r="C513" s="102"/>
      <c r="D513" s="102"/>
      <c r="E513" s="103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 x14ac:dyDescent="0.25">
      <c r="A514" s="98" t="s">
        <v>233</v>
      </c>
      <c r="B514" s="99"/>
      <c r="C514" s="99"/>
      <c r="D514" s="99"/>
      <c r="E514" s="100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2</v>
      </c>
      <c r="G554" s="36">
        <f>SUM(G542:G553)</f>
        <v>8.4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2</v>
      </c>
      <c r="G568" s="40">
        <f>G554+G567</f>
        <v>8.4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98" t="s">
        <v>233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524" activePane="bottomLeft" state="frozen"/>
      <selection pane="bottomLeft" activeCell="F543" sqref="F543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9.0092476857535075E-2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0.2893980324130907</v>
      </c>
      <c r="N135" s="36" t="s">
        <v>231</v>
      </c>
      <c r="O135" s="39">
        <v>729290</v>
      </c>
    </row>
    <row r="136" spans="1:18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0.65675914352420173</v>
      </c>
      <c r="N136" s="40" t="s">
        <v>234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1" t="s">
        <v>232</v>
      </c>
      <c r="B432" s="102"/>
      <c r="C432" s="102"/>
      <c r="D432" s="102"/>
      <c r="E432" s="103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 x14ac:dyDescent="0.25">
      <c r="A433" s="98" t="s">
        <v>233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1" t="s">
        <v>232</v>
      </c>
      <c r="B513" s="102"/>
      <c r="C513" s="102"/>
      <c r="D513" s="102"/>
      <c r="E513" s="103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 x14ac:dyDescent="0.25">
      <c r="A514" s="98" t="s">
        <v>233</v>
      </c>
      <c r="B514" s="99"/>
      <c r="C514" s="99"/>
      <c r="D514" s="99"/>
      <c r="E514" s="100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366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367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369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370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371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372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373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374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17</v>
      </c>
      <c r="G554" s="36">
        <f>SUM(G542:G553)</f>
        <v>71.400000000000006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17</v>
      </c>
      <c r="G568" s="40">
        <f>G554+G567</f>
        <v>71.400000000000006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98" t="s">
        <v>233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2026-07-21T12:09:29Z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