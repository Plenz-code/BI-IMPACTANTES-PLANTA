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41" documentId="8_{AF585B22-221D-4780-BB9C-493D365A6A02}" xr6:coauthVersionLast="47" xr6:coauthVersionMax="47" xr10:uidLastSave="{A1448DBD-4EAC-461B-B289-51E746A8550E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<sst xmlns="http://schemas.openxmlformats.org/spreadsheetml/2006/main" count="3570" uniqueCount="261">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</sst>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F192" sqref="F1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10</v>
      </c>
      <c r="G191" s="34">
        <f t="shared" ref="G191:G202" si="42">IF(F191="","",IF(E191="PC 17",F191*4.2,IF(E191="PC 19",F191*5,"")))</f>
        <v>50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10</v>
      </c>
      <c r="G203" s="36">
        <f>SUM(G191:G202)</f>
        <v>50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10</v>
      </c>
      <c r="G217" s="40">
        <f>G203+G216</f>
        <v>50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I194" sqref="I1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/>
      <c r="G191" s="34" t="str">
        <f t="shared" ref="G191:G202" si="42">IF(F191="","",IF(E191="PC 17",F191*4.2,IF(E191="PC 19",F191*5,"")))</f>
        <v/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/>
      <c r="M191" s="35">
        <f t="shared" ref="M191:M202" ca="1" si="43">IFERROR(IF(K191="","",IF(L191="",MOD(NOW()-K191,1),IF(L191&gt;=K191,L191-K191,L191+1-K191))),"")</f>
        <v>6.9388888878165744E-3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6.9388888878165744E-3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6.9388888878165744E-3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E202" sqref="E2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8.9577777776867151E-2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0.28888333333242278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0.6562444444435338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2026-07-08T12:08:30Z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