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581" documentId="8_{AF585B22-221D-4780-BB9C-493D365A6A02}" xr6:coauthVersionLast="47" xr6:coauthVersionMax="47" xr10:uidLastSave="{3812AAD9-FE6D-42DD-A27A-F51BB71E0AC0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<sst xmlns="http://schemas.openxmlformats.org/spreadsheetml/2006/main" count="2704" uniqueCount="241">
  <si>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</si>
  <si>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</si>
  <si>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</si>
  <si>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</si>
  <si>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</si>
  <si>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</si>
  <si>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</si>
  <si>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</si>
  <si>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</si>
  <si>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</si>
  <si>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</si>
  <si>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</si>
  <si>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</si>
  <si>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</si>
  <si>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</si>
  <si>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</si>
  <si>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</si>
  <si>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</si>
  <si>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</si>
  <si>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</si>
  <si>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</si>
  <si>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</si>
  <si>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</si>
  <si>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</si>
  <si>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</si>
  <si>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</si>
  <si>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</si>
  <si>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</si>
  <si>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</si>
  <si>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</si>
  <si>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</si>
  <si>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</si>
  <si>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</si>
  <si>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</si>
  <si>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</si>
  <si>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</si>
  <si>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</si>
  <si>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</si>
  <si>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</si>
  <si>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</si>
  <si>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</si>
  <si>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</si>
  <si>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</si>
  <si>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</si>
  <si>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</si>
  <si>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</si>
  <si>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</si>
  <si>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</si>
  <si>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</si>
  <si>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</si>
  <si>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</si>
  <si>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</si>
  <si>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</si>
  <si>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</si>
  <si>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</si>
  <si>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</si>
  <si>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</si>
  <si>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</si>
  <si>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</si>
  <si>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</si>
  <si>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</si>
  <si>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</si>
  <si>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</si>
  <si>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</si>
  <si>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</si>
  <si>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</si>
  <si>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</si>
  <si>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</si>
  <si>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</si>
  <si>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</si>
  <si>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</si>
  <si>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</si>
  <si>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</si>
  <si>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</si>
  <si>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</si>
  <si>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</si>
  <si>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</si>
  <si>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</si>
  <si>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</si>
  <si>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</si>
  <si>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</si>
  <si>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</si>
  <si>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</si>
  <si>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</si>
  <si>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</si>
  <si>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</si>
  <si>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</si>
  <si>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</si>
  <si>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</si>
  <si>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</si>
  <si>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</si>
  <si>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</si>
  <si>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</si>
  <si>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</si>
  <si>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</si>
  <si>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</si>
  <si>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</si>
  <si>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</si>
  <si>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</si>
  <si>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</si>
  <si>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</si>
  <si>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</si>
  <si>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</si>
  <si>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</si>
  <si>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</si>
  <si>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</si>
  <si>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</si>
  <si>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</si>
  <si>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</si>
  <si>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</si>
  <si>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</si>
  <si>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</si>
  <si>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</si>
  <si>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</si>
  <si>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</si>
  <si>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</si>
  <si>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</si>
  <si>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</si>
  <si>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</si>
  <si>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</si>
  <si>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</si>
  <si>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</si>
  <si>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</si>
  <si>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</si>
  <si>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</si>
  <si>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</si>
  <si>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</si>
  <si>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</si>
  <si>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</si>
  <si>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</si>
  <si>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</si>
  <si>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</si>
  <si>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</si>
  <si>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</si>
  <si>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</si>
  <si>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</si>
  <si>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</si>
  <si>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</si>
  <si>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</si>
  <si>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</si>
  <si>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</si>
  <si>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</si>
  <si>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</si>
  <si>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</si>
  <si>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</si>
  <si>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</si>
  <si>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</si>
  <si>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</si>
  <si>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</si>
  <si>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</si>
  <si>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</si>
  <si>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</si>
  <si>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</si>
  <si>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</si>
  <si>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</si>
  <si>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</si>
  <si>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</si>
  <si>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</si>
  <si>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</si>
  <si>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</si>
  <si>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</si>
  <si>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</si>
  <si>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</si>
  <si>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</si>
  <si>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</si>
  <si>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</si>
  <si>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</si>
  <si>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</si>
  <si>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</si>
  <si>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</si>
  <si>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</si>
  <si>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</si>
  <si>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</si>
  <si>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</si>
  <si>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</si>
  <si>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</si>
  <si>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</si>
  <si>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</si>
  <si>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</si>
  <si>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</si>
  <si>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</si>
  <si>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</si>
  <si>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</si>
  <si>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</si>
  <si>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</si>
  <si>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</si>
  <si>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</si>
  <si>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</si>
  <si>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</si>
  <si>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</si>
  <si>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</si>
  <si>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</si>
  <si>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</si>
  <si>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</si>
  <si>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</si>
  <si>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</si>
  <si>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</si>
  <si>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</si>
  <si>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</si>
  <si>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</si>
  <si>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</si>
  <si>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</si>
  <si>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</si>
  <si>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</si>
  <si>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</si>
  <si>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</si>
  <si>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</si>
  <si>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</si>
  <si>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</si>
  <si>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</si>
  <si>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</si>
  <si>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</si>
  <si>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</si>
  <si>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</si>
  <si>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</si>
  <si>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</si>
  <si>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</si>
  <si>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</si>
  <si>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</si>
  <si>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</si>
  <si>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23:!2</t>
  </si>
  <si>
    <t>troca de balata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</si>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</sst>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/>
    </row>
    <row r="50" spans="1:13" ht="21" customHeight="1">
      <c r="A50" s="19" t="s">
        <v>180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181</v>
      </c>
      <c r="L50" s="16"/>
      <c r="M50" s="16"/>
    </row>
    <row r="51" spans="1:13" ht="24" customHeight="1">
      <c r="H51" s="96"/>
      <c r="I51" s="17"/>
      <c r="J51" s="17"/>
      <c r="K51" s="17" t="s">
        <v>182</v>
      </c>
      <c r="L51" s="17"/>
      <c r="M51" s="17"/>
    </row>
    <row r="52" spans="1:13" ht="24" customHeight="1">
      <c r="H52" s="96"/>
      <c r="I52" s="16"/>
      <c r="J52" s="16"/>
      <c r="K52" s="16" t="s">
        <v>183</v>
      </c>
      <c r="L52" s="16"/>
      <c r="M52" s="16"/>
    </row>
    <row r="53" spans="1:13" ht="36" customHeight="1">
      <c r="H53" s="96"/>
      <c r="I53" s="17"/>
      <c r="J53" s="17"/>
      <c r="K53" s="17" t="s">
        <v>184</v>
      </c>
      <c r="L53" s="17"/>
      <c r="M53" s="17"/>
    </row>
    <row r="54" spans="1:13" ht="15" customHeight="1">
      <c r="H54" s="96"/>
      <c r="I54" s="16"/>
      <c r="J54" s="16"/>
      <c r="K54" s="16" t="s">
        <v>185</v>
      </c>
      <c r="L54" s="16"/>
      <c r="M54" s="16"/>
    </row>
    <row r="55" spans="1:13" ht="15" customHeight="1">
      <c r="H55" s="96"/>
      <c r="I55" s="17"/>
      <c r="J55" s="17"/>
      <c r="K55" s="17" t="s">
        <v>186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L124" sqref="L12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187</v>
      </c>
      <c r="C1" s="23" t="s">
        <v>12</v>
      </c>
      <c r="D1" s="22" t="s">
        <v>13</v>
      </c>
      <c r="E1" s="22" t="s">
        <v>188</v>
      </c>
      <c r="F1" s="23" t="s">
        <v>189</v>
      </c>
      <c r="G1" s="23" t="s">
        <v>190</v>
      </c>
      <c r="H1" s="23" t="s">
        <v>14</v>
      </c>
      <c r="I1" s="23" t="s">
        <v>15</v>
      </c>
      <c r="J1" s="23" t="s">
        <v>191</v>
      </c>
      <c r="K1" s="23" t="s">
        <v>192</v>
      </c>
      <c r="L1" s="23" t="s">
        <v>193</v>
      </c>
      <c r="M1" s="24" t="s">
        <v>194</v>
      </c>
      <c r="N1" s="23" t="s">
        <v>195</v>
      </c>
      <c r="O1" s="23" t="s">
        <v>196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197</v>
      </c>
      <c r="E2" s="59" t="s">
        <v>198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200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202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201</v>
      </c>
      <c r="O27" s="39">
        <v>1183060</v>
      </c>
    </row>
    <row r="28" spans="1:15" ht="18" customHeight="1">
      <c r="A28" s="89" t="s">
        <v>203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200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202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201</v>
      </c>
      <c r="O54" s="39">
        <v>959290</v>
      </c>
    </row>
    <row r="55" spans="1:15" ht="18" customHeight="1">
      <c r="A55" s="89" t="s">
        <v>203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200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202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201</v>
      </c>
      <c r="O81" s="39">
        <v>878050</v>
      </c>
    </row>
    <row r="82" spans="1:15" ht="18" customHeight="1">
      <c r="A82" s="89" t="s">
        <v>203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198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200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202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201</v>
      </c>
      <c r="O108" s="39">
        <v>1700000</v>
      </c>
    </row>
    <row r="109" spans="1:15" ht="18" customHeight="1">
      <c r="A109" s="89" t="s">
        <v>203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200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198</v>
      </c>
      <c r="F124" s="27">
        <v>4</v>
      </c>
      <c r="G124" s="28">
        <f t="shared" si="27"/>
        <v>20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202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2.777777777777779E-2</v>
      </c>
      <c r="N135" s="36" t="s">
        <v>201</v>
      </c>
      <c r="O135" s="39"/>
    </row>
    <row r="136" spans="1:15" ht="18" customHeight="1">
      <c r="A136" s="89" t="s">
        <v>203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4.1666666666666685E-2</v>
      </c>
      <c r="N136" s="40" t="s">
        <v>204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200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202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201</v>
      </c>
      <c r="O162" s="44"/>
    </row>
    <row r="163" spans="1:15" ht="18" customHeight="1">
      <c r="A163" s="89" t="s">
        <v>203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200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202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201</v>
      </c>
      <c r="O189" s="39"/>
    </row>
    <row r="190" spans="1:15" ht="18" customHeight="1">
      <c r="A190" s="89" t="s">
        <v>203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200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202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201</v>
      </c>
      <c r="O216" s="45"/>
    </row>
    <row r="217" spans="1:15" ht="18" customHeight="1">
      <c r="A217" s="89" t="s">
        <v>203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200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202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201</v>
      </c>
      <c r="O243" s="39"/>
    </row>
    <row r="244" spans="1:15" ht="18" customHeight="1">
      <c r="A244" s="89" t="s">
        <v>203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200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202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201</v>
      </c>
      <c r="O270" s="39"/>
    </row>
    <row r="271" spans="1:15" ht="18" customHeight="1">
      <c r="A271" s="89" t="s">
        <v>203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200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202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201</v>
      </c>
      <c r="O297" s="39"/>
    </row>
    <row r="298" spans="1:15" ht="18" customHeight="1">
      <c r="A298" s="89" t="s">
        <v>203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200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202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201</v>
      </c>
      <c r="O324" s="39"/>
    </row>
    <row r="325" spans="1:15" ht="18" customHeight="1">
      <c r="A325" s="89" t="s">
        <v>203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200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202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201</v>
      </c>
      <c r="O351" s="39"/>
    </row>
    <row r="352" spans="1:15" ht="18" customHeight="1">
      <c r="A352" s="89" t="s">
        <v>203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200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202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201</v>
      </c>
      <c r="O378" s="39"/>
    </row>
    <row r="379" spans="1:15" ht="18" customHeight="1">
      <c r="A379" s="89" t="s">
        <v>203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200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202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201</v>
      </c>
      <c r="O405" s="39"/>
    </row>
    <row r="406" spans="1:15" ht="18" customHeight="1">
      <c r="A406" s="89" t="s">
        <v>203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200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202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201</v>
      </c>
      <c r="O432" s="39"/>
    </row>
    <row r="433" spans="1:15" ht="18" customHeight="1">
      <c r="A433" s="89" t="s">
        <v>203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200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202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201</v>
      </c>
      <c r="O459" s="39"/>
    </row>
    <row r="460" spans="1:15" ht="18" customHeight="1">
      <c r="A460" s="89" t="s">
        <v>203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200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202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201</v>
      </c>
      <c r="O486" s="39"/>
    </row>
    <row r="487" spans="1:15" ht="18" customHeight="1">
      <c r="A487" s="89" t="s">
        <v>203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200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202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201</v>
      </c>
      <c r="O513" s="39"/>
    </row>
    <row r="514" spans="1:15" ht="18" customHeight="1">
      <c r="A514" s="89" t="s">
        <v>203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200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202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201</v>
      </c>
      <c r="O540" s="39"/>
    </row>
    <row r="541" spans="1:15" ht="18" customHeight="1">
      <c r="A541" s="89" t="s">
        <v>203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200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202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201</v>
      </c>
      <c r="O567" s="39"/>
    </row>
    <row r="568" spans="1:15" ht="18" customHeight="1">
      <c r="A568" s="89" t="s">
        <v>203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200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202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201</v>
      </c>
      <c r="O594" s="39"/>
    </row>
    <row r="595" spans="1:15" ht="18" customHeight="1">
      <c r="A595" s="89" t="s">
        <v>203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200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202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201</v>
      </c>
      <c r="O621" s="39"/>
    </row>
    <row r="622" spans="1:15" ht="18" customHeight="1">
      <c r="A622" s="89" t="s">
        <v>203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200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202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201</v>
      </c>
      <c r="O648" s="39"/>
    </row>
    <row r="649" spans="1:15" ht="18" customHeight="1">
      <c r="A649" s="89" t="s">
        <v>203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200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202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201</v>
      </c>
      <c r="O675" s="39"/>
    </row>
    <row r="676" spans="1:15" ht="18" customHeight="1">
      <c r="A676" s="89" t="s">
        <v>203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200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202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201</v>
      </c>
      <c r="O702" s="39"/>
    </row>
    <row r="703" spans="1:15" ht="18" customHeight="1">
      <c r="A703" s="89" t="s">
        <v>203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200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202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201</v>
      </c>
      <c r="O729" s="39"/>
    </row>
    <row r="730" spans="1:15" ht="18" customHeight="1">
      <c r="A730" s="89" t="s">
        <v>203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200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202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201</v>
      </c>
      <c r="O756" s="39"/>
    </row>
    <row r="757" spans="1:15" ht="18" customHeight="1">
      <c r="A757" s="89" t="s">
        <v>203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200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202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201</v>
      </c>
      <c r="O783" s="39"/>
    </row>
    <row r="784" spans="1:15" ht="18" customHeight="1">
      <c r="A784" s="89" t="s">
        <v>203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200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202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201</v>
      </c>
      <c r="O810" s="39"/>
    </row>
    <row r="811" spans="1:15" ht="18" customHeight="1">
      <c r="A811" s="89" t="s">
        <v>203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01" activePane="bottomLeft" state="frozen"/>
      <selection pane="bottomLeft" activeCell="N126" sqref="N12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187</v>
      </c>
      <c r="C1" s="23" t="s">
        <v>12</v>
      </c>
      <c r="D1" s="22" t="s">
        <v>13</v>
      </c>
      <c r="E1" s="22" t="s">
        <v>188</v>
      </c>
      <c r="F1" s="23" t="s">
        <v>189</v>
      </c>
      <c r="G1" s="23" t="s">
        <v>190</v>
      </c>
      <c r="H1" s="23" t="s">
        <v>14</v>
      </c>
      <c r="I1" s="23" t="s">
        <v>15</v>
      </c>
      <c r="J1" s="23" t="s">
        <v>191</v>
      </c>
      <c r="K1" s="23" t="s">
        <v>192</v>
      </c>
      <c r="L1" s="23" t="s">
        <v>193</v>
      </c>
      <c r="M1" s="24" t="s">
        <v>194</v>
      </c>
      <c r="N1" s="23" t="s">
        <v>195</v>
      </c>
      <c r="O1" s="23" t="s">
        <v>196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200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202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201</v>
      </c>
      <c r="O27" s="78">
        <v>393200</v>
      </c>
    </row>
    <row r="28" spans="1:15" ht="18" customHeight="1">
      <c r="A28" s="89" t="s">
        <v>203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200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202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201</v>
      </c>
      <c r="O54" s="85">
        <v>276360</v>
      </c>
    </row>
    <row r="55" spans="1:15" ht="18" customHeight="1">
      <c r="A55" s="89" t="s">
        <v>203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200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202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201</v>
      </c>
      <c r="O81" s="54">
        <v>787860</v>
      </c>
    </row>
    <row r="82" spans="1:15" ht="18" customHeight="1">
      <c r="A82" s="89" t="s">
        <v>203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200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216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217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202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201</v>
      </c>
      <c r="O108" s="54">
        <v>1087080</v>
      </c>
    </row>
    <row r="109" spans="1:15" ht="18" customHeight="1">
      <c r="A109" s="89" t="s">
        <v>203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218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200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219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198</v>
      </c>
      <c r="F125" s="27">
        <v>20</v>
      </c>
      <c r="G125" s="34">
        <f t="shared" si="27"/>
        <v>100</v>
      </c>
      <c r="H125" s="33" t="s">
        <v>18</v>
      </c>
      <c r="I125" s="33" t="s">
        <v>149</v>
      </c>
      <c r="J125" s="33" t="s">
        <v>146</v>
      </c>
      <c r="K125" s="29" t="s">
        <v>220</v>
      </c>
      <c r="L125" s="29"/>
      <c r="M125" s="30" t="str">
        <f t="shared" ca="1" si="28"/>
        <v/>
      </c>
      <c r="N125" s="46" t="s">
        <v>221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198</v>
      </c>
      <c r="F126" s="27">
        <v>17</v>
      </c>
      <c r="G126" s="28">
        <f t="shared" si="27"/>
        <v>85</v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202</v>
      </c>
      <c r="B135" s="87"/>
      <c r="C135" s="87"/>
      <c r="D135" s="87"/>
      <c r="E135" s="88">
        <f>SUM(E123:E134)</f>
        <v>0</v>
      </c>
      <c r="F135" s="36">
        <f>SUM(F123:F134)</f>
        <v>79</v>
      </c>
      <c r="G135" s="36">
        <f>SUM(G123:G134)</f>
        <v>395</v>
      </c>
      <c r="H135" s="37"/>
      <c r="I135" s="37"/>
      <c r="J135" s="37"/>
      <c r="K135" s="37"/>
      <c r="L135" s="37"/>
      <c r="M135" s="38">
        <f ca="1">IFERROR(SUM(M123:M134),"")</f>
        <v>2.6388888888889017E-2</v>
      </c>
      <c r="N135" s="36" t="s">
        <v>201</v>
      </c>
      <c r="O135" s="54"/>
    </row>
    <row r="136" spans="1:15" ht="18" customHeight="1">
      <c r="A136" s="89" t="s">
        <v>203</v>
      </c>
      <c r="B136" s="90"/>
      <c r="C136" s="90"/>
      <c r="D136" s="90"/>
      <c r="E136" s="91">
        <f>E122+E135</f>
        <v>0</v>
      </c>
      <c r="F136" s="40">
        <f>F122+F135</f>
        <v>214</v>
      </c>
      <c r="G136" s="40">
        <f>G122+G135</f>
        <v>962</v>
      </c>
      <c r="H136" s="41"/>
      <c r="I136" s="41"/>
      <c r="J136" s="41"/>
      <c r="K136" s="41"/>
      <c r="L136" s="41"/>
      <c r="M136" s="42">
        <f ca="1">IFERROR(M122+M135,"")</f>
        <v>0.16805555555555568</v>
      </c>
      <c r="N136" s="40" t="s">
        <v>204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200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202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201</v>
      </c>
      <c r="O162" s="54"/>
    </row>
    <row r="163" spans="1:15" ht="18" customHeight="1">
      <c r="A163" s="89" t="s">
        <v>203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204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200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201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202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201</v>
      </c>
      <c r="O189" s="78"/>
    </row>
    <row r="190" spans="1:15" ht="18" customHeight="1">
      <c r="A190" s="89" t="s">
        <v>203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200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201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202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201</v>
      </c>
      <c r="O216" s="78"/>
    </row>
    <row r="217" spans="1:15" ht="18" customHeight="1">
      <c r="A217" s="89" t="s">
        <v>203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204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200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201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202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201</v>
      </c>
      <c r="O243" s="78"/>
    </row>
    <row r="244" spans="1:15" ht="18" customHeight="1">
      <c r="A244" s="89" t="s">
        <v>203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204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200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201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202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201</v>
      </c>
      <c r="O270" s="78"/>
    </row>
    <row r="271" spans="1:15" ht="18" customHeight="1">
      <c r="A271" s="89" t="s">
        <v>203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204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200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201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202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201</v>
      </c>
      <c r="O297" s="78"/>
    </row>
    <row r="298" spans="1:15" ht="18" customHeight="1">
      <c r="A298" s="89" t="s">
        <v>203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204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200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201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202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201</v>
      </c>
      <c r="O324" s="78"/>
    </row>
    <row r="325" spans="1:15" ht="18" customHeight="1">
      <c r="A325" s="89" t="s">
        <v>203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204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200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201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202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201</v>
      </c>
      <c r="O351" s="78"/>
    </row>
    <row r="352" spans="1:15" ht="18" customHeight="1">
      <c r="A352" s="89" t="s">
        <v>203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204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200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201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202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201</v>
      </c>
      <c r="O378" s="78"/>
    </row>
    <row r="379" spans="1:15" ht="18" customHeight="1">
      <c r="A379" s="89" t="s">
        <v>203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204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200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202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201</v>
      </c>
      <c r="O405" s="78"/>
    </row>
    <row r="406" spans="1:15" ht="18" customHeight="1">
      <c r="A406" s="89" t="s">
        <v>203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200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202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201</v>
      </c>
      <c r="O432" s="78"/>
    </row>
    <row r="433" spans="1:15" ht="18" customHeight="1">
      <c r="A433" s="89" t="s">
        <v>203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200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202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201</v>
      </c>
      <c r="O459" s="78"/>
    </row>
    <row r="460" spans="1:15" ht="18" customHeight="1">
      <c r="A460" s="89" t="s">
        <v>203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200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202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201</v>
      </c>
      <c r="O486" s="78"/>
    </row>
    <row r="487" spans="1:15" ht="18" customHeight="1">
      <c r="A487" s="89" t="s">
        <v>203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200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202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201</v>
      </c>
      <c r="O513" s="78"/>
    </row>
    <row r="514" spans="1:15" ht="18" customHeight="1">
      <c r="A514" s="89" t="s">
        <v>203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200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202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201</v>
      </c>
      <c r="O540" s="78"/>
    </row>
    <row r="541" spans="1:15" ht="18" customHeight="1">
      <c r="A541" s="89" t="s">
        <v>203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200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202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201</v>
      </c>
      <c r="O567" s="78"/>
    </row>
    <row r="568" spans="1:15" ht="18" customHeight="1">
      <c r="A568" s="89" t="s">
        <v>203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200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202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201</v>
      </c>
      <c r="O594" s="78"/>
    </row>
    <row r="595" spans="1:15" ht="18" customHeight="1">
      <c r="A595" s="89" t="s">
        <v>203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200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202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201</v>
      </c>
      <c r="O621" s="78"/>
    </row>
    <row r="622" spans="1:15" ht="18" customHeight="1">
      <c r="A622" s="89" t="s">
        <v>203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200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202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201</v>
      </c>
      <c r="O648" s="78"/>
    </row>
    <row r="649" spans="1:15" ht="18" customHeight="1">
      <c r="A649" s="89" t="s">
        <v>203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200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202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201</v>
      </c>
      <c r="O675" s="78"/>
    </row>
    <row r="676" spans="1:15" ht="18" customHeight="1">
      <c r="A676" s="89" t="s">
        <v>203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200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202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201</v>
      </c>
      <c r="O702" s="78"/>
    </row>
    <row r="703" spans="1:15" ht="18" customHeight="1">
      <c r="A703" s="89" t="s">
        <v>203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200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202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201</v>
      </c>
      <c r="O729" s="78"/>
    </row>
    <row r="730" spans="1:15" ht="18" customHeight="1">
      <c r="A730" s="89" t="s">
        <v>203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200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202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201</v>
      </c>
      <c r="O756" s="39"/>
    </row>
    <row r="757" spans="1:15" ht="18" customHeight="1">
      <c r="A757" s="89" t="s">
        <v>203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200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202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201</v>
      </c>
      <c r="O783" s="39"/>
    </row>
    <row r="784" spans="1:15" ht="18" customHeight="1">
      <c r="A784" s="89" t="s">
        <v>203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200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202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201</v>
      </c>
      <c r="O810" s="39"/>
    </row>
    <row r="811" spans="1:15" ht="18" customHeight="1">
      <c r="A811" s="89" t="s">
        <v>203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204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0" activePane="bottomLeft" state="frozen"/>
      <selection pane="bottomLeft" activeCell="F127" sqref="F12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187</v>
      </c>
      <c r="C1" s="23" t="s">
        <v>12</v>
      </c>
      <c r="D1" s="22" t="s">
        <v>13</v>
      </c>
      <c r="E1" s="22" t="s">
        <v>188</v>
      </c>
      <c r="F1" s="23" t="s">
        <v>189</v>
      </c>
      <c r="G1" s="23" t="s">
        <v>190</v>
      </c>
      <c r="H1" s="23" t="s">
        <v>14</v>
      </c>
      <c r="I1" s="23" t="s">
        <v>15</v>
      </c>
      <c r="J1" s="23" t="s">
        <v>191</v>
      </c>
      <c r="K1" s="23" t="s">
        <v>192</v>
      </c>
      <c r="L1" s="23" t="s">
        <v>193</v>
      </c>
      <c r="M1" s="24" t="s">
        <v>194</v>
      </c>
      <c r="N1" s="23" t="s">
        <v>195</v>
      </c>
      <c r="O1" s="23" t="s">
        <v>196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200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202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201</v>
      </c>
      <c r="O27" s="39">
        <v>308500</v>
      </c>
    </row>
    <row r="28" spans="1:15" ht="18" customHeight="1">
      <c r="A28" s="89" t="s">
        <v>203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200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202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201</v>
      </c>
      <c r="O54" s="39">
        <v>124290</v>
      </c>
    </row>
    <row r="55" spans="1:15" ht="18" customHeight="1">
      <c r="A55" s="89" t="s">
        <v>203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200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202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201</v>
      </c>
      <c r="O81" s="39">
        <v>396340</v>
      </c>
    </row>
    <row r="82" spans="1:15" ht="18" customHeight="1">
      <c r="A82" s="89" t="s">
        <v>203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200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202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201</v>
      </c>
      <c r="O108" s="39">
        <v>41230</v>
      </c>
    </row>
    <row r="109" spans="1:15" ht="18" customHeight="1">
      <c r="A109" s="89" t="s">
        <v>203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200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198</v>
      </c>
      <c r="F123" s="27">
        <v>12</v>
      </c>
      <c r="G123" s="34">
        <f t="shared" ref="G123:G134" si="27">IF(F123="","",IF(E123="PC 17",F123*4.2,IF(E123="PC 19",F123*5,"")))</f>
        <v>60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198</v>
      </c>
      <c r="F124" s="27">
        <v>8</v>
      </c>
      <c r="G124" s="28">
        <f t="shared" si="27"/>
        <v>40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202</v>
      </c>
      <c r="B135" s="87"/>
      <c r="C135" s="87"/>
      <c r="D135" s="87"/>
      <c r="E135" s="88">
        <f>SUM(E123:E134)</f>
        <v>0</v>
      </c>
      <c r="F135" s="36">
        <f>SUM(F123:F134)</f>
        <v>36</v>
      </c>
      <c r="G135" s="36">
        <f>SUM(G123:G134)</f>
        <v>180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201</v>
      </c>
      <c r="O135" s="39"/>
    </row>
    <row r="136" spans="1:15" ht="18" customHeight="1">
      <c r="A136" s="89" t="s">
        <v>203</v>
      </c>
      <c r="B136" s="90"/>
      <c r="C136" s="90"/>
      <c r="D136" s="90"/>
      <c r="E136" s="91">
        <f>E122+E135</f>
        <v>0</v>
      </c>
      <c r="F136" s="40">
        <f>F122+F135</f>
        <v>43</v>
      </c>
      <c r="G136" s="40">
        <f>G122+G135</f>
        <v>209.4</v>
      </c>
      <c r="H136" s="41"/>
      <c r="I136" s="41"/>
      <c r="J136" s="41"/>
      <c r="K136" s="41"/>
      <c r="L136" s="41"/>
      <c r="M136" s="42">
        <f ca="1">IFERROR(M122+M135,"")</f>
        <v>0.4513888888888889</v>
      </c>
      <c r="N136" s="40" t="s">
        <v>204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200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202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201</v>
      </c>
      <c r="O162" s="39"/>
    </row>
    <row r="163" spans="1:15" ht="18" customHeight="1">
      <c r="A163" s="89" t="s">
        <v>203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200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202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201</v>
      </c>
      <c r="O189" s="39"/>
    </row>
    <row r="190" spans="1:15" ht="18" customHeight="1">
      <c r="A190" s="89" t="s">
        <v>203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200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202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201</v>
      </c>
      <c r="O216" s="39"/>
    </row>
    <row r="217" spans="1:15" ht="18" customHeight="1">
      <c r="A217" s="89" t="s">
        <v>203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200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202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201</v>
      </c>
      <c r="O243" s="39"/>
    </row>
    <row r="244" spans="1:15" ht="18" customHeight="1">
      <c r="A244" s="89" t="s">
        <v>203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200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202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201</v>
      </c>
      <c r="O270" s="39"/>
    </row>
    <row r="271" spans="1:15" ht="18" customHeight="1">
      <c r="A271" s="89" t="s">
        <v>203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200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202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201</v>
      </c>
      <c r="O297" s="39"/>
    </row>
    <row r="298" spans="1:15" ht="18" customHeight="1">
      <c r="A298" s="89" t="s">
        <v>203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200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202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201</v>
      </c>
      <c r="O324" s="39"/>
    </row>
    <row r="325" spans="1:15" ht="18" customHeight="1">
      <c r="A325" s="89" t="s">
        <v>203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200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202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201</v>
      </c>
      <c r="O351" s="39"/>
    </row>
    <row r="352" spans="1:15" ht="18" customHeight="1">
      <c r="A352" s="89" t="s">
        <v>203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200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202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201</v>
      </c>
      <c r="O378" s="39"/>
    </row>
    <row r="379" spans="1:15" ht="18" customHeight="1">
      <c r="A379" s="89" t="s">
        <v>203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200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202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201</v>
      </c>
      <c r="O405" s="39"/>
    </row>
    <row r="406" spans="1:15" ht="18" customHeight="1">
      <c r="A406" s="89" t="s">
        <v>203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200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202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201</v>
      </c>
      <c r="O432" s="39"/>
    </row>
    <row r="433" spans="1:15" ht="18" customHeight="1">
      <c r="A433" s="89" t="s">
        <v>203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200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202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201</v>
      </c>
      <c r="O459" s="39"/>
    </row>
    <row r="460" spans="1:15" ht="18" customHeight="1">
      <c r="A460" s="89" t="s">
        <v>203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200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202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201</v>
      </c>
      <c r="O486" s="39"/>
    </row>
    <row r="487" spans="1:15" ht="18" customHeight="1">
      <c r="A487" s="89" t="s">
        <v>203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200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202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201</v>
      </c>
      <c r="O513" s="39"/>
    </row>
    <row r="514" spans="1:15" ht="18" customHeight="1">
      <c r="A514" s="89" t="s">
        <v>203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200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202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201</v>
      </c>
      <c r="O540" s="39"/>
    </row>
    <row r="541" spans="1:15" ht="18" customHeight="1">
      <c r="A541" s="89" t="s">
        <v>203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200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202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201</v>
      </c>
      <c r="O567" s="39"/>
    </row>
    <row r="568" spans="1:15" ht="18" customHeight="1">
      <c r="A568" s="89" t="s">
        <v>203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200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202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201</v>
      </c>
      <c r="O594" s="39"/>
    </row>
    <row r="595" spans="1:15" ht="18" customHeight="1">
      <c r="A595" s="89" t="s">
        <v>203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200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202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201</v>
      </c>
      <c r="O621" s="39"/>
    </row>
    <row r="622" spans="1:15" ht="18" customHeight="1">
      <c r="A622" s="89" t="s">
        <v>203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200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202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201</v>
      </c>
      <c r="O648" s="39"/>
    </row>
    <row r="649" spans="1:15" ht="18" customHeight="1">
      <c r="A649" s="89" t="s">
        <v>203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200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202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201</v>
      </c>
      <c r="O675" s="39"/>
    </row>
    <row r="676" spans="1:15" ht="18" customHeight="1">
      <c r="A676" s="89" t="s">
        <v>203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200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202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201</v>
      </c>
      <c r="O702" s="39"/>
    </row>
    <row r="703" spans="1:15" ht="18" customHeight="1">
      <c r="A703" s="89" t="s">
        <v>203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200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202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201</v>
      </c>
      <c r="O729" s="39"/>
    </row>
    <row r="730" spans="1:15" ht="18" customHeight="1">
      <c r="A730" s="89" t="s">
        <v>203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200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202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201</v>
      </c>
      <c r="O756" s="39"/>
    </row>
    <row r="757" spans="1:15" ht="18" customHeight="1">
      <c r="A757" s="89" t="s">
        <v>203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200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202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201</v>
      </c>
      <c r="O783" s="39"/>
    </row>
    <row r="784" spans="1:15" ht="18" customHeight="1">
      <c r="A784" s="89" t="s">
        <v>203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200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202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201</v>
      </c>
      <c r="O810" s="39"/>
    </row>
    <row r="811" spans="1:15" ht="18" customHeight="1">
      <c r="A811" s="89" t="s">
        <v>203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21" activePane="bottomLeft" state="frozen"/>
      <selection pane="bottomLeft" activeCell="L125" sqref="L12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187</v>
      </c>
      <c r="C1" s="23" t="s">
        <v>12</v>
      </c>
      <c r="D1" s="22" t="s">
        <v>13</v>
      </c>
      <c r="E1" s="22" t="s">
        <v>188</v>
      </c>
      <c r="F1" s="23" t="s">
        <v>189</v>
      </c>
      <c r="G1" s="23" t="s">
        <v>190</v>
      </c>
      <c r="H1" s="23" t="s">
        <v>14</v>
      </c>
      <c r="I1" s="23" t="s">
        <v>15</v>
      </c>
      <c r="J1" s="23" t="s">
        <v>191</v>
      </c>
      <c r="K1" s="23" t="s">
        <v>192</v>
      </c>
      <c r="L1" s="23" t="s">
        <v>193</v>
      </c>
      <c r="M1" s="24" t="s">
        <v>194</v>
      </c>
      <c r="N1" s="23" t="s">
        <v>195</v>
      </c>
      <c r="O1" s="23" t="s">
        <v>196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200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202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201</v>
      </c>
      <c r="O27" s="39">
        <v>202230</v>
      </c>
    </row>
    <row r="28" spans="1:15" ht="18" customHeight="1">
      <c r="A28" s="89" t="s">
        <v>203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200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202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201</v>
      </c>
      <c r="O54" s="39">
        <v>473910</v>
      </c>
    </row>
    <row r="55" spans="1:15" ht="18" customHeight="1">
      <c r="A55" s="89" t="s">
        <v>203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232</v>
      </c>
      <c r="L58" s="29">
        <v>0.54097222222222219</v>
      </c>
      <c r="M58" s="30" t="str">
        <f t="shared" ca="1" si="13"/>
        <v/>
      </c>
      <c r="N58" s="27" t="s">
        <v>233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200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202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201</v>
      </c>
      <c r="O81" s="39">
        <v>565120</v>
      </c>
    </row>
    <row r="82" spans="1:15" ht="18" customHeight="1">
      <c r="A82" s="89" t="s">
        <v>203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200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202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201</v>
      </c>
      <c r="O108" s="39">
        <v>558590</v>
      </c>
    </row>
    <row r="109" spans="1:15" ht="18" customHeight="1">
      <c r="A109" s="89" t="s">
        <v>203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239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200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198</v>
      </c>
      <c r="F125" s="27">
        <v>20</v>
      </c>
      <c r="G125" s="34">
        <f t="shared" si="27"/>
        <v>100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198</v>
      </c>
      <c r="F126" s="27">
        <v>23</v>
      </c>
      <c r="G126" s="28">
        <f t="shared" si="27"/>
        <v>115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202</v>
      </c>
      <c r="B135" s="87"/>
      <c r="C135" s="87"/>
      <c r="D135" s="87"/>
      <c r="E135" s="88">
        <f>SUM(E123:E134)</f>
        <v>0</v>
      </c>
      <c r="F135" s="36">
        <f>SUM(F123:F134)</f>
        <v>62</v>
      </c>
      <c r="G135" s="36">
        <f>SUM(G123:G134)</f>
        <v>310</v>
      </c>
      <c r="H135" s="37"/>
      <c r="I135" s="37"/>
      <c r="J135" s="37"/>
      <c r="K135" s="61"/>
      <c r="L135" s="61"/>
      <c r="M135" s="38">
        <f ca="1">IFERROR(SUM(M123:M134),"")</f>
        <v>8.333333333333337E-2</v>
      </c>
      <c r="N135" s="36" t="s">
        <v>201</v>
      </c>
      <c r="O135" s="39"/>
    </row>
    <row r="136" spans="1:15" ht="18" customHeight="1">
      <c r="A136" s="89" t="s">
        <v>203</v>
      </c>
      <c r="B136" s="90"/>
      <c r="C136" s="90"/>
      <c r="D136" s="90"/>
      <c r="E136" s="91">
        <f>E122+E135</f>
        <v>0</v>
      </c>
      <c r="F136" s="40">
        <f>F122+F135</f>
        <v>116</v>
      </c>
      <c r="G136" s="40">
        <f>G122+G135</f>
        <v>536.79999999999995</v>
      </c>
      <c r="H136" s="41"/>
      <c r="I136" s="41"/>
      <c r="J136" s="41"/>
      <c r="K136" s="63"/>
      <c r="L136" s="63"/>
      <c r="M136" s="42">
        <f ca="1">IFERROR(M122+M135,"")</f>
        <v>0.45069444444444445</v>
      </c>
      <c r="N136" s="40" t="s">
        <v>204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200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202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201</v>
      </c>
      <c r="O162" s="39"/>
    </row>
    <row r="163" spans="1:15" ht="18" customHeight="1">
      <c r="A163" s="89" t="s">
        <v>203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200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202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201</v>
      </c>
      <c r="O189" s="39"/>
    </row>
    <row r="190" spans="1:15" ht="18" customHeight="1">
      <c r="A190" s="89" t="s">
        <v>203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200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202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201</v>
      </c>
      <c r="O216" s="45"/>
    </row>
    <row r="217" spans="1:15" ht="18" customHeight="1">
      <c r="A217" s="89" t="s">
        <v>203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200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202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201</v>
      </c>
      <c r="O243" s="39"/>
    </row>
    <row r="244" spans="1:15" ht="18" customHeight="1">
      <c r="A244" s="89" t="s">
        <v>203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200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202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201</v>
      </c>
      <c r="O270" s="39"/>
    </row>
    <row r="271" spans="1:15" ht="18" customHeight="1">
      <c r="A271" s="89" t="s">
        <v>203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200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202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201</v>
      </c>
      <c r="O297" s="39"/>
    </row>
    <row r="298" spans="1:15" ht="18" customHeight="1">
      <c r="A298" s="89" t="s">
        <v>203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200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202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201</v>
      </c>
      <c r="O324" s="39"/>
    </row>
    <row r="325" spans="1:15" ht="18" customHeight="1">
      <c r="A325" s="89" t="s">
        <v>203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200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202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201</v>
      </c>
      <c r="O351" s="39"/>
    </row>
    <row r="352" spans="1:15" ht="18" customHeight="1">
      <c r="A352" s="89" t="s">
        <v>203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200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202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201</v>
      </c>
      <c r="O378" s="39"/>
    </row>
    <row r="379" spans="1:15" ht="18" customHeight="1">
      <c r="A379" s="89" t="s">
        <v>203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200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202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201</v>
      </c>
      <c r="O405" s="39"/>
    </row>
    <row r="406" spans="1:15" ht="18" customHeight="1">
      <c r="A406" s="89" t="s">
        <v>203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200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202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201</v>
      </c>
      <c r="O432" s="39"/>
    </row>
    <row r="433" spans="1:17" ht="18" customHeight="1">
      <c r="A433" s="89" t="s">
        <v>203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200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202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201</v>
      </c>
      <c r="O459" s="39"/>
    </row>
    <row r="460" spans="1:15" ht="18" customHeight="1">
      <c r="A460" s="89" t="s">
        <v>203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200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202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201</v>
      </c>
      <c r="O486" s="39"/>
    </row>
    <row r="487" spans="1:15" ht="18" customHeight="1">
      <c r="A487" s="89" t="s">
        <v>203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200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202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201</v>
      </c>
      <c r="O513" s="39"/>
    </row>
    <row r="514" spans="1:15" ht="18" customHeight="1">
      <c r="A514" s="89" t="s">
        <v>203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200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202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201</v>
      </c>
      <c r="O540" s="39"/>
    </row>
    <row r="541" spans="1:15" ht="18" customHeight="1">
      <c r="A541" s="89" t="s">
        <v>203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200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202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201</v>
      </c>
      <c r="O567" s="39"/>
    </row>
    <row r="568" spans="1:15" ht="18" customHeight="1">
      <c r="A568" s="89" t="s">
        <v>203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200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202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201</v>
      </c>
      <c r="O594" s="39"/>
    </row>
    <row r="595" spans="1:15" ht="18" customHeight="1">
      <c r="A595" s="89" t="s">
        <v>203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200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202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201</v>
      </c>
      <c r="O621" s="39"/>
    </row>
    <row r="622" spans="1:15" ht="18" customHeight="1">
      <c r="A622" s="89" t="s">
        <v>203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200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202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201</v>
      </c>
      <c r="O648" s="39"/>
    </row>
    <row r="649" spans="1:15" ht="18" customHeight="1">
      <c r="A649" s="89" t="s">
        <v>203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200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202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201</v>
      </c>
      <c r="O675" s="39"/>
    </row>
    <row r="676" spans="1:15" ht="18" customHeight="1">
      <c r="A676" s="89" t="s">
        <v>203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200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202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201</v>
      </c>
      <c r="O702" s="39"/>
    </row>
    <row r="703" spans="1:15" ht="18" customHeight="1">
      <c r="A703" s="89" t="s">
        <v>203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200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202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201</v>
      </c>
      <c r="O729" s="39"/>
    </row>
    <row r="730" spans="1:15" ht="18" customHeight="1">
      <c r="A730" s="89" t="s">
        <v>203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200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202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201</v>
      </c>
      <c r="O756" s="39"/>
    </row>
    <row r="757" spans="1:15" ht="18" customHeight="1">
      <c r="A757" s="89" t="s">
        <v>203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200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202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201</v>
      </c>
      <c r="O783" s="39"/>
    </row>
    <row r="784" spans="1:15" ht="18" customHeight="1">
      <c r="A784" s="89" t="s">
        <v>203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200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202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201</v>
      </c>
      <c r="O810" s="39"/>
    </row>
    <row r="811" spans="1:15" ht="18" customHeight="1">
      <c r="A811" s="89" t="s">
        <v>203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204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2026-07-06T03:53:49Z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