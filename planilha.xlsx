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24" documentId="8_{AF585B22-221D-4780-BB9C-493D365A6A02}" xr6:coauthVersionLast="47" xr6:coauthVersionMax="47" xr10:uidLastSave="{A9B31C25-74DB-4D82-9A92-6A2F6BD1947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<sst xmlns="http://schemas.openxmlformats.org/spreadsheetml/2006/main" count="1862" uniqueCount="215">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</sst>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5" activePane="bottomLeft" state="frozen"/>
      <selection pane="bottomLeft" activeCell="F70" sqref="F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30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30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399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0" sqref="F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17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17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3" activePane="bottomLeft" state="frozen"/>
      <selection pane="bottomLeft" activeCell="F70" sqref="F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14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14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118</v>
      </c>
      <c r="G82" s="40">
        <f>G68+G81</f>
        <v>436.8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50" activePane="bottomLeft" state="frozen"/>
      <selection pane="bottomLeft" activeCell="K71" sqref="K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 t="s">
        <v>199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 t="s">
        <v>199</v>
      </c>
      <c r="F70" s="27"/>
      <c r="G70" s="28" t="str">
        <f t="shared" si="15"/>
        <v/>
      </c>
      <c r="H70" s="26"/>
      <c r="I70" s="26"/>
      <c r="J70" s="26"/>
      <c r="K70" s="29">
        <v>0.85416666666666663</v>
      </c>
      <c r="L70" s="29"/>
      <c r="M70" s="30">
        <f t="shared" ca="1" si="16"/>
        <v>6.0543981817318127E-4</v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 t="s">
        <v>199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 t="s">
        <v>199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 t="s">
        <v>199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 t="s">
        <v>199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 t="s">
        <v>199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 t="s">
        <v>199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 t="s">
        <v>199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27</v>
      </c>
      <c r="G81" s="36">
        <f>SUM(G69:G80)</f>
        <v>113.4</v>
      </c>
      <c r="H81" s="37"/>
      <c r="I81" s="37"/>
      <c r="J81" s="37"/>
      <c r="K81" s="61"/>
      <c r="L81" s="61"/>
      <c r="M81" s="38">
        <f ca="1">IFERROR(SUM(M69:M80),"")</f>
        <v>3.3832175959509492E-3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222</v>
      </c>
      <c r="G82" s="40">
        <f>G68+G81</f>
        <v>932.40000000000009</v>
      </c>
      <c r="H82" s="41"/>
      <c r="I82" s="41"/>
      <c r="J82" s="41"/>
      <c r="K82" s="63"/>
      <c r="L82" s="63"/>
      <c r="M82" s="42">
        <f ca="1">IFERROR(M68+M81,"")</f>
        <v>6.3105439818173181E-2</v>
      </c>
      <c r="N82" s="40" t="s">
        <v>197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2026-07-04T00:31:25Z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