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39" documentId="8_{AF585B22-221D-4780-BB9C-493D365A6A02}" xr6:coauthVersionLast="47" xr6:coauthVersionMax="47" xr10:uidLastSave="{90E0DD0B-77FF-44FE-BB56-53C2CB55FF60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<sst xmlns="http://schemas.openxmlformats.org/spreadsheetml/2006/main" count="6764" uniqueCount="332">
  <si>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</si>
  <si>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</si>
  <si>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</si>
  <si>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</si>
  <si>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</si>
  <si>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</si>
  <si>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</si>
  <si>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</si>
  <si>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</si>
  <si>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</si>
  <si>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</si>
  <si>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</si>
  <si>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</si>
  <si>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</si>
  <si>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</si>
  <si>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</si>
  <si>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</si>
  <si>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</si>
  <si>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</si>
  <si>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</si>
  <si>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</si>
  <si>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</si>
  <si>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</si>
  <si>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</si>
  <si>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</si>
  <si>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</si>
  <si>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</si>
  <si>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</si>
  <si>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</si>
  <si>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</si>
  <si>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</si>
  <si>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</si>
  <si>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</si>
  <si>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</si>
  <si>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</si>
  <si>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</si>
  <si>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</si>
  <si>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</si>
  <si>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</si>
  <si>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</si>
  <si>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</si>
  <si>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</si>
  <si>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</si>
  <si>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</si>
  <si>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</si>
  <si>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</si>
  <si>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</si>
  <si>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</si>
  <si>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</si>
  <si>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</si>
  <si>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</si>
  <si>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</si>
  <si>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</si>
  <si>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</si>
  <si>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</si>
  <si>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</si>
  <si>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</si>
  <si>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</si>
  <si>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</si>
  <si>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</si>
  <si>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</si>
  <si>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</si>
  <si>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</si>
  <si>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</si>
  <si>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</si>
  <si>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</si>
  <si>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</si>
  <si>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</si>
  <si>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</si>
  <si>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</si>
  <si>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</si>
  <si>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</si>
  <si>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</si>
  <si>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</si>
  <si>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</si>
  <si>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</si>
  <si>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</si>
  <si>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</si>
  <si>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</si>
  <si>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</si>
  <si>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</si>
  <si>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</si>
  <si>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</si>
  <si>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</si>
  <si>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</si>
  <si>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</si>
  <si>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</si>
  <si>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</si>
  <si>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</si>
  <si>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</si>
  <si>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</si>
  <si>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</si>
  <si>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</si>
  <si>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</si>
  <si>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</si>
  <si>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</si>
  <si>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</si>
  <si>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</si>
  <si>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</si>
  <si>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</si>
  <si>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</si>
  <si>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</si>
  <si>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</si>
  <si>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</si>
  <si>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</si>
  <si>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</si>
  <si>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</si>
  <si>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</si>
  <si>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</si>
  <si>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</si>
  <si>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</si>
  <si>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</si>
  <si>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</si>
  <si>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</si>
  <si>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</si>
  <si>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</si>
  <si>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</si>
  <si>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</si>
  <si>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</si>
  <si>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</si>
  <si>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</si>
  <si>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</si>
  <si>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</si>
  <si>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</si>
  <si>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</si>
  <si>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</si>
  <si>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</si>
  <si>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</si>
  <si>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</si>
  <si>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</si>
  <si>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</si>
  <si>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</si>
  <si>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</si>
  <si>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</si>
  <si>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</si>
  <si>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</si>
  <si>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</si>
  <si>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</si>
  <si>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</si>
  <si>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</si>
  <si>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</si>
  <si>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</si>
  <si>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</si>
  <si>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</si>
  <si>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</si>
  <si>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</si>
  <si>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</si>
  <si>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</si>
  <si>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</si>
  <si>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</si>
  <si>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</si>
  <si>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</si>
  <si>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</si>
  <si>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</si>
  <si>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</si>
  <si>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</si>
  <si>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</si>
  <si>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</si>
  <si>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</si>
  <si>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</si>
  <si>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</si>
  <si>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</si>
  <si>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</si>
  <si>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</si>
  <si>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</si>
  <si>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</si>
  <si>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</si>
  <si>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</si>
  <si>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</si>
  <si>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</si>
  <si>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</si>
  <si>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</si>
  <si>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</si>
  <si>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</si>
  <si>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</si>
  <si>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</si>
  <si>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</si>
  <si>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</si>
  <si>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</si>
  <si>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</si>
  <si>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</si>
  <si>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</si>
  <si>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</si>
  <si>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</si>
  <si>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</si>
  <si>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</si>
  <si>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</si>
  <si>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</si>
  <si>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</si>
  <si>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</si>
  <si>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</si>
  <si>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</si>
  <si>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</si>
  <si>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</si>
  <si>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</si>
  <si>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</si>
  <si>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</si>
  <si>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</si>
  <si>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</si>
  <si>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</si>
  <si>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</si>
  <si>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</si>
  <si>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</si>
  <si>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</si>
  <si>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</si>
  <si>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</si>
  <si>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</si>
  <si>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</si>
  <si>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</si>
  <si>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</si>
  <si>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</si>
  <si>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</si>
  <si>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</si>
  <si>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</si>
  <si>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</si>
  <si>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</si>
  <si>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</si>
  <si>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</si>
  <si>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</si>
  <si>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</si>
  <si>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</si>
  <si>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</si>
  <si>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</si>
  <si>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</si>
  <si>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</si>
  <si>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</si>
  <si>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</si>
  <si>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</si>
  <si>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</si>
  <si>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</si>
  <si>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</si>
  <si>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</si>
  <si>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</si>
  <si>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</si>
  <si>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</si>
  <si>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</si>
  <si>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</si>
  <si>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</si>
  <si>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</si>
  <si>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</si>
  <si>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</si>
  <si>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</si>
  <si>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</si>
  <si>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</si>
  <si>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jogado 2 caminhões basculantes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</si>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</sst>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1" activePane="bottomLeft" state="frozen"/>
      <selection pane="bottomLeft" activeCell="J409" sqref="J40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/>
      <c r="M409" s="35">
        <f t="shared" ca="1" si="91"/>
        <v>5.2789352048421279E-4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244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207</v>
      </c>
      <c r="G419" s="36">
        <f>SUM(G407:G418)</f>
        <v>1035</v>
      </c>
      <c r="H419" s="37"/>
      <c r="I419" s="37"/>
      <c r="J419" s="37"/>
      <c r="K419" s="37"/>
      <c r="L419" s="37"/>
      <c r="M419" s="38">
        <f ca="1">IFERROR(SUM(M407:M418),"")</f>
        <v>2.0666782409373086E-2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207</v>
      </c>
      <c r="G433" s="40">
        <f>G419+G432</f>
        <v>1035</v>
      </c>
      <c r="H433" s="41"/>
      <c r="I433" s="41"/>
      <c r="J433" s="41"/>
      <c r="K433" s="41"/>
      <c r="L433" s="41"/>
      <c r="M433" s="42">
        <f ca="1">IFERROR(M419+M432,"")</f>
        <v>2.0666782409373086E-2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17" sqref="F4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0.48108344907086575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0.63872233795975464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0.7484445601819768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104</v>
      </c>
      <c r="G419" s="36">
        <f>SUM(G407:G418)</f>
        <v>449.6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104</v>
      </c>
      <c r="G433" s="40">
        <f>G419+G432</f>
        <v>449.6</v>
      </c>
      <c r="H433" s="41"/>
      <c r="I433" s="41"/>
      <c r="J433" s="41"/>
      <c r="K433" s="41"/>
      <c r="L433" s="41"/>
      <c r="M433" s="42">
        <f ca="1">IFERROR(M419+M432,"")</f>
        <v>0.14513888888888887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0" zoomScale="50" zoomScaleNormal="50" workbookViewId="0">
      <selection activeCell="J381" sqref="J38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50</v>
      </c>
      <c r="G419" s="36">
        <f>SUM(G407:G418)</f>
        <v>214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50</v>
      </c>
      <c r="G433" s="40">
        <f>G419+G432</f>
        <v>214</v>
      </c>
      <c r="H433" s="41"/>
      <c r="I433" s="41"/>
      <c r="J433" s="41"/>
      <c r="K433" s="41"/>
      <c r="L433" s="41"/>
      <c r="M433" s="42">
        <f ca="1">IFERROR(M419+M432,"")</f>
        <v>9.1666666666666674E-2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F417" sqref="F41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0.47136122685333248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0.67066678240888811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1.0380278935199991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94</v>
      </c>
      <c r="G419" s="36">
        <f>SUM(G407:G418)</f>
        <v>394.8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94</v>
      </c>
      <c r="G433" s="40">
        <f>G419+G432</f>
        <v>394.8</v>
      </c>
      <c r="H433" s="41"/>
      <c r="I433" s="41"/>
      <c r="J433" s="41"/>
      <c r="K433" s="63"/>
      <c r="L433" s="63"/>
      <c r="M433" s="42">
        <f ca="1">IFERROR(M419+M432,"")</f>
        <v>0.23402777777777778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2026-07-16T21:19:30Z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