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722" documentId="8_{1D11E9C4-FEA4-4128-910F-91CB6BBF9255}" xr6:coauthVersionLast="47" xr6:coauthVersionMax="47" xr10:uidLastSave="{4385E5A0-5074-4ACB-BA97-BC3EDEB4F52B}"/>
  <bookViews>
    <workbookView xWindow="-110" yWindow="-110" windowWidth="25820" windowHeight="15500" tabRatio="500" firstSheet="5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<sst xmlns="http://schemas.openxmlformats.org/spreadsheetml/2006/main" count="8170" uniqueCount="367">
  <si>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</si>
  <si>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</si>
  <si>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</si>
  <si>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</si>
  <si>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</si>
  <si>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</si>
  <si>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</si>
  <si>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</si>
  <si>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</si>
  <si>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</si>
  <si>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</si>
  <si>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</si>
  <si>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</si>
  <si>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</si>
  <si>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</si>
  <si>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</si>
  <si>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</si>
  <si>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</si>
  <si>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</si>
  <si>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</si>
  <si>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</si>
  <si>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</si>
  <si>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</si>
  <si>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</si>
  <si>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</si>
  <si>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</si>
  <si>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</si>
  <si>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</si>
  <si>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</si>
  <si>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</si>
  <si>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</si>
  <si>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</si>
  <si>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</si>
  <si>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</si>
  <si>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</si>
  <si>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</si>
  <si>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</si>
  <si>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</si>
  <si>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</si>
  <si>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</si>
  <si>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</si>
  <si>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</si>
  <si>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</si>
  <si>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</si>
  <si>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</si>
  <si>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</si>
  <si>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</si>
  <si>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</si>
  <si>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</si>
  <si>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</si>
  <si>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</si>
  <si>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</si>
  <si>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</si>
  <si>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</si>
  <si>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</si>
  <si>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</si>
  <si>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</si>
  <si>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</si>
  <si>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</si>
  <si>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</si>
  <si>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</si>
  <si>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</si>
  <si>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</si>
  <si>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</si>
  <si>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</si>
  <si>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</si>
  <si>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</si>
  <si>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</si>
  <si>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</si>
  <si>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</si>
  <si>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</si>
  <si>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</si>
  <si>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</si>
  <si>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</si>
  <si>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</si>
  <si>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</si>
  <si>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</si>
  <si>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</si>
  <si>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</si>
  <si>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</si>
  <si>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</si>
  <si>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</si>
  <si>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</si>
  <si>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</si>
  <si>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</si>
  <si>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</si>
  <si>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</si>
  <si>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</si>
  <si>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</si>
  <si>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</si>
  <si>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</si>
  <si>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</si>
  <si>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</si>
  <si>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</si>
  <si>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</si>
  <si>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</si>
  <si>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</si>
  <si>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</si>
  <si>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</si>
  <si>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</si>
  <si>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</si>
  <si>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</si>
  <si>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</si>
  <si>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</si>
  <si>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</si>
  <si>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</si>
  <si>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</si>
  <si>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</si>
  <si>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</si>
  <si>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</si>
  <si>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</si>
  <si>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</si>
  <si>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</si>
  <si>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</si>
  <si>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</si>
  <si>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</si>
  <si>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</si>
  <si>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</si>
  <si>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</si>
  <si>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</si>
  <si>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</si>
  <si>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</si>
  <si>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</si>
  <si>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</si>
  <si>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</si>
  <si>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</si>
  <si>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</si>
  <si>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</si>
  <si>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</si>
  <si>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</si>
  <si>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</si>
  <si>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</si>
  <si>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</si>
  <si>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</si>
  <si>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</si>
  <si>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</si>
  <si>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</si>
  <si>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</si>
  <si>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</si>
  <si>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</si>
  <si>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</si>
  <si>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</si>
  <si>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</si>
  <si>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</si>
  <si>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</si>
  <si>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</si>
  <si>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</si>
  <si>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</si>
  <si>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</si>
  <si>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</si>
  <si>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</si>
  <si>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</si>
  <si>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</si>
  <si>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</si>
  <si>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</si>
  <si>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</si>
  <si>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</si>
  <si>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</si>
  <si>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</si>
  <si>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</si>
  <si>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</si>
  <si>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</si>
  <si>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</si>
  <si>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</si>
  <si>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</si>
  <si>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</si>
  <si>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</si>
  <si>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</si>
  <si>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</si>
  <si>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</si>
  <si>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</si>
  <si>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</si>
  <si>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</si>
  <si>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</si>
  <si>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</si>
  <si>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</si>
  <si>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</si>
  <si>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</si>
  <si>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</si>
  <si>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</si>
  <si>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</si>
  <si>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</si>
  <si>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</si>
  <si>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</si>
  <si>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</si>
  <si>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</si>
  <si>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</si>
  <si>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</si>
  <si>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</si>
  <si>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</si>
  <si>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</si>
  <si>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</si>
  <si>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</si>
  <si>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</si>
  <si>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</si>
  <si>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</si>
  <si>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</si>
  <si>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</si>
  <si>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</si>
  <si>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</si>
  <si>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</si>
  <si>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</si>
  <si>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</si>
  <si>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</si>
  <si>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</si>
  <si>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</si>
  <si>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</si>
  <si>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</si>
  <si>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</si>
  <si>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</si>
  <si>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</si>
  <si>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</si>
  <si>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</si>
  <si>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</si>
  <si>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</si>
  <si>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</si>
  <si>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</si>
  <si>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</si>
  <si>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</si>
  <si>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</si>
  <si>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</si>
  <si>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</si>
  <si>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</si>
  <si>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</si>
  <si>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</si>
  <si>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</si>
  <si>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</si>
  <si>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</si>
  <si>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</si>
  <si>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</si>
  <si>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</si>
  <si>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</si>
  <si>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</si>
  <si>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</si>
  <si>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</si>
  <si>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</si>
  <si>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</si>
  <si>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</si>
  <si>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</si>
  <si>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</si>
  <si>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</si>
  <si>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</si>
  <si>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</si>
  <si>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</si>
  <si>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</si>
  <si>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</si>
  <si>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</si>
  <si>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</si>
  <si>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</si>
  <si>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</si>
  <si>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</si>
  <si>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</si>
  <si>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</si>
  <si>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</si>
  <si>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</si>
  <si>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</si>
  <si>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</si>
  <si>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</si>
  <si>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</si>
  <si>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</si>
  <si>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</si>
  <si>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</si>
  <si>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</si>
  <si>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</si>
  <si>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</si>
  <si>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</si>
  <si>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</si>
  <si>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</si>
  <si>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</si>
  <si>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</si>
  <si>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</si>
  <si>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</si>
  <si>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</si>
  <si>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</si>
  <si>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</si>
  <si>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</si>
  <si>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</si>
  <si>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</si>
  <si>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</si>
  <si>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</si>
  <si>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</si>
  <si>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</si>
  <si>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</si>
  <si>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</si>
  <si>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</si>
  <si>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</si>
  <si>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</si>
  <si>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</si>
  <si>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</si>
  <si>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</si>
  <si>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</si>
  <si>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</si>
  <si>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</si>
  <si>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</si>
  <si>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</si>
  <si>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</si>
  <si>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</si>
  <si>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</si>
  <si>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parte 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</si>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</sst>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1" t="s">
        <v>0</v>
      </c>
      <c r="B1" s="101"/>
      <c r="C1" s="101"/>
      <c r="D1" s="101"/>
      <c r="E1" s="101"/>
      <c r="F1" s="101"/>
      <c r="G1" s="101"/>
    </row>
    <row r="2" spans="1:7" ht="25.35" customHeight="1">
      <c r="A2" s="102"/>
      <c r="B2" s="102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1209410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471600</v>
      </c>
      <c r="G31" s="54">
        <f t="shared" si="0"/>
        <v>1079820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3" t="s">
        <v>9</v>
      </c>
      <c r="B34" s="103"/>
      <c r="C34" s="55">
        <f t="shared" ref="C34:G34" si="1">IFERROR(SUM(C4:C33),"")</f>
        <v>47155240</v>
      </c>
      <c r="D34" s="55">
        <f t="shared" si="1"/>
        <v>23817730</v>
      </c>
      <c r="E34" s="55">
        <f t="shared" si="1"/>
        <v>9392360</v>
      </c>
      <c r="F34" s="55">
        <f t="shared" si="1"/>
        <v>26813055</v>
      </c>
      <c r="G34" s="55">
        <f t="shared" si="1"/>
        <v>60023145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1" zoomScale="85" zoomScaleNormal="85" workbookViewId="0">
      <selection activeCell="M43" sqref="M4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4" t="s">
        <v>10</v>
      </c>
      <c r="B1" s="104"/>
      <c r="C1" s="104"/>
      <c r="D1" s="104"/>
      <c r="E1" s="104"/>
      <c r="F1" s="104"/>
      <c r="G1" s="104"/>
      <c r="H1" s="105"/>
      <c r="I1" s="106" t="s">
        <v>11</v>
      </c>
      <c r="J1" s="106"/>
      <c r="K1" s="106"/>
      <c r="L1" s="106"/>
      <c r="M1" s="106"/>
    </row>
    <row r="2" spans="1:13" ht="4.5" customHeight="1">
      <c r="H2" s="105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5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5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5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5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5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5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5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5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5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5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5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5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5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5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5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5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5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5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5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5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5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5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5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5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5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5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5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5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5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5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5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5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5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5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5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5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5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5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5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5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5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5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5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5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5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5"/>
      <c r="I48" s="3"/>
      <c r="J48" s="3"/>
      <c r="K48" s="3" t="s">
        <v>175</v>
      </c>
      <c r="L48" s="3"/>
      <c r="M48" s="3"/>
    </row>
    <row r="49" spans="1:13" ht="18" customHeight="1">
      <c r="H49" s="105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5"/>
      <c r="I50" s="3"/>
      <c r="J50" s="3"/>
      <c r="K50" s="3"/>
      <c r="L50" s="3"/>
      <c r="M50" s="3"/>
    </row>
    <row r="51" spans="1:13" ht="24" customHeight="1">
      <c r="H51" s="105"/>
      <c r="I51" s="4"/>
      <c r="J51" s="4"/>
      <c r="K51" s="4"/>
      <c r="L51" s="4"/>
      <c r="M51" s="4"/>
    </row>
    <row r="52" spans="1:13" ht="24" customHeight="1">
      <c r="H52" s="105"/>
      <c r="I52" s="3"/>
      <c r="J52" s="3"/>
      <c r="K52" s="3"/>
      <c r="L52" s="3"/>
      <c r="M52" s="3"/>
    </row>
    <row r="53" spans="1:13" ht="36" customHeight="1">
      <c r="H53" s="105"/>
      <c r="I53" s="4"/>
      <c r="J53" s="4"/>
      <c r="K53" s="4"/>
      <c r="L53" s="4"/>
      <c r="M53" s="4"/>
    </row>
    <row r="54" spans="1:13" ht="15" customHeight="1">
      <c r="H54" s="105"/>
      <c r="I54" s="3"/>
      <c r="J54" s="3"/>
      <c r="K54" s="3"/>
      <c r="L54" s="3"/>
      <c r="M54" s="3"/>
    </row>
    <row r="55" spans="1:13" ht="15" customHeight="1">
      <c r="H55" s="105"/>
      <c r="I55" s="4"/>
      <c r="J55" s="4"/>
      <c r="K55" s="4"/>
      <c r="L55" s="4"/>
      <c r="M55" s="4"/>
    </row>
    <row r="56" spans="1:13" ht="15" customHeight="1">
      <c r="H56" s="105"/>
      <c r="I56" s="3"/>
      <c r="J56" s="3"/>
      <c r="K56" s="3"/>
      <c r="L56" s="3"/>
      <c r="M56" s="3"/>
    </row>
    <row r="57" spans="1:13" ht="15" customHeight="1">
      <c r="H57" s="105"/>
      <c r="I57" s="4"/>
      <c r="J57" s="4"/>
      <c r="K57" s="4"/>
      <c r="L57" s="4"/>
      <c r="M57" s="4"/>
    </row>
    <row r="58" spans="1:13" ht="15" customHeight="1">
      <c r="H58" s="105"/>
      <c r="I58" s="3"/>
      <c r="J58" s="3"/>
      <c r="K58" s="3"/>
      <c r="L58" s="3"/>
      <c r="M58" s="3"/>
    </row>
    <row r="59" spans="1:13" ht="15" customHeight="1">
      <c r="H59" s="105"/>
      <c r="I59" s="4"/>
      <c r="J59" s="4"/>
      <c r="K59" s="4"/>
      <c r="L59" s="4"/>
      <c r="M59" s="4"/>
    </row>
    <row r="60" spans="1:13" ht="15" customHeight="1">
      <c r="H60" s="105"/>
      <c r="I60" s="3"/>
      <c r="J60" s="3"/>
      <c r="K60" s="3"/>
      <c r="L60" s="3"/>
      <c r="M60" s="3"/>
    </row>
    <row r="61" spans="1:13" ht="15" customHeight="1">
      <c r="H61" s="105"/>
      <c r="I61" s="4"/>
      <c r="J61" s="4"/>
      <c r="K61" s="4"/>
      <c r="L61" s="4"/>
      <c r="M61" s="4"/>
    </row>
    <row r="62" spans="1:13" ht="15" customHeight="1">
      <c r="H62" s="105"/>
      <c r="I62" s="3"/>
      <c r="J62" s="3"/>
      <c r="K62" s="3"/>
      <c r="L62" s="3"/>
      <c r="M62" s="3"/>
    </row>
    <row r="63" spans="1:13" ht="15" customHeight="1">
      <c r="H63" s="105"/>
      <c r="I63" s="4"/>
      <c r="J63" s="4"/>
      <c r="K63" s="4"/>
      <c r="L63" s="4"/>
      <c r="M63" s="4"/>
    </row>
    <row r="64" spans="1:13" ht="15" customHeight="1">
      <c r="H64" s="105"/>
      <c r="I64" s="3"/>
      <c r="J64" s="3"/>
      <c r="K64" s="3"/>
      <c r="L64" s="3"/>
      <c r="M64" s="3"/>
    </row>
    <row r="65" spans="8:13" ht="15" customHeight="1">
      <c r="H65" s="105"/>
      <c r="I65" s="4"/>
      <c r="J65" s="4"/>
      <c r="K65" s="4"/>
      <c r="L65" s="4"/>
      <c r="M65" s="4"/>
    </row>
    <row r="66" spans="8:13" ht="15" customHeight="1">
      <c r="H66" s="105"/>
      <c r="I66" s="3"/>
      <c r="J66" s="3"/>
      <c r="K66" s="3"/>
      <c r="L66" s="3"/>
      <c r="M66" s="3"/>
    </row>
    <row r="67" spans="8:13" ht="15" customHeight="1">
      <c r="H67" s="105"/>
      <c r="I67" s="4"/>
      <c r="J67" s="4"/>
      <c r="K67" s="4"/>
      <c r="L67" s="4"/>
      <c r="M67" s="4"/>
    </row>
    <row r="68" spans="8:13" ht="15" customHeight="1">
      <c r="H68" s="105"/>
      <c r="I68" s="3"/>
      <c r="J68" s="3"/>
      <c r="K68" s="3"/>
      <c r="L68" s="3"/>
      <c r="M68" s="3"/>
    </row>
    <row r="69" spans="8:13" ht="15" customHeight="1">
      <c r="H69" s="105"/>
      <c r="I69" s="4"/>
      <c r="J69" s="4"/>
      <c r="K69" s="4"/>
      <c r="L69" s="4"/>
      <c r="M69" s="4"/>
    </row>
    <row r="70" spans="8:13" ht="15" customHeight="1">
      <c r="H70" s="105"/>
      <c r="I70" s="3"/>
      <c r="J70" s="3"/>
      <c r="K70" s="3"/>
      <c r="L70" s="3"/>
      <c r="M70" s="3"/>
    </row>
    <row r="71" spans="8:13" ht="15" customHeight="1">
      <c r="H71" s="105"/>
      <c r="I71" s="4"/>
      <c r="J71" s="4"/>
      <c r="K71" s="4"/>
      <c r="L71" s="4"/>
      <c r="M71" s="4"/>
    </row>
    <row r="72" spans="8:13" ht="15" customHeight="1">
      <c r="H72" s="105"/>
      <c r="I72" s="3"/>
      <c r="J72" s="3"/>
      <c r="K72" s="3"/>
      <c r="L72" s="3"/>
      <c r="M72" s="3"/>
    </row>
    <row r="73" spans="8:13" ht="15" customHeight="1">
      <c r="H73" s="105"/>
      <c r="I73" s="4"/>
      <c r="J73" s="4"/>
      <c r="K73" s="4"/>
      <c r="L73" s="4"/>
      <c r="M73" s="4"/>
    </row>
    <row r="74" spans="8:13" ht="15" customHeight="1">
      <c r="H74" s="105"/>
      <c r="I74" s="3"/>
      <c r="J74" s="3"/>
      <c r="K74" s="3"/>
      <c r="L74" s="3"/>
      <c r="M74" s="3"/>
    </row>
    <row r="75" spans="8:13" ht="15" customHeight="1">
      <c r="H75" s="105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45" sqref="E745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7" t="s">
        <v>188</v>
      </c>
      <c r="B14" s="107"/>
      <c r="C14" s="107"/>
      <c r="D14" s="10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7" t="s">
        <v>190</v>
      </c>
      <c r="B27" s="107"/>
      <c r="C27" s="107"/>
      <c r="D27" s="10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7" t="s">
        <v>191</v>
      </c>
      <c r="B28" s="97"/>
      <c r="C28" s="97"/>
      <c r="D28" s="97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7" t="s">
        <v>188</v>
      </c>
      <c r="B41" s="107"/>
      <c r="C41" s="107"/>
      <c r="D41" s="10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7" t="s">
        <v>190</v>
      </c>
      <c r="B54" s="107"/>
      <c r="C54" s="107"/>
      <c r="D54" s="10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7" t="s">
        <v>191</v>
      </c>
      <c r="B55" s="97"/>
      <c r="C55" s="97"/>
      <c r="D55" s="97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7" t="s">
        <v>188</v>
      </c>
      <c r="B68" s="107"/>
      <c r="C68" s="107"/>
      <c r="D68" s="10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7" t="s">
        <v>190</v>
      </c>
      <c r="B81" s="107"/>
      <c r="C81" s="107"/>
      <c r="D81" s="10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7" t="s">
        <v>188</v>
      </c>
      <c r="B95" s="107"/>
      <c r="C95" s="107"/>
      <c r="D95" s="10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7" t="s">
        <v>190</v>
      </c>
      <c r="B108" s="107"/>
      <c r="C108" s="107"/>
      <c r="D108" s="10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7" t="s">
        <v>191</v>
      </c>
      <c r="B109" s="97"/>
      <c r="C109" s="97"/>
      <c r="D109" s="97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7" t="s">
        <v>188</v>
      </c>
      <c r="B122" s="107"/>
      <c r="C122" s="107"/>
      <c r="D122" s="10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7" t="s">
        <v>190</v>
      </c>
      <c r="B135" s="107"/>
      <c r="C135" s="107"/>
      <c r="D135" s="10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7" t="s">
        <v>191</v>
      </c>
      <c r="B136" s="97"/>
      <c r="C136" s="97"/>
      <c r="D136" s="97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7" t="s">
        <v>188</v>
      </c>
      <c r="B149" s="107"/>
      <c r="C149" s="107"/>
      <c r="D149" s="10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7" t="s">
        <v>190</v>
      </c>
      <c r="B162" s="107"/>
      <c r="C162" s="107"/>
      <c r="D162" s="10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7" t="s">
        <v>188</v>
      </c>
      <c r="B176" s="107"/>
      <c r="C176" s="107"/>
      <c r="D176" s="10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7" t="s">
        <v>190</v>
      </c>
      <c r="B189" s="107"/>
      <c r="C189" s="107"/>
      <c r="D189" s="10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7" t="s">
        <v>188</v>
      </c>
      <c r="B203" s="107"/>
      <c r="C203" s="107"/>
      <c r="D203" s="10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7" t="s">
        <v>190</v>
      </c>
      <c r="B216" s="107"/>
      <c r="C216" s="107"/>
      <c r="D216" s="10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7" t="s">
        <v>191</v>
      </c>
      <c r="B217" s="97"/>
      <c r="C217" s="97"/>
      <c r="D217" s="97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7" t="s">
        <v>188</v>
      </c>
      <c r="B230" s="107"/>
      <c r="C230" s="107"/>
      <c r="D230" s="10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7" t="s">
        <v>190</v>
      </c>
      <c r="B243" s="107"/>
      <c r="C243" s="107"/>
      <c r="D243" s="10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7" t="s">
        <v>188</v>
      </c>
      <c r="B257" s="107"/>
      <c r="C257" s="107"/>
      <c r="D257" s="10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7" t="s">
        <v>190</v>
      </c>
      <c r="B270" s="107"/>
      <c r="C270" s="107"/>
      <c r="D270" s="10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7" t="s">
        <v>188</v>
      </c>
      <c r="B284" s="107"/>
      <c r="C284" s="107"/>
      <c r="D284" s="10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7" t="s">
        <v>190</v>
      </c>
      <c r="B297" s="107"/>
      <c r="C297" s="107"/>
      <c r="D297" s="10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7" t="s">
        <v>188</v>
      </c>
      <c r="B311" s="107"/>
      <c r="C311" s="107"/>
      <c r="D311" s="10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7" t="s">
        <v>190</v>
      </c>
      <c r="B324" s="107"/>
      <c r="C324" s="107"/>
      <c r="D324" s="10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7" t="s">
        <v>188</v>
      </c>
      <c r="B338" s="107"/>
      <c r="C338" s="107"/>
      <c r="D338" s="10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7" t="s">
        <v>190</v>
      </c>
      <c r="B351" s="107"/>
      <c r="C351" s="107"/>
      <c r="D351" s="10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7" t="s">
        <v>191</v>
      </c>
      <c r="B352" s="97"/>
      <c r="C352" s="97"/>
      <c r="D352" s="97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7" t="s">
        <v>188</v>
      </c>
      <c r="B365" s="107"/>
      <c r="C365" s="107"/>
      <c r="D365" s="10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7" t="s">
        <v>190</v>
      </c>
      <c r="B378" s="107"/>
      <c r="C378" s="107"/>
      <c r="D378" s="10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7" t="s">
        <v>188</v>
      </c>
      <c r="B392" s="107"/>
      <c r="C392" s="107"/>
      <c r="D392" s="10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7" t="s">
        <v>190</v>
      </c>
      <c r="B405" s="107"/>
      <c r="C405" s="107"/>
      <c r="D405" s="10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7" t="s">
        <v>188</v>
      </c>
      <c r="B419" s="107"/>
      <c r="C419" s="107"/>
      <c r="D419" s="10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7" t="s">
        <v>190</v>
      </c>
      <c r="B432" s="107"/>
      <c r="C432" s="107"/>
      <c r="D432" s="10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7" t="s">
        <v>191</v>
      </c>
      <c r="B433" s="97"/>
      <c r="C433" s="97"/>
      <c r="D433" s="97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7" t="s">
        <v>190</v>
      </c>
      <c r="B459" s="107"/>
      <c r="C459" s="107"/>
      <c r="D459" s="10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7" t="s">
        <v>188</v>
      </c>
      <c r="B473" s="107"/>
      <c r="C473" s="107"/>
      <c r="D473" s="10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7" t="s">
        <v>190</v>
      </c>
      <c r="B486" s="107"/>
      <c r="C486" s="107"/>
      <c r="D486" s="10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7" t="s">
        <v>188</v>
      </c>
      <c r="B500" s="107"/>
      <c r="C500" s="107"/>
      <c r="D500" s="10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7" t="s">
        <v>190</v>
      </c>
      <c r="B513" s="107"/>
      <c r="C513" s="107"/>
      <c r="D513" s="10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7" t="s">
        <v>188</v>
      </c>
      <c r="B527" s="107"/>
      <c r="C527" s="107"/>
      <c r="D527" s="10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7" t="s">
        <v>190</v>
      </c>
      <c r="B540" s="107"/>
      <c r="C540" s="107"/>
      <c r="D540" s="10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7" t="s">
        <v>188</v>
      </c>
      <c r="B554" s="107"/>
      <c r="C554" s="107"/>
      <c r="D554" s="10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7" t="s">
        <v>190</v>
      </c>
      <c r="B567" s="107"/>
      <c r="C567" s="107"/>
      <c r="D567" s="10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7" t="s">
        <v>188</v>
      </c>
      <c r="B581" s="107"/>
      <c r="C581" s="107"/>
      <c r="D581" s="10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7" t="s">
        <v>190</v>
      </c>
      <c r="B594" s="107"/>
      <c r="C594" s="107"/>
      <c r="D594" s="10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7" t="s">
        <v>188</v>
      </c>
      <c r="B608" s="107"/>
      <c r="C608" s="107"/>
      <c r="D608" s="10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7" t="s">
        <v>190</v>
      </c>
      <c r="B621" s="107"/>
      <c r="C621" s="107"/>
      <c r="D621" s="10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7" t="s">
        <v>188</v>
      </c>
      <c r="B635" s="107"/>
      <c r="C635" s="107"/>
      <c r="D635" s="10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7" t="s">
        <v>190</v>
      </c>
      <c r="B648" s="107"/>
      <c r="C648" s="107"/>
      <c r="D648" s="10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7" t="s">
        <v>188</v>
      </c>
      <c r="B662" s="107"/>
      <c r="C662" s="107"/>
      <c r="D662" s="10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7" t="s">
        <v>190</v>
      </c>
      <c r="B675" s="107"/>
      <c r="C675" s="107"/>
      <c r="D675" s="10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7" t="s">
        <v>188</v>
      </c>
      <c r="B689" s="107"/>
      <c r="C689" s="107"/>
      <c r="D689" s="10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7" t="s">
        <v>190</v>
      </c>
      <c r="B702" s="107"/>
      <c r="C702" s="107"/>
      <c r="D702" s="10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7" t="s">
        <v>188</v>
      </c>
      <c r="B716" s="107"/>
      <c r="C716" s="107"/>
      <c r="D716" s="10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7" t="s">
        <v>190</v>
      </c>
      <c r="B729" s="107"/>
      <c r="C729" s="107"/>
      <c r="D729" s="10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7" t="s">
        <v>191</v>
      </c>
      <c r="B730" s="97"/>
      <c r="C730" s="97"/>
      <c r="D730" s="97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7" t="s">
        <v>188</v>
      </c>
      <c r="B743" s="107"/>
      <c r="C743" s="107"/>
      <c r="D743" s="10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189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82"/>
      <c r="D756" s="82"/>
      <c r="E756" s="19">
        <f>SUM(E744:E755)</f>
        <v>50</v>
      </c>
      <c r="F756" s="19">
        <f>SUM(F744:F755)</f>
        <v>250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22"/>
      <c r="D757" s="22"/>
      <c r="E757" s="22">
        <f>E743+E756</f>
        <v>278</v>
      </c>
      <c r="F757" s="22">
        <f>F743+F756</f>
        <v>1390</v>
      </c>
      <c r="G757" s="21"/>
      <c r="H757" s="21"/>
      <c r="I757" s="21"/>
      <c r="J757" s="21"/>
      <c r="K757" s="21"/>
      <c r="L757" s="73">
        <f>IFERROR(L743+L756,"")</f>
        <v>0.15069444444444452</v>
      </c>
      <c r="M757" s="22" t="s">
        <v>192</v>
      </c>
      <c r="N757" s="31">
        <f>IFERROR(N743+N756,"")</f>
        <v>1209410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7" t="s">
        <v>190</v>
      </c>
      <c r="B783" s="107"/>
      <c r="C783" s="107"/>
      <c r="D783" s="10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7" t="s">
        <v>188</v>
      </c>
      <c r="B797" s="107"/>
      <c r="C797" s="107"/>
      <c r="D797" s="10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7" t="s">
        <v>190</v>
      </c>
      <c r="B810" s="107"/>
      <c r="C810" s="107"/>
      <c r="D810" s="10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7" t="s">
        <v>191</v>
      </c>
      <c r="B811" s="97"/>
      <c r="C811" s="97"/>
      <c r="D811" s="97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D756 C447:C756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D757:D900 C757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30" zoomScale="85" zoomScaleNormal="85" workbookViewId="0">
      <selection activeCell="H744" sqref="H74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0" t="s">
        <v>188</v>
      </c>
      <c r="B14" s="100"/>
      <c r="C14" s="100"/>
      <c r="D14" s="10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0" t="s">
        <v>190</v>
      </c>
      <c r="B27" s="100"/>
      <c r="C27" s="100"/>
      <c r="D27" s="10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7" t="s">
        <v>191</v>
      </c>
      <c r="B28" s="97"/>
      <c r="C28" s="97"/>
      <c r="D28" s="97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0" t="s">
        <v>188</v>
      </c>
      <c r="B41" s="100"/>
      <c r="C41" s="100"/>
      <c r="D41" s="10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0" t="s">
        <v>190</v>
      </c>
      <c r="B54" s="100"/>
      <c r="C54" s="100"/>
      <c r="D54" s="10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7" t="s">
        <v>191</v>
      </c>
      <c r="B55" s="97"/>
      <c r="C55" s="97"/>
      <c r="D55" s="97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0" t="s">
        <v>188</v>
      </c>
      <c r="B68" s="100"/>
      <c r="C68" s="100"/>
      <c r="D68" s="10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0" t="s">
        <v>190</v>
      </c>
      <c r="B81" s="100"/>
      <c r="C81" s="100"/>
      <c r="D81" s="10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0" t="s">
        <v>188</v>
      </c>
      <c r="B95" s="100"/>
      <c r="C95" s="100"/>
      <c r="D95" s="10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0" t="s">
        <v>190</v>
      </c>
      <c r="B108" s="100"/>
      <c r="C108" s="100"/>
      <c r="D108" s="10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7" t="s">
        <v>191</v>
      </c>
      <c r="B109" s="97"/>
      <c r="C109" s="97"/>
      <c r="D109" s="97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0" t="s">
        <v>188</v>
      </c>
      <c r="B122" s="100"/>
      <c r="C122" s="100"/>
      <c r="D122" s="10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0" t="s">
        <v>190</v>
      </c>
      <c r="B135" s="100"/>
      <c r="C135" s="100"/>
      <c r="D135" s="10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7" t="s">
        <v>191</v>
      </c>
      <c r="B136" s="97"/>
      <c r="C136" s="97"/>
      <c r="D136" s="97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0" t="s">
        <v>188</v>
      </c>
      <c r="B149" s="100"/>
      <c r="C149" s="100"/>
      <c r="D149" s="10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0" t="s">
        <v>190</v>
      </c>
      <c r="B162" s="100"/>
      <c r="C162" s="100"/>
      <c r="D162" s="10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0" t="s">
        <v>188</v>
      </c>
      <c r="B176" s="100"/>
      <c r="C176" s="100"/>
      <c r="D176" s="10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0" t="s">
        <v>190</v>
      </c>
      <c r="B189" s="100"/>
      <c r="C189" s="100"/>
      <c r="D189" s="10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0" t="s">
        <v>188</v>
      </c>
      <c r="B203" s="100"/>
      <c r="C203" s="100"/>
      <c r="D203" s="10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0" t="s">
        <v>190</v>
      </c>
      <c r="B216" s="100"/>
      <c r="C216" s="100"/>
      <c r="D216" s="10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7" t="s">
        <v>191</v>
      </c>
      <c r="B217" s="97"/>
      <c r="C217" s="97"/>
      <c r="D217" s="97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0" t="s">
        <v>188</v>
      </c>
      <c r="B230" s="100"/>
      <c r="C230" s="100"/>
      <c r="D230" s="10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0" t="s">
        <v>190</v>
      </c>
      <c r="B243" s="100"/>
      <c r="C243" s="100"/>
      <c r="D243" s="10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0" t="s">
        <v>188</v>
      </c>
      <c r="B257" s="100"/>
      <c r="C257" s="100"/>
      <c r="D257" s="10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0" t="s">
        <v>190</v>
      </c>
      <c r="B270" s="100"/>
      <c r="C270" s="100"/>
      <c r="D270" s="10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0" t="s">
        <v>188</v>
      </c>
      <c r="B284" s="100"/>
      <c r="C284" s="100"/>
      <c r="D284" s="10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0" t="s">
        <v>190</v>
      </c>
      <c r="B297" s="100"/>
      <c r="C297" s="100"/>
      <c r="D297" s="10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0" t="s">
        <v>188</v>
      </c>
      <c r="B311" s="100"/>
      <c r="C311" s="100"/>
      <c r="D311" s="10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0" t="s">
        <v>190</v>
      </c>
      <c r="B324" s="100"/>
      <c r="C324" s="100"/>
      <c r="D324" s="10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0" t="s">
        <v>188</v>
      </c>
      <c r="B338" s="100"/>
      <c r="C338" s="100"/>
      <c r="D338" s="10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0" t="s">
        <v>190</v>
      </c>
      <c r="B351" s="100"/>
      <c r="C351" s="100"/>
      <c r="D351" s="10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7" t="s">
        <v>191</v>
      </c>
      <c r="B352" s="97"/>
      <c r="C352" s="97"/>
      <c r="D352" s="97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0" t="s">
        <v>188</v>
      </c>
      <c r="B365" s="100"/>
      <c r="C365" s="100"/>
      <c r="D365" s="10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0" t="s">
        <v>190</v>
      </c>
      <c r="B378" s="100"/>
      <c r="C378" s="100"/>
      <c r="D378" s="10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0" t="s">
        <v>188</v>
      </c>
      <c r="B392" s="100"/>
      <c r="C392" s="100"/>
      <c r="D392" s="10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0" t="s">
        <v>190</v>
      </c>
      <c r="B405" s="100"/>
      <c r="C405" s="100"/>
      <c r="D405" s="10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0" t="s">
        <v>188</v>
      </c>
      <c r="B419" s="100"/>
      <c r="C419" s="100"/>
      <c r="D419" s="10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0" t="s">
        <v>190</v>
      </c>
      <c r="B432" s="100"/>
      <c r="C432" s="100"/>
      <c r="D432" s="10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7" t="s">
        <v>191</v>
      </c>
      <c r="B433" s="97"/>
      <c r="C433" s="97"/>
      <c r="D433" s="97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0" t="s">
        <v>188</v>
      </c>
      <c r="B446" s="100"/>
      <c r="C446" s="100"/>
      <c r="D446" s="10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0" t="s">
        <v>190</v>
      </c>
      <c r="B459" s="100"/>
      <c r="C459" s="100"/>
      <c r="D459" s="10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0" t="s">
        <v>188</v>
      </c>
      <c r="B473" s="100"/>
      <c r="C473" s="100"/>
      <c r="D473" s="10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0" t="s">
        <v>190</v>
      </c>
      <c r="B486" s="100"/>
      <c r="C486" s="100"/>
      <c r="D486" s="10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0" t="s">
        <v>188</v>
      </c>
      <c r="B500" s="100"/>
      <c r="C500" s="100"/>
      <c r="D500" s="10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0" t="s">
        <v>190</v>
      </c>
      <c r="B513" s="100"/>
      <c r="C513" s="100"/>
      <c r="D513" s="10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0" t="s">
        <v>188</v>
      </c>
      <c r="B527" s="100"/>
      <c r="C527" s="100"/>
      <c r="D527" s="10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0" t="s">
        <v>190</v>
      </c>
      <c r="B540" s="100"/>
      <c r="C540" s="100"/>
      <c r="D540" s="10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0" t="s">
        <v>188</v>
      </c>
      <c r="B554" s="100"/>
      <c r="C554" s="100"/>
      <c r="D554" s="10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0" t="s">
        <v>190</v>
      </c>
      <c r="B567" s="100"/>
      <c r="C567" s="100"/>
      <c r="D567" s="10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0" t="s">
        <v>188</v>
      </c>
      <c r="B581" s="100"/>
      <c r="C581" s="100"/>
      <c r="D581" s="10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0" t="s">
        <v>190</v>
      </c>
      <c r="B594" s="100"/>
      <c r="C594" s="100"/>
      <c r="D594" s="10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0" t="s">
        <v>188</v>
      </c>
      <c r="B608" s="100"/>
      <c r="C608" s="100"/>
      <c r="D608" s="10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0" t="s">
        <v>190</v>
      </c>
      <c r="B621" s="100"/>
      <c r="C621" s="100"/>
      <c r="D621" s="10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0" t="s">
        <v>188</v>
      </c>
      <c r="B635" s="100"/>
      <c r="C635" s="100"/>
      <c r="D635" s="10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0" t="s">
        <v>190</v>
      </c>
      <c r="B648" s="100"/>
      <c r="C648" s="100"/>
      <c r="D648" s="10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0" t="s">
        <v>188</v>
      </c>
      <c r="B662" s="100"/>
      <c r="C662" s="100"/>
      <c r="D662" s="10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0" t="s">
        <v>190</v>
      </c>
      <c r="B675" s="100"/>
      <c r="C675" s="100"/>
      <c r="D675" s="10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0" t="s">
        <v>188</v>
      </c>
      <c r="B689" s="100"/>
      <c r="C689" s="100"/>
      <c r="D689" s="10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0" t="s">
        <v>190</v>
      </c>
      <c r="B702" s="100"/>
      <c r="C702" s="100"/>
      <c r="D702" s="10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8" t="s">
        <v>188</v>
      </c>
      <c r="B716" s="109"/>
      <c r="C716" s="109"/>
      <c r="D716" s="110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0" t="s">
        <v>190</v>
      </c>
      <c r="B729" s="100"/>
      <c r="C729" s="100"/>
      <c r="D729" s="100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7" t="s">
        <v>191</v>
      </c>
      <c r="B730" s="97"/>
      <c r="C730" s="97"/>
      <c r="D730" s="97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150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0" t="s">
        <v>188</v>
      </c>
      <c r="B743" s="100"/>
      <c r="C743" s="100"/>
      <c r="D743" s="100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189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/>
      <c r="L744" s="70" t="str">
        <f t="shared" ref="L744:L755" si="167">IFERROR(IF(K744="","",IF(K744&gt;=J744,K744-J744,K744+1-J744)),"")</f>
        <v/>
      </c>
      <c r="M744" s="29" t="s">
        <v>298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/>
      <c r="F745" s="17" t="str">
        <f t="shared" si="166"/>
        <v/>
      </c>
      <c r="G745" s="16"/>
      <c r="H745" s="10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/>
      <c r="F746" s="12" t="str">
        <f t="shared" si="166"/>
        <v/>
      </c>
      <c r="G746" s="10"/>
      <c r="H746" s="10"/>
      <c r="I746" s="16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/>
      <c r="F748" s="12" t="str">
        <f t="shared" si="166"/>
        <v/>
      </c>
      <c r="G748" s="10"/>
      <c r="H748" s="10"/>
      <c r="I748" s="16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/>
      <c r="F750" s="12" t="str">
        <f t="shared" si="166"/>
        <v/>
      </c>
      <c r="G750" s="10"/>
      <c r="H750" s="10"/>
      <c r="I750" s="16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/>
      <c r="F752" s="12" t="str">
        <f t="shared" si="166"/>
        <v/>
      </c>
      <c r="G752" s="10"/>
      <c r="H752" s="10"/>
      <c r="I752" s="16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/>
      <c r="F754" s="12" t="str">
        <f t="shared" si="166"/>
        <v/>
      </c>
      <c r="G754" s="10"/>
      <c r="H754" s="10"/>
      <c r="I754" s="16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0" t="s">
        <v>190</v>
      </c>
      <c r="B756" s="100"/>
      <c r="C756" s="100"/>
      <c r="D756" s="100"/>
      <c r="E756" s="19">
        <f>SUM(E744:E755)</f>
        <v>10</v>
      </c>
      <c r="F756" s="19">
        <f>SUM(F744:F755)</f>
        <v>40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7" t="s">
        <v>191</v>
      </c>
      <c r="B757" s="97"/>
      <c r="C757" s="97"/>
      <c r="D757" s="97"/>
      <c r="E757" s="22">
        <f>E743+E756</f>
        <v>123</v>
      </c>
      <c r="F757" s="22">
        <f>F743+F756</f>
        <v>492</v>
      </c>
      <c r="G757" s="21"/>
      <c r="H757" s="21"/>
      <c r="I757" s="21"/>
      <c r="J757" s="21"/>
      <c r="K757" s="21"/>
      <c r="L757" s="73">
        <f>IFERROR(L743+L756,"")</f>
        <v>0.17569444444444438</v>
      </c>
      <c r="M757" s="22" t="s">
        <v>192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0" t="s">
        <v>188</v>
      </c>
      <c r="B770" s="100"/>
      <c r="C770" s="100"/>
      <c r="D770" s="10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0" t="s">
        <v>190</v>
      </c>
      <c r="B783" s="100"/>
      <c r="C783" s="100"/>
      <c r="D783" s="10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0" t="s">
        <v>188</v>
      </c>
      <c r="B797" s="100"/>
      <c r="C797" s="100"/>
      <c r="D797" s="10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0" t="s">
        <v>190</v>
      </c>
      <c r="B810" s="100"/>
      <c r="C810" s="100"/>
      <c r="D810" s="10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7" t="s">
        <v>191</v>
      </c>
      <c r="B811" s="97"/>
      <c r="C811" s="97"/>
      <c r="D811" s="97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30" activePane="bottomLeft" state="frozen"/>
      <selection pane="bottomLeft" activeCell="M744" sqref="M74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299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0" t="s">
        <v>188</v>
      </c>
      <c r="B14" s="100"/>
      <c r="C14" s="100"/>
      <c r="D14" s="10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0" t="s">
        <v>190</v>
      </c>
      <c r="B27" s="100"/>
      <c r="C27" s="100"/>
      <c r="D27" s="10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7" t="s">
        <v>191</v>
      </c>
      <c r="B28" s="97"/>
      <c r="C28" s="97"/>
      <c r="D28" s="97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0" t="s">
        <v>188</v>
      </c>
      <c r="B41" s="100"/>
      <c r="C41" s="100"/>
      <c r="D41" s="10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0" t="s">
        <v>190</v>
      </c>
      <c r="B54" s="100"/>
      <c r="C54" s="100"/>
      <c r="D54" s="10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7" t="s">
        <v>191</v>
      </c>
      <c r="B55" s="97"/>
      <c r="C55" s="97"/>
      <c r="D55" s="97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0" t="s">
        <v>188</v>
      </c>
      <c r="B68" s="100"/>
      <c r="C68" s="100"/>
      <c r="D68" s="10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300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0" t="s">
        <v>190</v>
      </c>
      <c r="B81" s="100"/>
      <c r="C81" s="100"/>
      <c r="D81" s="10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0" t="s">
        <v>188</v>
      </c>
      <c r="B95" s="100"/>
      <c r="C95" s="100"/>
      <c r="D95" s="10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0" t="s">
        <v>190</v>
      </c>
      <c r="B108" s="100"/>
      <c r="C108" s="100"/>
      <c r="D108" s="10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7" t="s">
        <v>191</v>
      </c>
      <c r="B109" s="97"/>
      <c r="C109" s="97"/>
      <c r="D109" s="97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0" t="s">
        <v>188</v>
      </c>
      <c r="B122" s="100"/>
      <c r="C122" s="100"/>
      <c r="D122" s="10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0" t="s">
        <v>190</v>
      </c>
      <c r="B135" s="100"/>
      <c r="C135" s="100"/>
      <c r="D135" s="10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7" t="s">
        <v>191</v>
      </c>
      <c r="B136" s="97"/>
      <c r="C136" s="97"/>
      <c r="D136" s="97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0" t="s">
        <v>188</v>
      </c>
      <c r="B149" s="100"/>
      <c r="C149" s="100"/>
      <c r="D149" s="10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0" t="s">
        <v>190</v>
      </c>
      <c r="B162" s="100"/>
      <c r="C162" s="100"/>
      <c r="D162" s="10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0" t="s">
        <v>188</v>
      </c>
      <c r="B176" s="100"/>
      <c r="C176" s="100"/>
      <c r="D176" s="10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0" t="s">
        <v>190</v>
      </c>
      <c r="B189" s="100"/>
      <c r="C189" s="100"/>
      <c r="D189" s="10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0" t="s">
        <v>188</v>
      </c>
      <c r="B203" s="100"/>
      <c r="C203" s="100"/>
      <c r="D203" s="10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0" t="s">
        <v>190</v>
      </c>
      <c r="B216" s="100"/>
      <c r="C216" s="100"/>
      <c r="D216" s="10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7" t="s">
        <v>191</v>
      </c>
      <c r="B217" s="97"/>
      <c r="C217" s="97"/>
      <c r="D217" s="97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0" t="s">
        <v>188</v>
      </c>
      <c r="B230" s="100"/>
      <c r="C230" s="100"/>
      <c r="D230" s="10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0" t="s">
        <v>190</v>
      </c>
      <c r="B243" s="100"/>
      <c r="C243" s="100"/>
      <c r="D243" s="10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301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0" t="s">
        <v>188</v>
      </c>
      <c r="B257" s="100"/>
      <c r="C257" s="100"/>
      <c r="D257" s="10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0" t="s">
        <v>190</v>
      </c>
      <c r="B270" s="100"/>
      <c r="C270" s="100"/>
      <c r="D270" s="10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0" t="s">
        <v>188</v>
      </c>
      <c r="B284" s="100"/>
      <c r="C284" s="100"/>
      <c r="D284" s="10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302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0" t="s">
        <v>190</v>
      </c>
      <c r="B297" s="100"/>
      <c r="C297" s="100"/>
      <c r="D297" s="10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303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0" t="s">
        <v>188</v>
      </c>
      <c r="B311" s="100"/>
      <c r="C311" s="100"/>
      <c r="D311" s="10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0" t="s">
        <v>190</v>
      </c>
      <c r="B324" s="100"/>
      <c r="C324" s="100"/>
      <c r="D324" s="10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0" t="s">
        <v>188</v>
      </c>
      <c r="B338" s="100"/>
      <c r="C338" s="100"/>
      <c r="D338" s="10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0" t="s">
        <v>190</v>
      </c>
      <c r="B351" s="100"/>
      <c r="C351" s="100"/>
      <c r="D351" s="10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7" t="s">
        <v>191</v>
      </c>
      <c r="B352" s="97"/>
      <c r="C352" s="97"/>
      <c r="D352" s="97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0" t="s">
        <v>188</v>
      </c>
      <c r="B365" s="100"/>
      <c r="C365" s="100"/>
      <c r="D365" s="10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0" t="s">
        <v>190</v>
      </c>
      <c r="B378" s="100"/>
      <c r="C378" s="100"/>
      <c r="D378" s="10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0" t="s">
        <v>190</v>
      </c>
      <c r="B405" s="100"/>
      <c r="C405" s="100"/>
      <c r="D405" s="10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0" t="s">
        <v>188</v>
      </c>
      <c r="B419" s="100"/>
      <c r="C419" s="100"/>
      <c r="D419" s="10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0" t="s">
        <v>190</v>
      </c>
      <c r="B432" s="100"/>
      <c r="C432" s="100"/>
      <c r="D432" s="10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7" t="s">
        <v>191</v>
      </c>
      <c r="B433" s="97"/>
      <c r="C433" s="97"/>
      <c r="D433" s="97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306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0" t="s">
        <v>188</v>
      </c>
      <c r="B446" s="100"/>
      <c r="C446" s="100"/>
      <c r="D446" s="10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0" t="s">
        <v>190</v>
      </c>
      <c r="B459" s="100"/>
      <c r="C459" s="100"/>
      <c r="D459" s="10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0" t="s">
        <v>188</v>
      </c>
      <c r="B473" s="100"/>
      <c r="C473" s="100"/>
      <c r="D473" s="10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0" t="s">
        <v>190</v>
      </c>
      <c r="B486" s="100"/>
      <c r="C486" s="100"/>
      <c r="D486" s="10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0" t="s">
        <v>188</v>
      </c>
      <c r="B500" s="100"/>
      <c r="C500" s="100"/>
      <c r="D500" s="10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0" t="s">
        <v>190</v>
      </c>
      <c r="B513" s="100"/>
      <c r="C513" s="100"/>
      <c r="D513" s="10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0" t="s">
        <v>188</v>
      </c>
      <c r="B527" s="100"/>
      <c r="C527" s="100"/>
      <c r="D527" s="10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0" t="s">
        <v>190</v>
      </c>
      <c r="B540" s="100"/>
      <c r="C540" s="100"/>
      <c r="D540" s="10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0" t="s">
        <v>188</v>
      </c>
      <c r="B554" s="100"/>
      <c r="C554" s="100"/>
      <c r="D554" s="10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0" t="s">
        <v>190</v>
      </c>
      <c r="B567" s="100"/>
      <c r="C567" s="100"/>
      <c r="D567" s="10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309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0" t="s">
        <v>188</v>
      </c>
      <c r="B581" s="100"/>
      <c r="C581" s="100"/>
      <c r="D581" s="10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310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0" t="s">
        <v>190</v>
      </c>
      <c r="B594" s="100"/>
      <c r="C594" s="100"/>
      <c r="D594" s="10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0" t="s">
        <v>188</v>
      </c>
      <c r="B608" s="100"/>
      <c r="C608" s="100"/>
      <c r="D608" s="10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311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0" t="s">
        <v>190</v>
      </c>
      <c r="B621" s="100"/>
      <c r="C621" s="100"/>
      <c r="D621" s="10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312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0" t="s">
        <v>188</v>
      </c>
      <c r="B635" s="100"/>
      <c r="C635" s="100"/>
      <c r="D635" s="10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313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0" t="s">
        <v>190</v>
      </c>
      <c r="B648" s="100"/>
      <c r="C648" s="100"/>
      <c r="D648" s="10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0" t="s">
        <v>188</v>
      </c>
      <c r="B662" s="100"/>
      <c r="C662" s="100"/>
      <c r="D662" s="10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0" t="s">
        <v>190</v>
      </c>
      <c r="B675" s="100"/>
      <c r="C675" s="100"/>
      <c r="D675" s="10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314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0" t="s">
        <v>188</v>
      </c>
      <c r="B689" s="100"/>
      <c r="C689" s="100"/>
      <c r="D689" s="10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0" t="s">
        <v>190</v>
      </c>
      <c r="B702" s="100"/>
      <c r="C702" s="100"/>
      <c r="D702" s="10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0" t="s">
        <v>188</v>
      </c>
      <c r="B716" s="100"/>
      <c r="C716" s="100"/>
      <c r="D716" s="100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0" t="s">
        <v>190</v>
      </c>
      <c r="B729" s="100"/>
      <c r="C729" s="100"/>
      <c r="D729" s="100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7" t="s">
        <v>191</v>
      </c>
      <c r="B730" s="97"/>
      <c r="C730" s="97"/>
      <c r="D730" s="97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315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0" t="s">
        <v>188</v>
      </c>
      <c r="B743" s="100"/>
      <c r="C743" s="100"/>
      <c r="D743" s="100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189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/>
      <c r="L744" s="70" t="str">
        <f t="shared" ref="L744:L755" si="166">IFERROR(IF(K744="","",IF(K744&gt;=J744,K744-J744,K744+1-J744)),"")</f>
        <v/>
      </c>
      <c r="M744" s="11" t="s">
        <v>298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0" t="s">
        <v>190</v>
      </c>
      <c r="B756" s="100"/>
      <c r="C756" s="100"/>
      <c r="D756" s="100"/>
      <c r="E756" s="19">
        <f>SUM(E744:E755)</f>
        <v>7</v>
      </c>
      <c r="F756" s="19">
        <f>SUM(F744:F755)</f>
        <v>28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7" t="s">
        <v>191</v>
      </c>
      <c r="B757" s="97"/>
      <c r="C757" s="97"/>
      <c r="D757" s="97"/>
      <c r="E757" s="22">
        <f>E743+E756</f>
        <v>48</v>
      </c>
      <c r="F757" s="22">
        <f>F743+F756</f>
        <v>192</v>
      </c>
      <c r="G757" s="21"/>
      <c r="H757" s="21"/>
      <c r="I757" s="21"/>
      <c r="J757" s="21"/>
      <c r="K757" s="21"/>
      <c r="L757" s="73">
        <f>IFERROR(L743+L756,"")</f>
        <v>0.2236111111111112</v>
      </c>
      <c r="M757" s="22" t="s">
        <v>192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0" t="s">
        <v>188</v>
      </c>
      <c r="B770" s="100"/>
      <c r="C770" s="100"/>
      <c r="D770" s="10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0" t="s">
        <v>190</v>
      </c>
      <c r="B783" s="100"/>
      <c r="C783" s="100"/>
      <c r="D783" s="10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0" t="s">
        <v>188</v>
      </c>
      <c r="B797" s="100"/>
      <c r="C797" s="100"/>
      <c r="D797" s="10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0" t="s">
        <v>190</v>
      </c>
      <c r="B810" s="100"/>
      <c r="C810" s="100"/>
      <c r="D810" s="10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7" t="s">
        <v>191</v>
      </c>
      <c r="B811" s="97"/>
      <c r="C811" s="97"/>
      <c r="D811" s="97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29" activePane="bottomLeft" state="frozen"/>
      <selection pane="bottomLeft" activeCell="H744" sqref="H744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316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317</v>
      </c>
      <c r="I2" s="10" t="s">
        <v>318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317</v>
      </c>
      <c r="I3" s="16" t="s">
        <v>318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317</v>
      </c>
      <c r="I4" s="10" t="s">
        <v>318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317</v>
      </c>
      <c r="I5" s="16" t="s">
        <v>318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317</v>
      </c>
      <c r="I6" s="10" t="s">
        <v>318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317</v>
      </c>
      <c r="I7" s="16" t="s">
        <v>318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317</v>
      </c>
      <c r="I8" s="10" t="s">
        <v>318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317</v>
      </c>
      <c r="I9" s="16" t="s">
        <v>318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317</v>
      </c>
      <c r="I10" s="10" t="s">
        <v>318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317</v>
      </c>
      <c r="I11" s="16" t="s">
        <v>318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317</v>
      </c>
      <c r="I12" s="10" t="s">
        <v>318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317</v>
      </c>
      <c r="I13" s="16" t="s">
        <v>318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0" t="s">
        <v>188</v>
      </c>
      <c r="B14" s="100"/>
      <c r="C14" s="100"/>
      <c r="D14" s="10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319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0" t="s">
        <v>190</v>
      </c>
      <c r="B27" s="100"/>
      <c r="C27" s="100"/>
      <c r="D27" s="10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7" t="s">
        <v>191</v>
      </c>
      <c r="B28" s="97"/>
      <c r="C28" s="97"/>
      <c r="D28" s="97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320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321</v>
      </c>
      <c r="I33" s="16" t="s">
        <v>322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323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0" t="s">
        <v>188</v>
      </c>
      <c r="B41" s="100"/>
      <c r="C41" s="100"/>
      <c r="D41" s="10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0" t="s">
        <v>190</v>
      </c>
      <c r="B54" s="100"/>
      <c r="C54" s="100"/>
      <c r="D54" s="10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7" t="s">
        <v>191</v>
      </c>
      <c r="B55" s="97"/>
      <c r="C55" s="97"/>
      <c r="D55" s="97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0" t="s">
        <v>188</v>
      </c>
      <c r="B68" s="100"/>
      <c r="C68" s="100"/>
      <c r="D68" s="10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323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0" t="s">
        <v>190</v>
      </c>
      <c r="B81" s="100"/>
      <c r="C81" s="100"/>
      <c r="D81" s="10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0" t="s">
        <v>188</v>
      </c>
      <c r="B95" s="100"/>
      <c r="C95" s="100"/>
      <c r="D95" s="10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324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0" t="s">
        <v>190</v>
      </c>
      <c r="B108" s="100"/>
      <c r="C108" s="100"/>
      <c r="D108" s="10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7" t="s">
        <v>191</v>
      </c>
      <c r="B109" s="97"/>
      <c r="C109" s="97"/>
      <c r="D109" s="97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0" t="s">
        <v>188</v>
      </c>
      <c r="B122" s="100"/>
      <c r="C122" s="100"/>
      <c r="D122" s="10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0" t="s">
        <v>190</v>
      </c>
      <c r="B135" s="100"/>
      <c r="C135" s="100"/>
      <c r="D135" s="10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7" t="s">
        <v>191</v>
      </c>
      <c r="B136" s="97"/>
      <c r="C136" s="97"/>
      <c r="D136" s="97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0" t="s">
        <v>188</v>
      </c>
      <c r="B149" s="100"/>
      <c r="C149" s="100"/>
      <c r="D149" s="10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0" t="s">
        <v>190</v>
      </c>
      <c r="B162" s="100"/>
      <c r="C162" s="100"/>
      <c r="D162" s="10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0" t="s">
        <v>188</v>
      </c>
      <c r="B176" s="100"/>
      <c r="C176" s="100"/>
      <c r="D176" s="10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0" t="s">
        <v>190</v>
      </c>
      <c r="B189" s="100"/>
      <c r="C189" s="100"/>
      <c r="D189" s="10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325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0" t="s">
        <v>188</v>
      </c>
      <c r="B203" s="100"/>
      <c r="C203" s="100"/>
      <c r="D203" s="10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0" t="s">
        <v>190</v>
      </c>
      <c r="B216" s="100"/>
      <c r="C216" s="100"/>
      <c r="D216" s="10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7" t="s">
        <v>191</v>
      </c>
      <c r="B217" s="97"/>
      <c r="C217" s="97"/>
      <c r="D217" s="97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326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0" t="s">
        <v>188</v>
      </c>
      <c r="B230" s="100"/>
      <c r="C230" s="100"/>
      <c r="D230" s="10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0" t="s">
        <v>190</v>
      </c>
      <c r="B243" s="100"/>
      <c r="C243" s="100"/>
      <c r="D243" s="10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327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0" t="s">
        <v>188</v>
      </c>
      <c r="B257" s="100"/>
      <c r="C257" s="100"/>
      <c r="D257" s="10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0" t="s">
        <v>190</v>
      </c>
      <c r="B270" s="100"/>
      <c r="C270" s="100"/>
      <c r="D270" s="10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328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0" t="s">
        <v>188</v>
      </c>
      <c r="B284" s="100"/>
      <c r="C284" s="100"/>
      <c r="D284" s="10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329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330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331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0" t="s">
        <v>190</v>
      </c>
      <c r="B297" s="100"/>
      <c r="C297" s="100"/>
      <c r="D297" s="10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330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332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303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0" t="s">
        <v>188</v>
      </c>
      <c r="B311" s="100"/>
      <c r="C311" s="100"/>
      <c r="D311" s="10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333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333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333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334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0" t="s">
        <v>190</v>
      </c>
      <c r="B324" s="100"/>
      <c r="C324" s="100"/>
      <c r="D324" s="10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0" t="s">
        <v>188</v>
      </c>
      <c r="B338" s="100"/>
      <c r="C338" s="100"/>
      <c r="D338" s="10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335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0" t="s">
        <v>190</v>
      </c>
      <c r="B351" s="100"/>
      <c r="C351" s="100"/>
      <c r="D351" s="10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7" t="s">
        <v>191</v>
      </c>
      <c r="B352" s="97"/>
      <c r="C352" s="97"/>
      <c r="D352" s="97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336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337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305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0" t="s">
        <v>188</v>
      </c>
      <c r="B365" s="100"/>
      <c r="C365" s="100"/>
      <c r="D365" s="10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0" t="s">
        <v>190</v>
      </c>
      <c r="B378" s="100"/>
      <c r="C378" s="100"/>
      <c r="D378" s="10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0" t="s">
        <v>188</v>
      </c>
      <c r="B392" s="100"/>
      <c r="C392" s="100"/>
      <c r="D392" s="10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0" t="s">
        <v>190</v>
      </c>
      <c r="B405" s="100"/>
      <c r="C405" s="100"/>
      <c r="D405" s="10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338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339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340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0" t="s">
        <v>188</v>
      </c>
      <c r="B419" s="100"/>
      <c r="C419" s="100"/>
      <c r="D419" s="10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0" t="s">
        <v>190</v>
      </c>
      <c r="B432" s="100"/>
      <c r="C432" s="100"/>
      <c r="D432" s="10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7" t="s">
        <v>191</v>
      </c>
      <c r="B433" s="97"/>
      <c r="C433" s="97"/>
      <c r="D433" s="97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0" t="s">
        <v>188</v>
      </c>
      <c r="B446" s="100"/>
      <c r="C446" s="100"/>
      <c r="D446" s="10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330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330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0" t="s">
        <v>190</v>
      </c>
      <c r="B459" s="100"/>
      <c r="C459" s="100"/>
      <c r="D459" s="10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0" t="s">
        <v>188</v>
      </c>
      <c r="B473" s="100"/>
      <c r="C473" s="100"/>
      <c r="D473" s="10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341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342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343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0" t="s">
        <v>190</v>
      </c>
      <c r="B486" s="100"/>
      <c r="C486" s="100"/>
      <c r="D486" s="10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0" t="s">
        <v>188</v>
      </c>
      <c r="B500" s="100"/>
      <c r="C500" s="100"/>
      <c r="D500" s="10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344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345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0" t="s">
        <v>190</v>
      </c>
      <c r="B513" s="100"/>
      <c r="C513" s="100"/>
      <c r="D513" s="10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0" t="s">
        <v>188</v>
      </c>
      <c r="B527" s="100"/>
      <c r="C527" s="100"/>
      <c r="D527" s="10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346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347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0" t="s">
        <v>190</v>
      </c>
      <c r="B540" s="100"/>
      <c r="C540" s="100"/>
      <c r="D540" s="10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348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349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0" t="s">
        <v>188</v>
      </c>
      <c r="B554" s="100"/>
      <c r="C554" s="100"/>
      <c r="D554" s="10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350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0" t="s">
        <v>190</v>
      </c>
      <c r="B567" s="100"/>
      <c r="C567" s="100"/>
      <c r="D567" s="10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351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352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353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0" t="s">
        <v>190</v>
      </c>
      <c r="B594" s="100"/>
      <c r="C594" s="100"/>
      <c r="D594" s="10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354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0" t="s">
        <v>188</v>
      </c>
      <c r="B608" s="100"/>
      <c r="C608" s="100"/>
      <c r="D608" s="10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355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0" t="s">
        <v>190</v>
      </c>
      <c r="B621" s="100"/>
      <c r="C621" s="100"/>
      <c r="D621" s="10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342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0" t="s">
        <v>188</v>
      </c>
      <c r="B635" s="100"/>
      <c r="C635" s="100"/>
      <c r="D635" s="10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356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357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0" t="s">
        <v>190</v>
      </c>
      <c r="B648" s="100"/>
      <c r="C648" s="100"/>
      <c r="D648" s="10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358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0" t="s">
        <v>190</v>
      </c>
      <c r="B675" s="100"/>
      <c r="C675" s="100"/>
      <c r="D675" s="10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0" t="s">
        <v>188</v>
      </c>
      <c r="B689" s="100"/>
      <c r="C689" s="100"/>
      <c r="D689" s="10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359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360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0" t="s">
        <v>190</v>
      </c>
      <c r="B702" s="100"/>
      <c r="C702" s="100"/>
      <c r="D702" s="10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361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362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363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0" t="s">
        <v>188</v>
      </c>
      <c r="B716" s="100"/>
      <c r="C716" s="100"/>
      <c r="D716" s="100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364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365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0" t="s">
        <v>190</v>
      </c>
      <c r="B729" s="100"/>
      <c r="C729" s="100"/>
      <c r="D729" s="100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7" t="s">
        <v>191</v>
      </c>
      <c r="B730" s="97"/>
      <c r="C730" s="97"/>
      <c r="D730" s="97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366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315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0" t="s">
        <v>188</v>
      </c>
      <c r="B743" s="100"/>
      <c r="C743" s="100"/>
      <c r="D743" s="100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189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0" t="s">
        <v>190</v>
      </c>
      <c r="B756" s="100"/>
      <c r="C756" s="100"/>
      <c r="D756" s="100"/>
      <c r="E756" s="19">
        <f>SUM(E744:E755)</f>
        <v>24</v>
      </c>
      <c r="F756" s="19">
        <f>SUM(F744:F755)</f>
        <v>96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189</v>
      </c>
      <c r="N756" s="20"/>
    </row>
    <row r="757" spans="1:14" ht="18" customHeight="1">
      <c r="A757" s="97" t="s">
        <v>191</v>
      </c>
      <c r="B757" s="97"/>
      <c r="C757" s="97"/>
      <c r="D757" s="97"/>
      <c r="E757" s="22">
        <f>E743+E756</f>
        <v>148</v>
      </c>
      <c r="F757" s="22">
        <f>F743+F756</f>
        <v>592</v>
      </c>
      <c r="G757" s="39"/>
      <c r="H757" s="39"/>
      <c r="I757" s="39"/>
      <c r="J757" s="39"/>
      <c r="K757" s="39"/>
      <c r="L757" s="73">
        <f>IFERROR(L743+L756,"")</f>
        <v>0.14444444444444449</v>
      </c>
      <c r="M757" s="22" t="s">
        <v>192</v>
      </c>
      <c r="N757" s="31">
        <f>IFERROR(N743+N756,"")</f>
        <v>471600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0" t="s">
        <v>188</v>
      </c>
      <c r="B770" s="100"/>
      <c r="C770" s="100"/>
      <c r="D770" s="10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0" t="s">
        <v>190</v>
      </c>
      <c r="B783" s="100"/>
      <c r="C783" s="100"/>
      <c r="D783" s="10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98" t="s">
        <v>188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98" t="s">
        <v>190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99" t="s">
        <v>191</v>
      </c>
      <c r="B811" s="99"/>
      <c r="C811" s="99"/>
      <c r="D811" s="99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2026-06-29T00:55:58Z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