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44" documentId="8_{AF585B22-221D-4780-BB9C-493D365A6A02}" xr6:coauthVersionLast="47" xr6:coauthVersionMax="47" xr10:uidLastSave="{42BD0A26-F9A1-4106-A59B-52FEE6EE67A2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<sst xmlns="http://schemas.openxmlformats.org/spreadsheetml/2006/main" count="5713" uniqueCount="310">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</sst>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28" activePane="bottomLeft" state="frozen"/>
      <selection pane="bottomLeft" activeCell="F340" sqref="F34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/>
      <c r="M340" s="30">
        <f t="shared" ca="1" si="76"/>
        <v>1.8049537036858965E-2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11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9.6521759259081241E-2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316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0.19443842592574789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F342" sqref="F3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17</v>
      </c>
      <c r="G341" s="34">
        <f t="shared" si="75"/>
        <v>71.400000000000006</v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49</v>
      </c>
      <c r="G351" s="36">
        <f>SUM(G339:G350)</f>
        <v>205.8</v>
      </c>
      <c r="H351" s="37"/>
      <c r="I351" s="37"/>
      <c r="J351" s="37"/>
      <c r="K351" s="37"/>
      <c r="L351" s="37"/>
      <c r="M351" s="38">
        <f ca="1">IFERROR(SUM(M339:M350),"")</f>
        <v>5.5555555555555358E-3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246</v>
      </c>
      <c r="G352" s="40">
        <f>G338+G351</f>
        <v>1042.8000000000002</v>
      </c>
      <c r="H352" s="41"/>
      <c r="I352" s="41"/>
      <c r="J352" s="41"/>
      <c r="K352" s="41"/>
      <c r="L352" s="41"/>
      <c r="M352" s="42">
        <f ca="1">IFERROR(M338+M351,"")</f>
        <v>7.5000000000000011E-2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9" zoomScale="50" zoomScaleNormal="50" workbookViewId="0">
      <selection activeCell="F342" sqref="F3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7</v>
      </c>
      <c r="G341" s="34">
        <f t="shared" si="75"/>
        <v>29.400000000000002</v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32</v>
      </c>
      <c r="G351" s="36">
        <f>SUM(G339:G350)</f>
        <v>134.4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72</v>
      </c>
      <c r="G352" s="40">
        <f>G338+G351</f>
        <v>302.40000000000003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15" activePane="bottomLeft" state="frozen"/>
      <selection pane="bottomLeft" activeCell="F342" sqref="F34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0.68957731481350493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0.88888287036906055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1.2562439814801716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7</v>
      </c>
      <c r="G341" s="34">
        <f t="shared" si="75"/>
        <v>29.400000000000002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 t="s">
        <v>20</v>
      </c>
      <c r="I344" s="26" t="s">
        <v>153</v>
      </c>
      <c r="J344" s="26" t="s">
        <v>74</v>
      </c>
      <c r="K344" s="29" t="s">
        <v>309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32</v>
      </c>
      <c r="G351" s="36">
        <f>SUM(G339:G350)</f>
        <v>134.4</v>
      </c>
      <c r="H351" s="37"/>
      <c r="I351" s="37"/>
      <c r="J351" s="37"/>
      <c r="K351" s="61"/>
      <c r="L351" s="61"/>
      <c r="M351" s="38">
        <f ca="1">IFERROR(SUM(M339:M350),"")</f>
        <v>4.166666666666663E-2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215</v>
      </c>
      <c r="G352" s="40">
        <f>G338+G351</f>
        <v>915</v>
      </c>
      <c r="H352" s="41"/>
      <c r="I352" s="41"/>
      <c r="J352" s="41"/>
      <c r="K352" s="63"/>
      <c r="L352" s="63"/>
      <c r="M352" s="42">
        <f ca="1">IFERROR(M338+M351,"")</f>
        <v>0.15069444444444435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2026-07-14T02:32:19Z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