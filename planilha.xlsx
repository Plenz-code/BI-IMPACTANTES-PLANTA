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47" documentId="8_{AF585B22-221D-4780-BB9C-493D365A6A02}" xr6:coauthVersionLast="47" xr6:coauthVersionMax="47" xr10:uidLastSave="{D9D7663F-29BD-4843-95D5-C0056B709E7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<sst xmlns="http://schemas.openxmlformats.org/spreadsheetml/2006/main" count="9313" uniqueCount="380">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</sst>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J596" sqref="J5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/>
      <c r="M596" s="30">
        <f t="shared" ref="M596:M607" ca="1" si="133">IFERROR(IF(K596="","",IF(L596="",MOD(NOW()-K596,1),IF(L596&gt;=K596,L596-K596,L596+1-K596))),"")</f>
        <v>2.541979166562669E-2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219</v>
      </c>
      <c r="G608" s="36">
        <f>SUM(G596:G607)</f>
        <v>1095</v>
      </c>
      <c r="H608" s="37"/>
      <c r="I608" s="37"/>
      <c r="J608" s="37"/>
      <c r="K608" s="37"/>
      <c r="L608" s="37"/>
      <c r="M608" s="38">
        <f ca="1">IFERROR(SUM(M596:M607),"")</f>
        <v>2.541979166562669E-2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219</v>
      </c>
      <c r="G622" s="40">
        <f>G608+G621</f>
        <v>1095</v>
      </c>
      <c r="H622" s="41"/>
      <c r="I622" s="41"/>
      <c r="J622" s="41"/>
      <c r="K622" s="41"/>
      <c r="L622" s="41"/>
      <c r="M622" s="42">
        <f ca="1">IFERROR(M608+M621,"")</f>
        <v>2.541979166562669E-2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0.34208645833132323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0.49972534722021211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0.60944756944243428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0.32055868055613246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0.49139201388946585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0.63653090277835478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85</v>
      </c>
      <c r="G608" s="36">
        <f>SUM(G596:G607)</f>
        <v>357.00000000000006</v>
      </c>
      <c r="H608" s="37"/>
      <c r="I608" s="37"/>
      <c r="J608" s="37"/>
      <c r="K608" s="37"/>
      <c r="L608" s="37"/>
      <c r="M608" s="38">
        <f ca="1">IFERROR(SUM(M596:M607),"")</f>
        <v>5.902777777777779E-2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85</v>
      </c>
      <c r="G622" s="40">
        <f>G608+G621</f>
        <v>357.00000000000006</v>
      </c>
      <c r="H622" s="41"/>
      <c r="I622" s="41"/>
      <c r="J622" s="41"/>
      <c r="K622" s="41"/>
      <c r="L622" s="41"/>
      <c r="M622" s="42">
        <f ca="1">IFERROR(M608+M621,"")</f>
        <v>5.902777777777779E-2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73</v>
      </c>
      <c r="G608" s="36">
        <f>SUM(G596:G607)</f>
        <v>306.60000000000002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73</v>
      </c>
      <c r="G622" s="40">
        <f>G608+G621</f>
        <v>306.60000000000002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0.33236423611378996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0.53166979166934558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0.89903090278045661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117</v>
      </c>
      <c r="G608" s="36">
        <f>SUM(G596:G607)</f>
        <v>491.40000000000003</v>
      </c>
      <c r="H608" s="37"/>
      <c r="I608" s="37"/>
      <c r="J608" s="37"/>
      <c r="K608" s="61"/>
      <c r="L608" s="61"/>
      <c r="M608" s="38">
        <f ca="1">IFERROR(SUM(M596:M607),"")</f>
        <v>3.0555555555555614E-2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117</v>
      </c>
      <c r="G622" s="40">
        <f>G608+G621</f>
        <v>491.40000000000003</v>
      </c>
      <c r="H622" s="41"/>
      <c r="I622" s="41"/>
      <c r="J622" s="41"/>
      <c r="K622" s="63"/>
      <c r="L622" s="63"/>
      <c r="M622" s="42">
        <f ca="1">IFERROR(M608+M621,"")</f>
        <v>3.0555555555555614E-2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2026-07-23T17:57:56Z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