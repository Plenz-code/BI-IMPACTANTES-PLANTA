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608" documentId="8_{C51EB6CB-002B-4D6B-B68F-DDEBDB4460C0}" xr6:coauthVersionLast="47" xr6:coauthVersionMax="47" xr10:uidLastSave="{777DD40E-05B8-4A65-99AA-05BB54ABA62F}"/>
  <bookViews>
    <workbookView xWindow="-108" yWindow="-108" windowWidth="23256" windowHeight="12456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<sst xmlns="http://schemas.openxmlformats.org/spreadsheetml/2006/main" count="3897" uniqueCount="296">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</sst>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6" sqref="G1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0" t="s">
        <v>0</v>
      </c>
      <c r="B1" s="110"/>
      <c r="C1" s="110"/>
      <c r="D1" s="110"/>
      <c r="E1" s="110"/>
      <c r="F1" s="110"/>
      <c r="G1" s="110"/>
    </row>
    <row r="2" spans="1:7" ht="24.75" customHeight="1">
      <c r="A2" s="111"/>
      <c r="B2" s="11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2934820</v>
      </c>
      <c r="D10" s="8">
        <f>IFERROR('Linha 1'!O190,"")</f>
        <v>366290</v>
      </c>
      <c r="E10" s="8">
        <f>IFERROR('Linha 2'!O190,"")</f>
        <v>271350</v>
      </c>
      <c r="F10" s="8">
        <f>IFERROR('Linha 3'!O190,"")</f>
        <v>659400</v>
      </c>
      <c r="G10" s="9">
        <f t="shared" si="0"/>
        <v>1297040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2" t="s">
        <v>9</v>
      </c>
      <c r="B35" s="112"/>
      <c r="C35" s="13">
        <f>IFERROR(SUM(C4:C34),"")</f>
        <v>22134655</v>
      </c>
      <c r="D35" s="13">
        <f>IFERROR(SUM(D4:D34),"")</f>
        <v>6750200</v>
      </c>
      <c r="E35" s="13">
        <f>IFERROR(SUM(E4:E34),"")</f>
        <v>3564130</v>
      </c>
      <c r="F35" s="13">
        <f>IFERROR(SUM(F4:F34),"")</f>
        <v>8758750</v>
      </c>
      <c r="G35" s="13">
        <f>IFERROR(SUM(G4:G34),"")</f>
        <v>19073080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3" t="s">
        <v>10</v>
      </c>
      <c r="B1" s="113"/>
      <c r="C1" s="113"/>
      <c r="D1" s="113"/>
      <c r="E1" s="113"/>
      <c r="F1" s="113"/>
      <c r="G1" s="113"/>
      <c r="H1" s="114"/>
      <c r="I1" s="115" t="s">
        <v>11</v>
      </c>
      <c r="J1" s="115"/>
      <c r="K1" s="115"/>
      <c r="L1" s="115"/>
      <c r="M1" s="115"/>
    </row>
    <row r="2" spans="1:13" ht="4.5" customHeight="1">
      <c r="H2" s="11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4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4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4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4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4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4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4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4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4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4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4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4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4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4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4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4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4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4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4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4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4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4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4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4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4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4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4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4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4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4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4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4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4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4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4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4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4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4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4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4"/>
      <c r="I57" s="17"/>
      <c r="J57" s="17"/>
      <c r="K57" s="17" t="s">
        <v>50</v>
      </c>
      <c r="L57" s="17"/>
      <c r="M57" s="17"/>
    </row>
    <row r="58" spans="1:13" ht="15" customHeight="1">
      <c r="H58" s="114"/>
      <c r="I58" s="16"/>
      <c r="J58" s="16"/>
      <c r="K58" s="16" t="s">
        <v>207</v>
      </c>
      <c r="L58" s="16"/>
      <c r="M58" s="16"/>
    </row>
    <row r="59" spans="1:13" ht="15" customHeight="1">
      <c r="H59" s="114"/>
      <c r="I59" s="17"/>
      <c r="J59" s="17"/>
      <c r="K59" s="17" t="s">
        <v>208</v>
      </c>
      <c r="L59" s="17"/>
      <c r="M59" s="17"/>
    </row>
    <row r="60" spans="1:13" ht="15" customHeight="1">
      <c r="H60" s="114"/>
      <c r="I60" s="16"/>
      <c r="J60" s="16"/>
      <c r="K60" s="86" t="s">
        <v>105</v>
      </c>
      <c r="L60" s="16"/>
      <c r="M60" s="16"/>
    </row>
    <row r="61" spans="1:13" ht="15" customHeight="1">
      <c r="H61" s="114"/>
      <c r="I61" s="17"/>
      <c r="J61" s="17"/>
      <c r="K61" s="17" t="s">
        <v>209</v>
      </c>
      <c r="L61" s="17"/>
      <c r="M61" s="17"/>
    </row>
    <row r="62" spans="1:13" ht="15" customHeight="1">
      <c r="H62" s="114"/>
      <c r="I62" s="16"/>
      <c r="J62" s="16"/>
      <c r="K62" s="16" t="s">
        <v>210</v>
      </c>
      <c r="L62" s="16"/>
      <c r="M62" s="16"/>
    </row>
    <row r="63" spans="1:13" ht="15" customHeight="1">
      <c r="H63" s="114"/>
      <c r="I63" s="17"/>
      <c r="J63" s="17"/>
      <c r="K63" s="17" t="s">
        <v>211</v>
      </c>
      <c r="L63" s="17"/>
      <c r="M63" s="17"/>
    </row>
    <row r="64" spans="1:13" ht="15" customHeight="1">
      <c r="H64" s="114"/>
      <c r="I64" s="16"/>
      <c r="J64" s="16"/>
      <c r="K64" s="16" t="s">
        <v>212</v>
      </c>
      <c r="L64" s="16"/>
      <c r="M64" s="16"/>
    </row>
    <row r="65" spans="8:13" ht="15" customHeight="1">
      <c r="H65" s="114"/>
      <c r="I65" s="17"/>
      <c r="J65" s="17"/>
      <c r="K65" s="17" t="s">
        <v>213</v>
      </c>
      <c r="L65" s="17"/>
      <c r="M65" s="17"/>
    </row>
    <row r="66" spans="8:13" ht="15" customHeight="1">
      <c r="H66" s="114"/>
      <c r="I66" s="16"/>
      <c r="J66" s="16"/>
      <c r="K66" s="16" t="s">
        <v>214</v>
      </c>
      <c r="L66" s="16"/>
      <c r="M66" s="16"/>
    </row>
    <row r="67" spans="8:13" ht="15" customHeight="1">
      <c r="H67" s="114"/>
      <c r="I67" s="17"/>
      <c r="J67" s="17"/>
      <c r="K67" s="17" t="s">
        <v>215</v>
      </c>
      <c r="L67" s="17"/>
      <c r="M67" s="17"/>
    </row>
    <row r="68" spans="8:13" ht="15" customHeight="1">
      <c r="H68" s="114"/>
      <c r="I68" s="16"/>
      <c r="J68" s="16"/>
      <c r="K68" s="16" t="s">
        <v>216</v>
      </c>
      <c r="L68" s="16"/>
      <c r="M68" s="16"/>
    </row>
    <row r="69" spans="8:13" ht="15" customHeight="1">
      <c r="H69" s="114"/>
      <c r="I69" s="17"/>
      <c r="J69" s="17"/>
      <c r="K69" s="17" t="s">
        <v>217</v>
      </c>
      <c r="L69" s="17"/>
      <c r="M69" s="17"/>
    </row>
    <row r="70" spans="8:13" ht="15" customHeight="1">
      <c r="H70" s="114"/>
      <c r="I70" s="16"/>
      <c r="J70" s="16"/>
      <c r="K70" s="16" t="s">
        <v>218</v>
      </c>
      <c r="L70" s="16"/>
      <c r="M70" s="16"/>
    </row>
    <row r="71" spans="8:13" ht="15" customHeight="1">
      <c r="H71" s="114"/>
      <c r="I71" s="17"/>
      <c r="J71" s="17"/>
      <c r="K71" s="17" t="s">
        <v>219</v>
      </c>
      <c r="L71" s="17"/>
      <c r="M71" s="17"/>
    </row>
    <row r="72" spans="8:13" ht="15" customHeight="1">
      <c r="H72" s="114"/>
      <c r="I72" s="16"/>
      <c r="J72" s="16"/>
      <c r="K72" s="16" t="s">
        <v>220</v>
      </c>
      <c r="L72" s="16"/>
      <c r="M72" s="16"/>
    </row>
    <row r="73" spans="8:13" ht="15" customHeight="1">
      <c r="H73" s="114"/>
      <c r="I73" s="17"/>
      <c r="J73" s="17"/>
      <c r="K73" s="17" t="s">
        <v>221</v>
      </c>
      <c r="L73" s="17"/>
      <c r="M73" s="17"/>
    </row>
    <row r="74" spans="8:13" ht="15" customHeight="1">
      <c r="H74" s="114"/>
      <c r="I74" s="16"/>
      <c r="J74" s="16"/>
      <c r="K74" s="16" t="s">
        <v>222</v>
      </c>
      <c r="L74" s="16"/>
      <c r="M74" s="16"/>
    </row>
    <row r="75" spans="8:13" ht="15" customHeight="1">
      <c r="H75" s="11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59" activePane="bottomLeft" state="frozen"/>
      <selection pane="bottomLeft" activeCell="F183" sqref="F183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200</v>
      </c>
      <c r="G189" s="36">
        <f>SUM(G177:G188)</f>
        <v>1000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602</v>
      </c>
      <c r="G190" s="40">
        <f>G176+G189</f>
        <v>3010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2934820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6" t="s">
        <v>238</v>
      </c>
      <c r="B811" s="117"/>
      <c r="C811" s="117"/>
      <c r="D811" s="117"/>
      <c r="E811" s="118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60" activePane="bottomLeft" state="frozen"/>
      <selection pane="bottomLeft" activeCell="K181" sqref="K181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250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251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252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254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255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256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257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0.96608148147788597</v>
      </c>
      <c r="N53" s="46" t="s">
        <v>258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1.1049703703667748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1.1896925925889972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250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259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260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261</v>
      </c>
      <c r="M96" s="30" t="str">
        <f t="shared" ref="M96:M107" ca="1" si="22">IFERROR(IF(K96="","",IF(L96="",MOD(NOW()-K96,1),IF(L96&gt;=K96,L96-K96,L96+1-K96))),"")</f>
        <v/>
      </c>
      <c r="N96" s="46" t="s">
        <v>262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263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264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265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266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267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268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269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/>
      <c r="M181" s="35">
        <f t="shared" ca="1" si="40"/>
        <v>4.2759259231388569E-3</v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71</v>
      </c>
      <c r="G189" s="36">
        <f>SUM(G177:G188)</f>
        <v>298.20000000000005</v>
      </c>
      <c r="H189" s="37"/>
      <c r="I189" s="37"/>
      <c r="J189" s="37"/>
      <c r="K189" s="37"/>
      <c r="L189" s="37"/>
      <c r="M189" s="38">
        <f ca="1">IFERROR(SUM(M177:M188),"")</f>
        <v>0.13135925925647235</v>
      </c>
      <c r="N189" s="36" t="s">
        <v>235</v>
      </c>
      <c r="O189" s="77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140</v>
      </c>
      <c r="G190" s="40">
        <f>G176+G189</f>
        <v>588</v>
      </c>
      <c r="H190" s="41"/>
      <c r="I190" s="41"/>
      <c r="J190" s="41"/>
      <c r="K190" s="41"/>
      <c r="L190" s="41"/>
      <c r="M190" s="42">
        <f ca="1">IFERROR(M176+M189,"")</f>
        <v>0.21399814814536128</v>
      </c>
      <c r="N190" s="40" t="s">
        <v>239</v>
      </c>
      <c r="O190" s="82">
        <f>IFERROR(O176+O189,"")</f>
        <v>366290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77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7" t="s">
        <v>234</v>
      </c>
      <c r="B230" s="108"/>
      <c r="C230" s="108"/>
      <c r="D230" s="108"/>
      <c r="E230" s="10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157" zoomScale="50" zoomScaleNormal="50" workbookViewId="0">
      <selection activeCell="H182" sqref="H18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270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271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270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270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272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273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274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275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277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278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268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259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279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280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/>
      <c r="K182" s="29">
        <v>8.3333333333333329E-2</v>
      </c>
      <c r="L182" s="29"/>
      <c r="M182" s="30">
        <f t="shared" ca="1" si="40"/>
        <v>4.2759259231388569E-3</v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10</v>
      </c>
      <c r="G189" s="36">
        <f>SUM(G177:G188)</f>
        <v>42</v>
      </c>
      <c r="H189" s="37"/>
      <c r="I189" s="37"/>
      <c r="J189" s="37"/>
      <c r="K189" s="37"/>
      <c r="L189" s="37"/>
      <c r="M189" s="38">
        <f ca="1">IFERROR(SUM(M177:M188),"")</f>
        <v>0.19108148147869444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75</v>
      </c>
      <c r="G190" s="40">
        <f>G176+G189</f>
        <v>315</v>
      </c>
      <c r="H190" s="41"/>
      <c r="I190" s="41"/>
      <c r="J190" s="41"/>
      <c r="K190" s="41"/>
      <c r="L190" s="41"/>
      <c r="M190" s="42">
        <f ca="1">IFERROR(M176+M189,"")</f>
        <v>0.27580370370091667</v>
      </c>
      <c r="N190" s="40" t="s">
        <v>239</v>
      </c>
      <c r="O190" s="43">
        <f>IFERROR(O176+O189,"")</f>
        <v>271350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39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154" activePane="bottomLeft" state="frozen"/>
      <selection pane="bottomLeft" activeCell="F184" sqref="F18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281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256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270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282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283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284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285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286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287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270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270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288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289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259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270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290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291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268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292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293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294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/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295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88</v>
      </c>
      <c r="G189" s="36">
        <f>SUM(G177:G188)</f>
        <v>369.6</v>
      </c>
      <c r="H189" s="37"/>
      <c r="I189" s="37"/>
      <c r="J189" s="37"/>
      <c r="K189" s="61"/>
      <c r="L189" s="61"/>
      <c r="M189" s="38">
        <f ca="1">IFERROR(SUM(M177:M188),"")</f>
        <v>0.10277777777777786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88</v>
      </c>
      <c r="G190" s="40">
        <f>G176+G189</f>
        <v>1050</v>
      </c>
      <c r="H190" s="41"/>
      <c r="I190" s="41"/>
      <c r="J190" s="41"/>
      <c r="K190" s="63"/>
      <c r="L190" s="63"/>
      <c r="M190" s="42">
        <f ca="1">IFERROR(M176+M189,"")</f>
        <v>0.23541666666666683</v>
      </c>
      <c r="N190" s="40" t="s">
        <v>239</v>
      </c>
      <c r="O190" s="43">
        <f>IFERROR(O176+O189,"")</f>
        <v>659400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2026-08-08T06:06:14Z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