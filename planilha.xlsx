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35" documentId="8_{AF585B22-221D-4780-BB9C-493D365A6A02}" xr6:coauthVersionLast="47" xr6:coauthVersionMax="47" xr10:uidLastSave="{81F2ECDF-140C-413D-A022-81411E84B5E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05" i="3" l="1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<sst xmlns="http://schemas.openxmlformats.org/spreadsheetml/2006/main" count="6731" uniqueCount="329">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</sst>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J407" sqref="J4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/>
      <c r="M407" s="35">
        <f t="shared" ref="M407:M418" ca="1" si="91">IFERROR(IF(K407="","",IF(L407="",MOD(NOW()-K407,1),IF(L407&gt;=K407,L407-K407,L407+1-K407))),"")</f>
        <v>1.3964120371383615E-3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123</v>
      </c>
      <c r="G419" s="36">
        <f>SUM(G407:G418)</f>
        <v>615</v>
      </c>
      <c r="H419" s="37"/>
      <c r="I419" s="37"/>
      <c r="J419" s="37"/>
      <c r="K419" s="37"/>
      <c r="L419" s="37"/>
      <c r="M419" s="38">
        <f ca="1">IFERROR(SUM(M407:M418),"")</f>
        <v>1.3964120371383615E-3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123</v>
      </c>
      <c r="G433" s="40">
        <f>G419+G432</f>
        <v>615</v>
      </c>
      <c r="H433" s="41"/>
      <c r="I433" s="41"/>
      <c r="J433" s="41"/>
      <c r="K433" s="41"/>
      <c r="L433" s="41"/>
      <c r="M433" s="42">
        <f ca="1">IFERROR(M419+M432,"")</f>
        <v>1.3964120371383615E-3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J410" sqref="J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0.23750752314663259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0.39514641203552148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0.50486863425774364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/>
      <c r="M410" s="30">
        <f t="shared" ca="1" si="91"/>
        <v>1.3964120371383615E-3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54</v>
      </c>
      <c r="G419" s="36">
        <f>SUM(G407:G418)</f>
        <v>226.8</v>
      </c>
      <c r="H419" s="37"/>
      <c r="I419" s="37"/>
      <c r="J419" s="37"/>
      <c r="K419" s="37"/>
      <c r="L419" s="37"/>
      <c r="M419" s="38">
        <f ca="1">IFERROR(SUM(M407:M418),"")</f>
        <v>3.4729745370471632E-2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54</v>
      </c>
      <c r="G433" s="40">
        <f>G419+G432</f>
        <v>226.8</v>
      </c>
      <c r="H433" s="41"/>
      <c r="I433" s="41"/>
      <c r="J433" s="41"/>
      <c r="K433" s="41"/>
      <c r="L433" s="41"/>
      <c r="M433" s="42">
        <f ca="1">IFERROR(M419+M432,"")</f>
        <v>3.4729745370471632E-2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J407" sqref="J4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/>
      <c r="M407" s="35">
        <f t="shared" ref="M407:M418" ca="1" si="91">IFERROR(IF(K407="","",IF(L407="",MOD(NOW()-K407,1),IF(L407&gt;=K407,L407-K407,L407+1-K407))),"")</f>
        <v>1.3961805525468662E-3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24</v>
      </c>
      <c r="G419" s="36">
        <f>SUM(G407:G418)</f>
        <v>100.80000000000001</v>
      </c>
      <c r="H419" s="37"/>
      <c r="I419" s="37"/>
      <c r="J419" s="37"/>
      <c r="K419" s="37"/>
      <c r="L419" s="37"/>
      <c r="M419" s="38">
        <f ca="1">IFERROR(SUM(M407:M418),"")</f>
        <v>1.3961805525468662E-3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24</v>
      </c>
      <c r="G433" s="40">
        <f>G419+G432</f>
        <v>100.80000000000001</v>
      </c>
      <c r="H433" s="41"/>
      <c r="I433" s="41"/>
      <c r="J433" s="41"/>
      <c r="K433" s="41"/>
      <c r="L433" s="41"/>
      <c r="M433" s="42">
        <f ca="1">IFERROR(M419+M432,"")</f>
        <v>1.3961805525468662E-3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J409" sqref="J4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0.22778530092909932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0.42709085648465495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0.79445196759576597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/>
      <c r="M409" s="35">
        <f t="shared" ca="1" si="91"/>
        <v>1.3964120371383615E-3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28</v>
      </c>
      <c r="G419" s="36">
        <f>SUM(G407:G418)</f>
        <v>117.60000000000001</v>
      </c>
      <c r="H419" s="37"/>
      <c r="I419" s="37"/>
      <c r="J419" s="37"/>
      <c r="K419" s="61"/>
      <c r="L419" s="61"/>
      <c r="M419" s="38">
        <f ca="1">IFERROR(SUM(M407:M418),"")</f>
        <v>8.1951967592693908E-2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28</v>
      </c>
      <c r="G433" s="40">
        <f>G419+G432</f>
        <v>117.60000000000001</v>
      </c>
      <c r="H433" s="41"/>
      <c r="I433" s="41"/>
      <c r="J433" s="41"/>
      <c r="K433" s="63"/>
      <c r="L433" s="63"/>
      <c r="M433" s="42">
        <f ca="1">IFERROR(M419+M432,"")</f>
        <v>8.1951967592693908E-2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2026-07-16T15:27:55Z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