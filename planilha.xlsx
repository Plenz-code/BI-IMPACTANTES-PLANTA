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0" documentId="13_ncr:1_{A6DBCFB4-28D9-4249-9038-216934055CA6}" xr6:coauthVersionLast="47" xr6:coauthVersionMax="47" xr10:uidLastSave="{A481471F-B980-4CD3-9A17-EDB20BA62EAF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K594" i="6" l="1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28" i="4" s="1"/>
  <c r="Q635" i="5"/>
  <c r="Q257" i="5"/>
  <c r="Q176" i="5"/>
  <c r="M621" i="3"/>
  <c r="M81" i="3"/>
  <c r="Q622" i="6"/>
  <c r="M486" i="3"/>
  <c r="M716" i="3"/>
  <c r="Q716" i="4"/>
  <c r="Q608" i="4"/>
  <c r="Q176" i="6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649" i="6" s="1"/>
  <c r="Q729" i="5"/>
  <c r="Q486" i="5"/>
  <c r="Q459" i="5"/>
  <c r="Q27" i="5"/>
  <c r="M837" i="3"/>
  <c r="M838" i="3" s="1"/>
  <c r="M324" i="3"/>
  <c r="Q662" i="4"/>
  <c r="Q513" i="5"/>
  <c r="Q149" i="5"/>
  <c r="Q135" i="5"/>
  <c r="M770" i="3"/>
  <c r="Q270" i="4"/>
  <c r="Q446" i="4"/>
  <c r="Q743" i="6"/>
  <c r="Q270" i="6"/>
  <c r="M729" i="3"/>
  <c r="M513" i="3"/>
  <c r="M514" i="3" s="1"/>
  <c r="M95" i="3"/>
  <c r="Q554" i="4"/>
  <c r="M392" i="3"/>
  <c r="M122" i="3"/>
  <c r="Q351" i="4"/>
  <c r="Q189" i="4"/>
  <c r="Q190" i="4" s="1"/>
  <c r="M797" i="3"/>
  <c r="M594" i="3"/>
  <c r="Q621" i="5"/>
  <c r="Q270" i="5"/>
  <c r="Q216" i="5"/>
  <c r="Q68" i="5"/>
  <c r="M783" i="3"/>
  <c r="M338" i="3"/>
  <c r="M352" i="3" s="1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Q568" i="5" s="1"/>
  <c r="M675" i="3"/>
  <c r="M189" i="3"/>
  <c r="M190" i="3" s="1"/>
  <c r="Q783" i="4"/>
  <c r="Q54" i="6"/>
  <c r="Q55" i="6" s="1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217" i="6" s="1"/>
  <c r="Q95" i="6"/>
  <c r="Q810" i="5"/>
  <c r="Q756" i="5"/>
  <c r="Q743" i="5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109" i="6" l="1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<sst xmlns="http://schemas.openxmlformats.org/spreadsheetml/2006/main" count="9925" uniqueCount="427">
  <si>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</si>
  <si>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</si>
  <si>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</si>
  <si>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</si>
  <si>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</si>
  <si>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</si>
  <si>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</si>
  <si>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</si>
  <si>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</si>
  <si>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</si>
  <si>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</si>
  <si>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</si>
  <si>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</si>
  <si>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</si>
  <si>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</si>
  <si>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</si>
  <si>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</si>
  <si>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</si>
  <si>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</si>
  <si>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</si>
  <si>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</si>
  <si>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</si>
  <si>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</si>
  <si>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</si>
  <si>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</si>
  <si>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</si>
  <si>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</si>
  <si>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</si>
  <si>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</si>
  <si>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</si>
  <si>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</si>
  <si>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</si>
  <si>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</si>
  <si>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</si>
  <si>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</si>
  <si>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</si>
  <si>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</si>
  <si>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</si>
  <si>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</si>
  <si>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</si>
  <si>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</si>
  <si>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</si>
  <si>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</si>
  <si>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</si>
  <si>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</si>
  <si>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</si>
  <si>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</si>
  <si>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</si>
  <si>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</si>
  <si>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</si>
  <si>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</si>
  <si>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</si>
  <si>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</si>
  <si>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</si>
  <si>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</si>
  <si>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</si>
  <si>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</si>
  <si>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</si>
  <si>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</si>
  <si>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</si>
  <si>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</si>
  <si>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</si>
  <si>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</si>
  <si>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</si>
  <si>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</si>
  <si>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</si>
  <si>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</si>
  <si>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</si>
  <si>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</si>
  <si>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</si>
  <si>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</si>
  <si>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</si>
  <si>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</si>
  <si>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</si>
  <si>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</si>
  <si>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</si>
  <si>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</si>
  <si>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</si>
  <si>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</si>
  <si>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</si>
  <si>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</si>
  <si>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</si>
  <si>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</si>
  <si>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</si>
  <si>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</si>
  <si>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</si>
  <si>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</si>
  <si>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</si>
  <si>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</si>
  <si>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</si>
  <si>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</si>
  <si>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</si>
  <si>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</si>
  <si>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</si>
  <si>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</si>
  <si>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</si>
  <si>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</si>
  <si>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</si>
  <si>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</si>
  <si>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</si>
  <si>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</si>
  <si>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</si>
  <si>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</si>
  <si>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</si>
  <si>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</si>
  <si>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</si>
  <si>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</si>
  <si>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</si>
  <si>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</si>
  <si>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</si>
  <si>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</si>
  <si>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</si>
  <si>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</si>
  <si>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</si>
  <si>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</si>
  <si>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</si>
  <si>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</si>
  <si>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</si>
  <si>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</si>
  <si>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</si>
  <si>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</si>
  <si>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</si>
  <si>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</si>
  <si>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</si>
  <si>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</si>
  <si>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</si>
  <si>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</si>
  <si>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</si>
  <si>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</si>
  <si>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</si>
  <si>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</si>
  <si>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</si>
  <si>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</si>
  <si>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</si>
  <si>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</si>
  <si>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</si>
  <si>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</si>
  <si>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</si>
  <si>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</si>
  <si>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</si>
  <si>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</si>
  <si>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</si>
  <si>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</si>
  <si>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</si>
  <si>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</si>
  <si>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</si>
  <si>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</si>
  <si>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</si>
  <si>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</si>
  <si>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</si>
  <si>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</si>
  <si>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</si>
  <si>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</si>
  <si>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</si>
  <si>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</si>
  <si>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</si>
  <si>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</si>
  <si>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</si>
  <si>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</si>
  <si>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</si>
  <si>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</si>
  <si>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</si>
  <si>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</si>
  <si>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</si>
  <si>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</si>
  <si>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</si>
  <si>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</si>
  <si>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</si>
  <si>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</si>
  <si>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</si>
  <si>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</si>
  <si>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</si>
  <si>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</si>
  <si>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</si>
  <si>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</si>
  <si>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</si>
  <si>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</si>
  <si>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</si>
  <si>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</si>
  <si>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</si>
  <si>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</si>
  <si>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</si>
  <si>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</si>
  <si>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</si>
  <si>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</si>
  <si>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</si>
  <si>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</si>
  <si>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</si>
  <si>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</si>
  <si>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</si>
  <si>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</si>
  <si>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</si>
  <si>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</si>
  <si>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</si>
  <si>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</si>
  <si>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</si>
  <si>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</si>
  <si>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</si>
  <si>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</si>
  <si>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</si>
  <si>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</si>
  <si>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</si>
  <si>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</si>
  <si>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</si>
  <si>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</si>
  <si>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</si>
  <si>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</si>
  <si>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</si>
  <si>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</si>
  <si>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</si>
  <si>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</si>
  <si>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</si>
  <si>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</si>
  <si>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</si>
  <si>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</si>
  <si>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</si>
  <si>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</si>
  <si>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</si>
  <si>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</si>
  <si>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</si>
  <si>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</si>
  <si>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</si>
  <si>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</si>
  <si>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</si>
  <si>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</si>
  <si>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</si>
  <si>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</si>
  <si>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</si>
  <si>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</si>
  <si>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</si>
  <si>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</si>
  <si>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</si>
  <si>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</si>
  <si>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</si>
  <si>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</si>
  <si>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</si>
  <si>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</si>
  <si>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</si>
  <si>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</si>
  <si>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</si>
  <si>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</si>
  <si>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</si>
  <si>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</si>
  <si>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</si>
  <si>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</si>
  <si>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</si>
  <si>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</si>
  <si>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</si>
  <si>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</si>
  <si>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</si>
  <si>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</si>
  <si>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</si>
  <si>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</si>
  <si>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</si>
  <si>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</si>
  <si>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</si>
  <si>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</si>
  <si>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</si>
  <si>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</si>
  <si>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</si>
  <si>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</si>
  <si>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</si>
  <si>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</si>
  <si>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</si>
  <si>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</si>
  <si>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</si>
  <si>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</si>
  <si>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</si>
  <si>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</si>
  <si>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</si>
  <si>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</si>
  <si>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</si>
  <si>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</si>
  <si>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</si>
  <si>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</si>
  <si>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</si>
  <si>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</si>
  <si>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</si>
  <si>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</si>
  <si>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</si>
  <si>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</si>
  <si>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</si>
  <si>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</si>
  <si>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</si>
  <si>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</si>
  <si>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</si>
  <si>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</si>
  <si>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</si>
  <si>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</si>
  <si>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</si>
  <si>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</si>
  <si>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</si>
  <si>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</si>
  <si>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</si>
  <si>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</si>
  <si>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</si>
  <si>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</si>
  <si>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</si>
  <si>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</si>
  <si>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</si>
  <si>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</si>
  <si>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</si>
  <si>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</si>
  <si>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</t>
  </si>
  <si>
    <t>pino caiu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</si>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</sst>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>
      <c r="M60" s="164"/>
      <c r="N60" s="37"/>
      <c r="O60" s="37"/>
      <c r="P60" s="53" t="s">
        <v>114</v>
      </c>
      <c r="Q60" s="37"/>
      <c r="R60" s="37"/>
    </row>
    <row r="61" spans="1:18" ht="15" customHeight="1">
      <c r="M61" s="164"/>
      <c r="N61" s="40"/>
      <c r="O61" s="40"/>
      <c r="P61" s="40" t="s">
        <v>225</v>
      </c>
      <c r="Q61" s="40"/>
      <c r="R61" s="40"/>
    </row>
    <row r="62" spans="1:18" ht="15" customHeight="1">
      <c r="M62" s="164"/>
      <c r="N62" s="37"/>
      <c r="O62" s="37"/>
      <c r="P62" s="37" t="s">
        <v>226</v>
      </c>
      <c r="Q62" s="37"/>
      <c r="R62" s="37"/>
    </row>
    <row r="63" spans="1:18" ht="15" customHeight="1">
      <c r="M63" s="164"/>
      <c r="N63" s="40"/>
      <c r="O63" s="40"/>
      <c r="P63" s="40" t="s">
        <v>227</v>
      </c>
      <c r="Q63" s="40"/>
      <c r="R63" s="40"/>
    </row>
    <row r="64" spans="1:18" ht="15" customHeight="1">
      <c r="M64" s="164"/>
      <c r="N64" s="37"/>
      <c r="O64" s="37"/>
      <c r="P64" s="37" t="s">
        <v>228</v>
      </c>
      <c r="Q64" s="37"/>
      <c r="R64" s="37"/>
    </row>
    <row r="65" spans="13:18" ht="15" customHeight="1">
      <c r="M65" s="164"/>
      <c r="N65" s="40"/>
      <c r="O65" s="40"/>
      <c r="P65" s="40" t="s">
        <v>229</v>
      </c>
      <c r="Q65" s="40"/>
      <c r="R65" s="40"/>
    </row>
    <row r="66" spans="13:18" ht="15" customHeight="1">
      <c r="M66" s="164"/>
      <c r="N66" s="37"/>
      <c r="O66" s="37"/>
      <c r="P66" s="37" t="s">
        <v>230</v>
      </c>
      <c r="Q66" s="37"/>
      <c r="R66" s="37"/>
    </row>
    <row r="67" spans="13:18" ht="15" customHeight="1">
      <c r="M67" s="164"/>
      <c r="N67" s="40"/>
      <c r="O67" s="40"/>
      <c r="P67" s="40" t="s">
        <v>231</v>
      </c>
      <c r="Q67" s="40"/>
      <c r="R67" s="40"/>
    </row>
    <row r="68" spans="13:18" ht="15" customHeight="1">
      <c r="M68" s="164"/>
      <c r="N68" s="37"/>
      <c r="O68" s="37"/>
      <c r="P68" s="37" t="s">
        <v>232</v>
      </c>
      <c r="Q68" s="37"/>
      <c r="R68" s="37"/>
    </row>
    <row r="69" spans="13:18" ht="15" customHeight="1">
      <c r="M69" s="164"/>
      <c r="N69" s="40"/>
      <c r="O69" s="40"/>
      <c r="P69" s="40" t="s">
        <v>233</v>
      </c>
      <c r="Q69" s="40"/>
      <c r="R69" s="40"/>
    </row>
    <row r="70" spans="13:18" ht="15" customHeight="1">
      <c r="M70" s="164"/>
      <c r="N70" s="37"/>
      <c r="O70" s="37"/>
      <c r="P70" s="37" t="s">
        <v>234</v>
      </c>
      <c r="Q70" s="37"/>
      <c r="R70" s="37"/>
    </row>
    <row r="71" spans="13:18" ht="15" customHeight="1">
      <c r="M71" s="164"/>
      <c r="N71" s="40"/>
      <c r="O71" s="40"/>
      <c r="P71" s="40" t="s">
        <v>235</v>
      </c>
      <c r="Q71" s="40"/>
      <c r="R71" s="40"/>
    </row>
    <row r="72" spans="13:18" ht="15" customHeight="1">
      <c r="M72" s="164"/>
      <c r="N72" s="37"/>
      <c r="O72" s="37"/>
      <c r="P72" s="37" t="s">
        <v>236</v>
      </c>
      <c r="Q72" s="37"/>
      <c r="R72" s="37"/>
    </row>
    <row r="73" spans="13:18" ht="15" customHeight="1">
      <c r="M73" s="164"/>
      <c r="N73" s="40"/>
      <c r="O73" s="40"/>
      <c r="P73" s="40" t="s">
        <v>237</v>
      </c>
      <c r="Q73" s="40"/>
      <c r="R73" s="40"/>
    </row>
    <row r="74" spans="13:18" ht="15" customHeight="1">
      <c r="M74" s="164"/>
      <c r="N74" s="37"/>
      <c r="O74" s="37"/>
      <c r="P74" s="37" t="s">
        <v>238</v>
      </c>
      <c r="Q74" s="37"/>
      <c r="R74" s="37"/>
    </row>
    <row r="75" spans="13:18" ht="15" customHeight="1">
      <c r="M75" s="164"/>
      <c r="N75" s="40"/>
      <c r="O75" s="40"/>
      <c r="P75" s="40" t="s">
        <v>239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72" activePane="bottomLeft" state="frozen"/>
      <selection pane="bottomLeft" activeCell="N584" sqref="N58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/>
      <c r="M583" s="71">
        <f t="shared" ca="1" si="126"/>
        <v>1.6718749975552782E-3</v>
      </c>
      <c r="N583" s="80" t="s">
        <v>304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3.6394097219777488E-2</v>
      </c>
      <c r="N594" s="2" t="s">
        <v>263</v>
      </c>
      <c r="O594" s="74"/>
    </row>
    <row r="595" spans="1:15" ht="18" customHeight="1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0.11347743055311077</v>
      </c>
      <c r="N595" s="1" t="s">
        <v>266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7" t="s">
        <v>262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263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7" t="s">
        <v>265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/>
    </row>
    <row r="622" spans="1:15" ht="18" customHeight="1">
      <c r="A622" s="168" t="s">
        <v>251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266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73" activePane="bottomLeft" state="frozen"/>
      <selection pane="bottomLeft" activeCell="L587" sqref="L587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9.8894097216543742E-2</v>
      </c>
      <c r="R53" s="80" t="s">
        <v>315</v>
      </c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0.23778298610543147</v>
      </c>
      <c r="R54" s="2" t="s">
        <v>263</v>
      </c>
      <c r="S54" s="113">
        <v>352430</v>
      </c>
      <c r="T54" s="114"/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0.32250520832765428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16.8</v>
      </c>
      <c r="L587" s="70" t="s">
        <v>28</v>
      </c>
      <c r="M587" s="70"/>
      <c r="N587" s="70"/>
      <c r="O587" s="65">
        <v>0.21527777777777779</v>
      </c>
      <c r="P587" s="65"/>
      <c r="Q587" s="71">
        <f t="shared" ca="1" si="152"/>
        <v>5.1440972165437415E-3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16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80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90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390.80000000000007</v>
      </c>
      <c r="L594" s="72"/>
      <c r="M594" s="72"/>
      <c r="N594" s="72"/>
      <c r="O594" s="72"/>
      <c r="P594" s="72"/>
      <c r="Q594" s="73">
        <f ca="1">IFERROR(SUM(Q582:Q593),"")</f>
        <v>0.13778298610543274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139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596.60000000000014</v>
      </c>
      <c r="L595" s="76"/>
      <c r="M595" s="76"/>
      <c r="N595" s="76"/>
      <c r="O595" s="76"/>
      <c r="P595" s="76"/>
      <c r="Q595" s="77">
        <f ca="1">IFERROR(Q581+Q594,"")</f>
        <v>0.54194965277209939</v>
      </c>
      <c r="R595" s="1" t="s">
        <v>266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75" activePane="bottomLeft" state="frozen"/>
      <selection pane="bottomLeft" activeCell="G591" sqref="G59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47"/>
        <v>0</v>
      </c>
      <c r="K585" s="69">
        <f t="shared" si="148"/>
        <v>16.8</v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47"/>
        <v>0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47"/>
        <v>0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47"/>
        <v>0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47"/>
        <v>0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47"/>
        <v>0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47"/>
        <v>0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79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331.80000000000007</v>
      </c>
      <c r="L594" s="72"/>
      <c r="M594" s="72"/>
      <c r="N594" s="72"/>
      <c r="O594" s="72"/>
      <c r="P594" s="72"/>
      <c r="Q594" s="73">
        <f ca="1">IFERROR(SUM(Q582:Q593),"")</f>
        <v>0.10138888888888897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242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1025.2000000000003</v>
      </c>
      <c r="L595" s="76"/>
      <c r="M595" s="76"/>
      <c r="N595" s="76"/>
      <c r="O595" s="76"/>
      <c r="P595" s="76"/>
      <c r="Q595" s="77">
        <f ca="1">IFERROR(Q581+Q594,"")</f>
        <v>0.25763888888888897</v>
      </c>
      <c r="R595" s="1" t="s">
        <v>266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567" activePane="bottomLeft" state="frozen"/>
      <selection pane="bottomLeft" activeCell="L592" sqref="L592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0</v>
      </c>
      <c r="I585" s="90">
        <f>IFERROR(IF($D585="","",VLOOKUP($D585,Cadastro!$C$4:$G$7,5,FALSE())),"")</f>
        <v>0.6</v>
      </c>
      <c r="J585" s="91">
        <f t="shared" si="150"/>
        <v>0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0</v>
      </c>
      <c r="I586" s="90">
        <f>IFERROR(IF($D586="","",VLOOKUP($D586,Cadastro!$C$4:$G$7,5,FALSE())),"")</f>
        <v>0.6</v>
      </c>
      <c r="J586" s="91">
        <f t="shared" si="150"/>
        <v>0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0</v>
      </c>
      <c r="I587" s="90">
        <f>IFERROR(IF($D587="","",VLOOKUP($D587,Cadastro!$C$4:$G$7,5,FALSE())),"")</f>
        <v>0.6</v>
      </c>
      <c r="J587" s="91">
        <f t="shared" si="150"/>
        <v>0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0</v>
      </c>
      <c r="I588" s="90">
        <f>IFERROR(IF($D588="","",VLOOKUP($D588,Cadastro!$C$4:$G$7,5,FALSE())),"")</f>
        <v>0.6</v>
      </c>
      <c r="J588" s="91">
        <f t="shared" si="150"/>
        <v>0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/>
      <c r="Q588" s="66">
        <f t="shared" ca="1" si="152"/>
        <v>5.8385416632518172E-3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0</v>
      </c>
      <c r="I589" s="90">
        <f>IFERROR(IF($D589="","",VLOOKUP($D589,Cadastro!$C$4:$G$7,5,FALSE())),"")</f>
        <v>0.6</v>
      </c>
      <c r="J589" s="91">
        <f t="shared" si="150"/>
        <v>0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0</v>
      </c>
      <c r="I590" s="90">
        <f>IFERROR(IF($D590="","",VLOOKUP($D590,Cadastro!$C$4:$G$7,5,FALSE())),"")</f>
        <v>0.6</v>
      </c>
      <c r="J590" s="91">
        <f t="shared" si="150"/>
        <v>0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0</v>
      </c>
      <c r="I591" s="90">
        <f>IFERROR(IF($D591="","",VLOOKUP($D591,Cadastro!$C$4:$G$7,5,FALSE())),"")</f>
        <v>0.6</v>
      </c>
      <c r="J591" s="91">
        <f t="shared" si="150"/>
        <v>0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8" t="s">
        <v>265</v>
      </c>
      <c r="B594" s="158"/>
      <c r="C594" s="158"/>
      <c r="D594" s="158"/>
      <c r="E594" s="158"/>
      <c r="F594" s="105"/>
      <c r="G594" s="96">
        <f>SUM(G582:G593)</f>
        <v>149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625.79999999999995</v>
      </c>
      <c r="L594" s="72"/>
      <c r="M594" s="72"/>
      <c r="N594" s="72"/>
      <c r="O594" s="134"/>
      <c r="P594" s="134"/>
      <c r="Q594" s="73">
        <f ca="1">IFERROR(SUM(Q582:Q593),"")</f>
        <v>8.9171874996585077E-2</v>
      </c>
      <c r="R594" s="2" t="s">
        <v>263</v>
      </c>
      <c r="S594" s="74"/>
      <c r="T594" s="99">
        <f>IFERROR(J594,"")</f>
        <v>0</v>
      </c>
    </row>
    <row r="595" spans="1:20" ht="18" customHeight="1">
      <c r="A595" s="159" t="s">
        <v>251</v>
      </c>
      <c r="B595" s="159"/>
      <c r="C595" s="159"/>
      <c r="D595" s="159"/>
      <c r="E595" s="159"/>
      <c r="F595" s="108"/>
      <c r="G595" s="109">
        <f>G581+G594</f>
        <v>351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1490.2</v>
      </c>
      <c r="L595" s="76"/>
      <c r="M595" s="76"/>
      <c r="N595" s="76"/>
      <c r="O595" s="135"/>
      <c r="P595" s="135"/>
      <c r="Q595" s="77">
        <f ca="1">IFERROR(Q581+Q594,"")</f>
        <v>0.22319965277436293</v>
      </c>
      <c r="R595" s="1" t="s">
        <v>266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8" t="s">
        <v>262</v>
      </c>
      <c r="B608" s="158"/>
      <c r="C608" s="158"/>
      <c r="D608" s="158"/>
      <c r="E608" s="158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263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8" t="s">
        <v>265</v>
      </c>
      <c r="B621" s="158"/>
      <c r="C621" s="158"/>
      <c r="D621" s="158"/>
      <c r="E621" s="158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/>
      <c r="T621" s="99">
        <f>IFERROR(J621,"")</f>
        <v>0</v>
      </c>
    </row>
    <row r="622" spans="1:20" ht="18" customHeight="1">
      <c r="A622" s="159" t="s">
        <v>251</v>
      </c>
      <c r="B622" s="159"/>
      <c r="C622" s="159"/>
      <c r="D622" s="159"/>
      <c r="E622" s="159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266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2026-08-23T09:17:55Z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