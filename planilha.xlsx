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51" documentId="13_ncr:1_{0A10D8D4-8450-4366-8075-B53B08E6B7EA}" xr6:coauthVersionLast="47" xr6:coauthVersionMax="47" xr10:uidLastSave="{30550767-B57D-4330-8A95-5E862229B9A0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9" i="6"/>
  <c r="J489" i="6" s="1"/>
  <c r="H490" i="6"/>
  <c r="J490" i="6" s="1"/>
  <c r="H491" i="6"/>
  <c r="J491" i="6" s="1"/>
  <c r="H492" i="6"/>
  <c r="J492" i="6" s="1"/>
  <c r="H493" i="6"/>
  <c r="J493" i="6" s="1"/>
  <c r="H494" i="6"/>
  <c r="J494" i="6" s="1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89" i="5"/>
  <c r="J489" i="5" s="1"/>
  <c r="H490" i="5"/>
  <c r="J490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784" i="6"/>
  <c r="T784" i="6" s="1"/>
  <c r="T770" i="6"/>
  <c r="J541" i="5"/>
  <c r="T541" i="5" s="1"/>
  <c r="J784" i="5"/>
  <c r="T784" i="5" s="1"/>
  <c r="J730" i="4"/>
  <c r="T730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676" i="6"/>
  <c r="H676" i="5"/>
  <c r="H649" i="4"/>
  <c r="H730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H488" i="6" s="1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H488" i="5" s="1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H488" i="4" s="1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88" i="6" l="1"/>
  <c r="J500" i="6" s="1"/>
  <c r="H500" i="6"/>
  <c r="H514" i="6" s="1"/>
  <c r="J488" i="5"/>
  <c r="J500" i="5" s="1"/>
  <c r="H500" i="5"/>
  <c r="H514" i="5" s="1"/>
  <c r="J488" i="4"/>
  <c r="J500" i="4" s="1"/>
  <c r="H500" i="4"/>
  <c r="H514" i="4" s="1"/>
  <c r="H300" i="5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500" i="6" l="1"/>
  <c r="J514" i="6"/>
  <c r="T514" i="6" s="1"/>
  <c r="T500" i="5"/>
  <c r="J514" i="5"/>
  <c r="T514" i="5" s="1"/>
  <c r="J514" i="4"/>
  <c r="T514" i="4" s="1"/>
  <c r="H22" i="1" s="1"/>
  <c r="J22" i="1" s="1"/>
  <c r="T500" i="4"/>
  <c r="J312" i="5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<sst xmlns="http://schemas.openxmlformats.org/spreadsheetml/2006/main" count="8309" uniqueCount="382">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</sst>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4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89" sqref="F48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>
        <v>0</v>
      </c>
      <c r="G488" s="28">
        <f t="shared" ref="G488:G499" si="104">IF(F488="","",IF(E488="PC 17",F488*4.2,IF(E488="PC 19",F488*5,IF(E488="CB",F488*35,""))))</f>
        <v>0</v>
      </c>
      <c r="H488" s="26" t="s">
        <v>25</v>
      </c>
      <c r="I488" s="26" t="s">
        <v>30</v>
      </c>
      <c r="J488" s="26" t="s">
        <v>138</v>
      </c>
      <c r="K488" s="29">
        <v>0.31111111111111112</v>
      </c>
      <c r="L488" s="29"/>
      <c r="M488" s="30">
        <f t="shared" ref="M488:M499" ca="1" si="105">IFERROR(IF(K488="","",IF(L488="",MOD(NOW()-K488,1),IF(L488&gt;=K488,L488-K488,L488+1-K488))),"")</f>
        <v>2.5841782407951541E-2</v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2.5841782407951541E-2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2.5841782407951541E-2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N488" sqref="N48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0.21542511574079981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0.35431400462968871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0.43903622685191102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14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58.800000000000004</v>
      </c>
      <c r="L488" s="26" t="s">
        <v>27</v>
      </c>
      <c r="M488" s="26" t="s">
        <v>38</v>
      </c>
      <c r="N488" s="26" t="s">
        <v>181</v>
      </c>
      <c r="O488" s="29">
        <v>0.32361111111111113</v>
      </c>
      <c r="P488" s="29"/>
      <c r="Q488" s="30">
        <f t="shared" ref="Q488:Q499" ca="1" si="124">IFERROR(IF(O488="","",IF(P488="",MOD(NOW()-O488,1),IF(P488&gt;=O488,P488-O488,P488+1-O488))),"")</f>
        <v>1.3341782410861924E-2</v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14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58.800000000000004</v>
      </c>
      <c r="L500" s="37"/>
      <c r="M500" s="37"/>
      <c r="N500" s="37"/>
      <c r="O500" s="37"/>
      <c r="P500" s="37"/>
      <c r="Q500" s="38">
        <f ca="1">IFERROR(SUM(Q488:Q499),"")</f>
        <v>1.3341782410861924E-2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14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58.800000000000004</v>
      </c>
      <c r="L514" s="41"/>
      <c r="M514" s="41"/>
      <c r="N514" s="41"/>
      <c r="O514" s="41"/>
      <c r="P514" s="41"/>
      <c r="Q514" s="42">
        <f ca="1">IFERROR(Q500+Q513,"")</f>
        <v>1.3341782410861924E-2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9" sqref="G48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3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0">IFERROR(IF($H488="","",$H488*$F488*$I488),"")</f>
        <v>0</v>
      </c>
      <c r="K488" s="28">
        <f t="shared" ref="K488:K499" si="121">IF(G488="","",IF(E488="PC 17",G488*4.2,IF(E488="PC 19",G488*5,IF(E488="CB",G488*24,""))))</f>
        <v>12.600000000000001</v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29</v>
      </c>
      <c r="E493" s="15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3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12.600000000000001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3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12.600000000000001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65" activePane="bottomLeft" state="frozen"/>
      <selection pane="bottomLeft" activeCell="G489" sqref="G48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8.9808592207792213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11.053365194805194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6.9083532467532462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9.671694545454546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5.5266825974025968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6.2175179220779224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6.9083532467532462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16.58004779220779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11.053365194805194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10.362529870129869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7.5991885714285701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5.5266825974025968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8.2248794701986743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14.099793377483442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4.6999311258278142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7.0498966887417209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7.0498966887417209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9.9873536423841056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2.3499655629139071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15.274776158940394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5.8749139072847685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8.2248794701986743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5.8749139072847685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19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79.8</v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19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79.8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19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79.8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2026-08-19T12:05:19Z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