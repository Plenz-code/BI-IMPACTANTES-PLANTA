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53" documentId="13_ncr:1_{9DFDFEE8-78F7-4C04-B87C-99924EE6CC37}" xr6:coauthVersionLast="47" xr6:coauthVersionMax="47" xr10:uidLastSave="{04E17BE5-FAFC-40EA-B814-9B9FDF6298B8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<sst xmlns="http://schemas.openxmlformats.org/spreadsheetml/2006/main" count="6575" uniqueCount="2306">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</sst>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H3" sqref="H3:J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 t="s">
        <v>147</v>
      </c>
      <c r="J3" s="85" t="s">
        <v>75</v>
      </c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161</v>
      </c>
      <c r="G14" s="2">
        <f>SUM(G2:G13)</f>
        <v>805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161</v>
      </c>
      <c r="G28" s="1">
        <f>G14+G27</f>
        <v>805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138.6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138.6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0" sqref="N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5.3187152778264135E-2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0.28027048611159749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0.28027048611159749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O6" sqref="O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>
        <v>0.64166666666666672</v>
      </c>
      <c r="P5" s="80"/>
      <c r="Q5" s="86">
        <f t="shared" ca="1" si="2"/>
        <v>4.0937499579740688E-4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132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554.4</v>
      </c>
      <c r="L14" s="87"/>
      <c r="M14" s="87"/>
      <c r="N14" s="87"/>
      <c r="O14" s="154"/>
      <c r="P14" s="154"/>
      <c r="Q14" s="88">
        <f ca="1">IFERROR(SUM(Q2:Q13),"")</f>
        <v>8.652048610690849E-2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554.4</v>
      </c>
      <c r="L28" s="91"/>
      <c r="M28" s="91"/>
      <c r="N28" s="91"/>
      <c r="O28" s="155"/>
      <c r="P28" s="155"/>
      <c r="Q28" s="92">
        <f ca="1">IFERROR(Q14+Q27,"")</f>
        <v>8.652048610690849E-2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2026-09-01T19:25:06Z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