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30" documentId="8_{AF585B22-221D-4780-BB9C-493D365A6A02}" xr6:coauthVersionLast="47" xr6:coauthVersionMax="47" xr10:uidLastSave="{2CC507B7-C779-4820-9673-F755C02D50A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<sst xmlns="http://schemas.openxmlformats.org/spreadsheetml/2006/main" count="12350" uniqueCount="439">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</sst>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15" sqref="F8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>
        <v>50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34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5" sqref="F8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0.18284918981225928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0.34048807870114817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0.45021030092337033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0.16132141203706851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0.3321547453704019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0.47729363425929078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15</v>
      </c>
      <c r="G812" s="104">
        <f>IF(F812="","",IF(E812="PC 17",F812*4.2,IF(E812="PC 19",F812*5,"")))</f>
        <v>63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26</v>
      </c>
      <c r="G813" s="104">
        <f>IF(F813="","",IF(E813="PC 17",F813*4.2,IF(E813="PC 19",F813*5,"")))</f>
        <v>109.2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59</v>
      </c>
      <c r="G824" s="109">
        <f>SUM(G812:G823)</f>
        <v>247.8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59</v>
      </c>
      <c r="G838" s="111">
        <f>G824+G837</f>
        <v>247.8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5" sqref="F8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32</v>
      </c>
      <c r="G824" s="109">
        <f>SUM(G812:G823)</f>
        <v>134.4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32</v>
      </c>
      <c r="G838" s="111">
        <f>G824+G837</f>
        <v>134.4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F815" sqref="F8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0.17312696759472601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0.37243252315028164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0.73979363426139266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0</v>
      </c>
      <c r="G813" s="104">
        <f>IF(F813="","",IF(E813="PC 17",F813*4.2,IF(E813="PC 19",F813*5,"")))</f>
        <v>0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16</v>
      </c>
      <c r="G824" s="109">
        <f>SUM(G812:G823)</f>
        <v>67.2</v>
      </c>
      <c r="H824" s="37"/>
      <c r="I824" s="37"/>
      <c r="J824" s="37"/>
      <c r="K824" s="37"/>
      <c r="L824" s="37"/>
      <c r="M824" s="110">
        <f ca="1">IFERROR(SUM(M812:M823),"")</f>
        <v>6.5277777777777768E-2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16</v>
      </c>
      <c r="G838" s="111">
        <f>G824+G837</f>
        <v>67.2</v>
      </c>
      <c r="H838" s="41"/>
      <c r="I838" s="41"/>
      <c r="J838" s="41"/>
      <c r="K838" s="41"/>
      <c r="L838" s="41"/>
      <c r="M838" s="112">
        <f ca="1">IFERROR(M824+M837,"")</f>
        <v>6.5277777777777768E-2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2026-07-31T14:10:15Z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