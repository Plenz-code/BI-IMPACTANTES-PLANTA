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79" documentId="8_{C51EB6CB-002B-4D6B-B68F-DDEBDB4460C0}" xr6:coauthVersionLast="47" xr6:coauthVersionMax="47" xr10:uidLastSave="{A6867090-29AE-43EB-AF4A-E2F95867E185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<sst xmlns="http://schemas.openxmlformats.org/spreadsheetml/2006/main" count="5498" uniqueCount="334">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</sst>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92" sqref="F292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206</v>
      </c>
      <c r="G297" s="36">
        <f>SUM(G285:G296)</f>
        <v>865.2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469</v>
      </c>
      <c r="G298" s="40">
        <f>G284+G297</f>
        <v>2180.1999999999998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60" activePane="bottomLeft" state="frozen"/>
      <selection pane="bottomLeft" activeCell="F292" sqref="F29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0.96297384258650709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1.1018627314753959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1.1865849536976183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/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93</v>
      </c>
      <c r="G297" s="36">
        <f>SUM(G285:G296)</f>
        <v>366.4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215</v>
      </c>
      <c r="G298" s="40">
        <f>G284+G297</f>
        <v>855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9" zoomScale="68" zoomScaleNormal="68" workbookViewId="0">
      <selection activeCell="F291" sqref="F29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0.89005717592226574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0.9518627314778213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1.0129738425889325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40</v>
      </c>
      <c r="G297" s="36">
        <f>SUM(G285:G296)</f>
        <v>195.2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135</v>
      </c>
      <c r="G298" s="40">
        <f>G284+G297</f>
        <v>602.20000000000005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9" activePane="bottomLeft" state="frozen"/>
      <selection pane="bottomLeft" activeCell="F291" sqref="F29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/>
      <c r="M285" s="35">
        <f t="shared" ref="M285:M296" ca="1" si="64">IFERROR(IF(K285="","",IF(L285="",MOD(NOW()-K285,1),IF(L285&gt;=K285,L285-K285,L285+1-K285))),"")</f>
        <v>7.4182870375807397E-3</v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93</v>
      </c>
      <c r="G297" s="36">
        <f>SUM(G285:G296)</f>
        <v>443.4</v>
      </c>
      <c r="H297" s="37"/>
      <c r="I297" s="37"/>
      <c r="J297" s="37"/>
      <c r="K297" s="61"/>
      <c r="L297" s="61"/>
      <c r="M297" s="38">
        <f ca="1">IFERROR(SUM(M285:M296),"")</f>
        <v>7.4182870375807397E-3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265</v>
      </c>
      <c r="G298" s="40">
        <f>G284+G297</f>
        <v>1165.8</v>
      </c>
      <c r="H298" s="41"/>
      <c r="I298" s="41"/>
      <c r="J298" s="41"/>
      <c r="K298" s="63"/>
      <c r="L298" s="63"/>
      <c r="M298" s="42">
        <f ca="1">IFERROR(M284+M297,"")</f>
        <v>7.9640509259802927E-2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2026-08-12T06:01:42Z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