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36" documentId="8_{C51EB6CB-002B-4D6B-B68F-DDEBDB4460C0}" xr6:coauthVersionLast="47" xr6:coauthVersionMax="47" xr10:uidLastSave="{5E55E793-9C14-4DCD-9A0F-6EE8B6145B5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<sst xmlns="http://schemas.openxmlformats.org/spreadsheetml/2006/main" count="2457" uniqueCount="262">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</sst>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5" sqref="F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85" sqref="F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0.25577199073450174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0.39466087962339064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0.47938310184561295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</v>
      </c>
      <c r="G95" s="36">
        <f>SUM(G83:G94)</f>
        <v>75.600000000000009</v>
      </c>
      <c r="H95" s="37"/>
      <c r="I95" s="37"/>
      <c r="J95" s="37"/>
      <c r="K95" s="37"/>
      <c r="L95" s="37"/>
      <c r="M95" s="38">
        <f ca="1">IFERROR(SUM(M83:M94),"")</f>
        <v>1.9444444444444431E-2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</v>
      </c>
      <c r="G109" s="40">
        <f>G95+G108</f>
        <v>75.600000000000009</v>
      </c>
      <c r="H109" s="41"/>
      <c r="I109" s="41"/>
      <c r="J109" s="41"/>
      <c r="K109" s="41"/>
      <c r="L109" s="41"/>
      <c r="M109" s="42">
        <f ca="1">IFERROR(M95+M108,"")</f>
        <v>1.9444444444444431E-2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5" sqref="F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</v>
      </c>
      <c r="G95" s="36">
        <f>SUM(G83:G94)</f>
        <v>29.400000000000002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</v>
      </c>
      <c r="G109" s="40">
        <f>G95+G108</f>
        <v>29.400000000000002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J83" sqref="J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52</v>
      </c>
      <c r="J83" s="33" t="s">
        <v>27</v>
      </c>
      <c r="K83" s="29">
        <v>0.375</v>
      </c>
      <c r="L83" s="29"/>
      <c r="M83" s="30">
        <f t="shared" ref="M83:M94" ca="1" si="19">IFERROR(IF(K83="","",IF(L83="",MOD(NOW()-K83,1),IF(L83&gt;=K83,L83-K83,L83+1-K83))),"")</f>
        <v>2.2997685155132785E-3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147</v>
      </c>
      <c r="H95" s="37"/>
      <c r="I95" s="37"/>
      <c r="J95" s="37"/>
      <c r="K95" s="61"/>
      <c r="L95" s="61"/>
      <c r="M95" s="38">
        <f ca="1">IFERROR(SUM(M83:M94),"")</f>
        <v>2.2997685155132785E-3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147</v>
      </c>
      <c r="H109" s="41"/>
      <c r="I109" s="41"/>
      <c r="J109" s="41"/>
      <c r="K109" s="63"/>
      <c r="L109" s="63"/>
      <c r="M109" s="42">
        <f ca="1">IFERROR(M95+M108,"")</f>
        <v>2.2997685155132785E-3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2026-08-04T13:04:26Z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