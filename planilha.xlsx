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66" documentId="13_ncr:1_{A6DBCFB4-28D9-4249-9038-216934055CA6}" xr6:coauthVersionLast="47" xr6:coauthVersionMax="47" xr10:uidLastSave="{84438006-258E-48A7-A75B-69517CA791F9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<sst xmlns="http://schemas.openxmlformats.org/spreadsheetml/2006/main" count="8896" uniqueCount="400">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</sst>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19" activePane="bottomLeft" state="frozen"/>
      <selection pane="bottomLeft" activeCell="E537" sqref="E537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188</v>
      </c>
      <c r="G541" s="1">
        <f>G527+G540</f>
        <v>881.6</v>
      </c>
      <c r="H541" s="76"/>
      <c r="I541" s="76"/>
      <c r="J541" s="76"/>
      <c r="K541" s="76"/>
      <c r="L541" s="76"/>
      <c r="M541" s="77">
        <f ca="1">IFERROR(M527+M540,"")</f>
        <v>4.5138888888888951E-2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M528" sqref="M528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0.67839305555389728</v>
      </c>
      <c r="R53" s="80" t="s">
        <v>305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0.81728194444278501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0.90200416666500782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/>
      <c r="F528" s="101">
        <f>IFERROR(IF($D528="","",VLOOKUP($D528,Cadastro!$C$4:$E$7,3,FALSE())),"")</f>
        <v>0.35</v>
      </c>
      <c r="G528" s="89"/>
      <c r="H528" s="101" t="str">
        <f>IFERROR(IF($G528="","",$G528*$S$540/$G$540/Cadastro!$E$33),"")</f>
        <v/>
      </c>
      <c r="I528" s="102">
        <f>IFERROR(IF($D528="","",VLOOKUP($D528,Cadastro!$C$4:$G$7,5,FALSE())),"")</f>
        <v>0.6</v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 t="s">
        <v>28</v>
      </c>
      <c r="M528" s="61"/>
      <c r="N528" s="61"/>
      <c r="O528" s="65">
        <v>0.79791666666666672</v>
      </c>
      <c r="P528" s="65"/>
      <c r="Q528" s="66">
        <f t="shared" ref="Q528:Q539" ca="1" si="136">IFERROR(IF(O528="","",IF(P528="",MOD(NOW()-O528,1),IF(P528&gt;=O528,P528-O528,P528+1-O528))),"")</f>
        <v>2.0039351802552119E-3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31</v>
      </c>
      <c r="E529" s="87"/>
      <c r="F529" s="88">
        <f>IFERROR(IF($D529="","",VLOOKUP($D529,Cadastro!$C$4:$E$7,3,FALSE())),"")</f>
        <v>0.35</v>
      </c>
      <c r="G529" s="89"/>
      <c r="H529" s="88" t="str">
        <f>IFERROR(IF($G529="","",$G529*$S$540/$G$540/Cadastro!$E$33),"")</f>
        <v/>
      </c>
      <c r="I529" s="90">
        <f>IFERROR(IF($D529="","",VLOOKUP($D529,Cadastro!$C$4:$G$7,5,FALSE())),"")</f>
        <v>0.6</v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31</v>
      </c>
      <c r="E530" s="87"/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2.0039351802552119E-3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179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825.40000000000009</v>
      </c>
      <c r="L541" s="76"/>
      <c r="M541" s="76"/>
      <c r="N541" s="76"/>
      <c r="O541" s="76"/>
      <c r="P541" s="76"/>
      <c r="Q541" s="77">
        <f ca="1">IFERROR(Q527+Q540,"")</f>
        <v>6.6587268513588482E-2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22" activePane="bottomLeft" state="frozen"/>
      <selection pane="bottomLeft" activeCell="D528" sqref="D528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363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77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349</v>
      </c>
      <c r="L541" s="76"/>
      <c r="M541" s="76"/>
      <c r="N541" s="76"/>
      <c r="O541" s="76"/>
      <c r="P541" s="76"/>
      <c r="Q541" s="77">
        <f ca="1">IFERROR(Q527+Q540,"")</f>
        <v>6.8749999999999922E-2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24" activePane="bottomLeft" state="frozen"/>
      <selection pane="bottomLeft" activeCell="D528" sqref="D528:D529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364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365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366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367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368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369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370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371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372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373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374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375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377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378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379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380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381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382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383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384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385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386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387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388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389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390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391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392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393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394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395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396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397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391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398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399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/>
      <c r="F528" s="101">
        <f>IFERROR(IF($D528="","",VLOOKUP($D528,Cadastro!$C$4:$E$7,3,FALSE())),"")</f>
        <v>0.35</v>
      </c>
      <c r="G528" s="89"/>
      <c r="H528" s="101" t="str">
        <f>IFERROR(IF($G528="","",$G528*$S$540/$G$540/Cadastro!$E$33),"")</f>
        <v/>
      </c>
      <c r="I528" s="102">
        <f>IFERROR(IF($D528="","",VLOOKUP($D528,Cadastro!$C$4:$G$7,5,FALSE())),"")</f>
        <v>0.6</v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197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901</v>
      </c>
      <c r="L541" s="76"/>
      <c r="M541" s="76"/>
      <c r="N541" s="76"/>
      <c r="O541" s="135"/>
      <c r="P541" s="135"/>
      <c r="Q541" s="77">
        <f ca="1">IFERROR(Q527+Q540,"")</f>
        <v>5.00000000000001E-2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2026-08-20T23:12:04Z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