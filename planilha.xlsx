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979" documentId="8_{AF585B22-221D-4780-BB9C-493D365A6A02}" xr6:coauthVersionLast="47" xr6:coauthVersionMax="47" xr10:uidLastSave="{F9A5BBAC-A624-4E3E-9D23-467B83AE4CA2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<sst xmlns="http://schemas.openxmlformats.org/spreadsheetml/2006/main" count="2222" uniqueCount="228">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</sst>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177</v>
      </c>
      <c r="L48" s="16"/>
      <c r="M48" s="16"/>
    </row>
    <row r="49" spans="1:13" ht="18" customHeight="1">
      <c r="H49" s="91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180</v>
      </c>
      <c r="L50" s="16"/>
      <c r="M50" s="16"/>
    </row>
    <row r="51" spans="1:13" ht="24" customHeight="1">
      <c r="H51" s="91"/>
      <c r="I51" s="17"/>
      <c r="J51" s="17"/>
      <c r="K51" s="17" t="s">
        <v>181</v>
      </c>
      <c r="L51" s="17"/>
      <c r="M51" s="17"/>
    </row>
    <row r="52" spans="1:13" ht="24" customHeight="1">
      <c r="H52" s="91"/>
      <c r="I52" s="16"/>
      <c r="J52" s="16"/>
      <c r="K52" s="16" t="s">
        <v>182</v>
      </c>
      <c r="L52" s="16"/>
      <c r="M52" s="16"/>
    </row>
    <row r="53" spans="1:13" ht="36" customHeight="1">
      <c r="H53" s="91"/>
      <c r="I53" s="17"/>
      <c r="J53" s="17"/>
      <c r="K53" s="17" t="s">
        <v>183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L87" sqref="L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121</v>
      </c>
      <c r="G95" s="36">
        <f>SUM(G83:G94)</f>
        <v>605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121</v>
      </c>
      <c r="G109" s="40">
        <f>G95+G108</f>
        <v>605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8" activePane="bottomLeft" state="frozen"/>
      <selection pane="bottomLeft" activeCell="L86" sqref="L8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205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97">
        <v>276360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0.67569444444444449</v>
      </c>
      <c r="M85" s="35">
        <f t="shared" ca="1" si="19"/>
        <v>6.9444444444445308E-3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80</v>
      </c>
      <c r="G95" s="36">
        <f>SUM(G83:G94)</f>
        <v>359.2</v>
      </c>
      <c r="H95" s="37"/>
      <c r="I95" s="37"/>
      <c r="J95" s="37"/>
      <c r="K95" s="37"/>
      <c r="L95" s="37"/>
      <c r="M95" s="38">
        <f ca="1">IFERROR(SUM(M83:M94),"")</f>
        <v>0.24652777777777785</v>
      </c>
      <c r="N95" s="36" t="s">
        <v>198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54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80</v>
      </c>
      <c r="G109" s="40">
        <f>G95+G108</f>
        <v>359.2</v>
      </c>
      <c r="H109" s="41"/>
      <c r="I109" s="41"/>
      <c r="J109" s="41"/>
      <c r="K109" s="41"/>
      <c r="L109" s="41"/>
      <c r="M109" s="42">
        <f ca="1">IFERROR(M95+M108,"")</f>
        <v>0.24652777777777785</v>
      </c>
      <c r="N109" s="40" t="s">
        <v>201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72" activePane="bottomLeft" state="frozen"/>
      <selection pane="bottomLeft" activeCell="H90" sqref="H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33</v>
      </c>
      <c r="G95" s="36">
        <f>SUM(G83:G94)</f>
        <v>165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33</v>
      </c>
      <c r="G109" s="40">
        <f>G95+G108</f>
        <v>165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201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I87" sqref="I8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221</v>
      </c>
      <c r="L58" s="29">
        <v>0.54097222222222219</v>
      </c>
      <c r="M58" s="30" t="str">
        <f t="shared" ca="1" si="13"/>
        <v/>
      </c>
      <c r="N58" s="27" t="s">
        <v>222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3</v>
      </c>
      <c r="G84" s="34">
        <f t="shared" si="18"/>
        <v>12.600000000000001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94</v>
      </c>
      <c r="G95" s="36">
        <f>SUM(G83:G94)</f>
        <v>458</v>
      </c>
      <c r="H95" s="37"/>
      <c r="I95" s="37"/>
      <c r="J95" s="37"/>
      <c r="K95" s="61"/>
      <c r="L95" s="61"/>
      <c r="M95" s="38">
        <f ca="1">IFERROR(SUM(M83:M94),"")</f>
        <v>0.1736111111111111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94</v>
      </c>
      <c r="G109" s="40">
        <f>G95+G108</f>
        <v>458</v>
      </c>
      <c r="H109" s="41"/>
      <c r="I109" s="41"/>
      <c r="J109" s="41"/>
      <c r="K109" s="63"/>
      <c r="L109" s="63"/>
      <c r="M109" s="42">
        <f ca="1">IFERROR(M95+M108,"")</f>
        <v>0.1736111111111111</v>
      </c>
      <c r="N109" s="40" t="s">
        <v>201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2026-07-04T20:13:40Z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