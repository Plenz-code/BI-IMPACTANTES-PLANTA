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382" documentId="8_{AF585B22-221D-4780-BB9C-493D365A6A02}" xr6:coauthVersionLast="47" xr6:coauthVersionMax="47" xr10:uidLastSave="{39A91096-B7A8-4479-848A-9266410C4ACD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<sst xmlns="http://schemas.openxmlformats.org/spreadsheetml/2006/main" count="8964" uniqueCount="376">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</sst>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5" sqref="G2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1630000</v>
      </c>
      <c r="D25" s="11">
        <f>IFERROR('Linha 1'!O595,"")</f>
        <v>966000</v>
      </c>
      <c r="E25" s="11">
        <f>IFERROR('Linha 2'!O595,"")</f>
        <v>222600</v>
      </c>
      <c r="F25" s="11">
        <f>IFERROR('Linha 3'!O595,"")</f>
        <v>0</v>
      </c>
      <c r="G25" s="12">
        <f t="shared" si="0"/>
        <v>1188600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66223351</v>
      </c>
      <c r="D35" s="13">
        <f>IFERROR(SUM(D4:D34),"")</f>
        <v>26460250</v>
      </c>
      <c r="E35" s="13">
        <f>IFERROR(SUM(E4:E34),"")</f>
        <v>14550490</v>
      </c>
      <c r="F35" s="13">
        <f>IFERROR(SUM(F4:F34),"")</f>
        <v>28724440</v>
      </c>
      <c r="G35" s="13">
        <f>IFERROR(SUM(G4:G34),"")</f>
        <v>69735180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49" activePane="bottomLeft" state="frozen"/>
      <selection pane="bottomLeft" activeCell="O582" sqref="O58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>
        <v>1482110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228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228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228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228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228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228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231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186</v>
      </c>
      <c r="G595" s="40">
        <f>G581+G594</f>
        <v>930</v>
      </c>
      <c r="H595" s="41"/>
      <c r="I595" s="41"/>
      <c r="J595" s="41"/>
      <c r="K595" s="41"/>
      <c r="L595" s="41"/>
      <c r="M595" s="42">
        <f ca="1">IFERROR(M581+M594,"")</f>
        <v>5.8333333333333293E-2</v>
      </c>
      <c r="N595" s="40" t="s">
        <v>234</v>
      </c>
      <c r="O595" s="48">
        <f>IFERROR(O581+O594,"")</f>
        <v>1630000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50" activePane="bottomLeft" state="frozen"/>
      <selection pane="bottomLeft" activeCell="O582" sqref="O58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0.53897743055131286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0.69661631944020175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0.80633854166242391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0.51744965277612209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0.68828298610945549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0.83342187499834441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>
        <v>722660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231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230</v>
      </c>
      <c r="G595" s="40">
        <f>G581+G594</f>
        <v>966.00000000000011</v>
      </c>
      <c r="H595" s="41"/>
      <c r="I595" s="41"/>
      <c r="J595" s="41"/>
      <c r="K595" s="41"/>
      <c r="L595" s="41"/>
      <c r="M595" s="42">
        <f ca="1">IFERROR(M581+M594,"")</f>
        <v>2.2916666666666696E-2</v>
      </c>
      <c r="N595" s="40" t="s">
        <v>234</v>
      </c>
      <c r="O595" s="83">
        <f>IFERROR(O581+O594,"")</f>
        <v>966000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36" zoomScale="50" zoomScaleNormal="50" workbookViewId="0">
      <selection activeCell="O582" sqref="O58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313</v>
      </c>
      <c r="N166" s="27" t="s">
        <v>314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231</v>
      </c>
      <c r="O567" s="39">
        <v>315860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234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231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53</v>
      </c>
      <c r="G595" s="40">
        <f>G581+G594</f>
        <v>222.60000000000002</v>
      </c>
      <c r="H595" s="41"/>
      <c r="I595" s="41"/>
      <c r="J595" s="41"/>
      <c r="K595" s="41"/>
      <c r="L595" s="41"/>
      <c r="M595" s="42">
        <f ca="1">IFERROR(M581+M594,"")</f>
        <v>4.3055555555555569E-2</v>
      </c>
      <c r="N595" s="40" t="s">
        <v>234</v>
      </c>
      <c r="O595" s="48">
        <f>IFERROR(O581+O594,"")</f>
        <v>222600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49" activePane="bottomLeft" state="frozen"/>
      <selection pane="bottomLeft" activeCell="O582" sqref="O58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336</v>
      </c>
      <c r="L58" s="29">
        <v>0.54097222222222219</v>
      </c>
      <c r="M58" s="30" t="str">
        <f t="shared" ca="1" si="13"/>
        <v/>
      </c>
      <c r="N58" s="27" t="s">
        <v>337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0.52925520833377959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0.72856076388933522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1.0959218750004462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231</v>
      </c>
      <c r="O567" s="39">
        <v>499820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234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/>
      <c r="M569" s="35">
        <f t="shared" ref="M569:M574" ca="1" si="127">IFERROR(IF(K569="","",IF(L569="",MOD(NOW()-K569,1),IF(L569&gt;=K569,L569-K569,L569+1-K569))),"")</f>
        <v>0.48689409722283017</v>
      </c>
      <c r="N569" s="27" t="s">
        <v>375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0.48689409722283017</v>
      </c>
      <c r="N581" s="36" t="s">
        <v>231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0.48689409722283017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2026-07-22T22:41:34Z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