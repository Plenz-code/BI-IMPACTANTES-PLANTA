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144" documentId="8_{AF585B22-221D-4780-BB9C-493D365A6A02}" xr6:coauthVersionLast="47" xr6:coauthVersionMax="47" xr10:uidLastSave="{B383B53A-BF29-4304-B841-56C7D442B408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9" i="6" l="1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<sst xmlns="http://schemas.openxmlformats.org/spreadsheetml/2006/main" count="2378" uniqueCount="231">
  <si>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</si>
  <si>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</si>
  <si>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</si>
  <si>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</si>
  <si>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</si>
  <si>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</si>
  <si>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</si>
  <si>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</si>
  <si>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</si>
  <si>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</si>
  <si>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</si>
  <si>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</si>
  <si>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</si>
  <si>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</si>
  <si>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</si>
  <si>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</si>
  <si>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</si>
  <si>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</si>
  <si>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</si>
  <si>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</si>
  <si>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</si>
  <si>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</si>
  <si>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</si>
  <si>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</si>
  <si>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</si>
  <si>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</si>
  <si>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</si>
  <si>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</si>
  <si>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</si>
  <si>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</si>
  <si>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</si>
  <si>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</si>
  <si>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</si>
  <si>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</si>
  <si>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</si>
  <si>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</si>
  <si>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</si>
  <si>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</si>
  <si>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</si>
  <si>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</si>
  <si>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</si>
  <si>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</si>
  <si>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</si>
  <si>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</si>
  <si>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</si>
  <si>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</si>
  <si>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</si>
  <si>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</si>
  <si>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</si>
  <si>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</si>
  <si>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</si>
  <si>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</si>
  <si>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</si>
  <si>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</si>
  <si>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</si>
  <si>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</si>
  <si>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</si>
  <si>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</si>
  <si>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</si>
  <si>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</si>
  <si>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</si>
  <si>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</si>
  <si>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</si>
  <si>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</si>
  <si>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</si>
  <si>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</si>
  <si>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</si>
  <si>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</si>
  <si>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</si>
  <si>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</si>
  <si>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</si>
  <si>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</si>
  <si>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</si>
  <si>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</si>
  <si>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</si>
  <si>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</si>
  <si>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</si>
  <si>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</si>
  <si>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</si>
  <si>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</si>
  <si>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</si>
  <si>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</si>
  <si>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</si>
  <si>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</si>
  <si>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</si>
  <si>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</si>
  <si>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</si>
  <si>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</si>
  <si>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</si>
  <si>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</si>
  <si>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</si>
  <si>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</si>
  <si>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</si>
  <si>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</si>
  <si>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</si>
  <si>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</si>
  <si>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</si>
  <si>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</si>
  <si>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</si>
  <si>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</si>
  <si>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</si>
  <si>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</si>
  <si>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</si>
  <si>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</si>
  <si>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</si>
  <si>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</si>
  <si>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</si>
  <si>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</si>
  <si>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</si>
  <si>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</si>
  <si>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</si>
  <si>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</si>
  <si>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</si>
  <si>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</si>
  <si>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</si>
  <si>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</si>
  <si>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</si>
  <si>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</si>
  <si>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</si>
  <si>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</si>
  <si>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</si>
  <si>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</si>
  <si>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</si>
  <si>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</si>
  <si>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</si>
  <si>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</si>
  <si>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</si>
  <si>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</si>
  <si>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</si>
  <si>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</si>
  <si>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</si>
  <si>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</si>
  <si>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</si>
  <si>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</si>
  <si>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</si>
  <si>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</si>
  <si>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</si>
  <si>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</si>
  <si>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</si>
  <si>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</si>
  <si>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</si>
  <si>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</si>
  <si>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</si>
  <si>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</si>
  <si>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</si>
  <si>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</si>
  <si>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</si>
  <si>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</si>
  <si>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</si>
  <si>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</si>
  <si>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</si>
  <si>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</si>
  <si>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</si>
  <si>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</si>
  <si>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</si>
  <si>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</si>
  <si>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</si>
  <si>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</si>
  <si>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</si>
  <si>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</si>
  <si>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</si>
  <si>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</si>
  <si>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</si>
  <si>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</si>
  <si>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</si>
  <si>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</si>
  <si>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</si>
  <si>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</si>
  <si>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</si>
  <si>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</si>
  <si>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</si>
  <si>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</si>
  <si>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</si>
  <si>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</si>
  <si>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</si>
  <si>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</si>
  <si>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</si>
  <si>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</si>
  <si>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</si>
  <si>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</si>
  <si>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</si>
  <si>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</si>
  <si>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</si>
  <si>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</si>
  <si>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</si>
  <si>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</si>
  <si>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</si>
  <si>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</si>
  <si>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</si>
  <si>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</si>
  <si>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</si>
  <si>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</si>
  <si>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</si>
  <si>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</si>
  <si>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</si>
  <si>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</si>
  <si>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</si>
  <si>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</si>
  <si>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</si>
  <si>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</si>
  <si>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</si>
  <si>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</si>
  <si>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</si>
  <si>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</si>
  <si>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</si>
  <si>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</si>
  <si>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</si>
  <si>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</si>
  <si>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</si>
  <si>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</si>
  <si>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</si>
  <si>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</si>
  <si>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rolamento do moinho 1 estourado, operando apenas MM2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</si>
  <si>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</si>
  <si>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</si>
  <si>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</si>
  <si>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</si>
  <si>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</si>
  <si>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</si>
  <si>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</si>
  <si>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</si>
  <si>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</si>
  <si>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</si>
  <si>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</si>
  <si>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</si>
  <si>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</si>
  <si>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</si>
  <si>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</si>
  <si>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</si>
  <si>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</si>
  <si>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 xml:space="preserve">borracha da TC3 saindo do lugar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</si>
</sst>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/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73" activePane="bottomLeft" state="frozen"/>
      <selection pane="bottomLeft" activeCell="N97" sqref="N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" activePane="bottomLeft" state="frozen"/>
      <selection pane="bottomLeft" activeCell="K98" sqref="K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206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85">
        <v>276360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209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/>
      <c r="M97" s="35">
        <f t="shared" ca="1" si="22"/>
        <v>7.8421296275337227E-3</v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16</v>
      </c>
      <c r="G98" s="34">
        <f t="shared" si="21"/>
        <v>67.2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122</v>
      </c>
      <c r="G108" s="36">
        <f>SUM(G96:G107)</f>
        <v>512.4</v>
      </c>
      <c r="H108" s="37"/>
      <c r="I108" s="37"/>
      <c r="J108" s="37"/>
      <c r="K108" s="37"/>
      <c r="L108" s="37"/>
      <c r="M108" s="38">
        <f ca="1">IFERROR(SUM(M96:M107),"")</f>
        <v>3.2147685183089303E-2</v>
      </c>
      <c r="N108" s="36" t="s">
        <v>198</v>
      </c>
      <c r="O108" s="54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234</v>
      </c>
      <c r="G109" s="40">
        <f>G95+G108</f>
        <v>1031.5999999999999</v>
      </c>
      <c r="H109" s="41"/>
      <c r="I109" s="41"/>
      <c r="J109" s="41"/>
      <c r="K109" s="41"/>
      <c r="L109" s="41"/>
      <c r="M109" s="42">
        <f ca="1">IFERROR(M95+M108,"")</f>
        <v>0.29395324073864487</v>
      </c>
      <c r="N109" s="40" t="s">
        <v>201</v>
      </c>
      <c r="O109" s="83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0" activePane="bottomLeft" state="frozen"/>
      <selection pane="bottomLeft" activeCell="F103" sqref="F10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/>
      <c r="M96" s="30">
        <f t="shared" ref="M96:M107" ca="1" si="22">IFERROR(IF(K96="","",IF(L96="",MOD(NOW()-K96,1),IF(L96&gt;=K96,L96-K96,L96+1-K96))),"")</f>
        <v>0.25714768518082565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0.25714768518082565</v>
      </c>
      <c r="N108" s="36" t="s">
        <v>198</v>
      </c>
      <c r="O108" s="39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0.45853657406971454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73" activePane="bottomLeft" state="frozen"/>
      <selection pane="bottomLeft" activeCell="G98" sqref="G98:G10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223</v>
      </c>
      <c r="L58" s="29">
        <v>0.54097222222222219</v>
      </c>
      <c r="M58" s="30" t="str">
        <f t="shared" ca="1" si="13"/>
        <v/>
      </c>
      <c r="N58" s="27" t="s">
        <v>224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20</v>
      </c>
      <c r="G98" s="34">
        <f t="shared" si="21"/>
        <v>84</v>
      </c>
      <c r="H98" s="26" t="s">
        <v>18</v>
      </c>
      <c r="I98" s="26" t="s">
        <v>75</v>
      </c>
      <c r="J98" s="26" t="s">
        <v>96</v>
      </c>
      <c r="K98" s="29">
        <v>0.99791666666666667</v>
      </c>
      <c r="L98" s="29"/>
      <c r="M98" s="35">
        <f t="shared" ca="1" si="22"/>
        <v>0.13492546296038199</v>
      </c>
      <c r="N98" s="27" t="s">
        <v>230</v>
      </c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22</v>
      </c>
      <c r="G99" s="34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>
        <v>0</v>
      </c>
      <c r="G101" s="34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>
        <v>0</v>
      </c>
      <c r="G103" s="34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34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34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0.16964768518260431</v>
      </c>
      <c r="N108" s="36" t="s">
        <v>198</v>
      </c>
      <c r="O108" s="39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0.35784212962704881</v>
      </c>
      <c r="N109" s="40" t="s">
        <v>201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2026-07-05T07:11:22Z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