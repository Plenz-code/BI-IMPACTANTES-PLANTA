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46" documentId="8_{C51EB6CB-002B-4D6B-B68F-DDEBDB4460C0}" xr6:coauthVersionLast="47" xr6:coauthVersionMax="47" xr10:uidLastSave="{A0D05C1F-DB26-4183-B0AF-3667E9F9D527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<sst xmlns="http://schemas.openxmlformats.org/spreadsheetml/2006/main" count="1379" uniqueCount="240">
  <si>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</si>
  <si>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</si>
  <si>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</si>
  <si>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</si>
  <si>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</si>
  <si>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</si>
  <si>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</si>
  <si>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</si>
  <si>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</si>
  <si>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</si>
  <si>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</si>
  <si>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</si>
  <si>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</si>
  <si>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</si>
  <si>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</si>
  <si>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</si>
  <si>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</si>
  <si>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</si>
  <si>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</si>
  <si>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</si>
  <si>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</si>
  <si>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</si>
  <si>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</si>
  <si>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</si>
  <si>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</si>
  <si>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</si>
  <si>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</si>
  <si>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</si>
  <si>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</si>
  <si>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</si>
  <si>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</si>
  <si>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</si>
  <si>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</si>
  <si>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</si>
  <si>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</si>
  <si>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</si>
  <si>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</si>
  <si>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</si>
  <si>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</si>
  <si>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</si>
  <si>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</si>
  <si>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</si>
  <si>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</si>
  <si>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</si>
  <si>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</si>
  <si>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</si>
  <si>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</si>
  <si>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</si>
  <si>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</si>
  <si>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</si>
  <si>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</si>
  <si>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</si>
  <si>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</si>
  <si>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</si>
  <si>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</si>
  <si>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</si>
  <si>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</si>
  <si>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</si>
  <si>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</si>
  <si>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</si>
  <si>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</si>
  <si>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</si>
  <si>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</si>
  <si>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</si>
  <si>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</si>
  <si>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</si>
  <si>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</si>
  <si>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</si>
  <si>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</si>
  <si>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</si>
  <si>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</si>
  <si>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</si>
  <si>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</si>
  <si>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</si>
  <si>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</si>
  <si>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</si>
  <si>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</si>
  <si>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</si>
  <si>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</si>
  <si>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</si>
  <si>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</si>
  <si>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</si>
  <si>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</si>
  <si>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</si>
  <si>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</si>
  <si>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</si>
  <si>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</si>
  <si>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</si>
  <si>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</si>
  <si>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</si>
  <si>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</si>
  <si>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</si>
  <si>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</si>
  <si>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</si>
  <si>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</si>
  <si>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</si>
  <si>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</si>
  <si>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</si>
  <si>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</si>
  <si>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</si>
  <si>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</si>
  <si>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</si>
  <si>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</si>
  <si>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</si>
  <si>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</si>
  <si>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</si>
  <si>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</si>
  <si>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</si>
  <si>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</si>
  <si>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</si>
  <si>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</si>
  <si>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</si>
  <si>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</si>
  <si>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</si>
  <si>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</si>
  <si>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</si>
  <si>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</si>
  <si>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</si>
  <si>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</si>
  <si>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</si>
  <si>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</si>
  <si>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</si>
  <si>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</si>
  <si>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</si>
  <si>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</si>
  <si>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</si>
  <si>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</si>
  <si>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</si>
  <si>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</si>
  <si>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</si>
  <si>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</si>
  <si>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</si>
  <si>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</si>
  <si>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</si>
  <si>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</si>
  <si>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</si>
  <si>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</si>
  <si>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</si>
  <si>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</si>
  <si>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</si>
  <si>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</si>
  <si>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</si>
  <si>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</si>
  <si>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</si>
  <si>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</si>
  <si>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</si>
  <si>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</si>
  <si>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</si>
  <si>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</si>
  <si>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</si>
  <si>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</si>
  <si>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</si>
  <si>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</si>
  <si>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</si>
  <si>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</si>
  <si>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</si>
  <si>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</si>
  <si>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</si>
  <si>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</si>
  <si>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</si>
  <si>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</si>
  <si>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</si>
  <si>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</si>
  <si>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</si>
  <si>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</si>
  <si>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</si>
  <si>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</si>
  <si>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</si>
  <si>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</si>
  <si>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</si>
  <si>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</si>
  <si>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</si>
  <si>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</si>
  <si>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</si>
  <si>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</si>
  <si>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</si>
  <si>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</si>
  <si>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</si>
  <si>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</si>
  <si>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</si>
  <si>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</si>
  <si>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</si>
  <si>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</si>
  <si>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</si>
  <si>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</si>
  <si>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</si>
  <si>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</si>
  <si>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</si>
  <si>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</si>
  <si>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</si>
  <si>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</si>
  <si>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</si>
  <si>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</si>
  <si>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</si>
  <si>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</si>
  <si>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</si>
  <si>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</si>
  <si>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</si>
  <si>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</si>
  <si>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</si>
  <si>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</si>
  <si>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</si>
  <si>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</si>
  <si>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</si>
  <si>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</si>
  <si>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</si>
  <si>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</si>
  <si>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</si>
  <si>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</si>
  <si>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</si>
  <si>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</si>
  <si>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</si>
  <si>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</si>
  <si>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</si>
  <si>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</si>
  <si>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</si>
  <si>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</si>
  <si>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</si>
  <si>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</si>
  <si>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</si>
  <si>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</si>
  <si>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</si>
  <si>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</si>
  <si>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</si>
  <si>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</si>
  <si>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</si>
  <si>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</si>
  <si>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</si>
  <si>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</si>
  <si>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</si>
  <si>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</si>
  <si>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</si>
  <si>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</si>
  <si>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</si>
  <si>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</si>
  <si>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</si>
  <si>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</si>
  <si>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colocar chapa na bica</t>
  </si>
  <si>
    <t>martelo soltou</t>
  </si>
  <si>
    <t>solda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</si>
</sst>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E25" sqref="E2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35</v>
      </c>
      <c r="G15" s="34">
        <f t="shared" ref="G15:G26" si="3">IF(F15="","",IF(E15="PC 17",F15*4.2,IF(E15="PC 19",F15*5,IF(E15="CB",F15*35,""))))</f>
        <v>175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/>
      <c r="G16" s="34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35</v>
      </c>
      <c r="G27" s="36">
        <f>SUM(G15:G26)</f>
        <v>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231</v>
      </c>
      <c r="G28" s="40">
        <f>G14+G27</f>
        <v>1155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/>
      <c r="G16" s="34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112</v>
      </c>
      <c r="G28" s="40">
        <f>G14+G27</f>
        <v>470.40000000000003</v>
      </c>
      <c r="H28" s="41"/>
      <c r="I28" s="41"/>
      <c r="J28" s="41"/>
      <c r="K28" s="41"/>
      <c r="L28" s="41"/>
      <c r="M28" s="42">
        <f ca="1">IFERROR(M14+M27,"")</f>
        <v>0.20069444444444434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E26" sqref="E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22</v>
      </c>
      <c r="E16" s="62" t="s">
        <v>233</v>
      </c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22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22</v>
      </c>
      <c r="E18" s="62" t="s">
        <v>233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22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22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22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22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22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22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81</v>
      </c>
      <c r="G28" s="40">
        <f>G14+G27</f>
        <v>340.20000000000005</v>
      </c>
      <c r="H28" s="41"/>
      <c r="I28" s="41"/>
      <c r="J28" s="41"/>
      <c r="K28" s="41"/>
      <c r="L28" s="41"/>
      <c r="M28" s="42">
        <f ca="1">IFERROR(M14+M27,"")</f>
        <v>1.3194444444444509E-2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" activePane="bottomLeft" state="frozen"/>
      <selection pane="bottomLeft" activeCell="L19" sqref="L1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/>
      <c r="G15" s="34" t="str">
        <f t="shared" ref="G15:G26" si="3">IF(F15="","",IF(E15="PC 17",F15*4.2,IF(E15="PC 19",F15*5,IF(E15="CB",F15*24,""))))</f>
        <v/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/>
      <c r="G16" s="28" t="str">
        <f t="shared" si="3"/>
        <v/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237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/>
      <c r="G17" s="34" t="str">
        <f t="shared" si="3"/>
        <v/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238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/>
      <c r="G18" s="28" t="str">
        <f t="shared" si="3"/>
        <v/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3.8888888888888973E-2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130</v>
      </c>
      <c r="G28" s="40">
        <f>G14+G27</f>
        <v>546.00000000000011</v>
      </c>
      <c r="H28" s="41"/>
      <c r="I28" s="41"/>
      <c r="J28" s="41"/>
      <c r="K28" s="63"/>
      <c r="L28" s="63"/>
      <c r="M28" s="42">
        <f ca="1">IFERROR(M14+M27,"")</f>
        <v>7.777777777777789E-2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2026-08-02T00:11:55Z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