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875" documentId="8_{AF585B22-221D-4780-BB9C-493D365A6A02}" xr6:coauthVersionLast="47" xr6:coauthVersionMax="47" xr10:uidLastSave="{71AB39C9-C62B-462A-BC57-133936533F4D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<sst xmlns="http://schemas.openxmlformats.org/spreadsheetml/2006/main" count="8611" uniqueCount="370">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</sst>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62385151</v>
      </c>
      <c r="D35" s="13">
        <f>IFERROR(SUM(D4:D34),"")</f>
        <v>23768360</v>
      </c>
      <c r="E35" s="13">
        <f>IFERROR(SUM(E4:E34),"")</f>
        <v>13840110</v>
      </c>
      <c r="F35" s="13">
        <f>IFERROR(SUM(F4:F34),"")</f>
        <v>27641240</v>
      </c>
      <c r="G35" s="13">
        <f>IFERROR(SUM(G4:G34),"")</f>
        <v>65249710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24" activePane="bottomLeft" state="frozen"/>
      <selection pane="bottomLeft" activeCell="F552" sqref="F55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85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80</v>
      </c>
      <c r="G554" s="36">
        <f>SUM(G542:G553)</f>
        <v>400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80</v>
      </c>
      <c r="G568" s="40">
        <f>G554+G567</f>
        <v>400</v>
      </c>
      <c r="H568" s="41"/>
      <c r="I568" s="41"/>
      <c r="J568" s="41"/>
      <c r="K568" s="41"/>
      <c r="L568" s="41"/>
      <c r="M568" s="42">
        <f ca="1">IFERROR(M554+M567,"")</f>
        <v>0.32291666666666669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526" activePane="bottomLeft" state="frozen"/>
      <selection pane="bottomLeft" activeCell="F552" sqref="F55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0.46825474537035916</v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0.62589363425924804</v>
      </c>
      <c r="N378" s="36" t="s">
        <v>231</v>
      </c>
      <c r="O378" s="77">
        <v>511980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0.73561585648147021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0.44672696759516839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0.61756030092850178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0.76269918981739071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221</v>
      </c>
      <c r="G554" s="36">
        <f>SUM(G542:G553)</f>
        <v>928.2</v>
      </c>
      <c r="H554" s="37"/>
      <c r="I554" s="37"/>
      <c r="J554" s="37"/>
      <c r="K554" s="37"/>
      <c r="L554" s="37"/>
      <c r="M554" s="38">
        <f ca="1">IFERROR(SUM(M542:M553),"")</f>
        <v>6.7361111111111094E-2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221</v>
      </c>
      <c r="G568" s="40">
        <f>G554+G567</f>
        <v>928.2</v>
      </c>
      <c r="H568" s="41"/>
      <c r="I568" s="41"/>
      <c r="J568" s="41"/>
      <c r="K568" s="41"/>
      <c r="L568" s="41"/>
      <c r="M568" s="42">
        <f ca="1">IFERROR(M554+M567,"")</f>
        <v>6.7361111111111094E-2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17" zoomScale="50" zoomScaleNormal="50" workbookViewId="0">
      <selection activeCell="F552" sqref="F55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304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306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307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309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311</v>
      </c>
      <c r="N166" s="27" t="s">
        <v>312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313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314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315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319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308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323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324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325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326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327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/>
      <c r="M543" s="35">
        <f t="shared" ca="1" si="121"/>
        <v>2.7282523151370697E-2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27</v>
      </c>
      <c r="G554" s="36">
        <f>SUM(G542:G553)</f>
        <v>113.4</v>
      </c>
      <c r="H554" s="37"/>
      <c r="I554" s="37"/>
      <c r="J554" s="37"/>
      <c r="K554" s="37"/>
      <c r="L554" s="37"/>
      <c r="M554" s="38">
        <f ca="1">IFERROR(SUM(M542:M553),"")</f>
        <v>6.2004745373592907E-2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27</v>
      </c>
      <c r="G568" s="40">
        <f>G554+G567</f>
        <v>113.4</v>
      </c>
      <c r="H568" s="41"/>
      <c r="I568" s="41"/>
      <c r="J568" s="41"/>
      <c r="K568" s="41"/>
      <c r="L568" s="41"/>
      <c r="M568" s="42">
        <f ca="1">IFERROR(M554+M567,"")</f>
        <v>6.2004745373592907E-2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24" activePane="bottomLeft" state="frozen"/>
      <selection pane="bottomLeft" activeCell="F552" sqref="F55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328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329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330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331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332</v>
      </c>
      <c r="L58" s="29">
        <v>0.54097222222222219</v>
      </c>
      <c r="M58" s="30" t="str">
        <f t="shared" ca="1" si="13"/>
        <v/>
      </c>
      <c r="N58" s="27" t="s">
        <v>333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334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335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336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337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338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339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340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341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0.45853252315282589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0.65783807870838151</v>
      </c>
      <c r="N135" s="36" t="s">
        <v>231</v>
      </c>
      <c r="O135" s="39">
        <v>729290</v>
      </c>
    </row>
    <row r="136" spans="1:18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1.0251991898194925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342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344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345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346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347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348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349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351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352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353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230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355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308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357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344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358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359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360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337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337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367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368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369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/>
      <c r="M545" s="35">
        <f t="shared" ca="1" si="121"/>
        <v>3.2838078703207429E-2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9.5338078703207429E-2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150</v>
      </c>
      <c r="G568" s="40">
        <f>G554+G567</f>
        <v>630</v>
      </c>
      <c r="H568" s="41"/>
      <c r="I568" s="41"/>
      <c r="J568" s="41"/>
      <c r="K568" s="63"/>
      <c r="L568" s="63"/>
      <c r="M568" s="42">
        <f ca="1">IFERROR(M554+M567,"")</f>
        <v>9.5338078703207429E-2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2026-07-21T20:59:22Z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