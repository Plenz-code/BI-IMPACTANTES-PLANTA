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527" documentId="13_ncr:1_{0A10D8D4-8450-4366-8075-B53B08E6B7EA}" xr6:coauthVersionLast="47" xr6:coauthVersionMax="47" xr10:uidLastSave="{FBA90B8A-A377-48C6-B9B6-DDC5ABDFCCDE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1" i="6"/>
  <c r="J421" i="6" s="1"/>
  <c r="H422" i="6"/>
  <c r="J422" i="6" s="1"/>
  <c r="H423" i="6"/>
  <c r="J423" i="6" s="1"/>
  <c r="H424" i="6"/>
  <c r="J424" i="6" s="1"/>
  <c r="H425" i="6"/>
  <c r="J425" i="6" s="1"/>
  <c r="H426" i="6"/>
  <c r="J426" i="6" s="1"/>
  <c r="H427" i="6"/>
  <c r="J427" i="6" s="1"/>
  <c r="H428" i="6"/>
  <c r="J428" i="6" s="1"/>
  <c r="H429" i="6"/>
  <c r="J429" i="6" s="1"/>
  <c r="H430" i="6"/>
  <c r="J430" i="6" s="1"/>
  <c r="H431" i="6"/>
  <c r="J431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1" i="5"/>
  <c r="J421" i="5" s="1"/>
  <c r="H422" i="5"/>
  <c r="J422" i="5" s="1"/>
  <c r="H423" i="5"/>
  <c r="J423" i="5" s="1"/>
  <c r="H424" i="5"/>
  <c r="J424" i="5" s="1"/>
  <c r="H425" i="5"/>
  <c r="J425" i="5" s="1"/>
  <c r="H426" i="5"/>
  <c r="J426" i="5" s="1"/>
  <c r="H427" i="5"/>
  <c r="J427" i="5" s="1"/>
  <c r="H428" i="5"/>
  <c r="J428" i="5" s="1"/>
  <c r="H429" i="5"/>
  <c r="J429" i="5" s="1"/>
  <c r="H430" i="5"/>
  <c r="J430" i="5" s="1"/>
  <c r="H431" i="5"/>
  <c r="J431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1" i="4"/>
  <c r="J421" i="4" s="1"/>
  <c r="H422" i="4"/>
  <c r="J422" i="4" s="1"/>
  <c r="H423" i="4"/>
  <c r="J423" i="4" s="1"/>
  <c r="H424" i="4"/>
  <c r="J424" i="4" s="1"/>
  <c r="H425" i="4"/>
  <c r="J425" i="4" s="1"/>
  <c r="H426" i="4"/>
  <c r="J426" i="4" s="1"/>
  <c r="H427" i="4"/>
  <c r="J427" i="4" s="1"/>
  <c r="H428" i="4"/>
  <c r="J428" i="4" s="1"/>
  <c r="H429" i="4"/>
  <c r="J429" i="4" s="1"/>
  <c r="H430" i="4"/>
  <c r="J430" i="4" s="1"/>
  <c r="H431" i="4"/>
  <c r="J431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446" i="6"/>
  <c r="T446" i="6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446" i="4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H420" i="6" s="1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H420" i="5" s="1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H420" i="4" s="1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20" i="6" l="1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<sst xmlns="http://schemas.openxmlformats.org/spreadsheetml/2006/main" count="7298" uniqueCount="356">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</sst>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H427" sqref="H427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15</v>
      </c>
      <c r="G432" s="36">
        <f>SUM(G420:G431)</f>
        <v>75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225</v>
      </c>
      <c r="G433" s="40">
        <f>G419+G432</f>
        <v>1125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O421" sqref="O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0.75200254629453411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0.89089143518342295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0.97561365740564532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100.80000000000001</v>
      </c>
      <c r="L420" s="26"/>
      <c r="M420" s="26"/>
      <c r="N420" s="26"/>
      <c r="O420" s="29">
        <v>0.87291666666666667</v>
      </c>
      <c r="P420" s="29"/>
      <c r="Q420" s="30">
        <f t="shared" ref="Q420:Q431" ca="1" si="104">IFERROR(IF(O420="","",IF(P420="",MOD(NOW()-O420,1),IF(P420&gt;=O420,P420-O420,P420+1-O420))),"")</f>
        <v>6.1365740839391947E-4</v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24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100.80000000000001</v>
      </c>
      <c r="L432" s="37"/>
      <c r="M432" s="37"/>
      <c r="N432" s="37"/>
      <c r="O432" s="37"/>
      <c r="P432" s="37"/>
      <c r="Q432" s="38">
        <f ca="1">IFERROR(SUM(Q420:Q431),"")</f>
        <v>6.1365740839391947E-4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171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718.2</v>
      </c>
      <c r="L433" s="41"/>
      <c r="M433" s="41"/>
      <c r="N433" s="41"/>
      <c r="O433" s="41"/>
      <c r="P433" s="41"/>
      <c r="Q433" s="42">
        <f ca="1">IFERROR(Q419+Q432,"")</f>
        <v>9.1585879630616152E-2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N420" sqref="N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0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/>
      <c r="Q420" s="30">
        <f t="shared" ref="Q420:Q431" ca="1" si="102">IFERROR(IF(O420="","",IF(P420="",MOD(NOW()-O420,1),IF(P420&gt;=O420,P420-O420,P420+1-O420))),"")</f>
        <v>4.7803240740904585E-3</v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6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25.200000000000003</v>
      </c>
      <c r="L432" s="37"/>
      <c r="M432" s="37"/>
      <c r="N432" s="37"/>
      <c r="O432" s="37"/>
      <c r="P432" s="37"/>
      <c r="Q432" s="38">
        <f ca="1">IFERROR(SUM(Q420:Q431),"")</f>
        <v>4.7803240740904585E-3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127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533.40000000000009</v>
      </c>
      <c r="L433" s="41"/>
      <c r="M433" s="41"/>
      <c r="N433" s="41"/>
      <c r="O433" s="41"/>
      <c r="P433" s="41"/>
      <c r="Q433" s="42">
        <f ca="1">IFERROR(Q419+Q432,"")</f>
        <v>7.7696990740757199E-2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95" activePane="bottomLeft" state="frozen"/>
      <selection pane="bottomLeft" activeCell="D424" sqref="D424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0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0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21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88.2</v>
      </c>
      <c r="L432" s="37"/>
      <c r="M432" s="37"/>
      <c r="N432" s="37"/>
      <c r="O432" s="61"/>
      <c r="P432" s="61"/>
      <c r="Q432" s="38">
        <f ca="1">IFERROR(SUM(Q420:Q431),"")</f>
        <v>2.3611111111111249E-2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163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684.60000000000014</v>
      </c>
      <c r="L433" s="41"/>
      <c r="M433" s="41"/>
      <c r="N433" s="41"/>
      <c r="O433" s="63"/>
      <c r="P433" s="63"/>
      <c r="Q433" s="42">
        <f ca="1">IFERROR(Q419+Q432,"")</f>
        <v>0.13888888888888906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2026-08-17T00:58:13Z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