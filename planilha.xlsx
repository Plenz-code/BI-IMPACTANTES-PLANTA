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98" documentId="8_{C51EB6CB-002B-4D6B-B68F-DDEBDB4460C0}" xr6:coauthVersionLast="47" xr6:coauthVersionMax="47" xr10:uidLastSave="{14CBD6A6-4415-4371-AA6C-A277A2D5344F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<sst xmlns="http://schemas.openxmlformats.org/spreadsheetml/2006/main" count="4301" uniqueCount="304">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</sst>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1392300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25428585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9" activePane="bottomLeft" state="frozen"/>
      <selection pane="bottomLeft" activeCell="F205" sqref="F20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37</v>
      </c>
      <c r="G216" s="36">
        <f>SUM(G204:G215)</f>
        <v>185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288</v>
      </c>
      <c r="G217" s="40">
        <f>G203+G216</f>
        <v>1440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1392300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7" activePane="bottomLeft" state="frozen"/>
      <selection pane="bottomLeft" activeCell="F205" sqref="F2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0.74343124999722932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0.88232013888611815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0.96704236110834052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16</v>
      </c>
      <c r="G216" s="36">
        <f>SUM(G204:G215)</f>
        <v>67.2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149</v>
      </c>
      <c r="G217" s="40">
        <f>G203+G216</f>
        <v>625.80000000000007</v>
      </c>
      <c r="H217" s="41"/>
      <c r="I217" s="41"/>
      <c r="J217" s="41"/>
      <c r="K217" s="41"/>
      <c r="L217" s="41"/>
      <c r="M217" s="42">
        <f ca="1">IFERROR(M203+M216,"")</f>
        <v>0.14027777777777767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6" zoomScale="50" zoomScaleNormal="50" workbookViewId="0">
      <selection activeCell="F205" sqref="F2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2</v>
      </c>
      <c r="G216" s="36">
        <f>SUM(G204:G215)</f>
        <v>8.4</v>
      </c>
      <c r="H216" s="37"/>
      <c r="I216" s="37"/>
      <c r="J216" s="37"/>
      <c r="K216" s="37"/>
      <c r="L216" s="37"/>
      <c r="M216" s="38">
        <f ca="1">IFERROR(SUM(M204:M215),"")</f>
        <v>5.555555555555558E-2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17</v>
      </c>
      <c r="G217" s="40">
        <f>G203+G216</f>
        <v>71.400000000000006</v>
      </c>
      <c r="H217" s="41"/>
      <c r="I217" s="41"/>
      <c r="J217" s="41"/>
      <c r="K217" s="41"/>
      <c r="L217" s="41"/>
      <c r="M217" s="42">
        <f ca="1">IFERROR(M203+M216,"")</f>
        <v>0.21736111111111106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73" activePane="bottomLeft" state="frozen"/>
      <selection pane="bottomLeft" activeCell="L206" sqref="L20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/>
      <c r="M204" s="30">
        <f t="shared" ref="M204:M215" ca="1" si="46">IFERROR(IF(K204="","",IF(L204="",MOD(NOW()-K204,1),IF(L204&gt;=K204,L204-K204,L204+1-K204))),"")</f>
        <v>5.2459027778240852E-2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14</v>
      </c>
      <c r="G216" s="36">
        <f>SUM(G204:G215)</f>
        <v>58.800000000000004</v>
      </c>
      <c r="H216" s="37"/>
      <c r="I216" s="37"/>
      <c r="J216" s="37"/>
      <c r="K216" s="61"/>
      <c r="L216" s="61"/>
      <c r="M216" s="38">
        <f ca="1">IFERROR(SUM(M204:M215),"")</f>
        <v>5.8709027778240941E-2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175</v>
      </c>
      <c r="G217" s="40">
        <f>G203+G216</f>
        <v>735</v>
      </c>
      <c r="H217" s="41"/>
      <c r="I217" s="41"/>
      <c r="J217" s="41"/>
      <c r="K217" s="63"/>
      <c r="L217" s="63"/>
      <c r="M217" s="42">
        <f ca="1">IFERROR(M203+M216,"")</f>
        <v>0.12676458333379664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2026-08-09T00:46:03Z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