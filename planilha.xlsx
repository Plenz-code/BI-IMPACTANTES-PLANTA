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27" documentId="13_ncr:1_{0A10D8D4-8450-4366-8075-B53B08E6B7EA}" xr6:coauthVersionLast="47" xr6:coauthVersionMax="47" xr10:uidLastSave="{51CD7501-1FB5-4C77-93E2-E969DEF9DFCF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2" i="6" s="1"/>
  <c r="J372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2" i="5" s="1"/>
  <c r="J372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2" i="4" s="1"/>
  <c r="J372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0" i="6" l="1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<sst xmlns="http://schemas.openxmlformats.org/spreadsheetml/2006/main" count="6548" uniqueCount="348">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</sst>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sqref="A1:K1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3" sqref="F37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240</v>
      </c>
      <c r="G378" s="36">
        <f>SUM(G366:G377)</f>
        <v>1200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640</v>
      </c>
      <c r="G379" s="40">
        <f>G365+G378</f>
        <v>3166.4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L369" sqref="L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0.98677511573623633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1.1256640046251252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1.2103862268473475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/>
      <c r="O369" s="29">
        <v>0.1076388888888889</v>
      </c>
      <c r="P369" s="29"/>
      <c r="Q369" s="35">
        <f t="shared" ca="1" si="88"/>
        <v>6.6400462674209848E-4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97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407.40000000000003</v>
      </c>
      <c r="L378" s="37"/>
      <c r="M378" s="37"/>
      <c r="N378" s="37"/>
      <c r="O378" s="37"/>
      <c r="P378" s="37"/>
      <c r="Q378" s="38">
        <f ca="1">IFERROR(SUM(Q366:Q377),"")</f>
        <v>7.635844907118669E-2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205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861</v>
      </c>
      <c r="L379" s="41"/>
      <c r="M379" s="41"/>
      <c r="N379" s="41"/>
      <c r="O379" s="41"/>
      <c r="P379" s="41"/>
      <c r="Q379" s="42">
        <f ca="1">IFERROR(Q365+Q378,"")</f>
        <v>0.15969178240451995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3" sqref="G37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138.6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123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516.60000000000014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72" sqref="G37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/>
      <c r="Q371" s="35">
        <f t="shared" ca="1" si="88"/>
        <v>3.1914004626742098E-2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142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596.39999999999986</v>
      </c>
      <c r="L378" s="37"/>
      <c r="M378" s="37"/>
      <c r="N378" s="37"/>
      <c r="O378" s="61"/>
      <c r="P378" s="61"/>
      <c r="Q378" s="38">
        <f ca="1">IFERROR(SUM(Q366:Q377),"")</f>
        <v>8.9552893515631019E-2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338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1419.6</v>
      </c>
      <c r="L379" s="41"/>
      <c r="M379" s="41"/>
      <c r="N379" s="41"/>
      <c r="O379" s="63"/>
      <c r="P379" s="63"/>
      <c r="Q379" s="42">
        <f ca="1">IFERROR(Q365+Q378,"")</f>
        <v>0.2076084490711867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2026-08-15T06:36:21Z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