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3" documentId="13_ncr:1_{0A10D8D4-8450-4366-8075-B53B08E6B7EA}" xr6:coauthVersionLast="47" xr6:coauthVersionMax="47" xr10:uidLastSave="{E3F16C01-D2EE-45EF-B35B-8B74FAC759C5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8" i="6" l="1"/>
  <c r="H489" i="6"/>
  <c r="J489" i="6" s="1"/>
  <c r="H488" i="5"/>
  <c r="H489" i="5"/>
  <c r="J489" i="5" s="1"/>
  <c r="H488" i="4"/>
  <c r="H489" i="4"/>
  <c r="J489" i="4" s="1"/>
  <c r="J488" i="6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<sst xmlns="http://schemas.openxmlformats.org/spreadsheetml/2006/main" count="8315" uniqueCount="382">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</sst>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0" sqref="F49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>
        <v>0.40347222222222223</v>
      </c>
      <c r="M488" s="30">
        <f t="shared" ref="M488:M499" ca="1" si="105">IFERROR(IF(K488="","",IF(L488="",MOD(NOW()-K488,1),IF(L488&gt;=K488,L488-K488,L488+1-K488))),"")</f>
        <v>9.2361111111111116E-2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>
        <v>0</v>
      </c>
      <c r="G489" s="34">
        <f t="shared" si="104"/>
        <v>0</v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9.2361111111111116E-2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9.2361111111111116E-2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90" sqref="G49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0.29103541666700039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0.42992430555588929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0.5146465277781116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13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54.6</v>
      </c>
      <c r="L489" s="33" t="s">
        <v>27</v>
      </c>
      <c r="M489" s="33"/>
      <c r="N489" s="33" t="s">
        <v>81</v>
      </c>
      <c r="O489" s="29">
        <v>0.39583333333333331</v>
      </c>
      <c r="P489" s="29">
        <v>0.39930555555555558</v>
      </c>
      <c r="Q489" s="35">
        <f t="shared" ca="1" si="124"/>
        <v>3.4722222222222654E-3</v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27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113.4</v>
      </c>
      <c r="L500" s="37"/>
      <c r="M500" s="37"/>
      <c r="N500" s="37"/>
      <c r="O500" s="37"/>
      <c r="P500" s="37"/>
      <c r="Q500" s="38">
        <f ca="1">IFERROR(SUM(Q488:Q499),"")</f>
        <v>3.9583333333333359E-2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27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113.4</v>
      </c>
      <c r="L514" s="41"/>
      <c r="M514" s="41"/>
      <c r="N514" s="41"/>
      <c r="O514" s="41"/>
      <c r="P514" s="41"/>
      <c r="Q514" s="42">
        <f ca="1">IFERROR(Q500+Q513,"")</f>
        <v>3.9583333333333359E-2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D499" sqref="D4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 t="s">
        <v>27</v>
      </c>
      <c r="M488" s="26"/>
      <c r="N488" s="26" t="s">
        <v>81</v>
      </c>
      <c r="O488" s="29">
        <v>0.39583333333333331</v>
      </c>
      <c r="P488" s="29">
        <v>0.39930555555555558</v>
      </c>
      <c r="Q488" s="30">
        <f t="shared" ref="Q488:Q499" ca="1" si="122">IFERROR(IF(O488="","",IF(P488="",MOD(NOW()-O488,1),IF(P488&gt;=O488,P488-O488,P488+1-O488))),"")</f>
        <v>3.4722222222222654E-3</v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9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0"/>
        <v>0</v>
      </c>
      <c r="K489" s="34">
        <f t="shared" si="121"/>
        <v>37.800000000000004</v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37</v>
      </c>
      <c r="E493" s="15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12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50.400000000000006</v>
      </c>
      <c r="L500" s="37"/>
      <c r="M500" s="37"/>
      <c r="N500" s="37"/>
      <c r="O500" s="37"/>
      <c r="P500" s="37"/>
      <c r="Q500" s="38">
        <f ca="1">IFERROR(SUM(Q488:Q499),"")</f>
        <v>3.4722222222222654E-3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12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50.400000000000006</v>
      </c>
      <c r="L514" s="41"/>
      <c r="M514" s="41"/>
      <c r="N514" s="41"/>
      <c r="O514" s="41"/>
      <c r="P514" s="41"/>
      <c r="Q514" s="42">
        <f ca="1">IFERROR(Q500+Q513,"")</f>
        <v>3.4722222222222654E-3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10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42</v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121.8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29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121.8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2026-08-19T13:54:29Z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