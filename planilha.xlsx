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63" documentId="13_ncr:1_{0A10D8D4-8450-4366-8075-B53B08E6B7EA}" xr6:coauthVersionLast="47" xr6:coauthVersionMax="47" xr10:uidLastSave="{F14CD714-F72A-47D2-BCEB-82A5CF234712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8" i="6"/>
  <c r="J368" i="6" s="1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8" i="5"/>
  <c r="J368" i="5" s="1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8" i="4"/>
  <c r="J368" i="4" s="1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<sst xmlns="http://schemas.openxmlformats.org/spreadsheetml/2006/main" count="6523" uniqueCount="348">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</sst>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68" sqref="F36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85</v>
      </c>
      <c r="G378" s="36">
        <f>SUM(G366:G377)</f>
        <v>425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485</v>
      </c>
      <c r="G379" s="40">
        <f>G365+G378</f>
        <v>2391.4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P368" sqref="P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0.77210844906949205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0.91099733795838089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0.99571956018060326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67.2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124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520.80000000000007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N367" sqref="N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/>
      <c r="Q367" s="35">
        <f t="shared" ca="1" si="86"/>
        <v>1.1691782405250706E-2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7.3497337960806264E-2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382.2000000000001</v>
      </c>
      <c r="L379" s="41"/>
      <c r="M379" s="41"/>
      <c r="N379" s="41"/>
      <c r="O379" s="41"/>
      <c r="P379" s="41"/>
      <c r="Q379" s="42">
        <f ca="1">IFERROR(Q365+Q378,"")</f>
        <v>0.26863622684969507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68" sqref="G36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40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168</v>
      </c>
      <c r="L378" s="37"/>
      <c r="M378" s="37"/>
      <c r="N378" s="37"/>
      <c r="O378" s="61"/>
      <c r="P378" s="61"/>
      <c r="Q378" s="38">
        <f ca="1">IFERROR(SUM(Q366:Q377),"")</f>
        <v>3.3333333333333326E-2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236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991.2</v>
      </c>
      <c r="L379" s="41"/>
      <c r="M379" s="41"/>
      <c r="N379" s="41"/>
      <c r="O379" s="63"/>
      <c r="P379" s="63"/>
      <c r="Q379" s="42">
        <f ca="1">IFERROR(Q365+Q378,"")</f>
        <v>0.15138888888888902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2026-08-15T01:27:22Z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