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6" documentId="13_ncr:1_{A6DBCFB4-28D9-4249-9038-216934055CA6}" xr6:coauthVersionLast="47" xr6:coauthVersionMax="47" xr10:uidLastSave="{E771A22A-33CA-492E-8059-83863A6C790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<sst xmlns="http://schemas.openxmlformats.org/spreadsheetml/2006/main" count="10482" uniqueCount="434">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</sst>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 t="s">
        <v>430</v>
      </c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 t="s">
        <v>427</v>
      </c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426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249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249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249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249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249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249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249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249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249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249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249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249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249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249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249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249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249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249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249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249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249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249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249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249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249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249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249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249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249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249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249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1" sqref="F631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260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263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8" t="s">
        <v>249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260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263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8" t="s">
        <v>249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260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263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8" t="s">
        <v>249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260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263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8" t="s">
        <v>249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260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263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8" t="s">
        <v>249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260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263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8" t="s">
        <v>249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260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263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8" t="s">
        <v>249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260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263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8" t="s">
        <v>249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260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263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8" t="s">
        <v>249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260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263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8" t="s">
        <v>249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260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263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8" t="s">
        <v>249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260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263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8" t="s">
        <v>249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260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263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8" t="s">
        <v>249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260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263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8" t="s">
        <v>249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260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263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8" t="s">
        <v>249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260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263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8" t="s">
        <v>249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260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263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8" t="s">
        <v>249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260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263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8" t="s">
        <v>249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260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263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8" t="s">
        <v>249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260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263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8" t="s">
        <v>249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296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260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261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259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296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259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262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259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297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259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259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298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259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259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299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259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259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259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259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259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263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261</v>
      </c>
      <c r="O567" s="74">
        <v>1031030</v>
      </c>
    </row>
    <row r="568" spans="1:15" ht="18" customHeight="1" x14ac:dyDescent="0.25">
      <c r="A568" s="168" t="s">
        <v>249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264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259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259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259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300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259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259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259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259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259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259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259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259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259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260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261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259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432</v>
      </c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259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431</v>
      </c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259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259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259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259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259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259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259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259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259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259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263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261</v>
      </c>
      <c r="O594" s="74">
        <v>2100270</v>
      </c>
    </row>
    <row r="595" spans="1:15" ht="18" customHeight="1" x14ac:dyDescent="0.25">
      <c r="A595" s="168" t="s">
        <v>249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264</v>
      </c>
      <c r="O595" s="82">
        <f>IFERROR(O581+O594,"")</f>
        <v>4740440</v>
      </c>
    </row>
    <row r="596" spans="1:15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259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259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259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259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259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259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259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259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259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259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259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259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260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261</v>
      </c>
      <c r="O608" s="74">
        <f>18310+1107750</f>
        <v>1126060</v>
      </c>
    </row>
    <row r="609" spans="1:15" ht="15" customHeight="1" x14ac:dyDescent="0.25">
      <c r="A609" s="18">
        <v>46257</v>
      </c>
      <c r="B609" s="68">
        <v>0.83333333333333304</v>
      </c>
      <c r="C609" s="70" t="s">
        <v>38</v>
      </c>
      <c r="D609" s="169" t="s">
        <v>31</v>
      </c>
      <c r="E609" s="75" t="s">
        <v>259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185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69" t="s">
        <v>31</v>
      </c>
      <c r="E610" s="75" t="s">
        <v>259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425</v>
      </c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 t="s">
        <v>38</v>
      </c>
      <c r="D611" s="169" t="s">
        <v>31</v>
      </c>
      <c r="E611" s="75" t="s">
        <v>259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 t="s">
        <v>38</v>
      </c>
      <c r="D612" s="169" t="s">
        <v>31</v>
      </c>
      <c r="E612" s="75" t="s">
        <v>259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 t="s">
        <v>38</v>
      </c>
      <c r="D613" s="169" t="s">
        <v>31</v>
      </c>
      <c r="E613" s="75" t="s">
        <v>259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 t="s">
        <v>38</v>
      </c>
      <c r="D614" s="169" t="s">
        <v>31</v>
      </c>
      <c r="E614" s="75" t="s">
        <v>259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 t="s">
        <v>38</v>
      </c>
      <c r="D615" s="169" t="s">
        <v>31</v>
      </c>
      <c r="E615" s="75" t="s">
        <v>259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 t="s">
        <v>38</v>
      </c>
      <c r="D616" s="169" t="s">
        <v>31</v>
      </c>
      <c r="E616" s="75" t="s">
        <v>259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 t="s">
        <v>38</v>
      </c>
      <c r="D617" s="169" t="s">
        <v>31</v>
      </c>
      <c r="E617" s="75" t="s">
        <v>259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 t="s">
        <v>38</v>
      </c>
      <c r="D618" s="169" t="s">
        <v>31</v>
      </c>
      <c r="E618" s="75" t="s">
        <v>259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 t="s">
        <v>38</v>
      </c>
      <c r="D619" s="169" t="s">
        <v>31</v>
      </c>
      <c r="E619" s="75" t="s">
        <v>259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 t="s">
        <v>38</v>
      </c>
      <c r="D620" s="169" t="s">
        <v>31</v>
      </c>
      <c r="E620" s="75" t="s">
        <v>259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263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261</v>
      </c>
      <c r="O621" s="74">
        <v>2354670</v>
      </c>
    </row>
    <row r="622" spans="1:15" ht="18" customHeight="1" x14ac:dyDescent="0.25">
      <c r="A622" s="168" t="s">
        <v>249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264</v>
      </c>
      <c r="O622" s="82">
        <f>IFERROR(O608+O621,"")</f>
        <v>3480730</v>
      </c>
    </row>
    <row r="623" spans="1:15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259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427</v>
      </c>
      <c r="J623" s="70" t="s">
        <v>146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259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259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259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259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259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259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259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259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259</v>
      </c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259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259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260</v>
      </c>
      <c r="B635" s="167"/>
      <c r="C635" s="167"/>
      <c r="D635" s="167"/>
      <c r="E635" s="167"/>
      <c r="F635" s="2">
        <f>SUM(F623:F634)</f>
        <v>284</v>
      </c>
      <c r="G635" s="2">
        <f>SUM(G623:G634)</f>
        <v>1420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263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8" t="s">
        <v>249</v>
      </c>
      <c r="B649" s="168"/>
      <c r="C649" s="168"/>
      <c r="D649" s="168"/>
      <c r="E649" s="168"/>
      <c r="F649" s="1">
        <f>F635+F648</f>
        <v>284</v>
      </c>
      <c r="G649" s="1">
        <f>G635+G648</f>
        <v>1420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260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263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8" t="s">
        <v>249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260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263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8" t="s">
        <v>249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260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263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8" t="s">
        <v>249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260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263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8" t="s">
        <v>249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260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263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8" t="s">
        <v>249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260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263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8" t="s">
        <v>249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260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263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8" t="s">
        <v>249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0.58620914351195097</v>
      </c>
      <c r="R53" s="80" t="s">
        <v>311</v>
      </c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0.7250980324008387</v>
      </c>
      <c r="R54" s="2" t="s">
        <v>261</v>
      </c>
      <c r="S54" s="113">
        <v>352430</v>
      </c>
      <c r="T54" s="114"/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0.80982025462306151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8" t="s">
        <v>260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8" t="s">
        <v>263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8" t="s">
        <v>260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8" t="s">
        <v>263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8" t="s">
        <v>260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8" t="s">
        <v>263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8" t="s">
        <v>260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8" t="s">
        <v>263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261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274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261</v>
      </c>
      <c r="S567" s="74">
        <v>0</v>
      </c>
      <c r="T567" s="99">
        <f>IFERROR(J567,"")</f>
        <v>0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264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274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261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429</v>
      </c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136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170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259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261</v>
      </c>
      <c r="S594" s="74">
        <v>551160</v>
      </c>
      <c r="T594" s="99">
        <f>IFERROR(J594,"")</f>
        <v>115.74359999999999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264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208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261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422</v>
      </c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168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170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167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274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261</v>
      </c>
      <c r="S621" s="74">
        <v>508500</v>
      </c>
      <c r="T621" s="99">
        <f>IFERROR(J621,"")</f>
        <v>106.785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264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319</v>
      </c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170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168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134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562.80000000000007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134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562.80000000000007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8" t="s">
        <v>260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261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259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259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261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264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261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369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136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259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261</v>
      </c>
      <c r="S594" s="74">
        <v>456490</v>
      </c>
      <c r="T594" s="99">
        <f>IFERROR(J594,"")</f>
        <v>95.862899999999996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264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312</v>
      </c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261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366</v>
      </c>
      <c r="S609" s="81"/>
    </row>
    <row r="610" spans="1:20" ht="15" customHeight="1" x14ac:dyDescent="0.25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177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 x14ac:dyDescent="0.25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423</v>
      </c>
      <c r="S614" s="81"/>
    </row>
    <row r="615" spans="1:20" ht="15" customHeight="1" x14ac:dyDescent="0.25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423</v>
      </c>
      <c r="S615" s="81"/>
    </row>
    <row r="616" spans="1:20" ht="15" customHeight="1" x14ac:dyDescent="0.25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423</v>
      </c>
      <c r="S616" s="81"/>
    </row>
    <row r="617" spans="1:20" ht="15" customHeight="1" x14ac:dyDescent="0.25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261</v>
      </c>
      <c r="S621" s="74">
        <v>399510</v>
      </c>
      <c r="T621" s="99">
        <f>IFERROR(J621,"")</f>
        <v>83.897099999999995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264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351</v>
      </c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210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210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61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256.20000000000005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61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256.20000000000005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261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261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264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261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420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421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368</v>
      </c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142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261</v>
      </c>
      <c r="S594" s="74">
        <v>985680</v>
      </c>
      <c r="T594" s="99">
        <f>IFERROR(J594,"")</f>
        <v>206.99279999999996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264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173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261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368</v>
      </c>
      <c r="S609" s="133"/>
    </row>
    <row r="610" spans="1:20" ht="15" customHeight="1" x14ac:dyDescent="0.25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401</v>
      </c>
      <c r="S610" s="133"/>
    </row>
    <row r="611" spans="1:20" ht="15" customHeight="1" x14ac:dyDescent="0.25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 x14ac:dyDescent="0.25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140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424</v>
      </c>
      <c r="S612" s="133"/>
    </row>
    <row r="613" spans="1:20" ht="15" customHeight="1" x14ac:dyDescent="0.25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418</v>
      </c>
      <c r="S613" s="133"/>
    </row>
    <row r="614" spans="1:20" ht="15" customHeight="1" x14ac:dyDescent="0.25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173</v>
      </c>
      <c r="N614" s="61" t="s">
        <v>195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 x14ac:dyDescent="0.25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 x14ac:dyDescent="0.25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261</v>
      </c>
      <c r="S621" s="74">
        <v>715660</v>
      </c>
      <c r="T621" s="99">
        <f>IFERROR(J621,"")</f>
        <v>143.63866194690266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264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173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167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428</v>
      </c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203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852.6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203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852.6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2026-08-24T20:59:14Z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