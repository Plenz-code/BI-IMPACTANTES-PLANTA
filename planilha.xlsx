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99" documentId="13_ncr:1_{0A10D8D4-8450-4366-8075-B53B08E6B7EA}" xr6:coauthVersionLast="47" xr6:coauthVersionMax="47" xr10:uidLastSave="{6012C65E-D2FB-428E-BBA7-1910700B33C7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4" i="6" s="1"/>
  <c r="J424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4" i="5" s="1"/>
  <c r="J424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4" i="4" s="1"/>
  <c r="J424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<sst xmlns="http://schemas.openxmlformats.org/spreadsheetml/2006/main" count="7328" uniqueCount="359">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</sst>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4" sqref="F42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95</v>
      </c>
      <c r="G432" s="36">
        <f>SUM(G420:G431)</f>
        <v>475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305</v>
      </c>
      <c r="G433" s="40">
        <f>G419+G432</f>
        <v>1525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P424" sqref="P424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0.91230335647560423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1.0511922453644931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1.1359144675867154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88.2</v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81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340.20000000000005</v>
      </c>
      <c r="L432" s="37"/>
      <c r="M432" s="37"/>
      <c r="N432" s="37"/>
      <c r="O432" s="37"/>
      <c r="P432" s="37"/>
      <c r="Q432" s="38">
        <f ca="1">IFERROR(SUM(Q420:Q431),"")</f>
        <v>5.5555555555555705E-2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228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957.60000000000014</v>
      </c>
      <c r="L433" s="41"/>
      <c r="M433" s="41"/>
      <c r="N433" s="41"/>
      <c r="O433" s="41"/>
      <c r="P433" s="41"/>
      <c r="Q433" s="42">
        <f ca="1">IFERROR(Q419+Q432,"")</f>
        <v>0.14652777777777792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25" sqref="G425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0"/>
        <v>0</v>
      </c>
      <c r="K424" s="28">
        <f t="shared" si="101"/>
        <v>16.8</v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17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71.400000000000006</v>
      </c>
      <c r="L432" s="37"/>
      <c r="M432" s="37"/>
      <c r="N432" s="37"/>
      <c r="O432" s="37"/>
      <c r="P432" s="37"/>
      <c r="Q432" s="38">
        <f ca="1">IFERROR(SUM(Q420:Q431),"")</f>
        <v>7.6388888888888951E-2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138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579.6</v>
      </c>
      <c r="L433" s="41"/>
      <c r="M433" s="41"/>
      <c r="N433" s="41"/>
      <c r="O433" s="41"/>
      <c r="P433" s="41"/>
      <c r="Q433" s="42">
        <f ca="1">IFERROR(Q419+Q432,"")</f>
        <v>0.14930555555555569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P425" sqref="P425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0</v>
      </c>
      <c r="I424" s="135">
        <f>IFERROR(IF($D424="","",VLOOKUP($D424,Cadastro!$C$4:$G$7,5,FALSE)),"")</f>
        <v>0.6</v>
      </c>
      <c r="J424" s="136">
        <f t="shared" si="102"/>
        <v>0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88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369.6</v>
      </c>
      <c r="L432" s="37"/>
      <c r="M432" s="37"/>
      <c r="N432" s="37"/>
      <c r="O432" s="61"/>
      <c r="P432" s="61"/>
      <c r="Q432" s="38">
        <f ca="1">IFERROR(SUM(Q420:Q431),"")</f>
        <v>6.1805555555555593E-2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230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966.00000000000011</v>
      </c>
      <c r="L433" s="41"/>
      <c r="M433" s="41"/>
      <c r="N433" s="41"/>
      <c r="O433" s="63"/>
      <c r="P433" s="63"/>
      <c r="Q433" s="42">
        <f ca="1">IFERROR(Q419+Q432,"")</f>
        <v>0.1770833333333334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2026-08-17T04:48:43Z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