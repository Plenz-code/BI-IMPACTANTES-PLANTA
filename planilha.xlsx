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88" documentId="13_ncr:1_{0A10D8D4-8450-4366-8075-B53B08E6B7EA}" xr6:coauthVersionLast="47" xr6:coauthVersionMax="47" xr10:uidLastSave="{1E481883-5332-404D-AA2B-3CA1B35BE781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40" i="5"/>
  <c r="J440" i="5" s="1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8" i="6" l="1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<sst xmlns="http://schemas.openxmlformats.org/spreadsheetml/2006/main" count="7520" uniqueCount="363">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</sst>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2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3412.1299999999997</v>
      </c>
      <c r="J35" s="130">
        <f>IFERROR(AVERAGE(J4:J34),"-")</f>
        <v>0.73940661175970868</v>
      </c>
      <c r="K35" s="157">
        <f>SUM(K4:K34)</f>
        <v>450.78</v>
      </c>
    </row>
  </sheetData>
  <sheetProtection algorithmName="SHA-512" hashValue="vpEPyIQ+isvhVNIhNXU5EEsbytcsu9Kt3n0qT2R0xzcP/yehSKOYg+oMKHRjbnTLVVLKhM6h/OPt0FoZ1a8srg==" saltValue="/7ZKhIhiYjEA6BCa9v2PBQ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8" activePane="bottomLeft" state="frozen"/>
      <selection pane="bottomLeft" activeCell="J434" sqref="J434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27</v>
      </c>
      <c r="I434" s="26" t="s">
        <v>30</v>
      </c>
      <c r="J434" s="26"/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I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102</v>
      </c>
      <c r="G446" s="36">
        <f>SUM(G434:G445)</f>
        <v>510</v>
      </c>
      <c r="H446" s="37"/>
      <c r="I446" s="37"/>
      <c r="J446" s="37"/>
      <c r="K446" s="37"/>
      <c r="L446" s="37"/>
      <c r="M446" s="38">
        <f ca="1">IFERROR(SUM(M434:M445),"")</f>
        <v>2.1527777777777812E-2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102</v>
      </c>
      <c r="G460" s="40">
        <f>G446+G459</f>
        <v>510</v>
      </c>
      <c r="H460" s="41"/>
      <c r="I460" s="41"/>
      <c r="J460" s="41"/>
      <c r="K460" s="41"/>
      <c r="L460" s="41"/>
      <c r="M460" s="42">
        <f ca="1">IFERROR(M446+M459,"")</f>
        <v>2.1527777777777812E-2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7CDDD1F7-58B4-4B41-A436-1718B1456763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4 J436:J443 J445:J900" xr:uid="{ECE9FEE3-B0C3-4DAE-8286-0936E3BED1EC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3FD04F55-B778-460A-98FB-90B396A54515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5AFB227-ECC2-44E8-A36D-3C3CC9793708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30ED77E-F2BE-4CC4-A3B1-762FCD563944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CF0A6268-3A4F-491A-9DAE-C42F81C50963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81E6FCA6-D6CE-4CE9-BD48-95C3FB0B932C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16B25A-1D8E-4925-9D59-1D0B75A7C986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1" activePane="bottomLeft" state="frozen"/>
      <selection pane="bottomLeft" activeCell="G439" sqref="G439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0.43025023147492902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0.56913912036381786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0.65386134258604023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308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59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247.8</v>
      </c>
      <c r="L446" s="37"/>
      <c r="M446" s="37"/>
      <c r="N446" s="37"/>
      <c r="O446" s="37"/>
      <c r="P446" s="37"/>
      <c r="Q446" s="38">
        <f ca="1">IFERROR(SUM(Q434:Q445),"")</f>
        <v>3.6805555555555536E-2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59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247.8</v>
      </c>
      <c r="L460" s="41"/>
      <c r="M460" s="41"/>
      <c r="N460" s="41"/>
      <c r="O460" s="41"/>
      <c r="P460" s="41"/>
      <c r="Q460" s="42">
        <f ca="1">IFERROR(Q446+Q459,"")</f>
        <v>3.6805555555555536E-2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3" activePane="bottomLeft" state="frozen"/>
      <selection pane="bottomLeft" activeCell="G440" sqref="G440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42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176.4</v>
      </c>
      <c r="L446" s="37"/>
      <c r="M446" s="37"/>
      <c r="N446" s="37"/>
      <c r="O446" s="37"/>
      <c r="P446" s="37"/>
      <c r="Q446" s="38">
        <f ca="1">IFERROR(SUM(Q434:Q445),"")</f>
        <v>9.7222222222222432E-3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42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176.4</v>
      </c>
      <c r="L460" s="41"/>
      <c r="M460" s="41"/>
      <c r="N460" s="41"/>
      <c r="O460" s="41"/>
      <c r="P460" s="41"/>
      <c r="Q460" s="42">
        <f ca="1">IFERROR(Q446+Q459,"")</f>
        <v>9.7222222222222432E-3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3" activePane="bottomLeft" state="frozen"/>
      <selection pane="bottomLeft" activeCell="G440" sqref="G440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132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554.40000000000009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132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554.40000000000009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2026-08-17T17:14:33Z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