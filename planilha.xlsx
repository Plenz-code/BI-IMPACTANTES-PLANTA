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94" documentId="8_{AF585B22-221D-4780-BB9C-493D365A6A02}" xr6:coauthVersionLast="47" xr6:coauthVersionMax="47" xr10:uidLastSave="{283F5E97-1533-4F46-965C-96CE6FD8BD4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<sst xmlns="http://schemas.openxmlformats.org/spreadsheetml/2006/main" count="5331" uniqueCount="304">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</sst>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5" sqref="N3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 t="s">
        <v>232</v>
      </c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159.19999999999999</v>
      </c>
      <c r="G324" s="36">
        <f>SUM(G312:G323)</f>
        <v>100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376.7</v>
      </c>
      <c r="G325" s="40">
        <f>G311+G324</f>
        <v>1187.5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L315" sqref="L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K314" sqref="K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>
        <v>9.930555555555555E-2</v>
      </c>
      <c r="L313" s="29"/>
      <c r="M313" s="35">
        <f t="shared" ca="1" si="70"/>
        <v>2.5358796119689941E-4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</v>
      </c>
      <c r="G324" s="36">
        <f>SUM(G312:G323)</f>
        <v>277.20000000000005</v>
      </c>
      <c r="H324" s="37"/>
      <c r="I324" s="37"/>
      <c r="J324" s="37"/>
      <c r="K324" s="37"/>
      <c r="L324" s="37"/>
      <c r="M324" s="38">
        <f ca="1">IFERROR(SUM(M312:M323),"")</f>
        <v>1.6225810183419176E-2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135</v>
      </c>
      <c r="G325" s="40">
        <f>G311+G324</f>
        <v>571.80000000000007</v>
      </c>
      <c r="H325" s="41"/>
      <c r="I325" s="41"/>
      <c r="J325" s="41"/>
      <c r="K325" s="41"/>
      <c r="L325" s="41"/>
      <c r="M325" s="42">
        <f ca="1">IFERROR(M311+M324,"")</f>
        <v>0.11553136573897461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9" sqref="F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0.85025358796701767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1.0495591435225733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1.4169202546336843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102</v>
      </c>
      <c r="G324" s="36">
        <f>SUM(G312:G323)</f>
        <v>444.4</v>
      </c>
      <c r="H324" s="37"/>
      <c r="I324" s="37"/>
      <c r="J324" s="37"/>
      <c r="K324" s="61"/>
      <c r="L324" s="61"/>
      <c r="M324" s="38">
        <f ca="1">IFERROR(SUM(M312:M323),"")</f>
        <v>0.10069444444444431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132</v>
      </c>
      <c r="G325" s="40">
        <f>G311+G324</f>
        <v>570.4</v>
      </c>
      <c r="H325" s="41"/>
      <c r="I325" s="41"/>
      <c r="J325" s="41"/>
      <c r="K325" s="63"/>
      <c r="L325" s="63"/>
      <c r="M325" s="42">
        <f ca="1">IFERROR(M311+M324,"")</f>
        <v>0.51388888888888884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2026-07-13T06:23:56Z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