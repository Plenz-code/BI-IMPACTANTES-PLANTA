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950" documentId="8_{AF585B22-221D-4780-BB9C-493D365A6A02}" xr6:coauthVersionLast="47" xr6:coauthVersionMax="47" xr10:uidLastSave="{985BE67D-2408-4DC2-9208-9026A00AC7C1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<sst xmlns="http://schemas.openxmlformats.org/spreadsheetml/2006/main" count="5347" uniqueCount="306">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</sst>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955688</v>
      </c>
      <c r="D15" s="11">
        <f>IFERROR('Linha 1'!O325,"")</f>
        <v>605560</v>
      </c>
      <c r="E15" s="11">
        <f>IFERROR('Linha 2'!O325,"")</f>
        <v>373300</v>
      </c>
      <c r="F15" s="11">
        <f>IFERROR('Linha 3'!O325,"")</f>
        <v>145580</v>
      </c>
      <c r="G15" s="12">
        <f t="shared" si="0"/>
        <v>1124440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34823228</v>
      </c>
      <c r="D35" s="13">
        <f>IFERROR(SUM(D4:D34),"")</f>
        <v>12465840</v>
      </c>
      <c r="E35" s="13">
        <f>IFERROR(SUM(E4:E34),"")</f>
        <v>8582050</v>
      </c>
      <c r="F35" s="13">
        <f>IFERROR(SUM(F4:F34),"")</f>
        <v>15574780</v>
      </c>
      <c r="G35" s="13">
        <f>IFERROR(SUM(G4:G34),"")</f>
        <v>36622670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92" activePane="bottomLeft" state="frozen"/>
      <selection pane="bottomLeft" activeCell="F323" sqref="F32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215</v>
      </c>
      <c r="F315" s="27">
        <v>6</v>
      </c>
      <c r="G315" s="34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232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232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232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215</v>
      </c>
      <c r="F319" s="27">
        <v>10</v>
      </c>
      <c r="G319" s="34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232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255.59999999999997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473.09999999999997</v>
      </c>
      <c r="G325" s="40">
        <f>G311+G324</f>
        <v>1237.5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955688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03" activePane="bottomLeft" state="frozen"/>
      <selection pane="bottomLeft" activeCell="F323" sqref="F32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16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104</v>
      </c>
      <c r="G324" s="36">
        <f>SUM(G312:G323)</f>
        <v>369.6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195</v>
      </c>
      <c r="G325" s="40">
        <f>G311+G324</f>
        <v>751.8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221</v>
      </c>
      <c r="O325" s="84">
        <f>IFERROR(O311+O324,"")</f>
        <v>605560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299" zoomScale="50" zoomScaleNormal="50" workbookViewId="0">
      <selection activeCell="L316" sqref="L31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270</v>
      </c>
      <c r="N166" s="27" t="s">
        <v>271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278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279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112</v>
      </c>
      <c r="G324" s="36">
        <f>SUM(G312:G323)</f>
        <v>470.40000000000009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181</v>
      </c>
      <c r="G325" s="40">
        <f>G311+G324</f>
        <v>765.00000000000011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221</v>
      </c>
      <c r="O325" s="48">
        <f>IFERROR(O311+O324,"")</f>
        <v>373300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98" activePane="bottomLeft" state="frozen"/>
      <selection pane="bottomLeft" activeCell="F323" sqref="F32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284</v>
      </c>
      <c r="L58" s="29">
        <v>0.54097222222222219</v>
      </c>
      <c r="M58" s="30" t="str">
        <f t="shared" ca="1" si="13"/>
        <v/>
      </c>
      <c r="N58" s="27" t="s">
        <v>285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5.4784722233307548E-3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0.20478402777888638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0.57214513888999741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233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30</v>
      </c>
      <c r="G320" s="28">
        <f t="shared" si="69"/>
        <v>126</v>
      </c>
      <c r="H320" s="26"/>
      <c r="I320" s="26" t="s">
        <v>52</v>
      </c>
      <c r="J320" s="26"/>
      <c r="K320" s="29">
        <v>0.24097222222222223</v>
      </c>
      <c r="L320" s="29"/>
      <c r="M320" s="30">
        <f t="shared" ca="1" si="70"/>
        <v>1.3811805554723833E-2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184</v>
      </c>
      <c r="G324" s="36">
        <f>SUM(G312:G323)</f>
        <v>788.80000000000007</v>
      </c>
      <c r="H324" s="37"/>
      <c r="I324" s="37"/>
      <c r="J324" s="37"/>
      <c r="K324" s="61"/>
      <c r="L324" s="61"/>
      <c r="M324" s="38">
        <f ca="1">IFERROR(SUM(M312:M323),"")</f>
        <v>0.11867291666583479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214</v>
      </c>
      <c r="G325" s="40">
        <f>G311+G324</f>
        <v>914.80000000000007</v>
      </c>
      <c r="H325" s="41"/>
      <c r="I325" s="41"/>
      <c r="J325" s="41"/>
      <c r="K325" s="63"/>
      <c r="L325" s="63"/>
      <c r="M325" s="42">
        <f ca="1">IFERROR(M311+M324,"")</f>
        <v>0.53186736111027932</v>
      </c>
      <c r="N325" s="40" t="s">
        <v>221</v>
      </c>
      <c r="O325" s="48">
        <f>IFERROR(O311+O324,"")</f>
        <v>145580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2026-07-13T10:06:58Z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