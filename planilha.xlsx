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519" documentId="8_{AF585B22-221D-4780-BB9C-493D365A6A02}" xr6:coauthVersionLast="47" xr6:coauthVersionMax="47" xr10:uidLastSave="{839B8255-DB96-4811-A18C-36D49DB48911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<sst xmlns="http://schemas.openxmlformats.org/spreadsheetml/2006/main" count="3444" uniqueCount="261">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</sst>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1946430</v>
      </c>
      <c r="D10" s="8">
        <f>IFERROR('Linha 1'!O190,"")</f>
        <v>0</v>
      </c>
      <c r="E10" s="8">
        <f>IFERROR('Linha 2'!O190,"")</f>
        <v>190950</v>
      </c>
      <c r="F10" s="8">
        <f>IFERROR('Linha 3'!O190,"")</f>
        <v>500370</v>
      </c>
      <c r="G10" s="9">
        <f t="shared" si="0"/>
        <v>691320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17077500</v>
      </c>
      <c r="D35" s="13">
        <f>IFERROR(SUM(D4:D34),"")</f>
        <v>7238930</v>
      </c>
      <c r="E35" s="13">
        <f>IFERROR(SUM(E4:E34),"")</f>
        <v>3891340</v>
      </c>
      <c r="F35" s="13">
        <f>IFERROR(SUM(F4:F34),"")</f>
        <v>7231960</v>
      </c>
      <c r="G35" s="13">
        <f>IFERROR(SUM(G4:G34),"")</f>
        <v>18362230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61" activePane="bottomLeft" state="frozen"/>
      <selection pane="bottomLeft" activeCell="F187" sqref="F1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331</v>
      </c>
      <c r="G189" s="36">
        <f>SUM(G177:G188)</f>
        <v>1655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676</v>
      </c>
      <c r="G190" s="40">
        <f>G176+G189</f>
        <v>3380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1946430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60" activePane="bottomLeft" state="frozen"/>
      <selection pane="bottomLeft" activeCell="K178" sqref="K1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/>
      <c r="M177" s="35">
        <f t="shared" ref="M177:M188" ca="1" si="40">IFERROR(IF(K177="","",IF(L177="",MOD(NOW()-K177,1),IF(L177&gt;=K177,L177-K177,L177+1-K177))),"")</f>
        <v>0.42182407407381106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0.42182407407381106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0.92182407407381106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65" activePane="bottomLeft" state="frozen"/>
      <selection pane="bottomLeft" activeCell="F187" sqref="F1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/>
      <c r="I178" s="26"/>
      <c r="J178" s="26"/>
      <c r="K178" s="29">
        <v>0.21041666666666667</v>
      </c>
      <c r="L178" s="29"/>
      <c r="M178" s="30">
        <f t="shared" ca="1" si="40"/>
        <v>3.0740740694454871E-3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124</v>
      </c>
      <c r="G189" s="36">
        <f>SUM(G177:G188)</f>
        <v>520.80000000000007</v>
      </c>
      <c r="H189" s="37"/>
      <c r="I189" s="37"/>
      <c r="J189" s="37"/>
      <c r="K189" s="37"/>
      <c r="L189" s="37"/>
      <c r="M189" s="38">
        <f ca="1">IFERROR(SUM(M177:M188),"")</f>
        <v>6.546296291667697E-3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208</v>
      </c>
      <c r="G190" s="40">
        <f>G176+G189</f>
        <v>876</v>
      </c>
      <c r="H190" s="41"/>
      <c r="I190" s="41"/>
      <c r="J190" s="41"/>
      <c r="K190" s="41"/>
      <c r="L190" s="41"/>
      <c r="M190" s="42">
        <f ca="1">IFERROR(M176+M189,"")</f>
        <v>3.9185185180556636E-2</v>
      </c>
      <c r="N190" s="40" t="s">
        <v>212</v>
      </c>
      <c r="O190" s="43">
        <f>IFERROR(O176+O189,"")</f>
        <v>190950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61" activePane="bottomLeft" state="frozen"/>
      <selection pane="bottomLeft" activeCell="H179" sqref="H17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0.96418518518476048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1.1634907407403161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1.5308518518514271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/>
      <c r="M179" s="35">
        <f t="shared" ca="1" si="40"/>
        <v>9.9074073659721762E-4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193</v>
      </c>
      <c r="G189" s="36">
        <f>SUM(G177:G188)</f>
        <v>810.59999999999991</v>
      </c>
      <c r="H189" s="37"/>
      <c r="I189" s="37"/>
      <c r="J189" s="37"/>
      <c r="K189" s="61"/>
      <c r="L189" s="61"/>
      <c r="M189" s="38">
        <f ca="1">IFERROR(SUM(M177:M188),"")</f>
        <v>3.5712962958819455E-2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362</v>
      </c>
      <c r="G190" s="40">
        <f>G176+G189</f>
        <v>1530.8</v>
      </c>
      <c r="H190" s="41"/>
      <c r="I190" s="41"/>
      <c r="J190" s="41"/>
      <c r="K190" s="63"/>
      <c r="L190" s="63"/>
      <c r="M190" s="42">
        <f ca="1">IFERROR(M176+M189,"")</f>
        <v>9.8907407403263897E-2</v>
      </c>
      <c r="N190" s="40" t="s">
        <v>212</v>
      </c>
      <c r="O190" s="43">
        <f>IFERROR(O176+O189,"")</f>
        <v>500370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2026-07-08T09:07:27Z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