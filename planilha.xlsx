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97" documentId="8_{C51EB6CB-002B-4D6B-B68F-DDEBDB4460C0}" xr6:coauthVersionLast="47" xr6:coauthVersionMax="47" xr10:uidLastSave="{EFCE8415-D376-468A-8249-F53CDCA38954}"/>
  <bookViews>
    <workbookView xWindow="-120" yWindow="-12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G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<sst xmlns="http://schemas.openxmlformats.org/spreadsheetml/2006/main" count="5335" uniqueCount="333">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</sst>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67" activePane="bottomLeft" state="frozen"/>
      <selection pane="bottomLeft" activeCell="E283" sqref="E283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/>
      <c r="M276" s="30">
        <f t="shared" ca="1" si="61"/>
        <v>3.6001620370370802E-2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190</v>
      </c>
      <c r="G284" s="36">
        <f>SUM(G272:G283)</f>
        <v>950</v>
      </c>
      <c r="H284" s="37"/>
      <c r="I284" s="37"/>
      <c r="J284" s="37"/>
      <c r="K284" s="37"/>
      <c r="L284" s="37"/>
      <c r="M284" s="38">
        <f ca="1">IFERROR(SUM(M272:M283),"")</f>
        <v>0.13808495370370405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190</v>
      </c>
      <c r="G298" s="40">
        <f>G284+G297</f>
        <v>950</v>
      </c>
      <c r="H298" s="41"/>
      <c r="I298" s="41"/>
      <c r="J298" s="41"/>
      <c r="K298" s="41"/>
      <c r="L298" s="41"/>
      <c r="M298" s="42">
        <f ca="1">IFERROR(M284+M297,"")</f>
        <v>0.13808495370370405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52" activePane="bottomLeft" state="frozen"/>
      <selection pane="bottomLeft" activeCell="K280" sqref="K28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0.51100162036891561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0.64989050925780445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0.73461273148002681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2"/>
        <v/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2"/>
        <v/>
      </c>
      <c r="H280" s="26"/>
      <c r="I280" s="26"/>
      <c r="J280" s="26"/>
      <c r="K280" s="29"/>
      <c r="L280" s="29"/>
      <c r="M280" s="30" t="str">
        <f t="shared" ca="1" si="60"/>
        <v/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2"/>
        <v/>
      </c>
      <c r="H281" s="33"/>
      <c r="I281" s="33"/>
      <c r="J281" s="33"/>
      <c r="K281" s="29"/>
      <c r="L281" s="29"/>
      <c r="M281" s="35" t="str">
        <f t="shared" ca="1" si="60"/>
        <v/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2"/>
        <v/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2"/>
        <v/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69</v>
      </c>
      <c r="G284" s="90">
        <f>SUM(G272:G283)</f>
        <v>260.40000000000003</v>
      </c>
      <c r="H284" s="37"/>
      <c r="I284" s="37"/>
      <c r="J284" s="37"/>
      <c r="K284" s="37"/>
      <c r="L284" s="37"/>
      <c r="M284" s="38">
        <f ca="1">IFERROR(SUM(M272:M283),"")</f>
        <v>8.1249999999999989E-2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69</v>
      </c>
      <c r="G298" s="40">
        <f>G284+G297</f>
        <v>260.40000000000003</v>
      </c>
      <c r="H298" s="41"/>
      <c r="I298" s="41"/>
      <c r="J298" s="41"/>
      <c r="K298" s="41"/>
      <c r="L298" s="41"/>
      <c r="M298" s="42">
        <f ca="1">IFERROR(M284+M297,"")</f>
        <v>8.1249999999999989E-2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8" zoomScale="68" zoomScaleNormal="68" workbookViewId="0">
      <selection activeCell="G284" sqref="G28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0.43808495370467426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0.49989050926022982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0.56100162037134105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56</v>
      </c>
      <c r="G284" s="36">
        <f>SUM(G272:G283)</f>
        <v>235.20000000000002</v>
      </c>
      <c r="H284" s="37"/>
      <c r="I284" s="37"/>
      <c r="J284" s="37"/>
      <c r="K284" s="37"/>
      <c r="L284" s="37"/>
      <c r="M284" s="38">
        <f ca="1">IFERROR(SUM(M272:M283),"")</f>
        <v>0.10138888888888892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56</v>
      </c>
      <c r="G298" s="40">
        <f>G284+G297</f>
        <v>235.20000000000002</v>
      </c>
      <c r="H298" s="41"/>
      <c r="I298" s="41"/>
      <c r="J298" s="41"/>
      <c r="K298" s="41"/>
      <c r="L298" s="41"/>
      <c r="M298" s="42">
        <f ca="1">IFERROR(M284+M297,"")</f>
        <v>0.10138888888888892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53" activePane="bottomLeft" state="frozen"/>
      <selection pane="bottomLeft" activeCell="K281" sqref="K281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20</v>
      </c>
      <c r="I279" s="33" t="s">
        <v>52</v>
      </c>
      <c r="J279" s="33" t="s">
        <v>56</v>
      </c>
      <c r="K279" s="29">
        <v>0.53263888888888888</v>
      </c>
      <c r="L279" s="29"/>
      <c r="M279" s="35">
        <f ca="1">IFERROR(IF(K279="","",IF(L279="",MOD(NOW()-K279,1),IF(L279&gt;=K279,L279-K279,L279+1-K279))),"")</f>
        <v>9.9890509263786953E-2</v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>
        <v>0.625</v>
      </c>
      <c r="L280" s="29"/>
      <c r="M280" s="30">
        <f ca="1">IFERROR(IF(K280="","",IF(L280="",MOD(NOW()-K280,1),IF(L280&gt;=K280,L280-K280,L280+1-K280))),"")</f>
        <v>7.5293981499271467E-3</v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94</v>
      </c>
      <c r="G284" s="36">
        <f>SUM(G272:G283)</f>
        <v>394.8</v>
      </c>
      <c r="H284" s="37"/>
      <c r="I284" s="37"/>
      <c r="J284" s="37"/>
      <c r="K284" s="61"/>
      <c r="L284" s="61"/>
      <c r="M284" s="38">
        <f ca="1">IFERROR(SUM(M272:M283),"")</f>
        <v>0.15741990741371403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94</v>
      </c>
      <c r="G298" s="40">
        <f>G284+G297</f>
        <v>394.8</v>
      </c>
      <c r="H298" s="41"/>
      <c r="I298" s="41"/>
      <c r="J298" s="41"/>
      <c r="K298" s="63"/>
      <c r="L298" s="63"/>
      <c r="M298" s="42">
        <f ca="1">IFERROR(M284+M297,"")</f>
        <v>0.15741990741371403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2026-08-11T19:10:59Z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