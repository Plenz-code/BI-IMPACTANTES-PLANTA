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796" documentId="8_{1D11E9C4-FEA4-4128-910F-91CB6BBF9255}" xr6:coauthVersionLast="47" xr6:coauthVersionMax="47" xr10:uidLastSave="{9A89DA12-006C-47E2-AE9C-067EB5B944DE}"/>
  <bookViews>
    <workbookView xWindow="-110" yWindow="-110" windowWidth="25820" windowHeight="15500" tabRatio="500" firstSheet="3" activeTab="2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<sst xmlns="http://schemas.openxmlformats.org/spreadsheetml/2006/main" count="8175" uniqueCount="367">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</sst>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2" t="s">
        <v>0</v>
      </c>
      <c r="B1" s="102"/>
      <c r="C1" s="102"/>
      <c r="D1" s="102"/>
      <c r="E1" s="102"/>
      <c r="F1" s="102"/>
      <c r="G1" s="102"/>
    </row>
    <row r="2" spans="1:7" ht="25.35" customHeight="1">
      <c r="A2" s="103"/>
      <c r="B2" s="10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1209410</v>
      </c>
      <c r="D31" s="53">
        <f>IFERROR('Linha 1'!N757,"")</f>
        <v>427230</v>
      </c>
      <c r="E31" s="53">
        <f>IFERROR('Linha 2'!N757,"")</f>
        <v>180990</v>
      </c>
      <c r="F31" s="53">
        <f>IFERROR('Linha 3'!N757,"")</f>
        <v>471600</v>
      </c>
      <c r="G31" s="54">
        <f t="shared" si="0"/>
        <v>1079820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4" t="s">
        <v>9</v>
      </c>
      <c r="B34" s="104"/>
      <c r="C34" s="55">
        <f t="shared" ref="C34:G34" si="1">IFERROR(SUM(C4:C33),"")</f>
        <v>47155240</v>
      </c>
      <c r="D34" s="55">
        <f t="shared" si="1"/>
        <v>23817730</v>
      </c>
      <c r="E34" s="55">
        <f t="shared" si="1"/>
        <v>9392360</v>
      </c>
      <c r="F34" s="55">
        <f t="shared" si="1"/>
        <v>26813055</v>
      </c>
      <c r="G34" s="55">
        <f t="shared" si="1"/>
        <v>60023145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M43" sqref="M4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5" t="s">
        <v>10</v>
      </c>
      <c r="B1" s="105"/>
      <c r="C1" s="105"/>
      <c r="D1" s="105"/>
      <c r="E1" s="105"/>
      <c r="F1" s="105"/>
      <c r="G1" s="105"/>
      <c r="H1" s="106"/>
      <c r="I1" s="107" t="s">
        <v>11</v>
      </c>
      <c r="J1" s="107"/>
      <c r="K1" s="107"/>
      <c r="L1" s="107"/>
      <c r="M1" s="107"/>
    </row>
    <row r="2" spans="1:13" ht="4.5" customHeight="1">
      <c r="H2" s="10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6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6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6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6"/>
      <c r="I19" s="4"/>
      <c r="J19" s="4"/>
      <c r="K19" s="4" t="s">
        <v>109</v>
      </c>
      <c r="L19" s="4"/>
      <c r="M19" s="4" t="s">
        <v>110</v>
      </c>
    </row>
    <row r="20" spans="1:13" ht="15.75" customHeight="1">
      <c r="A20" s="3"/>
      <c r="C20" s="3"/>
      <c r="E20" s="3"/>
      <c r="G20" s="3" t="s">
        <v>111</v>
      </c>
      <c r="H20" s="106"/>
      <c r="I20" s="3"/>
      <c r="J20" s="3"/>
      <c r="K20" s="3" t="s">
        <v>112</v>
      </c>
      <c r="L20" s="3"/>
      <c r="M20" s="3" t="s">
        <v>113</v>
      </c>
    </row>
    <row r="21" spans="1:13" ht="15.75" customHeight="1">
      <c r="A21" s="4"/>
      <c r="C21" s="4"/>
      <c r="E21" s="4"/>
      <c r="G21" s="4" t="s">
        <v>114</v>
      </c>
      <c r="H21" s="106"/>
      <c r="I21" s="4"/>
      <c r="J21" s="4"/>
      <c r="K21" s="4" t="s">
        <v>115</v>
      </c>
      <c r="L21" s="4"/>
      <c r="M21" s="4" t="s">
        <v>116</v>
      </c>
    </row>
    <row r="22" spans="1:13" ht="15.75" customHeight="1">
      <c r="A22" s="3"/>
      <c r="C22" s="3"/>
      <c r="E22" s="3"/>
      <c r="G22" s="3" t="s">
        <v>117</v>
      </c>
      <c r="H22" s="106"/>
      <c r="I22" s="3"/>
      <c r="J22" s="3"/>
      <c r="K22" s="3" t="s">
        <v>118</v>
      </c>
      <c r="L22" s="3"/>
      <c r="M22" s="3" t="s">
        <v>119</v>
      </c>
    </row>
    <row r="23" spans="1:13" ht="15.75" customHeight="1">
      <c r="A23" s="4"/>
      <c r="C23" s="4"/>
      <c r="E23" s="4"/>
      <c r="G23" s="4" t="s">
        <v>120</v>
      </c>
      <c r="H23" s="106"/>
      <c r="I23" s="4"/>
      <c r="J23" s="4"/>
      <c r="K23" s="4" t="s">
        <v>121</v>
      </c>
      <c r="L23" s="4"/>
      <c r="M23" s="4" t="s">
        <v>122</v>
      </c>
    </row>
    <row r="24" spans="1:13" ht="15.75" customHeight="1">
      <c r="A24" s="3"/>
      <c r="C24" s="3"/>
      <c r="E24" s="3"/>
      <c r="G24" s="3" t="s">
        <v>123</v>
      </c>
      <c r="H24" s="106"/>
      <c r="I24" s="3"/>
      <c r="J24" s="3"/>
      <c r="K24" s="3" t="s">
        <v>124</v>
      </c>
      <c r="L24" s="3"/>
      <c r="M24" s="3" t="s">
        <v>125</v>
      </c>
    </row>
    <row r="25" spans="1:13" ht="15.75" customHeight="1">
      <c r="A25" s="4"/>
      <c r="C25" s="4"/>
      <c r="E25" s="4"/>
      <c r="G25" s="4" t="s">
        <v>126</v>
      </c>
      <c r="H25" s="106"/>
      <c r="I25" s="4"/>
      <c r="J25" s="4"/>
      <c r="K25" s="4" t="s">
        <v>127</v>
      </c>
      <c r="L25" s="4"/>
      <c r="M25" s="4" t="s">
        <v>128</v>
      </c>
    </row>
    <row r="26" spans="1:13" ht="15.75" customHeight="1">
      <c r="A26" s="3"/>
      <c r="C26" s="3"/>
      <c r="E26" s="3"/>
      <c r="G26" s="3" t="s">
        <v>129</v>
      </c>
      <c r="H26" s="106"/>
      <c r="I26" s="3"/>
      <c r="J26" s="3"/>
      <c r="K26" s="3" t="s">
        <v>130</v>
      </c>
      <c r="L26" s="3"/>
      <c r="M26" s="3"/>
    </row>
    <row r="27" spans="1:13" ht="15.75" customHeight="1">
      <c r="A27" s="4"/>
      <c r="C27" s="4"/>
      <c r="E27" s="4"/>
      <c r="G27" s="4" t="s">
        <v>131</v>
      </c>
      <c r="H27" s="106"/>
      <c r="I27" s="4"/>
      <c r="J27" s="4"/>
      <c r="K27" s="4" t="s">
        <v>122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132</v>
      </c>
      <c r="H28" s="106"/>
      <c r="I28" s="3"/>
      <c r="J28" s="3"/>
      <c r="K28" s="3" t="s">
        <v>125</v>
      </c>
      <c r="L28" s="3"/>
      <c r="M28" s="3" t="s">
        <v>133</v>
      </c>
    </row>
    <row r="29" spans="1:13" ht="15.75" customHeight="1">
      <c r="A29" s="4"/>
      <c r="C29" s="4"/>
      <c r="E29" s="4"/>
      <c r="G29" s="4" t="s">
        <v>134</v>
      </c>
      <c r="H29" s="106"/>
      <c r="I29" s="4"/>
      <c r="J29" s="4"/>
      <c r="K29" s="4" t="s">
        <v>135</v>
      </c>
      <c r="L29" s="4"/>
      <c r="M29" s="4" t="s">
        <v>136</v>
      </c>
    </row>
    <row r="30" spans="1:13" ht="15.75" customHeight="1">
      <c r="A30" s="3"/>
      <c r="C30" s="3"/>
      <c r="E30" s="3"/>
      <c r="G30" s="3" t="s">
        <v>137</v>
      </c>
      <c r="H30" s="106"/>
      <c r="I30" s="3"/>
      <c r="J30" s="3"/>
      <c r="K30" s="3" t="s">
        <v>138</v>
      </c>
      <c r="L30" s="3"/>
      <c r="M30" s="3" t="s">
        <v>139</v>
      </c>
    </row>
    <row r="31" spans="1:13" ht="15.75" customHeight="1">
      <c r="A31" s="4"/>
      <c r="C31" s="4"/>
      <c r="E31" s="4"/>
      <c r="G31" s="4" t="s">
        <v>140</v>
      </c>
      <c r="H31" s="106"/>
      <c r="I31" s="4"/>
      <c r="J31" s="4"/>
      <c r="K31" s="5" t="s">
        <v>141</v>
      </c>
      <c r="L31" s="4"/>
      <c r="M31" s="4" t="s">
        <v>142</v>
      </c>
    </row>
    <row r="32" spans="1:13" ht="15.75" customHeight="1">
      <c r="A32" s="3"/>
      <c r="C32" s="3"/>
      <c r="E32" s="3"/>
      <c r="G32" s="3" t="s">
        <v>143</v>
      </c>
      <c r="H32" s="106"/>
      <c r="I32" s="3"/>
      <c r="J32" s="3"/>
      <c r="K32" s="3" t="s">
        <v>144</v>
      </c>
      <c r="L32" s="3"/>
      <c r="M32" t="s">
        <v>145</v>
      </c>
    </row>
    <row r="33" spans="1:13" ht="15.75" customHeight="1">
      <c r="A33" s="4"/>
      <c r="C33" s="4"/>
      <c r="E33" s="4"/>
      <c r="G33" s="4" t="s">
        <v>146</v>
      </c>
      <c r="H33" s="106"/>
      <c r="I33" s="4"/>
      <c r="J33" s="4"/>
      <c r="K33" s="66" t="s">
        <v>147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148</v>
      </c>
      <c r="H34" s="106"/>
      <c r="I34" s="3"/>
      <c r="J34" s="3"/>
      <c r="K34" s="3" t="s">
        <v>79</v>
      </c>
      <c r="L34" s="3"/>
      <c r="M34" s="3" t="s">
        <v>149</v>
      </c>
    </row>
    <row r="35" spans="1:13" ht="15.75" customHeight="1">
      <c r="A35" s="4"/>
      <c r="C35" s="4"/>
      <c r="E35" s="4"/>
      <c r="G35" s="4" t="s">
        <v>150</v>
      </c>
      <c r="H35" s="106"/>
      <c r="I35" s="4"/>
      <c r="J35" s="4"/>
      <c r="K35" s="4" t="s">
        <v>151</v>
      </c>
      <c r="L35" s="4"/>
      <c r="M35" s="4" t="s">
        <v>152</v>
      </c>
    </row>
    <row r="36" spans="1:13" ht="15.75" customHeight="1">
      <c r="A36" s="3"/>
      <c r="C36" s="3"/>
      <c r="E36" s="3"/>
      <c r="G36" s="3" t="s">
        <v>153</v>
      </c>
      <c r="H36" s="106"/>
      <c r="I36" s="3"/>
      <c r="J36" s="3"/>
      <c r="K36" s="3" t="s">
        <v>154</v>
      </c>
      <c r="L36" s="3"/>
      <c r="M36" s="3" t="s">
        <v>155</v>
      </c>
    </row>
    <row r="37" spans="1:13" ht="15.75" customHeight="1">
      <c r="A37" s="4"/>
      <c r="C37" s="4"/>
      <c r="E37" s="4"/>
      <c r="G37" s="4" t="s">
        <v>156</v>
      </c>
      <c r="H37" s="106"/>
      <c r="I37" s="4"/>
      <c r="J37" s="4"/>
      <c r="K37" s="4" t="s">
        <v>157</v>
      </c>
      <c r="L37" s="4"/>
      <c r="M37" s="4" t="s">
        <v>158</v>
      </c>
    </row>
    <row r="38" spans="1:13" ht="15.75" customHeight="1">
      <c r="A38" s="3"/>
      <c r="C38" s="3"/>
      <c r="E38" s="3"/>
      <c r="G38" s="3"/>
      <c r="H38" s="106"/>
      <c r="I38" s="3"/>
      <c r="J38" s="3"/>
      <c r="K38" s="3" t="s">
        <v>159</v>
      </c>
      <c r="L38" s="3"/>
      <c r="M38" s="3" t="s">
        <v>160</v>
      </c>
    </row>
    <row r="39" spans="1:13" ht="15.75" customHeight="1">
      <c r="A39" s="4"/>
      <c r="C39" s="4"/>
      <c r="E39" s="4"/>
      <c r="G39" s="4"/>
      <c r="H39" s="106"/>
      <c r="I39" s="4"/>
      <c r="J39" s="4"/>
      <c r="K39" s="4" t="s">
        <v>161</v>
      </c>
      <c r="L39" s="4"/>
      <c r="M39" s="4" t="s">
        <v>162</v>
      </c>
    </row>
    <row r="40" spans="1:13" ht="15.75" customHeight="1">
      <c r="A40" s="3"/>
      <c r="C40" s="3"/>
      <c r="E40" s="3"/>
      <c r="G40" s="3"/>
      <c r="H40" s="106"/>
      <c r="I40" s="3"/>
      <c r="J40" s="3"/>
      <c r="K40" s="3" t="s">
        <v>163</v>
      </c>
      <c r="L40" s="3"/>
      <c r="M40" s="3" t="s">
        <v>164</v>
      </c>
    </row>
    <row r="41" spans="1:13" ht="15.75" customHeight="1">
      <c r="A41" s="4"/>
      <c r="C41" s="4"/>
      <c r="E41" s="4"/>
      <c r="G41" s="4"/>
      <c r="H41" s="106"/>
      <c r="I41" s="4"/>
      <c r="J41" s="4"/>
      <c r="K41" s="4" t="s">
        <v>165</v>
      </c>
      <c r="L41" s="4"/>
      <c r="M41" s="4" t="s">
        <v>166</v>
      </c>
    </row>
    <row r="42" spans="1:13" ht="15.75" customHeight="1">
      <c r="A42" s="3"/>
      <c r="C42" s="3"/>
      <c r="E42" s="3"/>
      <c r="G42" s="3"/>
      <c r="H42" s="106"/>
      <c r="I42" s="3"/>
      <c r="J42" s="3"/>
      <c r="K42" s="3" t="s">
        <v>167</v>
      </c>
      <c r="L42" s="3"/>
      <c r="M42" s="3" t="s">
        <v>168</v>
      </c>
    </row>
    <row r="43" spans="1:13" ht="15.75" customHeight="1">
      <c r="A43" s="4"/>
      <c r="C43" s="4"/>
      <c r="E43" s="4"/>
      <c r="G43" s="4"/>
      <c r="H43" s="106"/>
      <c r="I43" s="4"/>
      <c r="J43" s="4"/>
      <c r="K43" s="4" t="s">
        <v>169</v>
      </c>
      <c r="L43" s="4"/>
      <c r="M43" s="4" t="s">
        <v>170</v>
      </c>
    </row>
    <row r="44" spans="1:13" ht="15.75" customHeight="1">
      <c r="A44" s="3"/>
      <c r="C44" s="3"/>
      <c r="E44" s="3"/>
      <c r="G44" s="3"/>
      <c r="H44" s="106"/>
      <c r="I44" s="3"/>
      <c r="J44" s="3"/>
      <c r="K44" s="3" t="s">
        <v>171</v>
      </c>
      <c r="L44" s="3"/>
      <c r="M44" s="3" t="s">
        <v>172</v>
      </c>
    </row>
    <row r="45" spans="1:13" ht="15.75" customHeight="1">
      <c r="A45" s="4"/>
      <c r="C45" s="4"/>
      <c r="E45" s="4"/>
      <c r="G45" s="4"/>
      <c r="H45" s="10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6"/>
      <c r="I46" s="3"/>
      <c r="J46" s="3"/>
      <c r="K46" s="3" t="s">
        <v>173</v>
      </c>
      <c r="L46" s="3"/>
      <c r="M46" s="3"/>
    </row>
    <row r="47" spans="1:13" ht="15.75" customHeight="1">
      <c r="A47" s="4"/>
      <c r="C47" s="4"/>
      <c r="E47" s="4"/>
      <c r="G47" s="4"/>
      <c r="H47" s="106"/>
      <c r="I47" s="4"/>
      <c r="J47" s="4"/>
      <c r="K47" s="4" t="s">
        <v>174</v>
      </c>
      <c r="L47" s="4"/>
      <c r="M47" s="4"/>
    </row>
    <row r="48" spans="1:13" ht="15.75" customHeight="1">
      <c r="A48" s="3"/>
      <c r="C48" s="3"/>
      <c r="E48" s="3"/>
      <c r="G48" s="3"/>
      <c r="H48" s="106"/>
      <c r="I48" s="3"/>
      <c r="J48" s="3"/>
      <c r="K48" s="3" t="s">
        <v>175</v>
      </c>
      <c r="L48" s="3"/>
      <c r="M48" s="3"/>
    </row>
    <row r="49" spans="1:13" ht="18" customHeight="1">
      <c r="H49" s="106"/>
      <c r="I49" s="4"/>
      <c r="J49" s="4"/>
      <c r="K49" s="4" t="s">
        <v>176</v>
      </c>
      <c r="L49" s="4"/>
      <c r="M49" s="4"/>
    </row>
    <row r="50" spans="1:13" ht="21" customHeight="1">
      <c r="A50" s="6" t="s">
        <v>177</v>
      </c>
      <c r="B50" s="6"/>
      <c r="C50" s="6"/>
      <c r="D50" s="6"/>
      <c r="E50" s="6"/>
      <c r="F50" s="6"/>
      <c r="G50" s="6"/>
      <c r="H50" s="106"/>
      <c r="I50" s="3"/>
      <c r="J50" s="3"/>
      <c r="K50" s="3"/>
      <c r="L50" s="3"/>
      <c r="M50" s="3"/>
    </row>
    <row r="51" spans="1:13" ht="24" customHeight="1">
      <c r="H51" s="106"/>
      <c r="I51" s="4"/>
      <c r="J51" s="4"/>
      <c r="K51" s="4"/>
      <c r="L51" s="4"/>
      <c r="M51" s="4"/>
    </row>
    <row r="52" spans="1:13" ht="24" customHeight="1">
      <c r="H52" s="106"/>
      <c r="I52" s="3"/>
      <c r="J52" s="3"/>
      <c r="K52" s="3"/>
      <c r="L52" s="3"/>
      <c r="M52" s="3"/>
    </row>
    <row r="53" spans="1:13" ht="36" customHeight="1">
      <c r="H53" s="106"/>
      <c r="I53" s="4"/>
      <c r="J53" s="4"/>
      <c r="K53" s="4"/>
      <c r="L53" s="4"/>
      <c r="M53" s="4"/>
    </row>
    <row r="54" spans="1:13" ht="15" customHeight="1">
      <c r="H54" s="106"/>
      <c r="I54" s="3"/>
      <c r="J54" s="3"/>
      <c r="K54" s="3"/>
      <c r="L54" s="3"/>
      <c r="M54" s="3"/>
    </row>
    <row r="55" spans="1:13" ht="15" customHeight="1">
      <c r="H55" s="106"/>
      <c r="I55" s="4"/>
      <c r="J55" s="4"/>
      <c r="K55" s="4"/>
      <c r="L55" s="4"/>
      <c r="M55" s="4"/>
    </row>
    <row r="56" spans="1:13" ht="15" customHeight="1">
      <c r="H56" s="106"/>
      <c r="I56" s="3"/>
      <c r="J56" s="3"/>
      <c r="K56" s="3"/>
      <c r="L56" s="3"/>
      <c r="M56" s="3"/>
    </row>
    <row r="57" spans="1:13" ht="15" customHeight="1">
      <c r="H57" s="106"/>
      <c r="I57" s="4"/>
      <c r="J57" s="4"/>
      <c r="K57" s="4"/>
      <c r="L57" s="4"/>
      <c r="M57" s="4"/>
    </row>
    <row r="58" spans="1:13" ht="15" customHeight="1">
      <c r="H58" s="106"/>
      <c r="I58" s="3"/>
      <c r="J58" s="3"/>
      <c r="K58" s="3"/>
      <c r="L58" s="3"/>
      <c r="M58" s="3"/>
    </row>
    <row r="59" spans="1:13" ht="15" customHeight="1">
      <c r="H59" s="106"/>
      <c r="I59" s="4"/>
      <c r="J59" s="4"/>
      <c r="K59" s="4"/>
      <c r="L59" s="4"/>
      <c r="M59" s="4"/>
    </row>
    <row r="60" spans="1:13" ht="15" customHeight="1">
      <c r="H60" s="106"/>
      <c r="I60" s="3"/>
      <c r="J60" s="3"/>
      <c r="K60" s="3"/>
      <c r="L60" s="3"/>
      <c r="M60" s="3"/>
    </row>
    <row r="61" spans="1:13" ht="15" customHeight="1">
      <c r="H61" s="106"/>
      <c r="I61" s="4"/>
      <c r="J61" s="4"/>
      <c r="K61" s="4"/>
      <c r="L61" s="4"/>
      <c r="M61" s="4"/>
    </row>
    <row r="62" spans="1:13" ht="15" customHeight="1">
      <c r="H62" s="106"/>
      <c r="I62" s="3"/>
      <c r="J62" s="3"/>
      <c r="K62" s="3"/>
      <c r="L62" s="3"/>
      <c r="M62" s="3"/>
    </row>
    <row r="63" spans="1:13" ht="15" customHeight="1">
      <c r="H63" s="106"/>
      <c r="I63" s="4"/>
      <c r="J63" s="4"/>
      <c r="K63" s="4"/>
      <c r="L63" s="4"/>
      <c r="M63" s="4"/>
    </row>
    <row r="64" spans="1:13" ht="15" customHeight="1">
      <c r="H64" s="106"/>
      <c r="I64" s="3"/>
      <c r="J64" s="3"/>
      <c r="K64" s="3"/>
      <c r="L64" s="3"/>
      <c r="M64" s="3"/>
    </row>
    <row r="65" spans="8:13" ht="15" customHeight="1">
      <c r="H65" s="106"/>
      <c r="I65" s="4"/>
      <c r="J65" s="4"/>
      <c r="K65" s="4"/>
      <c r="L65" s="4"/>
      <c r="M65" s="4"/>
    </row>
    <row r="66" spans="8:13" ht="15" customHeight="1">
      <c r="H66" s="106"/>
      <c r="I66" s="3"/>
      <c r="J66" s="3"/>
      <c r="K66" s="3"/>
      <c r="L66" s="3"/>
      <c r="M66" s="3"/>
    </row>
    <row r="67" spans="8:13" ht="15" customHeight="1">
      <c r="H67" s="106"/>
      <c r="I67" s="4"/>
      <c r="J67" s="4"/>
      <c r="K67" s="4"/>
      <c r="L67" s="4"/>
      <c r="M67" s="4"/>
    </row>
    <row r="68" spans="8:13" ht="15" customHeight="1">
      <c r="H68" s="106"/>
      <c r="I68" s="3"/>
      <c r="J68" s="3"/>
      <c r="K68" s="3"/>
      <c r="L68" s="3"/>
      <c r="M68" s="3"/>
    </row>
    <row r="69" spans="8:13" ht="15" customHeight="1">
      <c r="H69" s="106"/>
      <c r="I69" s="4"/>
      <c r="J69" s="4"/>
      <c r="K69" s="4"/>
      <c r="L69" s="4"/>
      <c r="M69" s="4"/>
    </row>
    <row r="70" spans="8:13" ht="15" customHeight="1">
      <c r="H70" s="106"/>
      <c r="I70" s="3"/>
      <c r="J70" s="3"/>
      <c r="K70" s="3"/>
      <c r="L70" s="3"/>
      <c r="M70" s="3"/>
    </row>
    <row r="71" spans="8:13" ht="15" customHeight="1">
      <c r="H71" s="106"/>
      <c r="I71" s="4"/>
      <c r="J71" s="4"/>
      <c r="K71" s="4"/>
      <c r="L71" s="4"/>
      <c r="M71" s="4"/>
    </row>
    <row r="72" spans="8:13" ht="15" customHeight="1">
      <c r="H72" s="106"/>
      <c r="I72" s="3"/>
      <c r="J72" s="3"/>
      <c r="K72" s="3"/>
      <c r="L72" s="3"/>
      <c r="M72" s="3"/>
    </row>
    <row r="73" spans="8:13" ht="15" customHeight="1">
      <c r="H73" s="106"/>
      <c r="I73" s="4"/>
      <c r="J73" s="4"/>
      <c r="K73" s="4"/>
      <c r="L73" s="4"/>
      <c r="M73" s="4"/>
    </row>
    <row r="74" spans="8:13" ht="15" customHeight="1">
      <c r="H74" s="106"/>
      <c r="I74" s="3"/>
      <c r="J74" s="3"/>
      <c r="K74" s="3"/>
      <c r="L74" s="3"/>
      <c r="M74" s="3"/>
    </row>
    <row r="75" spans="8:13" ht="15" customHeight="1">
      <c r="H75" s="10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tabSelected="1" zoomScale="80" zoomScaleNormal="80" workbookViewId="0">
      <pane ySplit="1" topLeftCell="A731" activePane="bottomLeft" state="frozen"/>
      <selection pane="bottomLeft" activeCell="E749" sqref="E749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180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187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8" t="s">
        <v>188</v>
      </c>
      <c r="B14" s="108"/>
      <c r="C14" s="108"/>
      <c r="D14" s="10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189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119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119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119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119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119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119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119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119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119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119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119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119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8" t="s">
        <v>190</v>
      </c>
      <c r="B27" s="108"/>
      <c r="C27" s="108"/>
      <c r="D27" s="10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189</v>
      </c>
      <c r="N27" s="20">
        <v>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192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137</v>
      </c>
      <c r="I37" s="16" t="s">
        <v>193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8" t="s">
        <v>188</v>
      </c>
      <c r="B41" s="108"/>
      <c r="C41" s="108"/>
      <c r="D41" s="10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189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8" t="s">
        <v>190</v>
      </c>
      <c r="B54" s="108"/>
      <c r="C54" s="108"/>
      <c r="D54" s="10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189</v>
      </c>
      <c r="N54" s="20">
        <v>125660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192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8" t="s">
        <v>188</v>
      </c>
      <c r="B68" s="108"/>
      <c r="C68" s="108"/>
      <c r="D68" s="10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189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8" t="s">
        <v>190</v>
      </c>
      <c r="B81" s="108"/>
      <c r="C81" s="108"/>
      <c r="D81" s="10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189</v>
      </c>
      <c r="N81" s="20">
        <v>580300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192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187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8" t="s">
        <v>188</v>
      </c>
      <c r="B95" s="108"/>
      <c r="C95" s="108"/>
      <c r="D95" s="10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189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194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137</v>
      </c>
      <c r="I104" s="10" t="s">
        <v>193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8" t="s">
        <v>190</v>
      </c>
      <c r="B108" s="108"/>
      <c r="C108" s="108"/>
      <c r="D108" s="10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189</v>
      </c>
      <c r="N108" s="20">
        <v>652520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192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195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8" t="s">
        <v>188</v>
      </c>
      <c r="B122" s="108"/>
      <c r="C122" s="108"/>
      <c r="D122" s="10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189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8" t="s">
        <v>190</v>
      </c>
      <c r="B135" s="108"/>
      <c r="C135" s="108"/>
      <c r="D135" s="10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>
        <v>909050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192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187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8" t="s">
        <v>188</v>
      </c>
      <c r="B149" s="108"/>
      <c r="C149" s="108"/>
      <c r="D149" s="10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189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137</v>
      </c>
      <c r="I150" s="10" t="s">
        <v>125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8" t="s">
        <v>190</v>
      </c>
      <c r="B162" s="108"/>
      <c r="C162" s="108"/>
      <c r="D162" s="10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189</v>
      </c>
      <c r="N162" s="27">
        <v>1048880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192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195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137</v>
      </c>
      <c r="I165" s="16" t="s">
        <v>125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196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8" t="s">
        <v>188</v>
      </c>
      <c r="B176" s="108"/>
      <c r="C176" s="108"/>
      <c r="D176" s="10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189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8" t="s">
        <v>190</v>
      </c>
      <c r="B189" s="108"/>
      <c r="C189" s="108"/>
      <c r="D189" s="10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189</v>
      </c>
      <c r="N189" s="20">
        <v>797540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192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195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197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137</v>
      </c>
      <c r="I192" s="10" t="s">
        <v>125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8" t="s">
        <v>188</v>
      </c>
      <c r="B203" s="108"/>
      <c r="C203" s="108"/>
      <c r="D203" s="10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189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8" t="s">
        <v>190</v>
      </c>
      <c r="B216" s="108"/>
      <c r="C216" s="108"/>
      <c r="D216" s="10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189</v>
      </c>
      <c r="N216" s="28">
        <v>203080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192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8" t="s">
        <v>188</v>
      </c>
      <c r="B230" s="108"/>
      <c r="C230" s="108"/>
      <c r="D230" s="10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189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144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8" t="s">
        <v>190</v>
      </c>
      <c r="B243" s="108"/>
      <c r="C243" s="108"/>
      <c r="D243" s="10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192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144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147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150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8" t="s">
        <v>188</v>
      </c>
      <c r="B257" s="108"/>
      <c r="C257" s="108"/>
      <c r="D257" s="10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189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8" t="s">
        <v>190</v>
      </c>
      <c r="B270" s="108"/>
      <c r="C270" s="108"/>
      <c r="D270" s="10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189</v>
      </c>
      <c r="N270" s="20">
        <f>346400+269080</f>
        <v>615480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192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128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198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8" t="s">
        <v>188</v>
      </c>
      <c r="B284" s="108"/>
      <c r="C284" s="108"/>
      <c r="D284" s="10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189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8" t="s">
        <v>190</v>
      </c>
      <c r="B297" s="108"/>
      <c r="C297" s="108"/>
      <c r="D297" s="10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189</v>
      </c>
      <c r="N297" s="20">
        <f>35160+383610</f>
        <v>418770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192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121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199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8" t="s">
        <v>188</v>
      </c>
      <c r="B311" s="108"/>
      <c r="C311" s="108"/>
      <c r="D311" s="10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189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200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8" t="s">
        <v>190</v>
      </c>
      <c r="B324" s="108"/>
      <c r="C324" s="108"/>
      <c r="D324" s="10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189</v>
      </c>
      <c r="N324" s="20">
        <f>411220+466620</f>
        <v>877840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192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201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8" t="s">
        <v>188</v>
      </c>
      <c r="B338" s="108"/>
      <c r="C338" s="108"/>
      <c r="D338" s="10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189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8" t="s">
        <v>190</v>
      </c>
      <c r="B351" s="108"/>
      <c r="C351" s="108"/>
      <c r="D351" s="10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189</v>
      </c>
      <c r="N351" s="20"/>
    </row>
    <row r="352" spans="1:14" ht="18" customHeight="1">
      <c r="A352" s="98" t="s">
        <v>191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192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137</v>
      </c>
      <c r="I353" s="16" t="s">
        <v>121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202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8" t="s">
        <v>188</v>
      </c>
      <c r="B365" s="108"/>
      <c r="C365" s="108"/>
      <c r="D365" s="10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189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116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203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125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204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8" t="s">
        <v>190</v>
      </c>
      <c r="B378" s="108"/>
      <c r="C378" s="108"/>
      <c r="D378" s="10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189</v>
      </c>
      <c r="N378" s="20">
        <v>1299920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192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133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121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8" t="s">
        <v>188</v>
      </c>
      <c r="B392" s="108"/>
      <c r="C392" s="108"/>
      <c r="D392" s="10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189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136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136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8" t="s">
        <v>190</v>
      </c>
      <c r="B405" s="108"/>
      <c r="C405" s="108"/>
      <c r="D405" s="10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189</v>
      </c>
      <c r="N405" s="20">
        <v>1342790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192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139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125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205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8" t="s">
        <v>188</v>
      </c>
      <c r="B419" s="108"/>
      <c r="C419" s="108"/>
      <c r="D419" s="10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189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136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136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206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8" t="s">
        <v>190</v>
      </c>
      <c r="B432" s="108"/>
      <c r="C432" s="108"/>
      <c r="D432" s="10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189</v>
      </c>
      <c r="N432" s="20">
        <v>963120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192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188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189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136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136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8" t="s">
        <v>190</v>
      </c>
      <c r="B459" s="108"/>
      <c r="C459" s="108"/>
      <c r="D459" s="10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189</v>
      </c>
      <c r="N459" s="20">
        <v>534910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192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207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133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208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8" t="s">
        <v>188</v>
      </c>
      <c r="B473" s="108"/>
      <c r="C473" s="108"/>
      <c r="D473" s="10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189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8" t="s">
        <v>190</v>
      </c>
      <c r="B486" s="108"/>
      <c r="C486" s="108"/>
      <c r="D486" s="10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189</v>
      </c>
      <c r="N486" s="20">
        <v>557170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192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121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8" t="s">
        <v>188</v>
      </c>
      <c r="B500" s="108"/>
      <c r="C500" s="108"/>
      <c r="D500" s="10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189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121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209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8" t="s">
        <v>190</v>
      </c>
      <c r="B513" s="108"/>
      <c r="C513" s="108"/>
      <c r="D513" s="10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189</v>
      </c>
      <c r="N513" s="20">
        <v>701090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192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8" t="s">
        <v>188</v>
      </c>
      <c r="B527" s="108"/>
      <c r="C527" s="108"/>
      <c r="D527" s="10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189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8" t="s">
        <v>190</v>
      </c>
      <c r="B540" s="108"/>
      <c r="C540" s="108"/>
      <c r="D540" s="10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189</v>
      </c>
      <c r="N540" s="20">
        <v>915770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192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212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213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214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8" t="s">
        <v>188</v>
      </c>
      <c r="B554" s="108"/>
      <c r="C554" s="108"/>
      <c r="D554" s="10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189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152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8" t="s">
        <v>190</v>
      </c>
      <c r="B567" s="108"/>
      <c r="C567" s="108"/>
      <c r="D567" s="10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189</v>
      </c>
      <c r="N567" s="20">
        <v>636740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192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152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215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216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8" t="s">
        <v>188</v>
      </c>
      <c r="B581" s="108"/>
      <c r="C581" s="108"/>
      <c r="D581" s="10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189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136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125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217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8" t="s">
        <v>190</v>
      </c>
      <c r="B594" s="108"/>
      <c r="C594" s="108"/>
      <c r="D594" s="10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189</v>
      </c>
      <c r="N594" s="20">
        <v>394820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192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218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125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219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125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219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157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220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8" t="s">
        <v>188</v>
      </c>
      <c r="B608" s="108"/>
      <c r="C608" s="108"/>
      <c r="D608" s="10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189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221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173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121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8" t="s">
        <v>190</v>
      </c>
      <c r="B621" s="108"/>
      <c r="C621" s="108"/>
      <c r="D621" s="10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189</v>
      </c>
      <c r="N621" s="20">
        <v>587370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192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174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164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147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8" t="s">
        <v>188</v>
      </c>
      <c r="B635" s="108"/>
      <c r="C635" s="108"/>
      <c r="D635" s="10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189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121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121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222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157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8" t="s">
        <v>190</v>
      </c>
      <c r="B648" s="108"/>
      <c r="C648" s="108"/>
      <c r="D648" s="10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189</v>
      </c>
      <c r="N648" s="20">
        <v>635110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192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125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8" t="s">
        <v>188</v>
      </c>
      <c r="B662" s="108"/>
      <c r="C662" s="108"/>
      <c r="D662" s="10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189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8" t="s">
        <v>190</v>
      </c>
      <c r="B675" s="108"/>
      <c r="C675" s="108"/>
      <c r="D675" s="10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189</v>
      </c>
      <c r="N675" s="20">
        <v>1608610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192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174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176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223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224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8" t="s">
        <v>188</v>
      </c>
      <c r="B689" s="108"/>
      <c r="C689" s="108"/>
      <c r="D689" s="10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189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128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8" t="s">
        <v>190</v>
      </c>
      <c r="B702" s="108"/>
      <c r="C702" s="108"/>
      <c r="D702" s="10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189</v>
      </c>
      <c r="N702" s="20">
        <f>316300+609860</f>
        <v>926160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192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225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121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226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8" t="s">
        <v>188</v>
      </c>
      <c r="B716" s="108"/>
      <c r="C716" s="108"/>
      <c r="D716" s="108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189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149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8" t="s">
        <v>190</v>
      </c>
      <c r="B729" s="108"/>
      <c r="C729" s="108"/>
      <c r="D729" s="108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189</v>
      </c>
      <c r="N729" s="20">
        <v>706600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192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157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157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172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8" t="s">
        <v>188</v>
      </c>
      <c r="B743" s="108"/>
      <c r="C743" s="108"/>
      <c r="D743" s="108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189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190</v>
      </c>
      <c r="B756" s="82"/>
      <c r="C756" s="82"/>
      <c r="D756" s="82"/>
      <c r="E756" s="19">
        <f>SUM(E744:E755)</f>
        <v>144</v>
      </c>
      <c r="F756" s="19">
        <f>SUM(F744:F755)</f>
        <v>720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22" t="s">
        <v>191</v>
      </c>
      <c r="B757" s="22"/>
      <c r="C757" s="22"/>
      <c r="D757" s="22"/>
      <c r="E757" s="22">
        <f>E743+E756</f>
        <v>372</v>
      </c>
      <c r="F757" s="22">
        <f>F743+F756</f>
        <v>1860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192</v>
      </c>
      <c r="N757" s="31">
        <f>IFERROR(N743+N756,"")</f>
        <v>1209410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188</v>
      </c>
      <c r="B770" s="82"/>
      <c r="C770" s="82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8" t="s">
        <v>190</v>
      </c>
      <c r="B783" s="108"/>
      <c r="C783" s="108"/>
      <c r="D783" s="10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8" t="s">
        <v>188</v>
      </c>
      <c r="B797" s="108"/>
      <c r="C797" s="108"/>
      <c r="D797" s="10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8" t="s">
        <v>190</v>
      </c>
      <c r="B810" s="108"/>
      <c r="C810" s="108"/>
      <c r="D810" s="10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83:D783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C447:C756 D756 C759:C769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D757:D900 C757 C770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20" zoomScale="85" zoomScaleNormal="85" workbookViewId="0">
      <selection activeCell="E749" sqref="E74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227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134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122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189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121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189</v>
      </c>
      <c r="N27" s="20">
        <v>1035240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192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228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189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117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189</v>
      </c>
      <c r="N54" s="20">
        <v>871960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192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114</v>
      </c>
      <c r="I62" s="10" t="s">
        <v>229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135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189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148</v>
      </c>
      <c r="I71" s="16" t="s">
        <v>230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146</v>
      </c>
      <c r="I74" s="10" t="s">
        <v>113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189</v>
      </c>
      <c r="N81" s="20">
        <v>482250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192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231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148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189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232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125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189</v>
      </c>
      <c r="N108" s="20">
        <v>529500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192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232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232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189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232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233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189</v>
      </c>
      <c r="N135" s="20">
        <v>666150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192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115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231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234</v>
      </c>
      <c r="I139" s="16" t="s">
        <v>235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232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117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134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189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134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189</v>
      </c>
      <c r="N162" s="35">
        <v>183240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192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117</v>
      </c>
      <c r="I181" s="16" t="s">
        <v>236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117</v>
      </c>
      <c r="I182" s="10" t="s">
        <v>236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117</v>
      </c>
      <c r="I183" s="16" t="s">
        <v>236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117</v>
      </c>
      <c r="I184" s="10" t="s">
        <v>236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117</v>
      </c>
      <c r="I185" s="16" t="s">
        <v>236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117</v>
      </c>
      <c r="I186" s="10" t="s">
        <v>236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117</v>
      </c>
      <c r="I187" s="16" t="s">
        <v>236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117</v>
      </c>
      <c r="I188" s="10" t="s">
        <v>236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117</v>
      </c>
      <c r="I191" s="10" t="s">
        <v>236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134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134</v>
      </c>
      <c r="I193" s="10" t="s">
        <v>237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189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189</v>
      </c>
      <c r="N216" s="28">
        <v>525070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192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125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134</v>
      </c>
      <c r="I219" s="16" t="s">
        <v>141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238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122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189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244000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192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150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239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240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189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125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134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189</v>
      </c>
      <c r="N270" s="20">
        <v>8130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192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242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189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189</v>
      </c>
      <c r="N297" s="20">
        <f>229280+228660</f>
        <v>457940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192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243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244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244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245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189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246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247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249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189</v>
      </c>
      <c r="N324" s="20">
        <f>217310+197670</f>
        <v>414980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192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29" t="s">
        <v>250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111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251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189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146</v>
      </c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252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150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253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189</v>
      </c>
      <c r="N351" s="20">
        <f>135270+304860</f>
        <v>440130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192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146</v>
      </c>
      <c r="I356" s="10" t="s">
        <v>113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256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189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150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189</v>
      </c>
      <c r="N378" s="20">
        <f>291750+291000</f>
        <v>582750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192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151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188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189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151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257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156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258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189</v>
      </c>
      <c r="N405" s="20">
        <v>305810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192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154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259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125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260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261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189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121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262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263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189</v>
      </c>
      <c r="N432" s="20">
        <v>522180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192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264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265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112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188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189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147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150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148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189</v>
      </c>
      <c r="N459" s="20">
        <v>560220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192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157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114</v>
      </c>
      <c r="I465" s="16" t="s">
        <v>268</v>
      </c>
      <c r="J465" s="13">
        <v>0.70833333333333337</v>
      </c>
      <c r="K465" s="13" t="s">
        <v>269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270</v>
      </c>
      <c r="N472" s="30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189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150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271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114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272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189</v>
      </c>
      <c r="N486" s="20">
        <v>400000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192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189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150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150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147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273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189</v>
      </c>
      <c r="N513" s="20">
        <f>1031250+71560</f>
        <v>1102810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192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210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210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210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189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169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140</v>
      </c>
      <c r="I529" s="16" t="s">
        <v>125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275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276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126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277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278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278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148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189</v>
      </c>
      <c r="N540" s="20">
        <v>504470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192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279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189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126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150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189</v>
      </c>
      <c r="N567" s="20">
        <v>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192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129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188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189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129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140</v>
      </c>
      <c r="I583" s="16" t="s">
        <v>125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280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189</v>
      </c>
      <c r="N594" s="20">
        <v>258960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192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171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281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282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147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283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189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150</v>
      </c>
      <c r="I609" s="16" t="s">
        <v>161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284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157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285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189</v>
      </c>
      <c r="N621" s="20">
        <v>687740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192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150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286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189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150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287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161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288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161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289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189</v>
      </c>
      <c r="N648" s="20">
        <f>47050+58630</f>
        <v>105680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192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134</v>
      </c>
      <c r="I650" s="16" t="s">
        <v>121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129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188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189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290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291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122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166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166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122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122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292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189</v>
      </c>
      <c r="N675" s="20">
        <v>546550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192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150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122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147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293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150</v>
      </c>
      <c r="I680" s="10" t="s">
        <v>157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189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150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294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295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122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189</v>
      </c>
      <c r="N702" s="20">
        <f>430070+116100</f>
        <v>546170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192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150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296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9" t="s">
        <v>188</v>
      </c>
      <c r="B716" s="100"/>
      <c r="C716" s="100"/>
      <c r="D716" s="101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189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189</v>
      </c>
      <c r="N729" s="20">
        <v>477920</v>
      </c>
    </row>
    <row r="730" spans="1:14" ht="18" customHeight="1">
      <c r="A730" s="98" t="s">
        <v>191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192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297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150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189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298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0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0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/>
      <c r="F750" s="12" t="str">
        <f t="shared" si="166"/>
        <v/>
      </c>
      <c r="G750" s="10"/>
      <c r="H750" s="10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/>
      <c r="F752" s="12" t="str">
        <f t="shared" si="166"/>
        <v/>
      </c>
      <c r="G752" s="10"/>
      <c r="H752" s="10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/>
      <c r="F754" s="12" t="str">
        <f t="shared" si="166"/>
        <v/>
      </c>
      <c r="G754" s="10"/>
      <c r="H754" s="10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190</v>
      </c>
      <c r="B756" s="97"/>
      <c r="C756" s="97"/>
      <c r="D756" s="97"/>
      <c r="E756" s="19">
        <f>SUM(E744:E755)</f>
        <v>20</v>
      </c>
      <c r="F756" s="19">
        <f>SUM(F744:F755)</f>
        <v>80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133</v>
      </c>
      <c r="F757" s="22">
        <f>F743+F756</f>
        <v>532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192</v>
      </c>
      <c r="N757" s="31">
        <f>IFERROR(N743+N756,"")</f>
        <v>427230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188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188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190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43:D743"/>
    <mergeCell ref="A756:D756"/>
    <mergeCell ref="A757:D757"/>
    <mergeCell ref="A770:D770"/>
    <mergeCell ref="A783:D783"/>
    <mergeCell ref="A784:D784"/>
    <mergeCell ref="A797:D797"/>
    <mergeCell ref="A810:D810"/>
    <mergeCell ref="A811:D811"/>
  </mergeCells>
  <dataValidations count="1">
    <dataValidation type="list" showErrorMessage="1" errorTitle="Atenção" error="Selecione primeiro o Tipo de Parada (col G) e depois escolha a Descrição da lista." sqref="I2:I681 I683:I900 H745" xr:uid="{E4D8C6DE-5EAA-4CC4-B2D9-75E053B04982}">
      <formula1>INDIRECT("Desc_"&amp;SUBSTITUTE(SUBSTITUTE(SUBSTITUTE(SUBSTITUTE(SUBSTITUTE(SUBSTITUTE(SUBSTITUTE(SUBSTITUTE(SUBSTITUTE(SUBSTITUTE(F2,"é","e"),"ê","e"),"ã","a"),"ç","c"),"â","a"),"í","i"),"á","a"),"ó","o"),"ú","u"),"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H683:H744 H746:H900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30" activePane="bottomLeft" state="frozen"/>
      <selection pane="bottomLeft" activeCell="E749" sqref="E749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8" t="s">
        <v>13</v>
      </c>
      <c r="E1" s="8" t="s">
        <v>179</v>
      </c>
      <c r="F1" s="8" t="s">
        <v>299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189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189</v>
      </c>
      <c r="N27" s="20"/>
    </row>
    <row r="28" spans="1:14" ht="18" customHeight="1">
      <c r="A28" s="98" t="s">
        <v>191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192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189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189</v>
      </c>
      <c r="N54" s="20"/>
    </row>
    <row r="55" spans="1:14" ht="18" customHeight="1">
      <c r="A55" s="98" t="s">
        <v>191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192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189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134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125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300</v>
      </c>
      <c r="I80" s="10" t="s">
        <v>230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189</v>
      </c>
      <c r="N81" s="20">
        <v>206440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192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189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189</v>
      </c>
      <c r="N108" s="20"/>
    </row>
    <row r="109" spans="1:14" ht="18" customHeight="1">
      <c r="A109" s="98" t="s">
        <v>191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192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189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189</v>
      </c>
      <c r="N135" s="20"/>
    </row>
    <row r="136" spans="1:14" ht="18" customHeight="1">
      <c r="A136" s="98" t="s">
        <v>191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192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189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189</v>
      </c>
      <c r="N162" s="20">
        <v>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192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189</v>
      </c>
      <c r="N189" s="20">
        <v>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192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189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189</v>
      </c>
      <c r="N216" s="20"/>
    </row>
    <row r="217" spans="1:14" ht="18" customHeight="1">
      <c r="A217" s="98" t="s">
        <v>191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192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134</v>
      </c>
      <c r="I218" s="10" t="s">
        <v>141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189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148</v>
      </c>
      <c r="I231" s="16" t="s">
        <v>121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189</v>
      </c>
      <c r="N243" s="20">
        <v>180000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192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134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301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134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301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189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122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241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189</v>
      </c>
      <c r="N270" s="20">
        <f>103170+137770</f>
        <v>240940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192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140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134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140</v>
      </c>
      <c r="I276" s="10" t="s">
        <v>125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189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302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189</v>
      </c>
      <c r="N297" s="20">
        <f>110740+118380</f>
        <v>229120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192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303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189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146</v>
      </c>
      <c r="I321" s="16" t="s">
        <v>113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248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189</v>
      </c>
      <c r="N324" s="20">
        <f>119730+227060</f>
        <v>346790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192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111</v>
      </c>
      <c r="I327" s="16" t="s">
        <v>125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111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111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189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113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146</v>
      </c>
      <c r="I344" s="10" t="s">
        <v>113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146</v>
      </c>
      <c r="I345" s="16" t="s">
        <v>113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110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253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189</v>
      </c>
      <c r="N351" s="20">
        <f>50730+24450</f>
        <v>75180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192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256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305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189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146</v>
      </c>
      <c r="I366" s="10" t="s">
        <v>113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189</v>
      </c>
      <c r="N378" s="20">
        <f>151130+160740</f>
        <v>311870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192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188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189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189</v>
      </c>
      <c r="N405" s="20">
        <v>340530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192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111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189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146</v>
      </c>
      <c r="I423" s="16" t="s">
        <v>113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146</v>
      </c>
      <c r="I431" s="16" t="s">
        <v>113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189</v>
      </c>
      <c r="N432" s="20">
        <v>169230</v>
      </c>
    </row>
    <row r="433" spans="1:14" ht="18" customHeight="1">
      <c r="A433" s="98" t="s">
        <v>191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192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306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140</v>
      </c>
      <c r="I439" s="16" t="s">
        <v>121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266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188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189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307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148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189</v>
      </c>
      <c r="N459" s="20">
        <v>221750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192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129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114</v>
      </c>
      <c r="I464" s="10" t="s">
        <v>268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270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270</v>
      </c>
      <c r="N472" s="30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189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189</v>
      </c>
      <c r="N486" s="20">
        <v>240000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192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189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189</v>
      </c>
      <c r="N513" s="20">
        <v>3930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192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189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140</v>
      </c>
      <c r="I528" s="10" t="s">
        <v>125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308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148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189</v>
      </c>
      <c r="N540" s="20">
        <v>304230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192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264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189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129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129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189</v>
      </c>
      <c r="N567" s="20">
        <v>437260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192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158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309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160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188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189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126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310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126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248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189</v>
      </c>
      <c r="N594" s="20">
        <v>269570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192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147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158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189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122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162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161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311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189</v>
      </c>
      <c r="N621" s="20">
        <v>176650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192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312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189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313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189</v>
      </c>
      <c r="N648" s="20">
        <f>154590+56700</f>
        <v>211290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192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129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188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189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122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189</v>
      </c>
      <c r="N675" s="20">
        <v>234010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192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158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314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168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189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122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189</v>
      </c>
      <c r="N702" s="20">
        <f>151740+85690</f>
        <v>237430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192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220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188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189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189</v>
      </c>
      <c r="N729" s="20">
        <v>377030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192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297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315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189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298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190</v>
      </c>
      <c r="B756" s="97"/>
      <c r="C756" s="97"/>
      <c r="D756" s="97"/>
      <c r="E756" s="19">
        <f>SUM(E744:E755)</f>
        <v>14</v>
      </c>
      <c r="F756" s="19">
        <f>SUM(F744:F755)</f>
        <v>56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55</v>
      </c>
      <c r="F757" s="22">
        <f>F743+F756</f>
        <v>220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192</v>
      </c>
      <c r="N757" s="31">
        <f>IFERROR(N743+N756,"")</f>
        <v>180990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188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188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189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190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189</v>
      </c>
      <c r="N810" s="20"/>
    </row>
    <row r="811" spans="1:14" ht="18" customHeight="1">
      <c r="A811" s="98" t="s">
        <v>191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192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81:D581"/>
    <mergeCell ref="A594:D594"/>
    <mergeCell ref="A595:D595"/>
    <mergeCell ref="A608:D608"/>
    <mergeCell ref="A621:D621"/>
    <mergeCell ref="A622:D622"/>
    <mergeCell ref="A635:D635"/>
    <mergeCell ref="A648:D648"/>
    <mergeCell ref="A649:D649"/>
    <mergeCell ref="A662:D662"/>
    <mergeCell ref="A675:D675"/>
    <mergeCell ref="A676:D676"/>
    <mergeCell ref="A689:D689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zoomScale="70" zoomScaleNormal="70" workbookViewId="0">
      <pane ySplit="1" topLeftCell="A729" activePane="bottomLeft" state="frozen"/>
      <selection pane="bottomLeft" activeCell="E749" sqref="E749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178</v>
      </c>
      <c r="C1" s="8" t="s">
        <v>12</v>
      </c>
      <c r="D1" s="57" t="s">
        <v>13</v>
      </c>
      <c r="E1" s="8" t="s">
        <v>179</v>
      </c>
      <c r="F1" s="8" t="s">
        <v>316</v>
      </c>
      <c r="G1" s="8" t="s">
        <v>14</v>
      </c>
      <c r="H1" s="8" t="s">
        <v>15</v>
      </c>
      <c r="I1" s="8" t="s">
        <v>181</v>
      </c>
      <c r="J1" s="8" t="s">
        <v>182</v>
      </c>
      <c r="K1" s="8" t="s">
        <v>183</v>
      </c>
      <c r="L1" s="69" t="s">
        <v>184</v>
      </c>
      <c r="M1" s="8" t="s">
        <v>185</v>
      </c>
      <c r="N1" s="8" t="s">
        <v>186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317</v>
      </c>
      <c r="I2" s="10" t="s">
        <v>318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317</v>
      </c>
      <c r="I3" s="16" t="s">
        <v>318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317</v>
      </c>
      <c r="I4" s="10" t="s">
        <v>318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317</v>
      </c>
      <c r="I5" s="16" t="s">
        <v>318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317</v>
      </c>
      <c r="I6" s="10" t="s">
        <v>318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317</v>
      </c>
      <c r="I7" s="16" t="s">
        <v>318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317</v>
      </c>
      <c r="I8" s="10" t="s">
        <v>318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317</v>
      </c>
      <c r="I9" s="16" t="s">
        <v>318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317</v>
      </c>
      <c r="I10" s="10" t="s">
        <v>318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317</v>
      </c>
      <c r="I11" s="16" t="s">
        <v>318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317</v>
      </c>
      <c r="I12" s="10" t="s">
        <v>318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317</v>
      </c>
      <c r="I13" s="16" t="s">
        <v>318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188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189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125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123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123</v>
      </c>
      <c r="I24" s="10" t="s">
        <v>319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190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189</v>
      </c>
      <c r="N27" s="20">
        <v>537710</v>
      </c>
    </row>
    <row r="28" spans="1:14" ht="18" customHeight="1">
      <c r="A28" s="98" t="s">
        <v>191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192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320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321</v>
      </c>
      <c r="I33" s="16" t="s">
        <v>322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187</v>
      </c>
      <c r="H36" s="10" t="s">
        <v>323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188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189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125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230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190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189</v>
      </c>
      <c r="N54" s="20">
        <v>800250</v>
      </c>
    </row>
    <row r="55" spans="1:14" ht="18" customHeight="1">
      <c r="A55" s="98" t="s">
        <v>191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192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134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134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134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188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189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134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323</v>
      </c>
      <c r="I71" s="16" t="s">
        <v>125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146</v>
      </c>
      <c r="I77" s="16" t="s">
        <v>113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190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189</v>
      </c>
      <c r="N81" s="20">
        <v>423590</v>
      </c>
    </row>
    <row r="82" spans="1:14" ht="18" customHeight="1">
      <c r="A82" s="98" t="s">
        <v>191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192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153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134</v>
      </c>
      <c r="I84" s="10" t="s">
        <v>125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134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188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189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324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190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189</v>
      </c>
      <c r="N108" s="20">
        <v>784300</v>
      </c>
    </row>
    <row r="109" spans="1:14" ht="18" customHeight="1">
      <c r="A109" s="98" t="s">
        <v>191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192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115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153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188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189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125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187</v>
      </c>
      <c r="H124" s="10" t="s">
        <v>153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190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189</v>
      </c>
      <c r="N135" s="20">
        <v>527600</v>
      </c>
    </row>
    <row r="136" spans="1:14" ht="18" customHeight="1">
      <c r="A136" s="98" t="s">
        <v>191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192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153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112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187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153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134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188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189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134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190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189</v>
      </c>
      <c r="N162" s="20">
        <v>215370</v>
      </c>
    </row>
    <row r="163" spans="1:14" ht="18" customHeight="1">
      <c r="A163" s="98" t="s">
        <v>191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192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134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134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134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134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134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134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134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134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134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134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134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134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188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189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134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134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134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134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134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134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134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134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134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134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134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134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190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189</v>
      </c>
      <c r="N189" s="20">
        <v>400530</v>
      </c>
    </row>
    <row r="190" spans="1:14" ht="18" customHeight="1">
      <c r="A190" s="98" t="s">
        <v>191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192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112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134</v>
      </c>
      <c r="I193" s="16" t="s">
        <v>325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188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189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233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190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189</v>
      </c>
      <c r="N216" s="28">
        <v>704110</v>
      </c>
    </row>
    <row r="217" spans="1:14" ht="18" customHeight="1">
      <c r="A217" s="98" t="s">
        <v>191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192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153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134</v>
      </c>
      <c r="I219" s="16" t="s">
        <v>326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112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248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188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189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131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190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189</v>
      </c>
      <c r="N243" s="20">
        <v>0</v>
      </c>
    </row>
    <row r="244" spans="1:14" ht="18" customHeight="1">
      <c r="A244" s="98" t="s">
        <v>191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192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143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327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188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189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153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190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189</v>
      </c>
      <c r="N270" s="20">
        <f>214250+252630</f>
        <v>466880</v>
      </c>
    </row>
    <row r="271" spans="1:14" ht="18" customHeight="1">
      <c r="A271" s="98" t="s">
        <v>191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192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143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134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328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153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188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189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329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330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331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190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189</v>
      </c>
      <c r="N297" s="20">
        <f>124260+105220</f>
        <v>229480</v>
      </c>
    </row>
    <row r="298" spans="1:14" ht="18" customHeight="1">
      <c r="A298" s="98" t="s">
        <v>191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192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330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332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303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188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189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333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153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333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153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333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153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334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190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189</v>
      </c>
      <c r="N324" s="20">
        <f>311920+165290</f>
        <v>477210</v>
      </c>
    </row>
    <row r="325" spans="1:14" ht="18" customHeight="1">
      <c r="A325" s="98" t="s">
        <v>191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192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153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188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189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153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335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153</v>
      </c>
      <c r="I340" s="10" t="s">
        <v>110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253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190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189</v>
      </c>
      <c r="N351" s="20">
        <f>117790+390790</f>
        <v>508580</v>
      </c>
    </row>
    <row r="352" spans="1:14" ht="18" customHeight="1">
      <c r="A352" s="98" t="s">
        <v>191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192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336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337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305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188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189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153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190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189</v>
      </c>
      <c r="N378" s="20">
        <f>490380+390690</f>
        <v>881070</v>
      </c>
    </row>
    <row r="379" spans="1:14" ht="18" customHeight="1">
      <c r="A379" s="98" t="s">
        <v>191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192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125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153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188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189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156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153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143</v>
      </c>
      <c r="I401" s="16" t="s">
        <v>121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190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189</v>
      </c>
      <c r="N405" s="20">
        <v>745910</v>
      </c>
    </row>
    <row r="406" spans="1:14" ht="18" customHeight="1">
      <c r="A406" s="98" t="s">
        <v>191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192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338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339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340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188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189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153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190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189</v>
      </c>
      <c r="N432" s="20">
        <v>669300</v>
      </c>
    </row>
    <row r="433" spans="1:16" ht="18" customHeight="1">
      <c r="A433" s="98" t="s">
        <v>191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192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143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188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189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123</v>
      </c>
      <c r="I447" s="16" t="s">
        <v>163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330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122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153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330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190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189</v>
      </c>
      <c r="N459" s="20">
        <v>561580</v>
      </c>
    </row>
    <row r="460" spans="1:14" ht="18" customHeight="1">
      <c r="A460" s="98" t="s">
        <v>191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192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143</v>
      </c>
      <c r="I462" s="10" t="s">
        <v>159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270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270</v>
      </c>
      <c r="N472" s="41"/>
    </row>
    <row r="473" spans="1:14" ht="15.75" customHeight="1">
      <c r="A473" s="97" t="s">
        <v>188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189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153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341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342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343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190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189</v>
      </c>
      <c r="N486" s="20">
        <v>508000</v>
      </c>
    </row>
    <row r="487" spans="1:14" ht="18" customHeight="1">
      <c r="A487" s="98" t="s">
        <v>191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192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188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189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344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153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157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345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190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189</v>
      </c>
      <c r="N513" s="20">
        <v>745760</v>
      </c>
    </row>
    <row r="514" spans="1:14" ht="18" customHeight="1">
      <c r="A514" s="98" t="s">
        <v>191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192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188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189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153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153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346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347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248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190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189</v>
      </c>
      <c r="N540" s="20">
        <v>426450</v>
      </c>
    </row>
    <row r="541" spans="1:14" ht="18" customHeight="1">
      <c r="A541" s="98" t="s">
        <v>191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192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348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349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188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189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350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149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153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190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189</v>
      </c>
      <c r="N567" s="20">
        <v>652080</v>
      </c>
    </row>
    <row r="568" spans="1:14" ht="18" customHeight="1">
      <c r="A568" s="98" t="s">
        <v>191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192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351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155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352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143</v>
      </c>
      <c r="I573" s="16" t="s">
        <v>121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160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188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189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353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157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274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248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190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189</v>
      </c>
      <c r="N594" s="20">
        <v>800310</v>
      </c>
    </row>
    <row r="595" spans="1:14" ht="18" customHeight="1">
      <c r="A595" s="98" t="s">
        <v>191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192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123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123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123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123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354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188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189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161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355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190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189</v>
      </c>
      <c r="N621" s="20">
        <v>141320</v>
      </c>
    </row>
    <row r="622" spans="1:14" ht="18" customHeight="1">
      <c r="A622" s="98" t="s">
        <v>191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192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342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123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123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188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189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123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356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153</v>
      </c>
      <c r="I637" s="16" t="s">
        <v>175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357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153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123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153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190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189</v>
      </c>
      <c r="N648" s="20">
        <f>89640+153770</f>
        <v>243410</v>
      </c>
    </row>
    <row r="649" spans="1:14" ht="18" customHeight="1">
      <c r="A649" s="98" t="s">
        <v>191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192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188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189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358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122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123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190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189</v>
      </c>
      <c r="N675" s="20">
        <v>425320</v>
      </c>
    </row>
    <row r="676" spans="1:14" ht="18" customHeight="1">
      <c r="A676" s="98" t="s">
        <v>191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192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153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188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189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153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359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122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360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190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189</v>
      </c>
      <c r="N702" s="20">
        <f>626540+94190</f>
        <v>720730</v>
      </c>
    </row>
    <row r="703" spans="1:14" ht="18" customHeight="1">
      <c r="A703" s="98" t="s">
        <v>191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192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153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361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132</v>
      </c>
      <c r="I705" s="16" t="s">
        <v>170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362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363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188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189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153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364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365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190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189</v>
      </c>
      <c r="N729" s="20">
        <v>874110</v>
      </c>
    </row>
    <row r="730" spans="1:14" ht="18" customHeight="1">
      <c r="A730" s="98" t="s">
        <v>191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192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153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366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297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315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188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189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298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190</v>
      </c>
      <c r="B756" s="97"/>
      <c r="C756" s="97"/>
      <c r="D756" s="97"/>
      <c r="E756" s="19">
        <f>SUM(E744:E755)</f>
        <v>52</v>
      </c>
      <c r="F756" s="19">
        <f>SUM(F744:F755)</f>
        <v>208</v>
      </c>
      <c r="G756" s="38"/>
      <c r="H756" s="38"/>
      <c r="I756" s="38"/>
      <c r="J756" s="38"/>
      <c r="K756" s="38"/>
      <c r="L756" s="72">
        <f>IFERROR(SUM(L744:L755),"")</f>
        <v>6.944444444444442E-2</v>
      </c>
      <c r="M756" s="19" t="s">
        <v>189</v>
      </c>
      <c r="N756" s="20"/>
    </row>
    <row r="757" spans="1:14" ht="18" customHeight="1">
      <c r="A757" s="98" t="s">
        <v>191</v>
      </c>
      <c r="B757" s="98"/>
      <c r="C757" s="98"/>
      <c r="D757" s="98"/>
      <c r="E757" s="22">
        <f>E743+E756</f>
        <v>176</v>
      </c>
      <c r="F757" s="22">
        <f>F743+F756</f>
        <v>704</v>
      </c>
      <c r="G757" s="39"/>
      <c r="H757" s="39"/>
      <c r="I757" s="39"/>
      <c r="J757" s="39"/>
      <c r="K757" s="39"/>
      <c r="L757" s="73">
        <f>IFERROR(L743+L756,"")</f>
        <v>0.21388888888888891</v>
      </c>
      <c r="M757" s="22" t="s">
        <v>192</v>
      </c>
      <c r="N757" s="31">
        <f>IFERROR(N743+N756,"")</f>
        <v>471600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188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189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190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189</v>
      </c>
      <c r="N783" s="20"/>
    </row>
    <row r="784" spans="1:14" ht="18" customHeight="1">
      <c r="A784" s="98" t="s">
        <v>191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192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9" t="s">
        <v>188</v>
      </c>
      <c r="B797" s="109"/>
      <c r="C797" s="109"/>
      <c r="D797" s="10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189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9" t="s">
        <v>190</v>
      </c>
      <c r="B810" s="109"/>
      <c r="C810" s="109"/>
      <c r="D810" s="10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189</v>
      </c>
      <c r="N810" s="20"/>
    </row>
    <row r="811" spans="1:14" ht="18" customHeight="1">
      <c r="A811" s="110" t="s">
        <v>191</v>
      </c>
      <c r="B811" s="110"/>
      <c r="C811" s="110"/>
      <c r="D811" s="11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192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14:D14"/>
    <mergeCell ref="A27:D27"/>
    <mergeCell ref="A28:D28"/>
    <mergeCell ref="A41:D41"/>
    <mergeCell ref="A54:D54"/>
    <mergeCell ref="A55:D55"/>
    <mergeCell ref="A68:D68"/>
    <mergeCell ref="A81:D81"/>
    <mergeCell ref="A82:D82"/>
    <mergeCell ref="A95:D95"/>
    <mergeCell ref="A108:D108"/>
    <mergeCell ref="A109:D109"/>
    <mergeCell ref="A122:D122"/>
    <mergeCell ref="A135:D135"/>
    <mergeCell ref="A136:D136"/>
    <mergeCell ref="A149:D149"/>
    <mergeCell ref="A162:D162"/>
    <mergeCell ref="A163:D163"/>
    <mergeCell ref="A176:D176"/>
    <mergeCell ref="A189:D189"/>
    <mergeCell ref="A190:D190"/>
    <mergeCell ref="A203:D203"/>
    <mergeCell ref="A216:D216"/>
    <mergeCell ref="A217:D217"/>
    <mergeCell ref="A230:D230"/>
    <mergeCell ref="A243:D243"/>
    <mergeCell ref="A244:D244"/>
    <mergeCell ref="A257:D257"/>
    <mergeCell ref="A270:D270"/>
    <mergeCell ref="A271:D271"/>
    <mergeCell ref="A284:D284"/>
    <mergeCell ref="A297:D297"/>
    <mergeCell ref="A298:D298"/>
    <mergeCell ref="A311:D311"/>
    <mergeCell ref="A324:D324"/>
    <mergeCell ref="A325:D325"/>
    <mergeCell ref="A338:D338"/>
    <mergeCell ref="A351:D351"/>
    <mergeCell ref="A352:D352"/>
    <mergeCell ref="A365:D365"/>
    <mergeCell ref="A378:D378"/>
    <mergeCell ref="A379:D379"/>
    <mergeCell ref="A392:D392"/>
    <mergeCell ref="A405:D405"/>
    <mergeCell ref="A406:D406"/>
    <mergeCell ref="A419:D419"/>
    <mergeCell ref="A432:D432"/>
    <mergeCell ref="A433:D433"/>
    <mergeCell ref="A446:D446"/>
    <mergeCell ref="A459:D459"/>
    <mergeCell ref="A460:D460"/>
    <mergeCell ref="A473:D473"/>
    <mergeCell ref="A486:D486"/>
    <mergeCell ref="A487:D487"/>
    <mergeCell ref="A500:D500"/>
    <mergeCell ref="A513:D513"/>
    <mergeCell ref="A514:D514"/>
    <mergeCell ref="A527:D527"/>
    <mergeCell ref="A540:D540"/>
    <mergeCell ref="A541:D541"/>
    <mergeCell ref="A554:D554"/>
    <mergeCell ref="A567:D567"/>
    <mergeCell ref="A568:D568"/>
    <mergeCell ref="A594:D594"/>
    <mergeCell ref="A595:D595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702:D702"/>
    <mergeCell ref="A703:D703"/>
    <mergeCell ref="A716:D716"/>
    <mergeCell ref="A729:D729"/>
    <mergeCell ref="A730:D730"/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914D07B3-4831-4991-A053-ED05E81548E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2026-06-29T04:14:53Z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