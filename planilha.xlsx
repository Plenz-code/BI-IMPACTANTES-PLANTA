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873" documentId="8_{AF585B22-221D-4780-BB9C-493D365A6A02}" xr6:coauthVersionLast="47" xr6:coauthVersionMax="47" xr10:uidLastSave="{7689F1ED-00A2-41D9-A40D-CB9D963A5DFC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<sst xmlns="http://schemas.openxmlformats.org/spreadsheetml/2006/main" count="11754" uniqueCount="426">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</sst>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52" activePane="bottomLeft" state="frozen"/>
      <selection pane="bottomLeft" activeCell="D775" sqref="D775:D78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 t="shared" si="171"/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80</v>
      </c>
      <c r="G783" s="36">
        <f>SUM(G771:G782)</f>
        <v>400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430</v>
      </c>
      <c r="G784" s="40">
        <f>G770+G783</f>
        <v>2150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J773" sqref="J7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0.70479502314265119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0.86243391203154007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0.97215613425376224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0.68326724536746042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0.85410057870079381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0.99923946758968274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/>
      <c r="M773" s="35">
        <f t="shared" ca="1" si="172"/>
        <v>9.6561342579661869E-3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60</v>
      </c>
      <c r="G783" s="36">
        <f>SUM(G771:G782)</f>
        <v>260.8</v>
      </c>
      <c r="H783" s="37"/>
      <c r="I783" s="37"/>
      <c r="J783" s="37"/>
      <c r="K783" s="37"/>
      <c r="L783" s="37"/>
      <c r="M783" s="38">
        <f ca="1">IFERROR(SUM(M771:M782),"")</f>
        <v>3.8822800924632861E-2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194</v>
      </c>
      <c r="G784" s="40">
        <f>G770+G783</f>
        <v>831.60000000000014</v>
      </c>
      <c r="H784" s="41"/>
      <c r="I784" s="41"/>
      <c r="J784" s="41"/>
      <c r="K784" s="41"/>
      <c r="L784" s="41"/>
      <c r="M784" s="42">
        <f ca="1">IFERROR(M770+M783,"")</f>
        <v>0.13396168981352169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L774" sqref="L7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19</v>
      </c>
      <c r="G783" s="36">
        <f>SUM(G771:G782)</f>
        <v>83.8</v>
      </c>
      <c r="H783" s="37"/>
      <c r="I783" s="37"/>
      <c r="J783" s="37"/>
      <c r="K783" s="37"/>
      <c r="L783" s="37"/>
      <c r="M783" s="38">
        <f ca="1">IFERROR(SUM(M771:M782),"")</f>
        <v>4.3750000000000067E-2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60</v>
      </c>
      <c r="G784" s="40">
        <f>G770+G783</f>
        <v>260</v>
      </c>
      <c r="H784" s="41"/>
      <c r="I784" s="41"/>
      <c r="J784" s="41"/>
      <c r="K784" s="41"/>
      <c r="L784" s="41"/>
      <c r="M784" s="42">
        <f ca="1">IFERROR(M770+M783,"")</f>
        <v>0.15763888888888899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38" activePane="bottomLeft" state="frozen"/>
      <selection pane="bottomLeft" activeCell="F774" sqref="F77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0.69507280092511792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0.89437835648067354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1.2617394675917846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67</v>
      </c>
      <c r="G783" s="36">
        <f>SUM(G771:G782)</f>
        <v>291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75</v>
      </c>
      <c r="G784" s="40">
        <f>G770+G783</f>
        <v>324.60000000000002</v>
      </c>
      <c r="H784" s="41"/>
      <c r="I784" s="41"/>
      <c r="J784" s="41"/>
      <c r="K784" s="63"/>
      <c r="L784" s="63"/>
      <c r="M784" s="42">
        <f ca="1">IFERROR(M770+M783,"")</f>
        <v>0.46388888888888885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2026-07-30T02:40:23Z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