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82" documentId="13_ncr:1_{0A10D8D4-8450-4366-8075-B53B08E6B7EA}" xr6:coauthVersionLast="47" xr6:coauthVersionMax="47" xr10:uidLastSave="{D3EA02FF-E001-4FA0-8EAE-C2233454FD6C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29" i="6" s="1"/>
  <c r="J329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8" i="5" l="1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<sst xmlns="http://schemas.openxmlformats.org/spreadsheetml/2006/main" count="5878" uniqueCount="336">
  <si>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</si>
  <si>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</si>
  <si>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</si>
  <si>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</si>
  <si>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</si>
  <si>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</si>
  <si>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</si>
  <si>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</si>
  <si>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</si>
  <si>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</si>
  <si>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</si>
  <si>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</si>
  <si>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</si>
  <si>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</si>
  <si>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</si>
  <si>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</si>
  <si>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</si>
  <si>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</si>
  <si>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</si>
  <si>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</si>
  <si>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</si>
  <si>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</si>
  <si>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</si>
  <si>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</si>
  <si>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</si>
  <si>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</si>
  <si>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</si>
  <si>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</si>
  <si>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</si>
  <si>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</si>
  <si>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</si>
  <si>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</si>
  <si>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</si>
  <si>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</si>
  <si>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</si>
  <si>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</si>
  <si>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</si>
  <si>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</si>
  <si>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</si>
  <si>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</si>
  <si>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</si>
  <si>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</si>
  <si>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</si>
  <si>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</si>
  <si>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</si>
  <si>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</si>
  <si>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</si>
  <si>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</si>
  <si>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</si>
  <si>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</si>
  <si>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</si>
  <si>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</si>
  <si>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</si>
  <si>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</si>
  <si>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</si>
  <si>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</si>
  <si>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</si>
  <si>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</si>
  <si>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</si>
  <si>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</si>
  <si>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</si>
  <si>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</si>
  <si>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</si>
  <si>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</si>
  <si>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</si>
  <si>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</si>
  <si>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</si>
  <si>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</si>
  <si>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</si>
  <si>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</si>
  <si>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</si>
  <si>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</si>
  <si>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</si>
  <si>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</si>
  <si>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</si>
  <si>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</si>
  <si>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</si>
  <si>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</si>
  <si>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</si>
  <si>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</si>
  <si>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</si>
  <si>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</si>
  <si>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</si>
  <si>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</si>
  <si>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</si>
  <si>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</si>
  <si>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</si>
  <si>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</si>
  <si>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</si>
  <si>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</si>
  <si>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</si>
  <si>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</si>
  <si>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</si>
  <si>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</si>
  <si>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</si>
  <si>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</si>
  <si>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</si>
  <si>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</si>
  <si>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</si>
  <si>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</si>
  <si>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</si>
  <si>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</si>
  <si>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</si>
  <si>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</si>
  <si>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</si>
  <si>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</si>
  <si>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</si>
  <si>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</si>
  <si>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</si>
  <si>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</si>
  <si>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</si>
  <si>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</si>
  <si>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</si>
  <si>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</si>
  <si>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</si>
  <si>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</si>
  <si>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</si>
  <si>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</si>
  <si>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</si>
  <si>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</si>
  <si>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</si>
  <si>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</si>
  <si>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</si>
  <si>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</si>
  <si>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</si>
  <si>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</si>
  <si>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</si>
  <si>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</si>
  <si>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</si>
  <si>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</si>
  <si>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</si>
  <si>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</si>
  <si>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</si>
  <si>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</si>
  <si>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</si>
  <si>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</si>
  <si>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</si>
  <si>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</si>
  <si>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</si>
  <si>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</si>
  <si>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</si>
  <si>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</si>
  <si>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</si>
  <si>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</si>
  <si>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</si>
  <si>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</si>
  <si>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</si>
  <si>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</si>
  <si>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</si>
  <si>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</si>
  <si>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</si>
  <si>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</si>
  <si>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</si>
  <si>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</si>
  <si>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</si>
  <si>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</si>
  <si>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</si>
  <si>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</si>
  <si>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</si>
  <si>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</si>
  <si>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</si>
  <si>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</si>
  <si>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</si>
  <si>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</si>
  <si>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</si>
  <si>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</si>
  <si>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</si>
  <si>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</si>
  <si>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</si>
  <si>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</si>
  <si>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</si>
  <si>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</si>
  <si>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</si>
  <si>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</si>
  <si>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</si>
  <si>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</si>
  <si>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</si>
  <si>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</si>
  <si>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</si>
  <si>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</si>
  <si>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</si>
  <si>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</si>
  <si>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</si>
  <si>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</si>
  <si>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</si>
  <si>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</si>
  <si>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</si>
  <si>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</si>
  <si>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</si>
  <si>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</si>
  <si>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</si>
  <si>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</si>
  <si>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</si>
  <si>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</si>
  <si>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</si>
  <si>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</si>
  <si>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</si>
  <si>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</si>
  <si>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</si>
  <si>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</si>
  <si>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</si>
  <si>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</si>
  <si>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</si>
  <si>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</si>
  <si>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</si>
  <si>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</si>
  <si>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</si>
  <si>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</si>
  <si>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</si>
  <si>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</si>
  <si>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</si>
  <si>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</si>
  <si>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</si>
  <si>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</si>
  <si>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</si>
  <si>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</si>
  <si>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</si>
  <si>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</si>
  <si>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</si>
  <si>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</si>
  <si>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</si>
  <si>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</si>
  <si>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</si>
  <si>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</si>
  <si>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</si>
  <si>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</si>
  <si>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</si>
  <si>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</si>
  <si>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</si>
  <si>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</si>
  <si>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</si>
  <si>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</si>
  <si>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</si>
  <si>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</si>
  <si>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</si>
  <si>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</si>
  <si>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</si>
  <si>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</si>
  <si>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</si>
  <si>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</si>
  <si>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</si>
  <si>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</si>
  <si>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</si>
  <si>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</si>
  <si>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</si>
  <si>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</si>
  <si>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</si>
  <si>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</si>
  <si>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</si>
  <si>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</si>
  <si>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</si>
  <si>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</si>
  <si>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</si>
  <si>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</si>
  <si>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</si>
  <si>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</si>
  <si>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</si>
  <si>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</si>
  <si>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</si>
  <si>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</si>
  <si>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</si>
  <si>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</si>
  <si>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</si>
  <si>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</si>
  <si>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</si>
  <si>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</si>
  <si>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</si>
  <si>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</si>
  <si>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</si>
  <si>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</si>
  <si>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</si>
  <si>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</si>
  <si>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</si>
  <si>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</si>
  <si>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</si>
  <si>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</si>
  <si>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</si>
  <si>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</si>
  <si>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</si>
  <si>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</si>
  <si>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</si>
  <si>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</si>
  <si>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</si>
  <si>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</si>
  <si>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</si>
  <si>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</si>
  <si>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</si>
  <si>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</si>
  <si>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</si>
  <si>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</si>
  <si>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</si>
  <si>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</si>
  <si>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</si>
  <si>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manutenção na bomba de polpa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</si>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</sst>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26" sqref="J32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/>
      <c r="M326" s="30">
        <f t="shared" ref="M326:M337" ca="1" si="68">IFERROR(IF(K326="","",IF(L326="",MOD(NOW()-K326,1),IF(L326&gt;=K326,L326-K326,L326+1-K326))),"")</f>
        <v>2.3923379631014541E-2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2.3923379631014541E-2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2.3923379631014541E-2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R329" sqref="R32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0.34684004629525589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0.48572893518414478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0.57045115740636709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/>
      <c r="Q328" s="30">
        <f t="shared" ca="1" si="76"/>
        <v>1.4201157406205311E-2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19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95</v>
      </c>
      <c r="L338" s="37"/>
      <c r="M338" s="37"/>
      <c r="N338" s="37"/>
      <c r="O338" s="37"/>
      <c r="P338" s="37"/>
      <c r="Q338" s="38">
        <f ca="1">IFERROR(SUM(Q326:Q337),"")</f>
        <v>8.7117824072871941E-2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95</v>
      </c>
      <c r="L352" s="41"/>
      <c r="M352" s="41"/>
      <c r="N352" s="41"/>
      <c r="O352" s="41"/>
      <c r="P352" s="41"/>
      <c r="Q352" s="42">
        <f ca="1">IFERROR(Q338+Q351,"")</f>
        <v>8.7117824072871941E-2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R327" sqref="R3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307</v>
      </c>
      <c r="Q222" s="30" t="str">
        <f t="shared" ca="1" si="49"/>
        <v/>
      </c>
      <c r="R222" s="27" t="s">
        <v>308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/>
      <c r="Q326" s="30">
        <f t="shared" ref="Q326:Q337" ca="1" si="74">IFERROR(IF(O326="","",IF(P326="",MOD(NOW()-O326,1),IF(P326&gt;=O326,P326-O326,P326+1-O326))),"")</f>
        <v>1.4201157406205311E-2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230</v>
      </c>
      <c r="L338" s="37"/>
      <c r="M338" s="37"/>
      <c r="N338" s="37"/>
      <c r="O338" s="37"/>
      <c r="P338" s="37"/>
      <c r="Q338" s="38">
        <f ca="1">IFERROR(SUM(Q326:Q337),"")</f>
        <v>1.4201157406205311E-2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46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230</v>
      </c>
      <c r="L352" s="41"/>
      <c r="M352" s="41"/>
      <c r="N352" s="41"/>
      <c r="O352" s="41"/>
      <c r="P352" s="41"/>
      <c r="Q352" s="42">
        <f ca="1">IFERROR(Q338+Q351,"")</f>
        <v>1.4201157406205311E-2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0" sqref="G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328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334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280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280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2026-08-13T15:15:24Z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