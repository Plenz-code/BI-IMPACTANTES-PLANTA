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07" documentId="8_{AF585B22-221D-4780-BB9C-493D365A6A02}" xr6:coauthVersionLast="47" xr6:coauthVersionMax="47" xr10:uidLastSave="{9354D7D3-5176-4D90-87E0-F1C7C418656F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<sst xmlns="http://schemas.openxmlformats.org/spreadsheetml/2006/main" count="6538" uniqueCount="327">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</sst>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J394" sqref="J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 t="s">
        <v>25</v>
      </c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134</v>
      </c>
      <c r="G405" s="36">
        <f>SUM(G393:G404)</f>
        <v>670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394</v>
      </c>
      <c r="G406" s="40">
        <f>G392+G405</f>
        <v>1970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87" activePane="bottomLeft" state="frozen"/>
      <selection pane="bottomLeft" activeCell="L397" sqref="L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0.82669375000114087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0.98433263889002975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1.094054861112252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315</v>
      </c>
      <c r="H405" s="37"/>
      <c r="I405" s="37"/>
      <c r="J405" s="37"/>
      <c r="K405" s="37"/>
      <c r="L405" s="37"/>
      <c r="M405" s="38">
        <f ca="1">IFERROR(SUM(M393:M404),"")</f>
        <v>0.14722222222222225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149</v>
      </c>
      <c r="G406" s="40">
        <f>G392+G405</f>
        <v>625.79999999999995</v>
      </c>
      <c r="H406" s="41"/>
      <c r="I406" s="41"/>
      <c r="J406" s="41"/>
      <c r="K406" s="41"/>
      <c r="L406" s="41"/>
      <c r="M406" s="42">
        <f ca="1">IFERROR(M392+M405,"")</f>
        <v>0.48749999999999999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88" zoomScale="50" zoomScaleNormal="50" workbookViewId="0">
      <selection activeCell="H394" sqref="H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16</v>
      </c>
      <c r="I394" s="26"/>
      <c r="J394" s="26" t="s">
        <v>40</v>
      </c>
      <c r="K394" s="29">
        <v>4.9305555555555554E-2</v>
      </c>
      <c r="L394" s="29"/>
      <c r="M394" s="30">
        <f t="shared" ca="1" si="88"/>
        <v>1.6971527780697215E-2</v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45</v>
      </c>
      <c r="G405" s="36">
        <f>SUM(G393:G404)</f>
        <v>198.60000000000002</v>
      </c>
      <c r="H405" s="37"/>
      <c r="I405" s="37"/>
      <c r="J405" s="37"/>
      <c r="K405" s="37"/>
      <c r="L405" s="37"/>
      <c r="M405" s="38">
        <f ca="1">IFERROR(SUM(M393:M404),"")</f>
        <v>2.9471527780697213E-2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140</v>
      </c>
      <c r="G406" s="40">
        <f>G392+G405</f>
        <v>597.60000000000014</v>
      </c>
      <c r="H406" s="41"/>
      <c r="I406" s="41"/>
      <c r="J406" s="41"/>
      <c r="K406" s="41"/>
      <c r="L406" s="41"/>
      <c r="M406" s="42">
        <f ca="1">IFERROR(M392+M405,"")</f>
        <v>5.9332638891808273E-2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L397" sqref="L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0.8169715277836076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1.0162770833391632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1.3836381944502743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11</v>
      </c>
      <c r="G397" s="34">
        <f t="shared" si="87"/>
        <v>46.2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>
        <v>15</v>
      </c>
      <c r="G398" s="28">
        <f t="shared" si="87"/>
        <v>63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90</v>
      </c>
      <c r="G405" s="36">
        <f>SUM(G393:G404)</f>
        <v>398</v>
      </c>
      <c r="H405" s="37"/>
      <c r="I405" s="37"/>
      <c r="J405" s="37"/>
      <c r="K405" s="61"/>
      <c r="L405" s="61"/>
      <c r="M405" s="38">
        <f ca="1">IFERROR(SUM(M393:M404),"")</f>
        <v>8.1944444444444597E-2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233</v>
      </c>
      <c r="G406" s="40">
        <f>G392+G405</f>
        <v>998.6</v>
      </c>
      <c r="H406" s="41"/>
      <c r="I406" s="41"/>
      <c r="J406" s="41"/>
      <c r="K406" s="63"/>
      <c r="L406" s="63"/>
      <c r="M406" s="42">
        <f ca="1">IFERROR(M392+M405,"")</f>
        <v>0.26458333333333356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2026-07-16T05:35:42Z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