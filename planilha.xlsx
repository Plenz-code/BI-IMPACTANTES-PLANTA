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62" documentId="8_{AF585B22-221D-4780-BB9C-493D365A6A02}" xr6:coauthVersionLast="47" xr6:coauthVersionMax="47" xr10:uidLastSave="{6D340B3B-CE09-41E4-8280-939614FF32F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<sst xmlns="http://schemas.openxmlformats.org/spreadsheetml/2006/main" count="9115" uniqueCount="376">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</sst>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2" activePane="bottomLeft" state="frozen"/>
      <selection pane="bottomLeft" activeCell="E591" sqref="E5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228</v>
      </c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228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228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228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228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228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228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228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228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5" activePane="bottomLeft" state="frozen"/>
      <selection pane="bottomLeft"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0.59283391203643987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0.75047280092532875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0.86019502314755092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0.5713061342612491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0.74213946759458249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0.88727835648347142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13</v>
      </c>
      <c r="G582" s="28">
        <f t="shared" ref="G582:G593" si="129">IF(F582="","",IF(E582="PC 17",F582*4.2,IF(E582="PC 19",F582*5,"")))</f>
        <v>54.6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13</v>
      </c>
      <c r="G594" s="36">
        <f>SUM(G582:G593)</f>
        <v>54.6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243</v>
      </c>
      <c r="G595" s="40">
        <f>G581+G594</f>
        <v>1020.6000000000001</v>
      </c>
      <c r="H595" s="41"/>
      <c r="I595" s="41"/>
      <c r="J595" s="41"/>
      <c r="K595" s="41"/>
      <c r="L595" s="41"/>
      <c r="M595" s="42">
        <f ca="1">IFERROR(M581+M594,"")</f>
        <v>3.0555555555555558E-2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F583" sqref="F5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3</v>
      </c>
      <c r="G594" s="36">
        <f>SUM(G582:G593)</f>
        <v>12.600000000000001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56</v>
      </c>
      <c r="G595" s="40">
        <f>G581+G594</f>
        <v>235.20000000000002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0.5831116898189066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0.78241724537446222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1.1497783564855732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4.0750578707957175E-2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4.0750578707957175E-2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0.54075057870795717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