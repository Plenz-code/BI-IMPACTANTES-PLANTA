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94" documentId="8_{AF585B22-221D-4780-BB9C-493D365A6A02}" xr6:coauthVersionLast="47" xr6:coauthVersionMax="47" xr10:uidLastSave="{1D0A2034-FF68-4C13-8E91-F875D4767BD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<sst xmlns="http://schemas.openxmlformats.org/spreadsheetml/2006/main" count="2360" uniqueCount="229">
  <si>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</si>
  <si>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</si>
  <si>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</si>
  <si>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</si>
  <si>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</si>
  <si>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</si>
  <si>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</si>
  <si>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</si>
  <si>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</si>
  <si>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</si>
  <si>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</si>
  <si>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</si>
  <si>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</si>
  <si>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</si>
  <si>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</si>
  <si>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</si>
  <si>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</si>
  <si>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</si>
  <si>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</si>
  <si>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</si>
  <si>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</si>
  <si>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</si>
  <si>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</si>
  <si>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</si>
  <si>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</si>
  <si>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</si>
  <si>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</si>
  <si>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</si>
  <si>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</si>
  <si>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</si>
  <si>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</si>
  <si>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</si>
  <si>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</si>
  <si>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</si>
  <si>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</si>
  <si>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</si>
  <si>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</si>
  <si>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</si>
  <si>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</si>
  <si>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</si>
  <si>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</si>
  <si>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</si>
  <si>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</si>
  <si>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</si>
  <si>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</si>
  <si>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</si>
  <si>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</si>
  <si>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</si>
  <si>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</si>
  <si>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</si>
  <si>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</si>
  <si>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</si>
  <si>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</si>
  <si>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</si>
  <si>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</si>
  <si>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</si>
  <si>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</si>
  <si>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</si>
  <si>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</si>
  <si>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</si>
  <si>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</si>
  <si>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</si>
  <si>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</si>
  <si>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</si>
  <si>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</si>
  <si>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</si>
  <si>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</si>
  <si>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</si>
  <si>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</si>
  <si>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</si>
  <si>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</si>
  <si>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</si>
  <si>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</si>
  <si>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</si>
  <si>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</si>
  <si>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</si>
  <si>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</si>
  <si>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</si>
  <si>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</si>
  <si>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</si>
  <si>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</si>
  <si>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</si>
  <si>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</si>
  <si>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</si>
  <si>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</si>
  <si>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</si>
  <si>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</si>
  <si>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</si>
  <si>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</si>
  <si>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</si>
  <si>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</si>
  <si>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</si>
  <si>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</si>
  <si>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</si>
  <si>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</si>
  <si>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</si>
  <si>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</si>
  <si>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</si>
  <si>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</si>
  <si>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</si>
  <si>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</si>
  <si>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</si>
  <si>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</si>
  <si>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</si>
  <si>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</si>
  <si>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</si>
  <si>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</si>
  <si>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</si>
  <si>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</si>
  <si>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</si>
  <si>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</si>
  <si>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</si>
  <si>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</si>
  <si>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</si>
  <si>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</si>
  <si>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</si>
  <si>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</si>
  <si>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</si>
  <si>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</si>
  <si>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</si>
  <si>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</si>
  <si>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</si>
  <si>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</si>
  <si>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</si>
  <si>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</si>
  <si>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</si>
  <si>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</si>
  <si>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</si>
  <si>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</si>
  <si>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</si>
  <si>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</si>
  <si>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</si>
  <si>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</si>
  <si>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</si>
  <si>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</si>
  <si>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</si>
  <si>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</si>
  <si>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</si>
  <si>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</si>
  <si>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</si>
  <si>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</si>
  <si>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</si>
  <si>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</si>
  <si>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</si>
  <si>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</si>
  <si>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</si>
  <si>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</si>
  <si>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</si>
  <si>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</si>
  <si>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</si>
  <si>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</si>
  <si>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</si>
  <si>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</si>
  <si>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</si>
  <si>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</si>
  <si>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</si>
  <si>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</si>
  <si>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</si>
  <si>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</si>
  <si>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</si>
  <si>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</si>
  <si>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</si>
  <si>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</si>
  <si>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</si>
  <si>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</si>
  <si>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</si>
  <si>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</si>
  <si>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</si>
  <si>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</si>
  <si>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</si>
  <si>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</si>
  <si>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</si>
  <si>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</si>
  <si>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</si>
  <si>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</si>
  <si>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</si>
  <si>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</si>
  <si>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</si>
  <si>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</si>
  <si>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</si>
  <si>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</si>
  <si>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</si>
  <si>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</si>
  <si>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</si>
  <si>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</si>
  <si>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</si>
  <si>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</si>
  <si>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</si>
  <si>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</si>
  <si>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</si>
  <si>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</si>
  <si>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</si>
  <si>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</si>
  <si>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</si>
  <si>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</si>
  <si>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</si>
  <si>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</si>
  <si>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</si>
  <si>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</si>
  <si>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</si>
  <si>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</si>
  <si>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</si>
  <si>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</si>
  <si>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</si>
  <si>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</si>
  <si>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 xml:space="preserve">pc 19 em manutenção, 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</si>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</sst>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73" activePane="bottomLeft" state="frozen"/>
      <selection pane="bottomLeft" activeCell="N96" sqref="N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34</v>
      </c>
      <c r="G108" s="36">
        <f>SUM(G96:G107)</f>
        <v>142.80000000000001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146</v>
      </c>
      <c r="G109" s="40">
        <f>G95+G108</f>
        <v>662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20</v>
      </c>
      <c r="I96" s="26" t="s">
        <v>47</v>
      </c>
      <c r="J96" s="26"/>
      <c r="K96" s="29">
        <v>0.87569444444444444</v>
      </c>
      <c r="L96" s="29"/>
      <c r="M96" s="30">
        <f t="shared" ref="M96:M107" ca="1" si="22">IFERROR(IF(K96="","",IF(L96="",MOD(NOW()-K96,1),IF(L96&gt;=K96,L96-K96,L96+1-K96))),"")</f>
        <v>4.8246874997857958E-2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4.8246874997857958E-2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0.24963576388674685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99" sqref="F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41</v>
      </c>
      <c r="G108" s="36">
        <f>SUM(G96:G107)</f>
        <v>172.2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184</v>
      </c>
      <c r="G109" s="40">
        <f>G95+G108</f>
        <v>875.2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2026-07-05T02:10:31Z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