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20" documentId="13_ncr:1_{0A10D8D4-8450-4366-8075-B53B08E6B7EA}" xr6:coauthVersionLast="47" xr6:coauthVersionMax="47" xr10:uidLastSave="{19FEBF8B-DCE0-426E-AD49-909DC125DD7F}"/>
  <bookViews>
    <workbookView xWindow="-110" yWindow="-110" windowWidth="25820" windowHeight="15500" tabRatio="500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8" i="5"/>
  <c r="J408" i="5" s="1"/>
  <c r="H409" i="5"/>
  <c r="J409" i="5" s="1"/>
  <c r="H410" i="5"/>
  <c r="J410" i="5" s="1"/>
  <c r="H411" i="5"/>
  <c r="J411" i="5" s="1"/>
  <c r="H412" i="5"/>
  <c r="J412" i="5" s="1"/>
  <c r="H413" i="5"/>
  <c r="J413" i="5" s="1"/>
  <c r="H414" i="5"/>
  <c r="J414" i="5" s="1"/>
  <c r="H415" i="5"/>
  <c r="J415" i="5" s="1"/>
  <c r="H416" i="5"/>
  <c r="J416" i="5" s="1"/>
  <c r="H417" i="5"/>
  <c r="J417" i="5" s="1"/>
  <c r="H418" i="5"/>
  <c r="J418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8" i="4"/>
  <c r="J408" i="4" s="1"/>
  <c r="H409" i="4"/>
  <c r="J409" i="4" s="1"/>
  <c r="H410" i="4"/>
  <c r="J410" i="4" s="1"/>
  <c r="H411" i="4"/>
  <c r="J411" i="4" s="1"/>
  <c r="H412" i="4"/>
  <c r="J412" i="4" s="1"/>
  <c r="H413" i="4"/>
  <c r="J413" i="4" s="1"/>
  <c r="H414" i="4"/>
  <c r="J414" i="4" s="1"/>
  <c r="H415" i="4"/>
  <c r="J415" i="4" s="1"/>
  <c r="H416" i="4"/>
  <c r="J416" i="4" s="1"/>
  <c r="H417" i="4"/>
  <c r="J417" i="4" s="1"/>
  <c r="H418" i="4"/>
  <c r="J41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432" i="4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H407" i="6" s="1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H407" i="5" s="1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H407" i="4" s="1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J407" i="6" l="1"/>
  <c r="J419" i="6" s="1"/>
  <c r="H419" i="6"/>
  <c r="H433" i="6" s="1"/>
  <c r="J407" i="5"/>
  <c r="J419" i="5" s="1"/>
  <c r="H419" i="5"/>
  <c r="H433" i="5" s="1"/>
  <c r="J407" i="4"/>
  <c r="J419" i="4" s="1"/>
  <c r="H419" i="4"/>
  <c r="H433" i="4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33" i="6" l="1"/>
  <c r="T433" i="6" s="1"/>
  <c r="T419" i="6"/>
  <c r="T419" i="5"/>
  <c r="J433" i="5"/>
  <c r="T433" i="5" s="1"/>
  <c r="T419" i="4"/>
  <c r="J433" i="4"/>
  <c r="T433" i="4" s="1"/>
  <c r="H19" i="1" s="1"/>
  <c r="J19" i="1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<sst xmlns="http://schemas.openxmlformats.org/spreadsheetml/2006/main" count="7105" uniqueCount="355">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</sst>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3" sqref="F23"/>
    </sheetView>
  </sheetViews>
  <sheetFormatPr defaultColWidth="8.54296875" defaultRowHeight="14.5" x14ac:dyDescent="0.35"/>
  <cols>
    <col min="1" max="1" width="17.54296875" customWidth="1"/>
    <col min="2" max="2" width="21" style="69" customWidth="1"/>
    <col min="3" max="3" width="19.54296875" customWidth="1"/>
    <col min="4" max="4" width="23.54296875" customWidth="1"/>
    <col min="5" max="5" width="26" customWidth="1"/>
    <col min="6" max="6" width="26.453125" customWidth="1"/>
    <col min="7" max="7" width="8.54296875" customWidth="1"/>
    <col min="8" max="8" width="19" hidden="1" customWidth="1"/>
    <col min="9" max="9" width="18.54296875" hidden="1" customWidth="1"/>
    <col min="10" max="10" width="13.26953125" hidden="1" customWidth="1"/>
    <col min="11" max="11" width="22.1796875" hidden="1" customWidth="1"/>
    <col min="12" max="12" width="8.54296875" customWidth="1"/>
  </cols>
  <sheetData>
    <row r="1" spans="1:11" ht="31.5" customHeight="1" x14ac:dyDescent="0.35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 x14ac:dyDescent="0.35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 x14ac:dyDescent="0.35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 x14ac:dyDescent="0.35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 x14ac:dyDescent="0.35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 x14ac:dyDescent="0.35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 x14ac:dyDescent="0.35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 x14ac:dyDescent="0.35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 x14ac:dyDescent="0.35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 x14ac:dyDescent="0.35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 x14ac:dyDescent="0.35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 x14ac:dyDescent="0.35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 x14ac:dyDescent="0.35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 x14ac:dyDescent="0.35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 x14ac:dyDescent="0.35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 x14ac:dyDescent="0.35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 x14ac:dyDescent="0.35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 x14ac:dyDescent="0.35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 x14ac:dyDescent="0.35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 x14ac:dyDescent="0.35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 x14ac:dyDescent="0.35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 x14ac:dyDescent="0.35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 x14ac:dyDescent="0.35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 x14ac:dyDescent="0.35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 x14ac:dyDescent="0.35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 x14ac:dyDescent="0.35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 x14ac:dyDescent="0.35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 x14ac:dyDescent="0.35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 x14ac:dyDescent="0.35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 x14ac:dyDescent="0.35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 x14ac:dyDescent="0.35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 x14ac:dyDescent="0.35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 x14ac:dyDescent="0.35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 x14ac:dyDescent="0.35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 x14ac:dyDescent="0.35">
      <c r="A35" s="165" t="s">
        <v>14</v>
      </c>
      <c r="B35" s="165"/>
      <c r="C35" s="13">
        <f t="shared" ref="C35:H35" si="2">IFERROR(SUM(C4:C34),"")</f>
        <v>56392520</v>
      </c>
      <c r="D35" s="13">
        <f t="shared" si="2"/>
        <v>18248020</v>
      </c>
      <c r="E35" s="13">
        <f t="shared" si="2"/>
        <v>9434670</v>
      </c>
      <c r="F35" s="13">
        <f t="shared" si="2"/>
        <v>23508930</v>
      </c>
      <c r="G35" s="13">
        <f t="shared" si="2"/>
        <v>51191620</v>
      </c>
      <c r="H35" s="97">
        <f t="shared" si="2"/>
        <v>3210.2952927907322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P76" sqref="P76"/>
    </sheetView>
  </sheetViews>
  <sheetFormatPr defaultColWidth="8.54296875" defaultRowHeight="14.5" x14ac:dyDescent="0.35"/>
  <cols>
    <col min="1" max="1" width="14" customWidth="1"/>
    <col min="2" max="2" width="2" customWidth="1"/>
    <col min="3" max="3" width="26.453125" customWidth="1"/>
    <col min="4" max="4" width="2" customWidth="1"/>
    <col min="5" max="5" width="17.54296875" customWidth="1"/>
    <col min="6" max="6" width="2" customWidth="1"/>
    <col min="7" max="7" width="17.5429687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796875" customWidth="1"/>
    <col min="15" max="15" width="45.453125" customWidth="1"/>
    <col min="16" max="16" width="42.1796875" customWidth="1"/>
    <col min="17" max="17" width="36" customWidth="1"/>
    <col min="18" max="18" width="45.81640625" customWidth="1"/>
  </cols>
  <sheetData>
    <row r="1" spans="1:18" ht="27.75" customHeight="1" x14ac:dyDescent="0.35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 x14ac:dyDescent="0.35">
      <c r="M2" s="169"/>
    </row>
    <row r="3" spans="1:18" ht="25.9" customHeight="1" x14ac:dyDescent="0.35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 x14ac:dyDescent="0.35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 x14ac:dyDescent="0.35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 x14ac:dyDescent="0.35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 x14ac:dyDescent="0.35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 x14ac:dyDescent="0.35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 x14ac:dyDescent="0.35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 x14ac:dyDescent="0.35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 x14ac:dyDescent="0.35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 x14ac:dyDescent="0.35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 x14ac:dyDescent="0.35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 x14ac:dyDescent="0.35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 x14ac:dyDescent="0.35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 x14ac:dyDescent="0.35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 x14ac:dyDescent="0.35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 x14ac:dyDescent="0.35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 x14ac:dyDescent="0.35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 x14ac:dyDescent="0.35">
      <c r="A20" s="16"/>
      <c r="C20" s="16"/>
      <c r="J20" s="16"/>
      <c r="L20" s="16" t="s">
        <v>127</v>
      </c>
      <c r="M20" s="169"/>
      <c r="N20" s="16"/>
      <c r="O20" s="16"/>
      <c r="P20" s="16" t="s">
        <v>128</v>
      </c>
      <c r="Q20" s="16"/>
      <c r="R20" s="16" t="s">
        <v>129</v>
      </c>
    </row>
    <row r="21" spans="1:18" ht="15.75" customHeight="1" x14ac:dyDescent="0.35">
      <c r="A21" s="17"/>
      <c r="C21" s="17"/>
      <c r="J21" s="17"/>
      <c r="L21" s="17" t="s">
        <v>130</v>
      </c>
      <c r="M21" s="169"/>
      <c r="N21" s="17"/>
      <c r="O21" s="17"/>
      <c r="P21" s="17" t="s">
        <v>131</v>
      </c>
      <c r="Q21" s="17"/>
      <c r="R21" s="17" t="s">
        <v>132</v>
      </c>
    </row>
    <row r="22" spans="1:18" ht="15.75" customHeight="1" x14ac:dyDescent="0.35">
      <c r="A22" s="16"/>
      <c r="C22" s="16"/>
      <c r="J22" s="16"/>
      <c r="L22" s="16" t="s">
        <v>133</v>
      </c>
      <c r="M22" s="169"/>
      <c r="N22" s="16"/>
      <c r="O22" s="16"/>
      <c r="P22" s="16" t="s">
        <v>134</v>
      </c>
      <c r="Q22" s="16"/>
      <c r="R22" s="16" t="s">
        <v>135</v>
      </c>
    </row>
    <row r="23" spans="1:18" ht="15.75" customHeight="1" x14ac:dyDescent="0.35">
      <c r="A23" s="17"/>
      <c r="C23" s="17"/>
      <c r="J23" s="17"/>
      <c r="L23" s="17" t="s">
        <v>136</v>
      </c>
      <c r="M23" s="169"/>
      <c r="N23" s="17"/>
      <c r="O23" s="17"/>
      <c r="P23" s="17" t="s">
        <v>137</v>
      </c>
      <c r="Q23" s="17"/>
      <c r="R23" s="17" t="s">
        <v>138</v>
      </c>
    </row>
    <row r="24" spans="1:18" ht="15.75" customHeight="1" x14ac:dyDescent="0.35">
      <c r="A24" s="16"/>
      <c r="C24" s="16"/>
      <c r="J24" s="16"/>
      <c r="L24" s="16" t="s">
        <v>139</v>
      </c>
      <c r="M24" s="169"/>
      <c r="N24" s="16"/>
      <c r="O24" s="16"/>
      <c r="P24" s="16" t="s">
        <v>140</v>
      </c>
      <c r="Q24" s="16"/>
      <c r="R24" s="16" t="s">
        <v>141</v>
      </c>
    </row>
    <row r="25" spans="1:18" ht="15.75" customHeight="1" x14ac:dyDescent="0.35">
      <c r="A25" s="17"/>
      <c r="C25" s="17"/>
      <c r="J25" s="17"/>
      <c r="L25" s="17" t="s">
        <v>142</v>
      </c>
      <c r="M25" s="169"/>
      <c r="N25" s="17"/>
      <c r="O25" s="17"/>
      <c r="P25" s="17" t="s">
        <v>143</v>
      </c>
      <c r="Q25" s="17"/>
      <c r="R25" s="17" t="s">
        <v>144</v>
      </c>
    </row>
    <row r="26" spans="1:18" ht="15.75" customHeight="1" x14ac:dyDescent="0.35">
      <c r="A26" s="16"/>
      <c r="C26" s="16"/>
      <c r="J26" s="16"/>
      <c r="L26" s="16" t="s">
        <v>145</v>
      </c>
      <c r="M26" s="169"/>
      <c r="N26" s="16"/>
      <c r="O26" s="16"/>
      <c r="P26" s="16" t="s">
        <v>146</v>
      </c>
      <c r="Q26" s="16"/>
      <c r="R26" s="16"/>
    </row>
    <row r="27" spans="1:18" ht="15.75" customHeight="1" x14ac:dyDescent="0.35">
      <c r="A27" s="17"/>
      <c r="C27" s="17"/>
      <c r="J27" s="17"/>
      <c r="L27" s="17" t="s">
        <v>147</v>
      </c>
      <c r="M27" s="169"/>
      <c r="N27" s="17"/>
      <c r="O27" s="17"/>
      <c r="P27" s="17" t="s">
        <v>138</v>
      </c>
      <c r="Q27" s="17"/>
      <c r="R27" s="17" t="s">
        <v>69</v>
      </c>
    </row>
    <row r="28" spans="1:18" ht="15.75" customHeight="1" x14ac:dyDescent="0.35">
      <c r="A28" s="16"/>
      <c r="C28" s="16"/>
      <c r="J28" s="16"/>
      <c r="L28" s="16" t="s">
        <v>148</v>
      </c>
      <c r="M28" s="169"/>
      <c r="N28" s="16"/>
      <c r="O28" s="16"/>
      <c r="P28" s="16" t="s">
        <v>141</v>
      </c>
      <c r="Q28" s="16"/>
      <c r="R28" s="16" t="s">
        <v>149</v>
      </c>
    </row>
    <row r="29" spans="1:18" ht="15.75" customHeight="1" x14ac:dyDescent="0.35">
      <c r="A29" s="17"/>
      <c r="C29" s="17"/>
      <c r="J29" s="17"/>
      <c r="L29" s="17" t="s">
        <v>150</v>
      </c>
      <c r="M29" s="169"/>
      <c r="N29" s="17"/>
      <c r="O29" s="17"/>
      <c r="P29" s="17" t="s">
        <v>151</v>
      </c>
      <c r="Q29" s="17"/>
      <c r="R29" s="17" t="s">
        <v>152</v>
      </c>
    </row>
    <row r="30" spans="1:18" ht="15.75" customHeight="1" x14ac:dyDescent="0.35">
      <c r="A30" s="16"/>
      <c r="C30" s="16"/>
      <c r="J30" s="16"/>
      <c r="L30" s="16" t="s">
        <v>153</v>
      </c>
      <c r="M30" s="169"/>
      <c r="N30" s="16"/>
      <c r="O30" s="16"/>
      <c r="P30" s="16" t="s">
        <v>154</v>
      </c>
      <c r="Q30" s="16"/>
      <c r="R30" s="16" t="s">
        <v>155</v>
      </c>
    </row>
    <row r="31" spans="1:18" ht="15.75" customHeight="1" x14ac:dyDescent="0.35">
      <c r="A31" s="17"/>
      <c r="C31" s="17"/>
      <c r="J31" s="17"/>
      <c r="L31" s="17" t="s">
        <v>156</v>
      </c>
      <c r="M31" s="169"/>
      <c r="N31" s="17"/>
      <c r="O31" s="17"/>
      <c r="P31" s="18" t="s">
        <v>157</v>
      </c>
      <c r="Q31" s="17"/>
      <c r="R31" s="17" t="s">
        <v>158</v>
      </c>
    </row>
    <row r="32" spans="1:18" ht="15.75" customHeight="1" x14ac:dyDescent="0.35">
      <c r="A32" s="16"/>
      <c r="C32" s="16"/>
      <c r="J32" s="16"/>
      <c r="L32" s="16" t="s">
        <v>159</v>
      </c>
      <c r="M32" s="169"/>
      <c r="N32" s="16"/>
      <c r="O32" s="16"/>
      <c r="P32" s="16" t="s">
        <v>160</v>
      </c>
      <c r="Q32" s="16"/>
      <c r="R32" t="s">
        <v>161</v>
      </c>
    </row>
    <row r="33" spans="1:18" ht="15.75" customHeight="1" x14ac:dyDescent="0.35">
      <c r="A33" s="17"/>
      <c r="C33" s="131" t="s">
        <v>162</v>
      </c>
      <c r="E33" s="113">
        <v>1000</v>
      </c>
      <c r="J33" s="17"/>
      <c r="L33" s="17" t="s">
        <v>163</v>
      </c>
      <c r="M33" s="169"/>
      <c r="N33" s="17"/>
      <c r="O33" s="17"/>
      <c r="P33" s="18" t="s">
        <v>164</v>
      </c>
      <c r="Q33" s="17"/>
      <c r="R33" s="17" t="s">
        <v>27</v>
      </c>
    </row>
    <row r="34" spans="1:18" ht="15.75" customHeight="1" x14ac:dyDescent="0.35">
      <c r="A34" s="16"/>
      <c r="C34" s="16"/>
      <c r="J34" s="16"/>
      <c r="L34" s="16" t="s">
        <v>165</v>
      </c>
      <c r="M34" s="169"/>
      <c r="N34" s="16"/>
      <c r="O34" s="16"/>
      <c r="P34" s="16" t="s">
        <v>86</v>
      </c>
      <c r="Q34" s="16"/>
      <c r="R34" s="16" t="s">
        <v>166</v>
      </c>
    </row>
    <row r="35" spans="1:18" ht="15.75" customHeight="1" x14ac:dyDescent="0.35">
      <c r="A35" s="17"/>
      <c r="C35" s="17"/>
      <c r="J35" s="17"/>
      <c r="L35" s="17" t="s">
        <v>167</v>
      </c>
      <c r="M35" s="169"/>
      <c r="N35" s="17"/>
      <c r="O35" s="17"/>
      <c r="P35" s="17" t="s">
        <v>168</v>
      </c>
      <c r="Q35" s="17"/>
      <c r="R35" s="17" t="s">
        <v>169</v>
      </c>
    </row>
    <row r="36" spans="1:18" ht="15.75" customHeight="1" x14ac:dyDescent="0.35">
      <c r="A36" s="16"/>
      <c r="C36" s="16"/>
      <c r="J36" s="16"/>
      <c r="L36" s="16" t="s">
        <v>170</v>
      </c>
      <c r="M36" s="169"/>
      <c r="N36" s="16"/>
      <c r="O36" s="16"/>
      <c r="P36" s="16" t="s">
        <v>171</v>
      </c>
      <c r="Q36" s="16"/>
      <c r="R36" s="16" t="s">
        <v>172</v>
      </c>
    </row>
    <row r="37" spans="1:18" ht="15.75" customHeight="1" x14ac:dyDescent="0.35">
      <c r="A37" s="17"/>
      <c r="C37" s="17"/>
      <c r="J37" s="17"/>
      <c r="L37" s="17" t="s">
        <v>173</v>
      </c>
      <c r="M37" s="169"/>
      <c r="N37" s="17"/>
      <c r="O37" s="17"/>
      <c r="P37" s="17" t="s">
        <v>174</v>
      </c>
      <c r="Q37" s="17"/>
      <c r="R37" s="17" t="s">
        <v>175</v>
      </c>
    </row>
    <row r="38" spans="1:18" ht="15.75" customHeight="1" x14ac:dyDescent="0.35">
      <c r="A38" s="16"/>
      <c r="C38" s="16"/>
      <c r="J38" s="16"/>
      <c r="L38" s="16" t="s">
        <v>176</v>
      </c>
      <c r="M38" s="169"/>
      <c r="N38" s="16"/>
      <c r="O38" s="16"/>
      <c r="P38" s="16" t="s">
        <v>177</v>
      </c>
      <c r="Q38" s="16"/>
      <c r="R38" s="16" t="s">
        <v>178</v>
      </c>
    </row>
    <row r="39" spans="1:18" ht="15.75" customHeight="1" x14ac:dyDescent="0.35">
      <c r="A39" s="17"/>
      <c r="C39" s="17"/>
      <c r="J39" s="17"/>
      <c r="L39" s="17"/>
      <c r="M39" s="169"/>
      <c r="N39" s="17"/>
      <c r="O39" s="17"/>
      <c r="P39" s="17" t="s">
        <v>179</v>
      </c>
      <c r="Q39" s="17"/>
      <c r="R39" s="17" t="s">
        <v>180</v>
      </c>
    </row>
    <row r="40" spans="1:18" ht="15.75" customHeight="1" x14ac:dyDescent="0.35">
      <c r="A40" s="16"/>
      <c r="C40" s="16"/>
      <c r="J40" s="16"/>
      <c r="L40" s="16"/>
      <c r="M40" s="169"/>
      <c r="N40" s="16"/>
      <c r="O40" s="16"/>
      <c r="P40" s="16" t="s">
        <v>181</v>
      </c>
      <c r="Q40" s="16"/>
      <c r="R40" s="16" t="s">
        <v>182</v>
      </c>
    </row>
    <row r="41" spans="1:18" ht="15.75" customHeight="1" x14ac:dyDescent="0.35">
      <c r="A41" s="17"/>
      <c r="C41" s="17"/>
      <c r="J41" s="17"/>
      <c r="L41" s="17"/>
      <c r="M41" s="169"/>
      <c r="N41" s="17"/>
      <c r="O41" s="17"/>
      <c r="P41" s="17" t="s">
        <v>183</v>
      </c>
      <c r="Q41" s="17"/>
      <c r="R41" s="17" t="s">
        <v>184</v>
      </c>
    </row>
    <row r="42" spans="1:18" ht="15.75" customHeight="1" x14ac:dyDescent="0.35">
      <c r="A42" s="16"/>
      <c r="C42" s="16"/>
      <c r="J42" s="16"/>
      <c r="L42" s="16"/>
      <c r="M42" s="169"/>
      <c r="N42" s="16"/>
      <c r="O42" s="16"/>
      <c r="P42" s="16" t="s">
        <v>185</v>
      </c>
      <c r="Q42" s="16"/>
      <c r="R42" s="16" t="s">
        <v>186</v>
      </c>
    </row>
    <row r="43" spans="1:18" ht="15.75" customHeight="1" x14ac:dyDescent="0.35">
      <c r="A43" s="17"/>
      <c r="C43" s="17"/>
      <c r="J43" s="17"/>
      <c r="L43" s="17"/>
      <c r="M43" s="169"/>
      <c r="N43" s="17"/>
      <c r="O43" s="17"/>
      <c r="P43" s="17" t="s">
        <v>187</v>
      </c>
      <c r="Q43" s="17"/>
      <c r="R43" s="17" t="s">
        <v>188</v>
      </c>
    </row>
    <row r="44" spans="1:18" ht="15.75" customHeight="1" x14ac:dyDescent="0.35">
      <c r="A44" s="16"/>
      <c r="C44" s="16"/>
      <c r="J44" s="16"/>
      <c r="L44" s="16"/>
      <c r="M44" s="169"/>
      <c r="N44" s="16"/>
      <c r="O44" s="16"/>
      <c r="P44" s="16" t="s">
        <v>189</v>
      </c>
      <c r="Q44" s="16"/>
      <c r="R44" s="16" t="s">
        <v>190</v>
      </c>
    </row>
    <row r="45" spans="1:18" ht="15.75" customHeight="1" x14ac:dyDescent="0.35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191</v>
      </c>
    </row>
    <row r="46" spans="1:18" ht="15.75" customHeight="1" x14ac:dyDescent="0.35">
      <c r="A46" s="16"/>
      <c r="C46" s="16"/>
      <c r="J46" s="16"/>
      <c r="L46" s="16"/>
      <c r="M46" s="169"/>
      <c r="N46" s="16"/>
      <c r="O46" s="16"/>
      <c r="P46" s="16" t="s">
        <v>192</v>
      </c>
      <c r="Q46" s="16"/>
      <c r="R46" s="16" t="s">
        <v>193</v>
      </c>
    </row>
    <row r="47" spans="1:18" ht="15.75" customHeight="1" x14ac:dyDescent="0.35">
      <c r="A47" s="17"/>
      <c r="C47" s="17"/>
      <c r="J47" s="17"/>
      <c r="L47" s="17"/>
      <c r="M47" s="169"/>
      <c r="N47" s="17"/>
      <c r="O47" s="17"/>
      <c r="P47" s="17" t="s">
        <v>194</v>
      </c>
      <c r="Q47" s="17"/>
      <c r="R47" s="17" t="s">
        <v>195</v>
      </c>
    </row>
    <row r="48" spans="1:18" ht="15.75" customHeight="1" x14ac:dyDescent="0.35">
      <c r="A48" s="16"/>
      <c r="C48" s="16"/>
      <c r="J48" s="16"/>
      <c r="L48" s="16"/>
      <c r="M48" s="169"/>
      <c r="N48" s="16"/>
      <c r="O48" s="16"/>
      <c r="P48" s="16" t="s">
        <v>196</v>
      </c>
      <c r="Q48" s="16"/>
      <c r="R48" s="16" t="s">
        <v>197</v>
      </c>
    </row>
    <row r="49" spans="1:18" ht="18" customHeight="1" x14ac:dyDescent="0.35">
      <c r="M49" s="169"/>
      <c r="N49" s="17"/>
      <c r="O49" s="17"/>
      <c r="P49" s="17" t="s">
        <v>198</v>
      </c>
      <c r="Q49" s="17"/>
      <c r="R49" s="17" t="s">
        <v>199</v>
      </c>
    </row>
    <row r="50" spans="1:18" ht="21" customHeight="1" x14ac:dyDescent="0.35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201</v>
      </c>
      <c r="Q50" s="16"/>
      <c r="R50" s="16" t="s">
        <v>202</v>
      </c>
    </row>
    <row r="51" spans="1:18" ht="24" customHeight="1" x14ac:dyDescent="0.35">
      <c r="M51" s="169"/>
      <c r="N51" s="17"/>
      <c r="O51" s="17"/>
      <c r="P51" s="17" t="s">
        <v>203</v>
      </c>
      <c r="Q51" s="17"/>
      <c r="R51" s="17" t="s">
        <v>204</v>
      </c>
    </row>
    <row r="52" spans="1:18" ht="24" customHeight="1" x14ac:dyDescent="0.35">
      <c r="M52" s="169"/>
      <c r="N52" s="16"/>
      <c r="O52" s="16"/>
      <c r="P52" s="16" t="s">
        <v>205</v>
      </c>
      <c r="Q52" s="16"/>
      <c r="R52" s="16" t="s">
        <v>206</v>
      </c>
    </row>
    <row r="53" spans="1:18" ht="36" customHeight="1" x14ac:dyDescent="0.35">
      <c r="M53" s="169"/>
      <c r="N53" s="17"/>
      <c r="O53" s="17"/>
      <c r="P53" s="17" t="s">
        <v>207</v>
      </c>
      <c r="Q53" s="17"/>
      <c r="R53" s="17" t="s">
        <v>208</v>
      </c>
    </row>
    <row r="54" spans="1:18" ht="15" customHeight="1" x14ac:dyDescent="0.35">
      <c r="M54" s="169"/>
      <c r="N54" s="16"/>
      <c r="O54" s="16"/>
      <c r="P54" s="16" t="s">
        <v>209</v>
      </c>
      <c r="Q54" s="16"/>
      <c r="R54" s="16" t="s">
        <v>210</v>
      </c>
    </row>
    <row r="55" spans="1:18" ht="15" customHeight="1" x14ac:dyDescent="0.35">
      <c r="M55" s="169"/>
      <c r="N55" s="17"/>
      <c r="O55" s="17"/>
      <c r="P55" s="17" t="s">
        <v>211</v>
      </c>
      <c r="Q55" s="17"/>
      <c r="R55" s="17" t="s">
        <v>212</v>
      </c>
    </row>
    <row r="56" spans="1:18" ht="15" customHeight="1" x14ac:dyDescent="0.35">
      <c r="M56" s="169"/>
      <c r="N56" s="16"/>
      <c r="O56" s="16"/>
      <c r="P56" s="16" t="s">
        <v>213</v>
      </c>
      <c r="Q56" s="16"/>
      <c r="R56" s="16" t="s">
        <v>214</v>
      </c>
    </row>
    <row r="57" spans="1:18" ht="15" customHeight="1" x14ac:dyDescent="0.35">
      <c r="M57" s="169"/>
      <c r="N57" s="17"/>
      <c r="O57" s="17"/>
      <c r="P57" s="17" t="s">
        <v>57</v>
      </c>
      <c r="Q57" s="17"/>
      <c r="R57" s="17" t="s">
        <v>215</v>
      </c>
    </row>
    <row r="58" spans="1:18" ht="15" customHeight="1" x14ac:dyDescent="0.35">
      <c r="M58" s="169"/>
      <c r="N58" s="16"/>
      <c r="O58" s="16"/>
      <c r="P58" s="16" t="s">
        <v>216</v>
      </c>
      <c r="Q58" s="16"/>
      <c r="R58" s="16"/>
    </row>
    <row r="59" spans="1:18" ht="15" customHeight="1" x14ac:dyDescent="0.35">
      <c r="M59" s="169"/>
      <c r="N59" s="17"/>
      <c r="O59" s="17"/>
      <c r="P59" s="17" t="s">
        <v>217</v>
      </c>
      <c r="Q59" s="17"/>
      <c r="R59" s="17"/>
    </row>
    <row r="60" spans="1:18" ht="15" customHeight="1" x14ac:dyDescent="0.35">
      <c r="M60" s="169"/>
      <c r="N60" s="16"/>
      <c r="O60" s="16"/>
      <c r="P60" s="77" t="s">
        <v>112</v>
      </c>
      <c r="Q60" s="16"/>
      <c r="R60" s="16"/>
    </row>
    <row r="61" spans="1:18" ht="15" customHeight="1" x14ac:dyDescent="0.35">
      <c r="M61" s="169"/>
      <c r="N61" s="17"/>
      <c r="O61" s="17"/>
      <c r="P61" s="17" t="s">
        <v>218</v>
      </c>
      <c r="Q61" s="17"/>
      <c r="R61" s="17"/>
    </row>
    <row r="62" spans="1:18" ht="15" customHeight="1" x14ac:dyDescent="0.35">
      <c r="M62" s="169"/>
      <c r="N62" s="16"/>
      <c r="O62" s="16"/>
      <c r="P62" s="16" t="s">
        <v>219</v>
      </c>
      <c r="Q62" s="16"/>
      <c r="R62" s="16"/>
    </row>
    <row r="63" spans="1:18" ht="15" customHeight="1" x14ac:dyDescent="0.35">
      <c r="M63" s="169"/>
      <c r="N63" s="17"/>
      <c r="O63" s="17"/>
      <c r="P63" s="17" t="s">
        <v>220</v>
      </c>
      <c r="Q63" s="17"/>
      <c r="R63" s="17"/>
    </row>
    <row r="64" spans="1:18" ht="15" customHeight="1" x14ac:dyDescent="0.35">
      <c r="M64" s="169"/>
      <c r="N64" s="16"/>
      <c r="O64" s="16"/>
      <c r="P64" s="16" t="s">
        <v>221</v>
      </c>
      <c r="Q64" s="16"/>
      <c r="R64" s="16"/>
    </row>
    <row r="65" spans="13:18" ht="15" customHeight="1" x14ac:dyDescent="0.35">
      <c r="M65" s="169"/>
      <c r="N65" s="17"/>
      <c r="O65" s="17"/>
      <c r="P65" s="17" t="s">
        <v>222</v>
      </c>
      <c r="Q65" s="17"/>
      <c r="R65" s="17"/>
    </row>
    <row r="66" spans="13:18" ht="15" customHeight="1" x14ac:dyDescent="0.35">
      <c r="M66" s="169"/>
      <c r="N66" s="16"/>
      <c r="O66" s="16"/>
      <c r="P66" s="16" t="s">
        <v>223</v>
      </c>
      <c r="Q66" s="16"/>
      <c r="R66" s="16"/>
    </row>
    <row r="67" spans="13:18" ht="15" customHeight="1" x14ac:dyDescent="0.35">
      <c r="M67" s="169"/>
      <c r="N67" s="17"/>
      <c r="O67" s="17"/>
      <c r="P67" s="17" t="s">
        <v>224</v>
      </c>
      <c r="Q67" s="17"/>
      <c r="R67" s="17"/>
    </row>
    <row r="68" spans="13:18" ht="15" customHeight="1" x14ac:dyDescent="0.35">
      <c r="M68" s="169"/>
      <c r="N68" s="16"/>
      <c r="O68" s="16"/>
      <c r="P68" s="16" t="s">
        <v>225</v>
      </c>
      <c r="Q68" s="16"/>
      <c r="R68" s="16"/>
    </row>
    <row r="69" spans="13:18" ht="15" customHeight="1" x14ac:dyDescent="0.35">
      <c r="M69" s="169"/>
      <c r="N69" s="17"/>
      <c r="O69" s="17"/>
      <c r="P69" s="17" t="s">
        <v>226</v>
      </c>
      <c r="Q69" s="17"/>
      <c r="R69" s="17"/>
    </row>
    <row r="70" spans="13:18" ht="15" customHeight="1" x14ac:dyDescent="0.35">
      <c r="M70" s="169"/>
      <c r="N70" s="16"/>
      <c r="O70" s="16"/>
      <c r="P70" s="16" t="s">
        <v>227</v>
      </c>
      <c r="Q70" s="16"/>
      <c r="R70" s="16"/>
    </row>
    <row r="71" spans="13:18" ht="15" customHeight="1" x14ac:dyDescent="0.35">
      <c r="M71" s="169"/>
      <c r="N71" s="17"/>
      <c r="O71" s="17"/>
      <c r="P71" s="17" t="s">
        <v>228</v>
      </c>
      <c r="Q71" s="17"/>
      <c r="R71" s="17"/>
    </row>
    <row r="72" spans="13:18" ht="15" customHeight="1" x14ac:dyDescent="0.35">
      <c r="M72" s="169"/>
      <c r="N72" s="16"/>
      <c r="O72" s="16"/>
      <c r="P72" s="16" t="s">
        <v>229</v>
      </c>
      <c r="Q72" s="16"/>
      <c r="R72" s="16"/>
    </row>
    <row r="73" spans="13:18" ht="15" customHeight="1" x14ac:dyDescent="0.35">
      <c r="M73" s="169"/>
      <c r="N73" s="17"/>
      <c r="O73" s="17"/>
      <c r="P73" s="17" t="s">
        <v>230</v>
      </c>
      <c r="Q73" s="17"/>
      <c r="R73" s="17"/>
    </row>
    <row r="74" spans="13:18" ht="15" customHeight="1" x14ac:dyDescent="0.35">
      <c r="M74" s="169"/>
      <c r="N74" s="16"/>
      <c r="O74" s="16"/>
      <c r="P74" s="16" t="s">
        <v>231</v>
      </c>
      <c r="Q74" s="16"/>
      <c r="R74" s="16"/>
    </row>
    <row r="75" spans="13:18" ht="15" customHeight="1" x14ac:dyDescent="0.35">
      <c r="M75" s="169"/>
      <c r="N75" s="17"/>
      <c r="O75" s="17"/>
      <c r="P75" s="17" t="s">
        <v>232</v>
      </c>
      <c r="Q75" s="17"/>
      <c r="R75" s="17"/>
    </row>
    <row r="76" spans="13:18" ht="15" customHeight="1" x14ac:dyDescent="0.35"/>
    <row r="77" spans="13:18" ht="15" customHeight="1" x14ac:dyDescent="0.35"/>
    <row r="78" spans="13:18" ht="15" customHeight="1" x14ac:dyDescent="0.35"/>
    <row r="79" spans="13:18" ht="15" customHeight="1" x14ac:dyDescent="0.35"/>
    <row r="80" spans="13:18" ht="15" customHeight="1" x14ac:dyDescent="0.35"/>
    <row r="81" ht="15" customHeight="1" x14ac:dyDescent="0.35"/>
    <row r="82" ht="15" customHeight="1" x14ac:dyDescent="0.35"/>
    <row r="83" ht="15" customHeight="1" x14ac:dyDescent="0.35"/>
    <row r="84" ht="15" customHeight="1" x14ac:dyDescent="0.35"/>
    <row r="85" ht="15" customHeight="1" x14ac:dyDescent="0.35"/>
    <row r="86" ht="15" customHeight="1" x14ac:dyDescent="0.35"/>
    <row r="87" ht="15" customHeight="1" x14ac:dyDescent="0.35"/>
    <row r="88" ht="15" customHeight="1" x14ac:dyDescent="0.35"/>
    <row r="89" ht="15" customHeight="1" x14ac:dyDescent="0.35"/>
    <row r="90" ht="15" customHeight="1" x14ac:dyDescent="0.35"/>
    <row r="91" ht="15" customHeight="1" x14ac:dyDescent="0.35"/>
    <row r="92" ht="15" customHeight="1" x14ac:dyDescent="0.35"/>
    <row r="93" ht="15" customHeight="1" x14ac:dyDescent="0.35"/>
    <row r="94" ht="15" customHeight="1" x14ac:dyDescent="0.35"/>
    <row r="95" ht="15" customHeight="1" x14ac:dyDescent="0.35"/>
    <row r="96" ht="15" customHeight="1" x14ac:dyDescent="0.35"/>
    <row r="97" ht="15" customHeight="1" x14ac:dyDescent="0.35"/>
    <row r="98" ht="15" customHeight="1" x14ac:dyDescent="0.35"/>
    <row r="99" ht="15" customHeight="1" x14ac:dyDescent="0.35"/>
    <row r="100" ht="15" customHeight="1" x14ac:dyDescent="0.35"/>
    <row r="101" ht="15" customHeight="1" x14ac:dyDescent="0.35"/>
    <row r="102" ht="15" customHeight="1" x14ac:dyDescent="0.35"/>
    <row r="103" ht="15" customHeight="1" x14ac:dyDescent="0.35"/>
    <row r="104" ht="15" customHeight="1" x14ac:dyDescent="0.35"/>
    <row r="105" ht="15" customHeight="1" x14ac:dyDescent="0.35"/>
    <row r="106" ht="15" customHeight="1" x14ac:dyDescent="0.35"/>
    <row r="107" ht="15" customHeight="1" x14ac:dyDescent="0.35"/>
    <row r="108" ht="15" customHeight="1" x14ac:dyDescent="0.35"/>
    <row r="109" ht="15" customHeight="1" x14ac:dyDescent="0.35"/>
    <row r="110" ht="15" customHeight="1" x14ac:dyDescent="0.35"/>
    <row r="111" ht="15" customHeight="1" x14ac:dyDescent="0.35"/>
    <row r="112" ht="15" customHeight="1" x14ac:dyDescent="0.35"/>
    <row r="113" ht="15" customHeight="1" x14ac:dyDescent="0.3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92" activePane="bottomLeft" state="frozen"/>
      <selection pane="bottomLeft" activeCell="H407" sqref="H407"/>
    </sheetView>
  </sheetViews>
  <sheetFormatPr defaultColWidth="8.54296875" defaultRowHeight="14.5" x14ac:dyDescent="0.3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1640625" style="20" customWidth="1"/>
    <col min="8" max="8" width="33.1796875" style="20" customWidth="1"/>
    <col min="9" max="9" width="23.453125" style="20" customWidth="1"/>
    <col min="10" max="10" width="43.1796875" style="20" customWidth="1"/>
    <col min="11" max="11" width="14" style="20" customWidth="1"/>
    <col min="12" max="12" width="13.1796875" style="21" customWidth="1"/>
    <col min="13" max="13" width="14" style="20" customWidth="1"/>
    <col min="14" max="14" width="43.54296875" style="20" customWidth="1"/>
    <col min="15" max="15" width="19.81640625" customWidth="1"/>
  </cols>
  <sheetData>
    <row r="1" spans="1:15" ht="37.5" customHeight="1" x14ac:dyDescent="0.35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 x14ac:dyDescent="0.35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 x14ac:dyDescent="0.35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 x14ac:dyDescent="0.35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35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35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35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35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35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35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35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35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35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35">
      <c r="A14" s="158" t="s">
        <v>244</v>
      </c>
      <c r="B14" s="159"/>
      <c r="C14" s="159"/>
      <c r="D14" s="159"/>
      <c r="E14" s="17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 x14ac:dyDescent="0.35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 x14ac:dyDescent="0.35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 x14ac:dyDescent="0.35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 x14ac:dyDescent="0.35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35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35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35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35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35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35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35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35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35">
      <c r="A27" s="158" t="s">
        <v>247</v>
      </c>
      <c r="B27" s="159"/>
      <c r="C27" s="159"/>
      <c r="D27" s="159"/>
      <c r="E27" s="17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 x14ac:dyDescent="0.35">
      <c r="A28" s="160" t="s">
        <v>248</v>
      </c>
      <c r="B28" s="161"/>
      <c r="C28" s="161"/>
      <c r="D28" s="161"/>
      <c r="E28" s="172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 x14ac:dyDescent="0.35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 x14ac:dyDescent="0.35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 x14ac:dyDescent="0.35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 x14ac:dyDescent="0.35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5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5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5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5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5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5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5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5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5">
      <c r="A41" s="158" t="s">
        <v>244</v>
      </c>
      <c r="B41" s="159"/>
      <c r="C41" s="159"/>
      <c r="D41" s="159"/>
      <c r="E41" s="171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 x14ac:dyDescent="0.35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 x14ac:dyDescent="0.35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 x14ac:dyDescent="0.35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 x14ac:dyDescent="0.35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 x14ac:dyDescent="0.35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 x14ac:dyDescent="0.35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 x14ac:dyDescent="0.35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5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5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5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5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5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5">
      <c r="A54" s="158" t="s">
        <v>247</v>
      </c>
      <c r="B54" s="159"/>
      <c r="C54" s="159"/>
      <c r="D54" s="159"/>
      <c r="E54" s="171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 x14ac:dyDescent="0.35">
      <c r="A55" s="160" t="s">
        <v>248</v>
      </c>
      <c r="B55" s="161"/>
      <c r="C55" s="161"/>
      <c r="D55" s="161"/>
      <c r="E55" s="172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 x14ac:dyDescent="0.35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 x14ac:dyDescent="0.35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 x14ac:dyDescent="0.35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35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35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5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5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5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5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5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5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5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5">
      <c r="A68" s="158" t="s">
        <v>244</v>
      </c>
      <c r="B68" s="159"/>
      <c r="C68" s="159"/>
      <c r="D68" s="159"/>
      <c r="E68" s="171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 x14ac:dyDescent="0.35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 x14ac:dyDescent="0.35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 x14ac:dyDescent="0.35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5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5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5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5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5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5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5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5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5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5">
      <c r="A81" s="158" t="s">
        <v>247</v>
      </c>
      <c r="B81" s="159"/>
      <c r="C81" s="159"/>
      <c r="D81" s="159"/>
      <c r="E81" s="171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 x14ac:dyDescent="0.35">
      <c r="A82" s="160" t="s">
        <v>248</v>
      </c>
      <c r="B82" s="161"/>
      <c r="C82" s="161"/>
      <c r="D82" s="161"/>
      <c r="E82" s="172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 x14ac:dyDescent="0.35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 x14ac:dyDescent="0.35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 x14ac:dyDescent="0.35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 x14ac:dyDescent="0.35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5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5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5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5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5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5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5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5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5">
      <c r="A95" s="158" t="s">
        <v>244</v>
      </c>
      <c r="B95" s="159"/>
      <c r="C95" s="159"/>
      <c r="D95" s="159"/>
      <c r="E95" s="171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 x14ac:dyDescent="0.35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35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5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5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5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5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 x14ac:dyDescent="0.35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5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5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5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5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5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5">
      <c r="A108" s="158" t="s">
        <v>247</v>
      </c>
      <c r="B108" s="159"/>
      <c r="C108" s="159"/>
      <c r="D108" s="159"/>
      <c r="E108" s="171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 x14ac:dyDescent="0.35">
      <c r="A109" s="160" t="s">
        <v>248</v>
      </c>
      <c r="B109" s="161"/>
      <c r="C109" s="161"/>
      <c r="D109" s="161"/>
      <c r="E109" s="172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 x14ac:dyDescent="0.35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 x14ac:dyDescent="0.35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5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5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5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5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5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5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5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5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5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5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5">
      <c r="A122" s="158" t="s">
        <v>244</v>
      </c>
      <c r="B122" s="159"/>
      <c r="C122" s="159"/>
      <c r="D122" s="159"/>
      <c r="E122" s="171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 x14ac:dyDescent="0.35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35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35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5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5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5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5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35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5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5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5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5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5">
      <c r="A135" s="158" t="s">
        <v>247</v>
      </c>
      <c r="B135" s="159"/>
      <c r="C135" s="159"/>
      <c r="D135" s="159"/>
      <c r="E135" s="171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 x14ac:dyDescent="0.35">
      <c r="A136" s="160" t="s">
        <v>248</v>
      </c>
      <c r="B136" s="161"/>
      <c r="C136" s="161"/>
      <c r="D136" s="161"/>
      <c r="E136" s="172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 x14ac:dyDescent="0.35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 x14ac:dyDescent="0.35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 x14ac:dyDescent="0.35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 x14ac:dyDescent="0.35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 x14ac:dyDescent="0.35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5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5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5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5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5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5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5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45">
      <c r="A149" s="158" t="s">
        <v>244</v>
      </c>
      <c r="B149" s="159"/>
      <c r="C149" s="159"/>
      <c r="D149" s="159"/>
      <c r="E149" s="171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 x14ac:dyDescent="0.35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 x14ac:dyDescent="0.35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 x14ac:dyDescent="0.35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 x14ac:dyDescent="0.35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 x14ac:dyDescent="0.35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 x14ac:dyDescent="0.35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5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5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5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5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5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5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45">
      <c r="A162" s="158" t="s">
        <v>247</v>
      </c>
      <c r="B162" s="159"/>
      <c r="C162" s="159"/>
      <c r="D162" s="159"/>
      <c r="E162" s="171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 x14ac:dyDescent="0.35">
      <c r="A163" s="160" t="s">
        <v>248</v>
      </c>
      <c r="B163" s="161"/>
      <c r="C163" s="161"/>
      <c r="D163" s="161"/>
      <c r="E163" s="172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 x14ac:dyDescent="0.35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 x14ac:dyDescent="0.35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 x14ac:dyDescent="0.35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5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5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5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5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5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5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5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5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5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5">
      <c r="A176" s="158" t="s">
        <v>244</v>
      </c>
      <c r="B176" s="159"/>
      <c r="C176" s="159"/>
      <c r="D176" s="159"/>
      <c r="E176" s="171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 x14ac:dyDescent="0.35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 x14ac:dyDescent="0.35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5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5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5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5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5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5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5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5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5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5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5">
      <c r="A189" s="158" t="s">
        <v>247</v>
      </c>
      <c r="B189" s="159"/>
      <c r="C189" s="159"/>
      <c r="D189" s="159"/>
      <c r="E189" s="171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 x14ac:dyDescent="0.35">
      <c r="A190" s="160" t="s">
        <v>248</v>
      </c>
      <c r="B190" s="161"/>
      <c r="C190" s="161"/>
      <c r="D190" s="161"/>
      <c r="E190" s="172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 x14ac:dyDescent="0.35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 x14ac:dyDescent="0.35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 x14ac:dyDescent="0.35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 x14ac:dyDescent="0.35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5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5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5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5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5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5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5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5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5">
      <c r="A203" s="158" t="s">
        <v>244</v>
      </c>
      <c r="B203" s="159"/>
      <c r="C203" s="159"/>
      <c r="D203" s="159"/>
      <c r="E203" s="171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 x14ac:dyDescent="0.35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35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35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5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5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5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5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5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5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5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5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5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5">
      <c r="A216" s="158" t="s">
        <v>247</v>
      </c>
      <c r="B216" s="159"/>
      <c r="C216" s="159"/>
      <c r="D216" s="159"/>
      <c r="E216" s="171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 x14ac:dyDescent="0.35">
      <c r="A217" s="160" t="s">
        <v>248</v>
      </c>
      <c r="B217" s="161"/>
      <c r="C217" s="161"/>
      <c r="D217" s="161"/>
      <c r="E217" s="172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 x14ac:dyDescent="0.35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 x14ac:dyDescent="0.35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 x14ac:dyDescent="0.35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 x14ac:dyDescent="0.35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5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5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5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 x14ac:dyDescent="0.35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 x14ac:dyDescent="0.35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 x14ac:dyDescent="0.35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 x14ac:dyDescent="0.35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 x14ac:dyDescent="0.35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 x14ac:dyDescent="0.35">
      <c r="A230" s="162" t="s">
        <v>244</v>
      </c>
      <c r="B230" s="163"/>
      <c r="C230" s="163"/>
      <c r="D230" s="163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 x14ac:dyDescent="0.35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 x14ac:dyDescent="0.35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 x14ac:dyDescent="0.35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 x14ac:dyDescent="0.35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 x14ac:dyDescent="0.35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 x14ac:dyDescent="0.35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 x14ac:dyDescent="0.35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 x14ac:dyDescent="0.35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 x14ac:dyDescent="0.35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 x14ac:dyDescent="0.35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5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5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5">
      <c r="A243" s="158" t="s">
        <v>247</v>
      </c>
      <c r="B243" s="159"/>
      <c r="C243" s="159"/>
      <c r="D243" s="159"/>
      <c r="E243" s="171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 x14ac:dyDescent="0.35">
      <c r="A244" s="160" t="s">
        <v>248</v>
      </c>
      <c r="B244" s="161"/>
      <c r="C244" s="161"/>
      <c r="D244" s="161"/>
      <c r="E244" s="172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 x14ac:dyDescent="0.35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 x14ac:dyDescent="0.35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 x14ac:dyDescent="0.35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 x14ac:dyDescent="0.35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5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 x14ac:dyDescent="0.35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5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5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5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5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5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5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5">
      <c r="A257" s="158" t="s">
        <v>244</v>
      </c>
      <c r="B257" s="159"/>
      <c r="C257" s="159"/>
      <c r="D257" s="159"/>
      <c r="E257" s="171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 x14ac:dyDescent="0.35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 x14ac:dyDescent="0.35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 x14ac:dyDescent="0.35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 x14ac:dyDescent="0.35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 x14ac:dyDescent="0.35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 x14ac:dyDescent="0.35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 x14ac:dyDescent="0.35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 x14ac:dyDescent="0.35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 x14ac:dyDescent="0.35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 x14ac:dyDescent="0.35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 x14ac:dyDescent="0.35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 x14ac:dyDescent="0.35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 x14ac:dyDescent="0.35">
      <c r="A270" s="158" t="s">
        <v>247</v>
      </c>
      <c r="B270" s="159"/>
      <c r="C270" s="159"/>
      <c r="D270" s="159"/>
      <c r="E270" s="171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 x14ac:dyDescent="0.35">
      <c r="A271" s="160" t="s">
        <v>248</v>
      </c>
      <c r="B271" s="161"/>
      <c r="C271" s="161"/>
      <c r="D271" s="161"/>
      <c r="E271" s="172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 x14ac:dyDescent="0.35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 x14ac:dyDescent="0.35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 x14ac:dyDescent="0.35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 x14ac:dyDescent="0.35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 x14ac:dyDescent="0.35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 x14ac:dyDescent="0.35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 x14ac:dyDescent="0.35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 x14ac:dyDescent="0.35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 x14ac:dyDescent="0.35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 x14ac:dyDescent="0.35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 x14ac:dyDescent="0.35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 x14ac:dyDescent="0.35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 x14ac:dyDescent="0.35">
      <c r="A284" s="158" t="s">
        <v>244</v>
      </c>
      <c r="B284" s="159"/>
      <c r="C284" s="159"/>
      <c r="D284" s="159"/>
      <c r="E284" s="171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 x14ac:dyDescent="0.35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 x14ac:dyDescent="0.35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 x14ac:dyDescent="0.35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 x14ac:dyDescent="0.35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 x14ac:dyDescent="0.35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 x14ac:dyDescent="0.35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 x14ac:dyDescent="0.35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 x14ac:dyDescent="0.35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 x14ac:dyDescent="0.35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 x14ac:dyDescent="0.35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 x14ac:dyDescent="0.35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 x14ac:dyDescent="0.35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 x14ac:dyDescent="0.35">
      <c r="A297" s="158" t="s">
        <v>247</v>
      </c>
      <c r="B297" s="159"/>
      <c r="C297" s="159"/>
      <c r="D297" s="159"/>
      <c r="E297" s="171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 x14ac:dyDescent="0.35">
      <c r="A298" s="160" t="s">
        <v>248</v>
      </c>
      <c r="B298" s="161"/>
      <c r="C298" s="161"/>
      <c r="D298" s="161"/>
      <c r="E298" s="172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 x14ac:dyDescent="0.35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 x14ac:dyDescent="0.35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 x14ac:dyDescent="0.35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 x14ac:dyDescent="0.35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 x14ac:dyDescent="0.35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 x14ac:dyDescent="0.35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 x14ac:dyDescent="0.35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 x14ac:dyDescent="0.35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 x14ac:dyDescent="0.35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 x14ac:dyDescent="0.35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 x14ac:dyDescent="0.35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 x14ac:dyDescent="0.35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 x14ac:dyDescent="0.35">
      <c r="A311" s="158" t="s">
        <v>244</v>
      </c>
      <c r="B311" s="159"/>
      <c r="C311" s="159"/>
      <c r="D311" s="159"/>
      <c r="E311" s="171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 x14ac:dyDescent="0.35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 x14ac:dyDescent="0.35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 x14ac:dyDescent="0.35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 x14ac:dyDescent="0.35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 x14ac:dyDescent="0.35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 x14ac:dyDescent="0.35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 x14ac:dyDescent="0.35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 x14ac:dyDescent="0.35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 x14ac:dyDescent="0.35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 x14ac:dyDescent="0.35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 x14ac:dyDescent="0.35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 x14ac:dyDescent="0.35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 x14ac:dyDescent="0.35">
      <c r="A324" s="158" t="s">
        <v>247</v>
      </c>
      <c r="B324" s="159"/>
      <c r="C324" s="159"/>
      <c r="D324" s="159"/>
      <c r="E324" s="171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 x14ac:dyDescent="0.35">
      <c r="A325" s="160" t="s">
        <v>248</v>
      </c>
      <c r="B325" s="161"/>
      <c r="C325" s="161"/>
      <c r="D325" s="161"/>
      <c r="E325" s="172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 x14ac:dyDescent="0.35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 x14ac:dyDescent="0.35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 x14ac:dyDescent="0.35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 x14ac:dyDescent="0.35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 x14ac:dyDescent="0.35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 x14ac:dyDescent="0.35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 x14ac:dyDescent="0.35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 x14ac:dyDescent="0.35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 x14ac:dyDescent="0.35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 x14ac:dyDescent="0.35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 x14ac:dyDescent="0.35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 x14ac:dyDescent="0.35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 x14ac:dyDescent="0.35">
      <c r="A338" s="158" t="s">
        <v>244</v>
      </c>
      <c r="B338" s="159"/>
      <c r="C338" s="159"/>
      <c r="D338" s="159"/>
      <c r="E338" s="171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 x14ac:dyDescent="0.35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 x14ac:dyDescent="0.35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 x14ac:dyDescent="0.35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 x14ac:dyDescent="0.35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 x14ac:dyDescent="0.35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 x14ac:dyDescent="0.35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 x14ac:dyDescent="0.35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 x14ac:dyDescent="0.35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 x14ac:dyDescent="0.35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 x14ac:dyDescent="0.35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 x14ac:dyDescent="0.35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 x14ac:dyDescent="0.35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 x14ac:dyDescent="0.35">
      <c r="A351" s="158" t="s">
        <v>247</v>
      </c>
      <c r="B351" s="159"/>
      <c r="C351" s="159"/>
      <c r="D351" s="159"/>
      <c r="E351" s="171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 x14ac:dyDescent="0.35">
      <c r="A352" s="160" t="s">
        <v>248</v>
      </c>
      <c r="B352" s="161"/>
      <c r="C352" s="161"/>
      <c r="D352" s="161"/>
      <c r="E352" s="172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 x14ac:dyDescent="0.35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 x14ac:dyDescent="0.35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 x14ac:dyDescent="0.35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 x14ac:dyDescent="0.35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 x14ac:dyDescent="0.35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 x14ac:dyDescent="0.35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 x14ac:dyDescent="0.35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 x14ac:dyDescent="0.35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 x14ac:dyDescent="0.35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 x14ac:dyDescent="0.35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 x14ac:dyDescent="0.35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 x14ac:dyDescent="0.35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 x14ac:dyDescent="0.35">
      <c r="A365" s="158" t="s">
        <v>244</v>
      </c>
      <c r="B365" s="159"/>
      <c r="C365" s="159"/>
      <c r="D365" s="159"/>
      <c r="E365" s="171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 x14ac:dyDescent="0.35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 x14ac:dyDescent="0.35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 x14ac:dyDescent="0.35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 x14ac:dyDescent="0.35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 x14ac:dyDescent="0.35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 x14ac:dyDescent="0.35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 x14ac:dyDescent="0.35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 x14ac:dyDescent="0.35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 x14ac:dyDescent="0.35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 x14ac:dyDescent="0.35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 x14ac:dyDescent="0.35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 x14ac:dyDescent="0.35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 x14ac:dyDescent="0.35">
      <c r="A378" s="158" t="s">
        <v>247</v>
      </c>
      <c r="B378" s="159"/>
      <c r="C378" s="159"/>
      <c r="D378" s="159"/>
      <c r="E378" s="171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 x14ac:dyDescent="0.35">
      <c r="A379" s="160" t="s">
        <v>248</v>
      </c>
      <c r="B379" s="161"/>
      <c r="C379" s="161"/>
      <c r="D379" s="161"/>
      <c r="E379" s="172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 x14ac:dyDescent="0.35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 x14ac:dyDescent="0.35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 x14ac:dyDescent="0.35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 x14ac:dyDescent="0.35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 x14ac:dyDescent="0.35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 x14ac:dyDescent="0.35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 x14ac:dyDescent="0.35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 x14ac:dyDescent="0.35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 x14ac:dyDescent="0.35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 x14ac:dyDescent="0.35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 x14ac:dyDescent="0.35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 x14ac:dyDescent="0.35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 x14ac:dyDescent="0.35">
      <c r="A392" s="158" t="s">
        <v>244</v>
      </c>
      <c r="B392" s="159"/>
      <c r="C392" s="159"/>
      <c r="D392" s="159"/>
      <c r="E392" s="171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 x14ac:dyDescent="0.35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 x14ac:dyDescent="0.35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 x14ac:dyDescent="0.35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 x14ac:dyDescent="0.35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 x14ac:dyDescent="0.35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 x14ac:dyDescent="0.35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 x14ac:dyDescent="0.35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 x14ac:dyDescent="0.35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 x14ac:dyDescent="0.35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 x14ac:dyDescent="0.35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 x14ac:dyDescent="0.35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 x14ac:dyDescent="0.35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 x14ac:dyDescent="0.35">
      <c r="A405" s="158" t="s">
        <v>247</v>
      </c>
      <c r="B405" s="159"/>
      <c r="C405" s="159"/>
      <c r="D405" s="159"/>
      <c r="E405" s="171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 x14ac:dyDescent="0.35">
      <c r="A406" s="160" t="s">
        <v>248</v>
      </c>
      <c r="B406" s="161"/>
      <c r="C406" s="161"/>
      <c r="D406" s="161"/>
      <c r="E406" s="172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 x14ac:dyDescent="0.35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 x14ac:dyDescent="0.35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 x14ac:dyDescent="0.35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 x14ac:dyDescent="0.35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 x14ac:dyDescent="0.35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 x14ac:dyDescent="0.35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 x14ac:dyDescent="0.35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 x14ac:dyDescent="0.35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 x14ac:dyDescent="0.35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 x14ac:dyDescent="0.35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 x14ac:dyDescent="0.35">
      <c r="A417" s="68">
        <v>46250</v>
      </c>
      <c r="B417" s="32">
        <f t="shared" si="87"/>
        <v>0.74999999999999956</v>
      </c>
      <c r="C417" s="33" t="s">
        <v>52</v>
      </c>
      <c r="D417" s="62" t="s">
        <v>29</v>
      </c>
      <c r="E417" s="62" t="s">
        <v>243</v>
      </c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 x14ac:dyDescent="0.35">
      <c r="A418" s="67">
        <v>46250</v>
      </c>
      <c r="B418" s="25">
        <f t="shared" si="87"/>
        <v>0.79166666666666619</v>
      </c>
      <c r="C418" s="33" t="s">
        <v>52</v>
      </c>
      <c r="D418" s="62" t="s">
        <v>29</v>
      </c>
      <c r="E418" s="62" t="s">
        <v>243</v>
      </c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 x14ac:dyDescent="0.35">
      <c r="A419" s="158" t="s">
        <v>244</v>
      </c>
      <c r="B419" s="159"/>
      <c r="C419" s="159"/>
      <c r="D419" s="159"/>
      <c r="E419" s="171">
        <f>SUM(E407:E418)</f>
        <v>0</v>
      </c>
      <c r="F419" s="36">
        <f>SUM(F407:F418)</f>
        <v>45</v>
      </c>
      <c r="G419" s="36">
        <f>SUM(G407:G418)</f>
        <v>225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 x14ac:dyDescent="0.35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 x14ac:dyDescent="0.35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 x14ac:dyDescent="0.35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 x14ac:dyDescent="0.35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 x14ac:dyDescent="0.35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 x14ac:dyDescent="0.35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 x14ac:dyDescent="0.35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 x14ac:dyDescent="0.35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 x14ac:dyDescent="0.35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 x14ac:dyDescent="0.35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 x14ac:dyDescent="0.35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 x14ac:dyDescent="0.35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 x14ac:dyDescent="0.35">
      <c r="A432" s="158" t="s">
        <v>247</v>
      </c>
      <c r="B432" s="159"/>
      <c r="C432" s="159"/>
      <c r="D432" s="159"/>
      <c r="E432" s="17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 x14ac:dyDescent="0.35">
      <c r="A433" s="160" t="s">
        <v>248</v>
      </c>
      <c r="B433" s="161"/>
      <c r="C433" s="161"/>
      <c r="D433" s="161"/>
      <c r="E433" s="172">
        <f>E419+E432</f>
        <v>0</v>
      </c>
      <c r="F433" s="40">
        <f>F419+F432</f>
        <v>45</v>
      </c>
      <c r="G433" s="40">
        <f>G419+G432</f>
        <v>225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 x14ac:dyDescent="0.35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 x14ac:dyDescent="0.35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 x14ac:dyDescent="0.35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 x14ac:dyDescent="0.35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 x14ac:dyDescent="0.35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 x14ac:dyDescent="0.35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 x14ac:dyDescent="0.35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 x14ac:dyDescent="0.35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 x14ac:dyDescent="0.35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 x14ac:dyDescent="0.35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 x14ac:dyDescent="0.35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 x14ac:dyDescent="0.35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 x14ac:dyDescent="0.35">
      <c r="A446" s="158" t="s">
        <v>244</v>
      </c>
      <c r="B446" s="159"/>
      <c r="C446" s="159"/>
      <c r="D446" s="159"/>
      <c r="E446" s="17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 x14ac:dyDescent="0.35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 x14ac:dyDescent="0.35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 x14ac:dyDescent="0.35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 x14ac:dyDescent="0.35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 x14ac:dyDescent="0.35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 x14ac:dyDescent="0.35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 x14ac:dyDescent="0.35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 x14ac:dyDescent="0.35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 x14ac:dyDescent="0.35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 x14ac:dyDescent="0.35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 x14ac:dyDescent="0.35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 x14ac:dyDescent="0.35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 x14ac:dyDescent="0.35">
      <c r="A459" s="158" t="s">
        <v>247</v>
      </c>
      <c r="B459" s="159"/>
      <c r="C459" s="159"/>
      <c r="D459" s="159"/>
      <c r="E459" s="17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 x14ac:dyDescent="0.35">
      <c r="A460" s="160" t="s">
        <v>248</v>
      </c>
      <c r="B460" s="161"/>
      <c r="C460" s="161"/>
      <c r="D460" s="161"/>
      <c r="E460" s="17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 x14ac:dyDescent="0.35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 x14ac:dyDescent="0.35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 x14ac:dyDescent="0.35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 x14ac:dyDescent="0.35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 x14ac:dyDescent="0.35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 x14ac:dyDescent="0.35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 x14ac:dyDescent="0.35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 x14ac:dyDescent="0.35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 x14ac:dyDescent="0.35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 x14ac:dyDescent="0.35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 x14ac:dyDescent="0.35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 x14ac:dyDescent="0.35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 x14ac:dyDescent="0.35">
      <c r="A473" s="158" t="s">
        <v>244</v>
      </c>
      <c r="B473" s="159"/>
      <c r="C473" s="159"/>
      <c r="D473" s="159"/>
      <c r="E473" s="17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 x14ac:dyDescent="0.35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 x14ac:dyDescent="0.35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 x14ac:dyDescent="0.35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 x14ac:dyDescent="0.35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 x14ac:dyDescent="0.35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 x14ac:dyDescent="0.35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 x14ac:dyDescent="0.35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 x14ac:dyDescent="0.35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 x14ac:dyDescent="0.35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 x14ac:dyDescent="0.35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 x14ac:dyDescent="0.35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 x14ac:dyDescent="0.35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 x14ac:dyDescent="0.35">
      <c r="A486" s="158" t="s">
        <v>247</v>
      </c>
      <c r="B486" s="159"/>
      <c r="C486" s="159"/>
      <c r="D486" s="159"/>
      <c r="E486" s="17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 x14ac:dyDescent="0.35">
      <c r="A487" s="160" t="s">
        <v>248</v>
      </c>
      <c r="B487" s="161"/>
      <c r="C487" s="161"/>
      <c r="D487" s="161"/>
      <c r="E487" s="17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 x14ac:dyDescent="0.35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 x14ac:dyDescent="0.35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 x14ac:dyDescent="0.35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 x14ac:dyDescent="0.35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 x14ac:dyDescent="0.35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 x14ac:dyDescent="0.35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 x14ac:dyDescent="0.35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 x14ac:dyDescent="0.35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 x14ac:dyDescent="0.35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 x14ac:dyDescent="0.35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 x14ac:dyDescent="0.35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 x14ac:dyDescent="0.35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 x14ac:dyDescent="0.35">
      <c r="A500" s="158" t="s">
        <v>244</v>
      </c>
      <c r="B500" s="159"/>
      <c r="C500" s="159"/>
      <c r="D500" s="159"/>
      <c r="E500" s="17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 x14ac:dyDescent="0.35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 x14ac:dyDescent="0.35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 x14ac:dyDescent="0.35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 x14ac:dyDescent="0.35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 x14ac:dyDescent="0.35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 x14ac:dyDescent="0.35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 x14ac:dyDescent="0.35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 x14ac:dyDescent="0.35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 x14ac:dyDescent="0.35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 x14ac:dyDescent="0.35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 x14ac:dyDescent="0.35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 x14ac:dyDescent="0.35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 x14ac:dyDescent="0.35">
      <c r="A513" s="158" t="s">
        <v>247</v>
      </c>
      <c r="B513" s="159"/>
      <c r="C513" s="159"/>
      <c r="D513" s="159"/>
      <c r="E513" s="17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 x14ac:dyDescent="0.35">
      <c r="A514" s="160" t="s">
        <v>248</v>
      </c>
      <c r="B514" s="161"/>
      <c r="C514" s="161"/>
      <c r="D514" s="161"/>
      <c r="E514" s="17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 x14ac:dyDescent="0.35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 x14ac:dyDescent="0.35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 x14ac:dyDescent="0.35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 x14ac:dyDescent="0.35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 x14ac:dyDescent="0.35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 x14ac:dyDescent="0.35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 x14ac:dyDescent="0.35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 x14ac:dyDescent="0.35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 x14ac:dyDescent="0.35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 x14ac:dyDescent="0.35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 x14ac:dyDescent="0.35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 x14ac:dyDescent="0.35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 x14ac:dyDescent="0.35">
      <c r="A527" s="158" t="s">
        <v>244</v>
      </c>
      <c r="B527" s="159"/>
      <c r="C527" s="159"/>
      <c r="D527" s="159"/>
      <c r="E527" s="17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 x14ac:dyDescent="0.35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 x14ac:dyDescent="0.35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 x14ac:dyDescent="0.35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 x14ac:dyDescent="0.35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 x14ac:dyDescent="0.35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 x14ac:dyDescent="0.35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 x14ac:dyDescent="0.35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 x14ac:dyDescent="0.35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 x14ac:dyDescent="0.35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 x14ac:dyDescent="0.35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 x14ac:dyDescent="0.35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 x14ac:dyDescent="0.35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 x14ac:dyDescent="0.35">
      <c r="A540" s="158" t="s">
        <v>247</v>
      </c>
      <c r="B540" s="159"/>
      <c r="C540" s="159"/>
      <c r="D540" s="159"/>
      <c r="E540" s="17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 x14ac:dyDescent="0.35">
      <c r="A541" s="160" t="s">
        <v>248</v>
      </c>
      <c r="B541" s="161"/>
      <c r="C541" s="161"/>
      <c r="D541" s="161"/>
      <c r="E541" s="17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 x14ac:dyDescent="0.35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 x14ac:dyDescent="0.35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 x14ac:dyDescent="0.35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 x14ac:dyDescent="0.35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 x14ac:dyDescent="0.35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 x14ac:dyDescent="0.35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 x14ac:dyDescent="0.35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 x14ac:dyDescent="0.35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 x14ac:dyDescent="0.35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 x14ac:dyDescent="0.35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 x14ac:dyDescent="0.35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 x14ac:dyDescent="0.35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 x14ac:dyDescent="0.35">
      <c r="A554" s="158" t="s">
        <v>244</v>
      </c>
      <c r="B554" s="159"/>
      <c r="C554" s="159"/>
      <c r="D554" s="159"/>
      <c r="E554" s="17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 x14ac:dyDescent="0.35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 x14ac:dyDescent="0.35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 x14ac:dyDescent="0.35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 x14ac:dyDescent="0.35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 x14ac:dyDescent="0.35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 x14ac:dyDescent="0.35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 x14ac:dyDescent="0.35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 x14ac:dyDescent="0.35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 x14ac:dyDescent="0.35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 x14ac:dyDescent="0.35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 x14ac:dyDescent="0.35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 x14ac:dyDescent="0.35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 x14ac:dyDescent="0.35">
      <c r="A567" s="158" t="s">
        <v>247</v>
      </c>
      <c r="B567" s="159"/>
      <c r="C567" s="159"/>
      <c r="D567" s="159"/>
      <c r="E567" s="17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 x14ac:dyDescent="0.35">
      <c r="A568" s="160" t="s">
        <v>248</v>
      </c>
      <c r="B568" s="161"/>
      <c r="C568" s="161"/>
      <c r="D568" s="161"/>
      <c r="E568" s="17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 x14ac:dyDescent="0.35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 x14ac:dyDescent="0.35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 x14ac:dyDescent="0.35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 x14ac:dyDescent="0.35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 x14ac:dyDescent="0.35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 x14ac:dyDescent="0.35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 x14ac:dyDescent="0.35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 x14ac:dyDescent="0.35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 x14ac:dyDescent="0.35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 x14ac:dyDescent="0.35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 x14ac:dyDescent="0.35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 x14ac:dyDescent="0.35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 x14ac:dyDescent="0.35">
      <c r="A581" s="158" t="s">
        <v>244</v>
      </c>
      <c r="B581" s="159"/>
      <c r="C581" s="159"/>
      <c r="D581" s="159"/>
      <c r="E581" s="17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 x14ac:dyDescent="0.35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 x14ac:dyDescent="0.35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 x14ac:dyDescent="0.35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 x14ac:dyDescent="0.35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 x14ac:dyDescent="0.35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 x14ac:dyDescent="0.35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 x14ac:dyDescent="0.35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 x14ac:dyDescent="0.35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 x14ac:dyDescent="0.35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 x14ac:dyDescent="0.35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 x14ac:dyDescent="0.35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 x14ac:dyDescent="0.35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 x14ac:dyDescent="0.35">
      <c r="A594" s="158" t="s">
        <v>247</v>
      </c>
      <c r="B594" s="159"/>
      <c r="C594" s="159"/>
      <c r="D594" s="159"/>
      <c r="E594" s="17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 x14ac:dyDescent="0.35">
      <c r="A595" s="160" t="s">
        <v>248</v>
      </c>
      <c r="B595" s="161"/>
      <c r="C595" s="161"/>
      <c r="D595" s="161"/>
      <c r="E595" s="17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 x14ac:dyDescent="0.35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 x14ac:dyDescent="0.35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 x14ac:dyDescent="0.35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 x14ac:dyDescent="0.35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 x14ac:dyDescent="0.35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 x14ac:dyDescent="0.35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 x14ac:dyDescent="0.35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 x14ac:dyDescent="0.35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 x14ac:dyDescent="0.35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 x14ac:dyDescent="0.35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 x14ac:dyDescent="0.35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 x14ac:dyDescent="0.35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 x14ac:dyDescent="0.35">
      <c r="A608" s="158" t="s">
        <v>244</v>
      </c>
      <c r="B608" s="159"/>
      <c r="C608" s="159"/>
      <c r="D608" s="159"/>
      <c r="E608" s="17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 x14ac:dyDescent="0.35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 x14ac:dyDescent="0.35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 x14ac:dyDescent="0.35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 x14ac:dyDescent="0.35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 x14ac:dyDescent="0.35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 x14ac:dyDescent="0.35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 x14ac:dyDescent="0.35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 x14ac:dyDescent="0.35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 x14ac:dyDescent="0.35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 x14ac:dyDescent="0.35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 x14ac:dyDescent="0.35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 x14ac:dyDescent="0.35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 x14ac:dyDescent="0.35">
      <c r="A621" s="158" t="s">
        <v>247</v>
      </c>
      <c r="B621" s="159"/>
      <c r="C621" s="159"/>
      <c r="D621" s="159"/>
      <c r="E621" s="17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 x14ac:dyDescent="0.35">
      <c r="A622" s="160" t="s">
        <v>248</v>
      </c>
      <c r="B622" s="161"/>
      <c r="C622" s="161"/>
      <c r="D622" s="161"/>
      <c r="E622" s="17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 x14ac:dyDescent="0.35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 x14ac:dyDescent="0.35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 x14ac:dyDescent="0.35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 x14ac:dyDescent="0.35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 x14ac:dyDescent="0.35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 x14ac:dyDescent="0.35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 x14ac:dyDescent="0.35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 x14ac:dyDescent="0.35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 x14ac:dyDescent="0.35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 x14ac:dyDescent="0.35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 x14ac:dyDescent="0.35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 x14ac:dyDescent="0.35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 x14ac:dyDescent="0.35">
      <c r="A635" s="158" t="s">
        <v>244</v>
      </c>
      <c r="B635" s="159"/>
      <c r="C635" s="159"/>
      <c r="D635" s="159"/>
      <c r="E635" s="17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 x14ac:dyDescent="0.35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 x14ac:dyDescent="0.35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 x14ac:dyDescent="0.35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 x14ac:dyDescent="0.35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 x14ac:dyDescent="0.35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 x14ac:dyDescent="0.35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 x14ac:dyDescent="0.35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 x14ac:dyDescent="0.35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 x14ac:dyDescent="0.35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 x14ac:dyDescent="0.35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 x14ac:dyDescent="0.35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 x14ac:dyDescent="0.35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 x14ac:dyDescent="0.35">
      <c r="A648" s="158" t="s">
        <v>247</v>
      </c>
      <c r="B648" s="159"/>
      <c r="C648" s="159"/>
      <c r="D648" s="159"/>
      <c r="E648" s="17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 x14ac:dyDescent="0.35">
      <c r="A649" s="160" t="s">
        <v>248</v>
      </c>
      <c r="B649" s="161"/>
      <c r="C649" s="161"/>
      <c r="D649" s="161"/>
      <c r="E649" s="17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 x14ac:dyDescent="0.35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 x14ac:dyDescent="0.35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 x14ac:dyDescent="0.35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 x14ac:dyDescent="0.35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 x14ac:dyDescent="0.35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 x14ac:dyDescent="0.35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 x14ac:dyDescent="0.35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 x14ac:dyDescent="0.35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 x14ac:dyDescent="0.35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 x14ac:dyDescent="0.35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 x14ac:dyDescent="0.35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 x14ac:dyDescent="0.35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 x14ac:dyDescent="0.35">
      <c r="A662" s="158" t="s">
        <v>244</v>
      </c>
      <c r="B662" s="159"/>
      <c r="C662" s="159"/>
      <c r="D662" s="159"/>
      <c r="E662" s="17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 x14ac:dyDescent="0.35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 x14ac:dyDescent="0.35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 x14ac:dyDescent="0.35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 x14ac:dyDescent="0.35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 x14ac:dyDescent="0.35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 x14ac:dyDescent="0.35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 x14ac:dyDescent="0.35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 x14ac:dyDescent="0.35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 x14ac:dyDescent="0.35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 x14ac:dyDescent="0.35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 x14ac:dyDescent="0.35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 x14ac:dyDescent="0.35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 x14ac:dyDescent="0.35">
      <c r="A675" s="158" t="s">
        <v>247</v>
      </c>
      <c r="B675" s="159"/>
      <c r="C675" s="159"/>
      <c r="D675" s="159"/>
      <c r="E675" s="17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 x14ac:dyDescent="0.35">
      <c r="A676" s="160" t="s">
        <v>248</v>
      </c>
      <c r="B676" s="161"/>
      <c r="C676" s="161"/>
      <c r="D676" s="161"/>
      <c r="E676" s="17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 x14ac:dyDescent="0.35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 x14ac:dyDescent="0.35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 x14ac:dyDescent="0.35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 x14ac:dyDescent="0.35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 x14ac:dyDescent="0.35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 x14ac:dyDescent="0.35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 x14ac:dyDescent="0.35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 x14ac:dyDescent="0.35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 x14ac:dyDescent="0.35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 x14ac:dyDescent="0.35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 x14ac:dyDescent="0.35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 x14ac:dyDescent="0.35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 x14ac:dyDescent="0.35">
      <c r="A689" s="158" t="s">
        <v>244</v>
      </c>
      <c r="B689" s="159"/>
      <c r="C689" s="159"/>
      <c r="D689" s="159"/>
      <c r="E689" s="17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 x14ac:dyDescent="0.35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 x14ac:dyDescent="0.35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 x14ac:dyDescent="0.35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 x14ac:dyDescent="0.35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 x14ac:dyDescent="0.35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 x14ac:dyDescent="0.35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 x14ac:dyDescent="0.35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 x14ac:dyDescent="0.35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 x14ac:dyDescent="0.35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 x14ac:dyDescent="0.35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 x14ac:dyDescent="0.35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 x14ac:dyDescent="0.35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 x14ac:dyDescent="0.35">
      <c r="A702" s="158" t="s">
        <v>247</v>
      </c>
      <c r="B702" s="159"/>
      <c r="C702" s="159"/>
      <c r="D702" s="159"/>
      <c r="E702" s="17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 x14ac:dyDescent="0.35">
      <c r="A703" s="160" t="s">
        <v>248</v>
      </c>
      <c r="B703" s="161"/>
      <c r="C703" s="161"/>
      <c r="D703" s="161"/>
      <c r="E703" s="17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 x14ac:dyDescent="0.35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 x14ac:dyDescent="0.35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 x14ac:dyDescent="0.35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 x14ac:dyDescent="0.35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 x14ac:dyDescent="0.35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 x14ac:dyDescent="0.35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 x14ac:dyDescent="0.35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 x14ac:dyDescent="0.35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 x14ac:dyDescent="0.35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 x14ac:dyDescent="0.35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 x14ac:dyDescent="0.35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 x14ac:dyDescent="0.35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 x14ac:dyDescent="0.35">
      <c r="A716" s="158" t="s">
        <v>244</v>
      </c>
      <c r="B716" s="159"/>
      <c r="C716" s="159"/>
      <c r="D716" s="159"/>
      <c r="E716" s="17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 x14ac:dyDescent="0.35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 x14ac:dyDescent="0.35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 x14ac:dyDescent="0.35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 x14ac:dyDescent="0.35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 x14ac:dyDescent="0.35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 x14ac:dyDescent="0.35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 x14ac:dyDescent="0.35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 x14ac:dyDescent="0.35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 x14ac:dyDescent="0.35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 x14ac:dyDescent="0.35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 x14ac:dyDescent="0.35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 x14ac:dyDescent="0.35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 x14ac:dyDescent="0.35">
      <c r="A729" s="158" t="s">
        <v>247</v>
      </c>
      <c r="B729" s="159"/>
      <c r="C729" s="159"/>
      <c r="D729" s="159"/>
      <c r="E729" s="17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 x14ac:dyDescent="0.35">
      <c r="A730" s="160" t="s">
        <v>248</v>
      </c>
      <c r="B730" s="161"/>
      <c r="C730" s="161"/>
      <c r="D730" s="161"/>
      <c r="E730" s="17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 x14ac:dyDescent="0.35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 x14ac:dyDescent="0.35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 x14ac:dyDescent="0.35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 x14ac:dyDescent="0.35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 x14ac:dyDescent="0.35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 x14ac:dyDescent="0.35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 x14ac:dyDescent="0.35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 x14ac:dyDescent="0.35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 x14ac:dyDescent="0.35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 x14ac:dyDescent="0.35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 x14ac:dyDescent="0.35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 x14ac:dyDescent="0.35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 x14ac:dyDescent="0.35">
      <c r="A743" s="158" t="s">
        <v>244</v>
      </c>
      <c r="B743" s="159"/>
      <c r="C743" s="159"/>
      <c r="D743" s="159"/>
      <c r="E743" s="17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 x14ac:dyDescent="0.35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 x14ac:dyDescent="0.35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 x14ac:dyDescent="0.35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 x14ac:dyDescent="0.35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 x14ac:dyDescent="0.35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 x14ac:dyDescent="0.35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 x14ac:dyDescent="0.35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 x14ac:dyDescent="0.35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 x14ac:dyDescent="0.35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 x14ac:dyDescent="0.35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 x14ac:dyDescent="0.35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 x14ac:dyDescent="0.35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 x14ac:dyDescent="0.35">
      <c r="A756" s="158" t="s">
        <v>247</v>
      </c>
      <c r="B756" s="159"/>
      <c r="C756" s="159"/>
      <c r="D756" s="159"/>
      <c r="E756" s="17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 x14ac:dyDescent="0.35">
      <c r="A757" s="160" t="s">
        <v>248</v>
      </c>
      <c r="B757" s="161"/>
      <c r="C757" s="161"/>
      <c r="D757" s="161"/>
      <c r="E757" s="17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 x14ac:dyDescent="0.35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 x14ac:dyDescent="0.35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 x14ac:dyDescent="0.35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 x14ac:dyDescent="0.35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 x14ac:dyDescent="0.35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 x14ac:dyDescent="0.35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 x14ac:dyDescent="0.35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 x14ac:dyDescent="0.35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 x14ac:dyDescent="0.35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 x14ac:dyDescent="0.35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 x14ac:dyDescent="0.35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 x14ac:dyDescent="0.35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 x14ac:dyDescent="0.35">
      <c r="A770" s="158" t="s">
        <v>244</v>
      </c>
      <c r="B770" s="159"/>
      <c r="C770" s="159"/>
      <c r="D770" s="159"/>
      <c r="E770" s="17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 x14ac:dyDescent="0.35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 x14ac:dyDescent="0.35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 x14ac:dyDescent="0.35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 x14ac:dyDescent="0.35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 x14ac:dyDescent="0.35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 x14ac:dyDescent="0.35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 x14ac:dyDescent="0.35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 x14ac:dyDescent="0.35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 x14ac:dyDescent="0.35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 x14ac:dyDescent="0.35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 x14ac:dyDescent="0.35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 x14ac:dyDescent="0.35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 x14ac:dyDescent="0.35">
      <c r="A783" s="158" t="s">
        <v>247</v>
      </c>
      <c r="B783" s="159"/>
      <c r="C783" s="159"/>
      <c r="D783" s="159"/>
      <c r="E783" s="17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 x14ac:dyDescent="0.35">
      <c r="A784" s="160" t="s">
        <v>248</v>
      </c>
      <c r="B784" s="161"/>
      <c r="C784" s="161"/>
      <c r="D784" s="161"/>
      <c r="E784" s="17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 x14ac:dyDescent="0.35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 x14ac:dyDescent="0.35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 x14ac:dyDescent="0.35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 x14ac:dyDescent="0.35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 x14ac:dyDescent="0.35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 x14ac:dyDescent="0.35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 x14ac:dyDescent="0.35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 x14ac:dyDescent="0.35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 x14ac:dyDescent="0.35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 x14ac:dyDescent="0.35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 x14ac:dyDescent="0.35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 x14ac:dyDescent="0.35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 x14ac:dyDescent="0.35">
      <c r="A797" s="158" t="s">
        <v>244</v>
      </c>
      <c r="B797" s="159"/>
      <c r="C797" s="159"/>
      <c r="D797" s="159"/>
      <c r="E797" s="17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 x14ac:dyDescent="0.35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 x14ac:dyDescent="0.35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 x14ac:dyDescent="0.35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 x14ac:dyDescent="0.35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 x14ac:dyDescent="0.35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 x14ac:dyDescent="0.35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 x14ac:dyDescent="0.35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 x14ac:dyDescent="0.35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 x14ac:dyDescent="0.35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 x14ac:dyDescent="0.35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 x14ac:dyDescent="0.35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 x14ac:dyDescent="0.35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 x14ac:dyDescent="0.35">
      <c r="A810" s="158" t="s">
        <v>247</v>
      </c>
      <c r="B810" s="159"/>
      <c r="C810" s="159"/>
      <c r="D810" s="159"/>
      <c r="E810" s="17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 x14ac:dyDescent="0.35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 x14ac:dyDescent="0.35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 x14ac:dyDescent="0.35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 x14ac:dyDescent="0.35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 x14ac:dyDescent="0.35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 x14ac:dyDescent="0.35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 x14ac:dyDescent="0.35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 x14ac:dyDescent="0.35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 x14ac:dyDescent="0.35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 x14ac:dyDescent="0.35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 x14ac:dyDescent="0.35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 x14ac:dyDescent="0.35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 x14ac:dyDescent="0.35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 x14ac:dyDescent="0.35">
      <c r="A824" s="158" t="s">
        <v>244</v>
      </c>
      <c r="B824" s="159"/>
      <c r="C824" s="159"/>
      <c r="D824" s="159"/>
      <c r="E824" s="17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 x14ac:dyDescent="0.35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 x14ac:dyDescent="0.35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 x14ac:dyDescent="0.35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 x14ac:dyDescent="0.35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 x14ac:dyDescent="0.35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 x14ac:dyDescent="0.35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 x14ac:dyDescent="0.35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 x14ac:dyDescent="0.35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 x14ac:dyDescent="0.35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 x14ac:dyDescent="0.35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 x14ac:dyDescent="0.35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 x14ac:dyDescent="0.35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 x14ac:dyDescent="0.35">
      <c r="A837" s="158" t="s">
        <v>247</v>
      </c>
      <c r="B837" s="159"/>
      <c r="C837" s="159"/>
      <c r="D837" s="159"/>
      <c r="E837" s="17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 x14ac:dyDescent="0.35">
      <c r="A838" s="160" t="s">
        <v>248</v>
      </c>
      <c r="B838" s="161"/>
      <c r="C838" s="161"/>
      <c r="D838" s="161"/>
      <c r="E838" s="172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opLeftCell="B1" zoomScale="80" zoomScaleNormal="80" zoomScaleSheetLayoutView="70" workbookViewId="0">
      <pane ySplit="1" topLeftCell="A394" activePane="bottomLeft" state="frozen"/>
      <selection pane="bottomLeft" activeCell="G411" sqref="G411"/>
    </sheetView>
  </sheetViews>
  <sheetFormatPr defaultColWidth="8.54296875" defaultRowHeight="14.5" x14ac:dyDescent="0.35"/>
  <cols>
    <col min="1" max="1" width="13" style="73" customWidth="1"/>
    <col min="2" max="2" width="9" style="20" customWidth="1"/>
    <col min="3" max="3" width="14" style="20" customWidth="1"/>
    <col min="4" max="5" width="16.1796875" style="20" customWidth="1"/>
    <col min="6" max="6" width="13.81640625" style="20" hidden="1" customWidth="1"/>
    <col min="7" max="7" width="13" style="20" customWidth="1"/>
    <col min="8" max="8" width="15.7265625" style="20" hidden="1" customWidth="1"/>
    <col min="9" max="9" width="16.26953125" style="20" hidden="1" customWidth="1"/>
    <col min="10" max="10" width="13.81640625" style="20" hidden="1" customWidth="1"/>
    <col min="11" max="11" width="14" style="20" customWidth="1"/>
    <col min="12" max="12" width="31.26953125" style="20" customWidth="1"/>
    <col min="13" max="13" width="29.26953125" style="20" customWidth="1"/>
    <col min="14" max="14" width="48.54296875" style="20" customWidth="1"/>
    <col min="15" max="15" width="15.453125" style="20" customWidth="1"/>
    <col min="16" max="16" width="12" style="21" customWidth="1"/>
    <col min="17" max="17" width="15.54296875" style="20" customWidth="1"/>
    <col min="18" max="18" width="48.54296875" style="20" customWidth="1"/>
    <col min="19" max="19" width="29.7265625" customWidth="1"/>
    <col min="20" max="20" width="14.7265625" hidden="1" customWidth="1"/>
  </cols>
  <sheetData>
    <row r="1" spans="1:20" ht="37.5" customHeight="1" x14ac:dyDescent="0.35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 x14ac:dyDescent="0.35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272</v>
      </c>
      <c r="S2" s="31"/>
    </row>
    <row r="3" spans="1:20" ht="15" customHeight="1" x14ac:dyDescent="0.35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 x14ac:dyDescent="0.35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 x14ac:dyDescent="0.35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273</v>
      </c>
      <c r="S5" s="31"/>
    </row>
    <row r="6" spans="1:20" ht="15" customHeight="1" x14ac:dyDescent="0.35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274</v>
      </c>
      <c r="S6" s="31"/>
    </row>
    <row r="7" spans="1:20" ht="15" customHeight="1" x14ac:dyDescent="0.35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 x14ac:dyDescent="0.35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 x14ac:dyDescent="0.35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 x14ac:dyDescent="0.35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 x14ac:dyDescent="0.35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 x14ac:dyDescent="0.35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 x14ac:dyDescent="0.4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 x14ac:dyDescent="0.4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 x14ac:dyDescent="0.35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 x14ac:dyDescent="0.35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 x14ac:dyDescent="0.35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 x14ac:dyDescent="0.35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 x14ac:dyDescent="0.35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275</v>
      </c>
      <c r="S19" s="31"/>
    </row>
    <row r="20" spans="1:20" ht="15" customHeight="1" x14ac:dyDescent="0.35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276</v>
      </c>
      <c r="S20" s="31"/>
    </row>
    <row r="21" spans="1:20" ht="15" customHeight="1" x14ac:dyDescent="0.35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 x14ac:dyDescent="0.35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 x14ac:dyDescent="0.35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 x14ac:dyDescent="0.35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 x14ac:dyDescent="0.35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 x14ac:dyDescent="0.4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 x14ac:dyDescent="0.4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 x14ac:dyDescent="0.35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 x14ac:dyDescent="0.35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 x14ac:dyDescent="0.35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 x14ac:dyDescent="0.35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 x14ac:dyDescent="0.35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 x14ac:dyDescent="0.35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 x14ac:dyDescent="0.35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 x14ac:dyDescent="0.35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 x14ac:dyDescent="0.35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 x14ac:dyDescent="0.35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 x14ac:dyDescent="0.35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 x14ac:dyDescent="0.35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 x14ac:dyDescent="0.4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 x14ac:dyDescent="0.4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 x14ac:dyDescent="0.35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 x14ac:dyDescent="0.35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 x14ac:dyDescent="0.35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 x14ac:dyDescent="0.35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 x14ac:dyDescent="0.35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 x14ac:dyDescent="0.35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 x14ac:dyDescent="0.35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277</v>
      </c>
      <c r="S48" s="31"/>
    </row>
    <row r="49" spans="1:20" ht="15" customHeight="1" x14ac:dyDescent="0.35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278</v>
      </c>
      <c r="S49" s="31"/>
    </row>
    <row r="50" spans="1:20" ht="15" customHeight="1" x14ac:dyDescent="0.35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 x14ac:dyDescent="0.35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 x14ac:dyDescent="0.35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279</v>
      </c>
      <c r="S52" s="31"/>
    </row>
    <row r="53" spans="1:20" ht="15" customHeight="1" thickBot="1" x14ac:dyDescent="0.4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0.28491562499402789</v>
      </c>
      <c r="R53" s="46" t="s">
        <v>280</v>
      </c>
      <c r="S53" s="31"/>
    </row>
    <row r="54" spans="1:20" ht="15.75" customHeight="1" thickBot="1" x14ac:dyDescent="0.4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0.42380451388291679</v>
      </c>
      <c r="R54" s="36" t="s">
        <v>245</v>
      </c>
      <c r="S54" s="75">
        <v>352430</v>
      </c>
      <c r="T54" s="117"/>
    </row>
    <row r="55" spans="1:20" ht="18" customHeight="1" x14ac:dyDescent="0.35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0.5085267361051391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 x14ac:dyDescent="0.35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 x14ac:dyDescent="0.35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 x14ac:dyDescent="0.35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 x14ac:dyDescent="0.35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 x14ac:dyDescent="0.35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 x14ac:dyDescent="0.35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 x14ac:dyDescent="0.35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 x14ac:dyDescent="0.35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272</v>
      </c>
      <c r="S63" s="31"/>
    </row>
    <row r="64" spans="1:20" ht="15" customHeight="1" x14ac:dyDescent="0.35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 x14ac:dyDescent="0.35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 x14ac:dyDescent="0.35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 x14ac:dyDescent="0.35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 x14ac:dyDescent="0.5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 x14ac:dyDescent="0.35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 x14ac:dyDescent="0.35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 x14ac:dyDescent="0.35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 x14ac:dyDescent="0.35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 x14ac:dyDescent="0.35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 x14ac:dyDescent="0.35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 x14ac:dyDescent="0.35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 x14ac:dyDescent="0.35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281</v>
      </c>
      <c r="S76" s="31"/>
    </row>
    <row r="77" spans="1:20" ht="15" customHeight="1" x14ac:dyDescent="0.35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 x14ac:dyDescent="0.35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 x14ac:dyDescent="0.35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 x14ac:dyDescent="0.35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 x14ac:dyDescent="0.5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 x14ac:dyDescent="0.35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 x14ac:dyDescent="0.35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 x14ac:dyDescent="0.35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 x14ac:dyDescent="0.35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 x14ac:dyDescent="0.35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 x14ac:dyDescent="0.35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 x14ac:dyDescent="0.35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 x14ac:dyDescent="0.35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 x14ac:dyDescent="0.35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 x14ac:dyDescent="0.35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 x14ac:dyDescent="0.35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 x14ac:dyDescent="0.35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 x14ac:dyDescent="0.35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 x14ac:dyDescent="0.5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 x14ac:dyDescent="0.35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282</v>
      </c>
      <c r="Q96" s="30" t="str">
        <f t="shared" ref="Q96:Q107" ca="1" si="22">IFERROR(IF(O96="","",IF(P96="",MOD(NOW()-O96,1),IF(P96&gt;=O96,P96-O96,P96+1-O96))),"")</f>
        <v/>
      </c>
      <c r="R96" s="46" t="s">
        <v>283</v>
      </c>
      <c r="S96" s="31"/>
    </row>
    <row r="97" spans="1:20" ht="15" customHeight="1" x14ac:dyDescent="0.35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 x14ac:dyDescent="0.35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284</v>
      </c>
      <c r="S98" s="31"/>
    </row>
    <row r="99" spans="1:20" ht="15" customHeight="1" x14ac:dyDescent="0.35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285</v>
      </c>
      <c r="S99" s="31"/>
    </row>
    <row r="100" spans="1:20" ht="15" customHeight="1" x14ac:dyDescent="0.35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 x14ac:dyDescent="0.35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 x14ac:dyDescent="0.35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 x14ac:dyDescent="0.35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 x14ac:dyDescent="0.35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 x14ac:dyDescent="0.35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 x14ac:dyDescent="0.35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 x14ac:dyDescent="0.35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 x14ac:dyDescent="0.5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 x14ac:dyDescent="0.35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 x14ac:dyDescent="0.35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 x14ac:dyDescent="0.35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286</v>
      </c>
      <c r="S111" s="31"/>
    </row>
    <row r="112" spans="1:20" ht="15" customHeight="1" x14ac:dyDescent="0.35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 x14ac:dyDescent="0.35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 x14ac:dyDescent="0.35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 x14ac:dyDescent="0.35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 x14ac:dyDescent="0.35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 x14ac:dyDescent="0.35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 x14ac:dyDescent="0.35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 x14ac:dyDescent="0.35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 x14ac:dyDescent="0.35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 x14ac:dyDescent="0.35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 x14ac:dyDescent="0.5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 x14ac:dyDescent="0.35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 x14ac:dyDescent="0.35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 x14ac:dyDescent="0.35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 x14ac:dyDescent="0.35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 x14ac:dyDescent="0.35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 x14ac:dyDescent="0.35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 x14ac:dyDescent="0.35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 x14ac:dyDescent="0.35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 x14ac:dyDescent="0.35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 x14ac:dyDescent="0.35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 x14ac:dyDescent="0.35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 x14ac:dyDescent="0.35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 x14ac:dyDescent="0.5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 x14ac:dyDescent="0.35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 x14ac:dyDescent="0.35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 x14ac:dyDescent="0.35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 x14ac:dyDescent="0.35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287</v>
      </c>
      <c r="S139" s="31"/>
    </row>
    <row r="140" spans="1:20" ht="15" customHeight="1" x14ac:dyDescent="0.35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 x14ac:dyDescent="0.35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288</v>
      </c>
      <c r="S141" s="31"/>
    </row>
    <row r="142" spans="1:20" ht="15" customHeight="1" x14ac:dyDescent="0.35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 x14ac:dyDescent="0.35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 x14ac:dyDescent="0.35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 x14ac:dyDescent="0.35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289</v>
      </c>
      <c r="S145" s="31"/>
    </row>
    <row r="146" spans="1:20" ht="15" customHeight="1" x14ac:dyDescent="0.35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 x14ac:dyDescent="0.35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 x14ac:dyDescent="0.35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 x14ac:dyDescent="0.5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 x14ac:dyDescent="0.35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 x14ac:dyDescent="0.35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290</v>
      </c>
      <c r="S151" s="31"/>
    </row>
    <row r="152" spans="1:20" ht="15" customHeight="1" x14ac:dyDescent="0.35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 x14ac:dyDescent="0.35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 x14ac:dyDescent="0.35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 x14ac:dyDescent="0.35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 x14ac:dyDescent="0.35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 x14ac:dyDescent="0.35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 x14ac:dyDescent="0.35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 x14ac:dyDescent="0.35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 x14ac:dyDescent="0.35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 x14ac:dyDescent="0.35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 x14ac:dyDescent="0.5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 x14ac:dyDescent="0.35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 x14ac:dyDescent="0.35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 x14ac:dyDescent="0.35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 x14ac:dyDescent="0.35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 x14ac:dyDescent="0.35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 x14ac:dyDescent="0.35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 x14ac:dyDescent="0.35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 x14ac:dyDescent="0.35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 x14ac:dyDescent="0.35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 x14ac:dyDescent="0.35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 x14ac:dyDescent="0.35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 x14ac:dyDescent="0.35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 x14ac:dyDescent="0.4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 x14ac:dyDescent="0.4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 x14ac:dyDescent="0.35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 x14ac:dyDescent="0.35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 x14ac:dyDescent="0.35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 x14ac:dyDescent="0.35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 x14ac:dyDescent="0.35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291</v>
      </c>
      <c r="S181" s="31"/>
    </row>
    <row r="182" spans="1:20" ht="15" customHeight="1" x14ac:dyDescent="0.35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288</v>
      </c>
      <c r="S182" s="31"/>
    </row>
    <row r="183" spans="1:20" ht="15" customHeight="1" x14ac:dyDescent="0.35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292</v>
      </c>
      <c r="S183" s="31"/>
    </row>
    <row r="184" spans="1:20" ht="15" customHeight="1" x14ac:dyDescent="0.35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 x14ac:dyDescent="0.35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 x14ac:dyDescent="0.35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 x14ac:dyDescent="0.35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 x14ac:dyDescent="0.4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 x14ac:dyDescent="0.4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 x14ac:dyDescent="0.35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 x14ac:dyDescent="0.35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293</v>
      </c>
      <c r="S191" s="31"/>
    </row>
    <row r="192" spans="1:20" ht="15" customHeight="1" x14ac:dyDescent="0.35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 x14ac:dyDescent="0.35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 x14ac:dyDescent="0.35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 x14ac:dyDescent="0.35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286</v>
      </c>
      <c r="S195" s="31"/>
    </row>
    <row r="196" spans="1:20" ht="15" customHeight="1" x14ac:dyDescent="0.35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 x14ac:dyDescent="0.35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 x14ac:dyDescent="0.35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 x14ac:dyDescent="0.35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 x14ac:dyDescent="0.35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 x14ac:dyDescent="0.35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 x14ac:dyDescent="0.4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 x14ac:dyDescent="0.4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 x14ac:dyDescent="0.35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 x14ac:dyDescent="0.35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 x14ac:dyDescent="0.35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 x14ac:dyDescent="0.35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 x14ac:dyDescent="0.35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 x14ac:dyDescent="0.35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 x14ac:dyDescent="0.35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 x14ac:dyDescent="0.35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 x14ac:dyDescent="0.35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 x14ac:dyDescent="0.35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 x14ac:dyDescent="0.35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 x14ac:dyDescent="0.4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 x14ac:dyDescent="0.4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 x14ac:dyDescent="0.35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 x14ac:dyDescent="0.35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281</v>
      </c>
      <c r="S218" s="47"/>
    </row>
    <row r="219" spans="1:20" ht="15" customHeight="1" x14ac:dyDescent="0.35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 x14ac:dyDescent="0.35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 x14ac:dyDescent="0.35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294</v>
      </c>
      <c r="S221" s="47"/>
    </row>
    <row r="222" spans="1:20" ht="15" customHeight="1" x14ac:dyDescent="0.35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 x14ac:dyDescent="0.35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295</v>
      </c>
      <c r="S223" s="47"/>
    </row>
    <row r="224" spans="1:20" ht="15" customHeight="1" x14ac:dyDescent="0.35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296</v>
      </c>
      <c r="S224" s="47"/>
    </row>
    <row r="225" spans="1:20" ht="15" customHeight="1" x14ac:dyDescent="0.35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 x14ac:dyDescent="0.35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 x14ac:dyDescent="0.35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 x14ac:dyDescent="0.35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 x14ac:dyDescent="0.4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 x14ac:dyDescent="0.4">
      <c r="A230" s="162" t="s">
        <v>244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 x14ac:dyDescent="0.35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 x14ac:dyDescent="0.35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 x14ac:dyDescent="0.35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 x14ac:dyDescent="0.35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 x14ac:dyDescent="0.35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 x14ac:dyDescent="0.35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 x14ac:dyDescent="0.35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 x14ac:dyDescent="0.35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 x14ac:dyDescent="0.35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 x14ac:dyDescent="0.35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 x14ac:dyDescent="0.35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 x14ac:dyDescent="0.4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 x14ac:dyDescent="0.4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 x14ac:dyDescent="0.35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 x14ac:dyDescent="0.35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 x14ac:dyDescent="0.35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 x14ac:dyDescent="0.35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 x14ac:dyDescent="0.35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 x14ac:dyDescent="0.35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 x14ac:dyDescent="0.35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 x14ac:dyDescent="0.35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 x14ac:dyDescent="0.35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 x14ac:dyDescent="0.35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 x14ac:dyDescent="0.35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 x14ac:dyDescent="0.35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 x14ac:dyDescent="0.4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 x14ac:dyDescent="0.4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 x14ac:dyDescent="0.35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 x14ac:dyDescent="0.35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 x14ac:dyDescent="0.35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 x14ac:dyDescent="0.35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 x14ac:dyDescent="0.35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 x14ac:dyDescent="0.35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 x14ac:dyDescent="0.35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 x14ac:dyDescent="0.35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 x14ac:dyDescent="0.35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 x14ac:dyDescent="0.35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 x14ac:dyDescent="0.35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 x14ac:dyDescent="0.4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 x14ac:dyDescent="0.4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 x14ac:dyDescent="0.35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 x14ac:dyDescent="0.35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 x14ac:dyDescent="0.35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 x14ac:dyDescent="0.35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 x14ac:dyDescent="0.35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 x14ac:dyDescent="0.35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 x14ac:dyDescent="0.35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 x14ac:dyDescent="0.35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 x14ac:dyDescent="0.35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 x14ac:dyDescent="0.35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 x14ac:dyDescent="0.35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 x14ac:dyDescent="0.35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 x14ac:dyDescent="0.4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 x14ac:dyDescent="0.4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 x14ac:dyDescent="0.35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 x14ac:dyDescent="0.35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 x14ac:dyDescent="0.35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 x14ac:dyDescent="0.35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 x14ac:dyDescent="0.35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 x14ac:dyDescent="0.35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 x14ac:dyDescent="0.35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 x14ac:dyDescent="0.35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 x14ac:dyDescent="0.35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 x14ac:dyDescent="0.35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 x14ac:dyDescent="0.35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 x14ac:dyDescent="0.4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 x14ac:dyDescent="0.4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 x14ac:dyDescent="0.35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 x14ac:dyDescent="0.35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 x14ac:dyDescent="0.35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 x14ac:dyDescent="0.35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 x14ac:dyDescent="0.35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 x14ac:dyDescent="0.35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 x14ac:dyDescent="0.35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 x14ac:dyDescent="0.35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 x14ac:dyDescent="0.35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 x14ac:dyDescent="0.35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 x14ac:dyDescent="0.35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 x14ac:dyDescent="0.35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 x14ac:dyDescent="0.4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 x14ac:dyDescent="0.4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 x14ac:dyDescent="0.35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 x14ac:dyDescent="0.35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 x14ac:dyDescent="0.35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 x14ac:dyDescent="0.35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 x14ac:dyDescent="0.35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 x14ac:dyDescent="0.35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 x14ac:dyDescent="0.35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 x14ac:dyDescent="0.35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 x14ac:dyDescent="0.35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 x14ac:dyDescent="0.35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 x14ac:dyDescent="0.35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 x14ac:dyDescent="0.4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 x14ac:dyDescent="0.4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 x14ac:dyDescent="0.35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 x14ac:dyDescent="0.35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297</v>
      </c>
      <c r="S326" s="47"/>
    </row>
    <row r="327" spans="1:20" ht="15" customHeight="1" x14ac:dyDescent="0.35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 x14ac:dyDescent="0.35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298</v>
      </c>
      <c r="S328" s="47"/>
    </row>
    <row r="329" spans="1:20" ht="15" customHeight="1" x14ac:dyDescent="0.35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299</v>
      </c>
      <c r="S329" s="47"/>
    </row>
    <row r="330" spans="1:20" ht="15" customHeight="1" x14ac:dyDescent="0.35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 x14ac:dyDescent="0.35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300</v>
      </c>
      <c r="S331" s="47"/>
    </row>
    <row r="332" spans="1:20" ht="15" customHeight="1" x14ac:dyDescent="0.35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301</v>
      </c>
      <c r="S332" s="47"/>
    </row>
    <row r="333" spans="1:20" ht="15" customHeight="1" x14ac:dyDescent="0.35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 x14ac:dyDescent="0.35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 x14ac:dyDescent="0.35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 x14ac:dyDescent="0.35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 x14ac:dyDescent="0.4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 x14ac:dyDescent="0.4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 x14ac:dyDescent="0.35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 x14ac:dyDescent="0.35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 x14ac:dyDescent="0.35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293</v>
      </c>
      <c r="S341" s="47"/>
    </row>
    <row r="342" spans="1:20" ht="15" customHeight="1" x14ac:dyDescent="0.35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 x14ac:dyDescent="0.35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288</v>
      </c>
      <c r="S343" s="47"/>
    </row>
    <row r="344" spans="1:20" ht="15" customHeight="1" x14ac:dyDescent="0.35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 x14ac:dyDescent="0.35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 x14ac:dyDescent="0.35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 x14ac:dyDescent="0.35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 x14ac:dyDescent="0.35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 x14ac:dyDescent="0.35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 x14ac:dyDescent="0.4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 x14ac:dyDescent="0.4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 x14ac:dyDescent="0.35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 x14ac:dyDescent="0.35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281</v>
      </c>
      <c r="S353" s="47"/>
    </row>
    <row r="354" spans="1:20" ht="15" customHeight="1" x14ac:dyDescent="0.35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 x14ac:dyDescent="0.35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 x14ac:dyDescent="0.35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 x14ac:dyDescent="0.35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 x14ac:dyDescent="0.35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 x14ac:dyDescent="0.35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 x14ac:dyDescent="0.35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 x14ac:dyDescent="0.35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 x14ac:dyDescent="0.35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 x14ac:dyDescent="0.35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 x14ac:dyDescent="0.4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 x14ac:dyDescent="0.4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 x14ac:dyDescent="0.35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 x14ac:dyDescent="0.35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302</v>
      </c>
      <c r="S367" s="47"/>
    </row>
    <row r="368" spans="1:20" ht="15" customHeight="1" x14ac:dyDescent="0.35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 x14ac:dyDescent="0.35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 x14ac:dyDescent="0.35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 x14ac:dyDescent="0.35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 x14ac:dyDescent="0.35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 x14ac:dyDescent="0.35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 x14ac:dyDescent="0.35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 x14ac:dyDescent="0.35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 x14ac:dyDescent="0.35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 x14ac:dyDescent="0.4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 x14ac:dyDescent="0.4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 x14ac:dyDescent="0.35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 x14ac:dyDescent="0.35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 x14ac:dyDescent="0.35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 x14ac:dyDescent="0.35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 x14ac:dyDescent="0.35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 x14ac:dyDescent="0.35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 x14ac:dyDescent="0.35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303</v>
      </c>
      <c r="S385" s="47"/>
    </row>
    <row r="386" spans="1:20" ht="15" customHeight="1" x14ac:dyDescent="0.35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 x14ac:dyDescent="0.35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 x14ac:dyDescent="0.35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 x14ac:dyDescent="0.35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 x14ac:dyDescent="0.35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 x14ac:dyDescent="0.4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 x14ac:dyDescent="0.4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 x14ac:dyDescent="0.35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 x14ac:dyDescent="0.35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 x14ac:dyDescent="0.35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 x14ac:dyDescent="0.35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304</v>
      </c>
      <c r="S396" s="47"/>
    </row>
    <row r="397" spans="1:20" ht="15" customHeight="1" x14ac:dyDescent="0.35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 x14ac:dyDescent="0.35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 x14ac:dyDescent="0.35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 x14ac:dyDescent="0.35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 x14ac:dyDescent="0.35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 x14ac:dyDescent="0.35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 x14ac:dyDescent="0.35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 x14ac:dyDescent="0.4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 x14ac:dyDescent="0.4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 x14ac:dyDescent="0.35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 x14ac:dyDescent="0.35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0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 x14ac:dyDescent="0.35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 x14ac:dyDescent="0.35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 x14ac:dyDescent="0.35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 x14ac:dyDescent="0.35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 x14ac:dyDescent="0.35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 x14ac:dyDescent="0.35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 x14ac:dyDescent="0.35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 x14ac:dyDescent="0.35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 x14ac:dyDescent="0.35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 x14ac:dyDescent="0.35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 x14ac:dyDescent="0.4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 x14ac:dyDescent="0.4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58.800000000000004</v>
      </c>
      <c r="L419" s="37"/>
      <c r="M419" s="37"/>
      <c r="N419" s="37"/>
      <c r="O419" s="37"/>
      <c r="P419" s="37"/>
      <c r="Q419" s="38">
        <f ca="1">IFERROR(SUM(Q407:Q418),"")</f>
        <v>7.6388888888888618E-3</v>
      </c>
      <c r="R419" s="36" t="s">
        <v>245</v>
      </c>
      <c r="S419" s="45"/>
      <c r="T419" s="122">
        <f>IFERROR(J419,"")</f>
        <v>0</v>
      </c>
    </row>
    <row r="420" spans="1:20" ht="15" customHeight="1" x14ac:dyDescent="0.35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 x14ac:dyDescent="0.35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 x14ac:dyDescent="0.35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 x14ac:dyDescent="0.35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 x14ac:dyDescent="0.35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 x14ac:dyDescent="0.35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 x14ac:dyDescent="0.35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 x14ac:dyDescent="0.35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 x14ac:dyDescent="0.35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 x14ac:dyDescent="0.35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 x14ac:dyDescent="0.35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 x14ac:dyDescent="0.4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 x14ac:dyDescent="0.4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 x14ac:dyDescent="0.35">
      <c r="A433" s="83" t="s">
        <v>248</v>
      </c>
      <c r="B433" s="82"/>
      <c r="C433" s="82"/>
      <c r="D433" s="82"/>
      <c r="E433" s="82"/>
      <c r="F433" s="112"/>
      <c r="G433" s="91">
        <f>G419+G432</f>
        <v>14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58.800000000000004</v>
      </c>
      <c r="L433" s="41"/>
      <c r="M433" s="41"/>
      <c r="N433" s="41"/>
      <c r="O433" s="41"/>
      <c r="P433" s="41"/>
      <c r="Q433" s="42">
        <f ca="1">IFERROR(Q419+Q432,"")</f>
        <v>7.6388888888888618E-3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 x14ac:dyDescent="0.35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 x14ac:dyDescent="0.35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 x14ac:dyDescent="0.35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 x14ac:dyDescent="0.35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 x14ac:dyDescent="0.35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 x14ac:dyDescent="0.35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 x14ac:dyDescent="0.35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 x14ac:dyDescent="0.35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 x14ac:dyDescent="0.35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 x14ac:dyDescent="0.35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 x14ac:dyDescent="0.35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 x14ac:dyDescent="0.4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 x14ac:dyDescent="0.4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 x14ac:dyDescent="0.35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 x14ac:dyDescent="0.35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 x14ac:dyDescent="0.35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 x14ac:dyDescent="0.35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 x14ac:dyDescent="0.35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 x14ac:dyDescent="0.35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 x14ac:dyDescent="0.35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 x14ac:dyDescent="0.35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 x14ac:dyDescent="0.35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 x14ac:dyDescent="0.35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 x14ac:dyDescent="0.35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 x14ac:dyDescent="0.4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 x14ac:dyDescent="0.4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 x14ac:dyDescent="0.35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 x14ac:dyDescent="0.35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 x14ac:dyDescent="0.35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 x14ac:dyDescent="0.35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 x14ac:dyDescent="0.35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 x14ac:dyDescent="0.35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 x14ac:dyDescent="0.35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 x14ac:dyDescent="0.35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 x14ac:dyDescent="0.35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 x14ac:dyDescent="0.35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 x14ac:dyDescent="0.35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 x14ac:dyDescent="0.35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 x14ac:dyDescent="0.4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 x14ac:dyDescent="0.4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 x14ac:dyDescent="0.35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 x14ac:dyDescent="0.35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 x14ac:dyDescent="0.35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 x14ac:dyDescent="0.35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 x14ac:dyDescent="0.35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 x14ac:dyDescent="0.35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 x14ac:dyDescent="0.35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 x14ac:dyDescent="0.35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 x14ac:dyDescent="0.35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 x14ac:dyDescent="0.35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 x14ac:dyDescent="0.35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 x14ac:dyDescent="0.4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 x14ac:dyDescent="0.4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 x14ac:dyDescent="0.35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 x14ac:dyDescent="0.35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 x14ac:dyDescent="0.35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 x14ac:dyDescent="0.35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 x14ac:dyDescent="0.35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 x14ac:dyDescent="0.35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 x14ac:dyDescent="0.35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 x14ac:dyDescent="0.35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 x14ac:dyDescent="0.35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 x14ac:dyDescent="0.35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 x14ac:dyDescent="0.35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 x14ac:dyDescent="0.35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 x14ac:dyDescent="0.4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 x14ac:dyDescent="0.4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 x14ac:dyDescent="0.35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 x14ac:dyDescent="0.35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 x14ac:dyDescent="0.35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 x14ac:dyDescent="0.35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 x14ac:dyDescent="0.35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 x14ac:dyDescent="0.35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 x14ac:dyDescent="0.35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 x14ac:dyDescent="0.35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 x14ac:dyDescent="0.35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 x14ac:dyDescent="0.35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 x14ac:dyDescent="0.35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 x14ac:dyDescent="0.4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 x14ac:dyDescent="0.4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 x14ac:dyDescent="0.35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 x14ac:dyDescent="0.35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 x14ac:dyDescent="0.35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 x14ac:dyDescent="0.35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 x14ac:dyDescent="0.35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 x14ac:dyDescent="0.35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 x14ac:dyDescent="0.35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 x14ac:dyDescent="0.35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 x14ac:dyDescent="0.35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 x14ac:dyDescent="0.35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 x14ac:dyDescent="0.35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 x14ac:dyDescent="0.35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 x14ac:dyDescent="0.4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 x14ac:dyDescent="0.4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 x14ac:dyDescent="0.35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 x14ac:dyDescent="0.35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 x14ac:dyDescent="0.35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 x14ac:dyDescent="0.35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 x14ac:dyDescent="0.35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 x14ac:dyDescent="0.35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 x14ac:dyDescent="0.35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 x14ac:dyDescent="0.35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 x14ac:dyDescent="0.35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 x14ac:dyDescent="0.35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 x14ac:dyDescent="0.35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 x14ac:dyDescent="0.4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 x14ac:dyDescent="0.4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 x14ac:dyDescent="0.35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 x14ac:dyDescent="0.35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 x14ac:dyDescent="0.35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 x14ac:dyDescent="0.35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 x14ac:dyDescent="0.35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 x14ac:dyDescent="0.35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 x14ac:dyDescent="0.35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 x14ac:dyDescent="0.35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 x14ac:dyDescent="0.35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 x14ac:dyDescent="0.35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 x14ac:dyDescent="0.35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 x14ac:dyDescent="0.35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 x14ac:dyDescent="0.4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 x14ac:dyDescent="0.4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 x14ac:dyDescent="0.35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 x14ac:dyDescent="0.35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 x14ac:dyDescent="0.35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 x14ac:dyDescent="0.35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 x14ac:dyDescent="0.35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 x14ac:dyDescent="0.35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 x14ac:dyDescent="0.35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 x14ac:dyDescent="0.35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 x14ac:dyDescent="0.35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 x14ac:dyDescent="0.35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 x14ac:dyDescent="0.35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 x14ac:dyDescent="0.4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 x14ac:dyDescent="0.4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 x14ac:dyDescent="0.35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 x14ac:dyDescent="0.35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 x14ac:dyDescent="0.35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 x14ac:dyDescent="0.35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 x14ac:dyDescent="0.35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 x14ac:dyDescent="0.35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 x14ac:dyDescent="0.35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 x14ac:dyDescent="0.35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 x14ac:dyDescent="0.35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 x14ac:dyDescent="0.35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 x14ac:dyDescent="0.35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 x14ac:dyDescent="0.35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 x14ac:dyDescent="0.4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 x14ac:dyDescent="0.4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 x14ac:dyDescent="0.35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 x14ac:dyDescent="0.35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 x14ac:dyDescent="0.35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 x14ac:dyDescent="0.35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 x14ac:dyDescent="0.35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 x14ac:dyDescent="0.35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 x14ac:dyDescent="0.35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 x14ac:dyDescent="0.35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 x14ac:dyDescent="0.35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 x14ac:dyDescent="0.35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 x14ac:dyDescent="0.35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 x14ac:dyDescent="0.4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 x14ac:dyDescent="0.4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 x14ac:dyDescent="0.35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 x14ac:dyDescent="0.35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 x14ac:dyDescent="0.35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 x14ac:dyDescent="0.35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 x14ac:dyDescent="0.35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 x14ac:dyDescent="0.35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 x14ac:dyDescent="0.35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 x14ac:dyDescent="0.35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 x14ac:dyDescent="0.35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 x14ac:dyDescent="0.35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 x14ac:dyDescent="0.35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 x14ac:dyDescent="0.35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 x14ac:dyDescent="0.4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 x14ac:dyDescent="0.4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 x14ac:dyDescent="0.35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 x14ac:dyDescent="0.35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 x14ac:dyDescent="0.35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 x14ac:dyDescent="0.35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 x14ac:dyDescent="0.35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 x14ac:dyDescent="0.35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 x14ac:dyDescent="0.35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 x14ac:dyDescent="0.35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 x14ac:dyDescent="0.35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 x14ac:dyDescent="0.35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 x14ac:dyDescent="0.35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 x14ac:dyDescent="0.4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 x14ac:dyDescent="0.4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 x14ac:dyDescent="0.35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 x14ac:dyDescent="0.35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 x14ac:dyDescent="0.35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 x14ac:dyDescent="0.35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 x14ac:dyDescent="0.35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 x14ac:dyDescent="0.35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 x14ac:dyDescent="0.35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 x14ac:dyDescent="0.35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 x14ac:dyDescent="0.35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 x14ac:dyDescent="0.35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 x14ac:dyDescent="0.35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 x14ac:dyDescent="0.35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 x14ac:dyDescent="0.4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 x14ac:dyDescent="0.4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 x14ac:dyDescent="0.35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 x14ac:dyDescent="0.35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 x14ac:dyDescent="0.35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 x14ac:dyDescent="0.35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 x14ac:dyDescent="0.35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 x14ac:dyDescent="0.35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 x14ac:dyDescent="0.35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 x14ac:dyDescent="0.35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 x14ac:dyDescent="0.35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 x14ac:dyDescent="0.35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 x14ac:dyDescent="0.35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 x14ac:dyDescent="0.4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 x14ac:dyDescent="0.4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 x14ac:dyDescent="0.35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 x14ac:dyDescent="0.35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 x14ac:dyDescent="0.35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 x14ac:dyDescent="0.35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 x14ac:dyDescent="0.35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 x14ac:dyDescent="0.35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 x14ac:dyDescent="0.35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 x14ac:dyDescent="0.35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 x14ac:dyDescent="0.35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 x14ac:dyDescent="0.35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 x14ac:dyDescent="0.35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 x14ac:dyDescent="0.35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 x14ac:dyDescent="0.4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 x14ac:dyDescent="0.4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 x14ac:dyDescent="0.35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 x14ac:dyDescent="0.35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 x14ac:dyDescent="0.35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 x14ac:dyDescent="0.35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 x14ac:dyDescent="0.35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 x14ac:dyDescent="0.35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 x14ac:dyDescent="0.35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 x14ac:dyDescent="0.35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 x14ac:dyDescent="0.35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 x14ac:dyDescent="0.35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 x14ac:dyDescent="0.35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 x14ac:dyDescent="0.4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 x14ac:dyDescent="0.4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 x14ac:dyDescent="0.35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 x14ac:dyDescent="0.35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 x14ac:dyDescent="0.35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 x14ac:dyDescent="0.35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 x14ac:dyDescent="0.35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 x14ac:dyDescent="0.35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 x14ac:dyDescent="0.35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 x14ac:dyDescent="0.35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 x14ac:dyDescent="0.35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 x14ac:dyDescent="0.35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 x14ac:dyDescent="0.35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 x14ac:dyDescent="0.35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 x14ac:dyDescent="0.4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 x14ac:dyDescent="0.4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 x14ac:dyDescent="0.35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 x14ac:dyDescent="0.35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 x14ac:dyDescent="0.35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 x14ac:dyDescent="0.35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 x14ac:dyDescent="0.35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 x14ac:dyDescent="0.35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 x14ac:dyDescent="0.35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 x14ac:dyDescent="0.35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 x14ac:dyDescent="0.35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 x14ac:dyDescent="0.35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 x14ac:dyDescent="0.35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 x14ac:dyDescent="0.4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 x14ac:dyDescent="0.4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 x14ac:dyDescent="0.35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 x14ac:dyDescent="0.35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 x14ac:dyDescent="0.35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 x14ac:dyDescent="0.35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 x14ac:dyDescent="0.35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 x14ac:dyDescent="0.35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 x14ac:dyDescent="0.35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 x14ac:dyDescent="0.35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 x14ac:dyDescent="0.35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 x14ac:dyDescent="0.35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 x14ac:dyDescent="0.35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 x14ac:dyDescent="0.35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 x14ac:dyDescent="0.4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 x14ac:dyDescent="0.4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 x14ac:dyDescent="0.35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 x14ac:dyDescent="0.35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 x14ac:dyDescent="0.35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 x14ac:dyDescent="0.35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 x14ac:dyDescent="0.35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 x14ac:dyDescent="0.35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 x14ac:dyDescent="0.35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 x14ac:dyDescent="0.35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 x14ac:dyDescent="0.35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 x14ac:dyDescent="0.35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 x14ac:dyDescent="0.35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 x14ac:dyDescent="0.4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 x14ac:dyDescent="0.4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 x14ac:dyDescent="0.35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 x14ac:dyDescent="0.35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 x14ac:dyDescent="0.35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 x14ac:dyDescent="0.35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 x14ac:dyDescent="0.35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 x14ac:dyDescent="0.35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 x14ac:dyDescent="0.35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 x14ac:dyDescent="0.35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 x14ac:dyDescent="0.35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 x14ac:dyDescent="0.35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 x14ac:dyDescent="0.35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 x14ac:dyDescent="0.35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 x14ac:dyDescent="0.4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 x14ac:dyDescent="0.4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 x14ac:dyDescent="0.35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 x14ac:dyDescent="0.35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 x14ac:dyDescent="0.35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 x14ac:dyDescent="0.35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 x14ac:dyDescent="0.35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 x14ac:dyDescent="0.35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 x14ac:dyDescent="0.35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 x14ac:dyDescent="0.35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 x14ac:dyDescent="0.35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 x14ac:dyDescent="0.35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 x14ac:dyDescent="0.35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 x14ac:dyDescent="0.4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 x14ac:dyDescent="0.4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 x14ac:dyDescent="0.35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 x14ac:dyDescent="0.35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 x14ac:dyDescent="0.35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 x14ac:dyDescent="0.35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 x14ac:dyDescent="0.35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 x14ac:dyDescent="0.35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 x14ac:dyDescent="0.35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 x14ac:dyDescent="0.35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 x14ac:dyDescent="0.35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 x14ac:dyDescent="0.35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 x14ac:dyDescent="0.35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 x14ac:dyDescent="0.35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 x14ac:dyDescent="0.4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 x14ac:dyDescent="0.4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 x14ac:dyDescent="0.35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 x14ac:dyDescent="0.35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 x14ac:dyDescent="0.35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 x14ac:dyDescent="0.35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 x14ac:dyDescent="0.35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 x14ac:dyDescent="0.35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 x14ac:dyDescent="0.35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 x14ac:dyDescent="0.35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 x14ac:dyDescent="0.35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 x14ac:dyDescent="0.35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 x14ac:dyDescent="0.35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 x14ac:dyDescent="0.4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 x14ac:dyDescent="0.4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 x14ac:dyDescent="0.35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 x14ac:dyDescent="0.35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 x14ac:dyDescent="0.35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 x14ac:dyDescent="0.35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 x14ac:dyDescent="0.35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 x14ac:dyDescent="0.35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 x14ac:dyDescent="0.35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 x14ac:dyDescent="0.35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 x14ac:dyDescent="0.35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 x14ac:dyDescent="0.35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 x14ac:dyDescent="0.35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 x14ac:dyDescent="0.35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 x14ac:dyDescent="0.4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 x14ac:dyDescent="0.4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 x14ac:dyDescent="0.35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 x14ac:dyDescent="0.35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 x14ac:dyDescent="0.35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 x14ac:dyDescent="0.35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 x14ac:dyDescent="0.35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 x14ac:dyDescent="0.35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 x14ac:dyDescent="0.35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 x14ac:dyDescent="0.35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 x14ac:dyDescent="0.35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 x14ac:dyDescent="0.35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 x14ac:dyDescent="0.35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 x14ac:dyDescent="0.4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 x14ac:dyDescent="0.4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 x14ac:dyDescent="0.35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 x14ac:dyDescent="0.35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 x14ac:dyDescent="0.35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 x14ac:dyDescent="0.35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 x14ac:dyDescent="0.35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 x14ac:dyDescent="0.35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 x14ac:dyDescent="0.35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 x14ac:dyDescent="0.35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 x14ac:dyDescent="0.35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 x14ac:dyDescent="0.35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 x14ac:dyDescent="0.35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 x14ac:dyDescent="0.35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 x14ac:dyDescent="0.4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 x14ac:dyDescent="0.4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 x14ac:dyDescent="0.35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 x14ac:dyDescent="0.35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 x14ac:dyDescent="0.35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 x14ac:dyDescent="0.35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 x14ac:dyDescent="0.35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 x14ac:dyDescent="0.35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 x14ac:dyDescent="0.35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 x14ac:dyDescent="0.35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 x14ac:dyDescent="0.35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 x14ac:dyDescent="0.35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 x14ac:dyDescent="0.35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 x14ac:dyDescent="0.4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 x14ac:dyDescent="0.4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 x14ac:dyDescent="0.35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88" activePane="bottomLeft" state="frozen"/>
      <selection pane="bottomLeft" activeCell="N408" sqref="N408"/>
    </sheetView>
  </sheetViews>
  <sheetFormatPr defaultColWidth="8.54296875" defaultRowHeight="14.5" x14ac:dyDescent="0.3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1640625" style="20" hidden="1" customWidth="1"/>
    <col min="7" max="7" width="13" style="20" customWidth="1"/>
    <col min="8" max="8" width="15.7265625" style="20" hidden="1" customWidth="1"/>
    <col min="9" max="10" width="13.81640625" style="20" hidden="1" customWidth="1"/>
    <col min="11" max="11" width="14" style="20" customWidth="1"/>
    <col min="12" max="12" width="32.7265625" style="20" customWidth="1"/>
    <col min="13" max="13" width="30.453125" style="20" customWidth="1"/>
    <col min="14" max="14" width="46.453125" style="20" customWidth="1"/>
    <col min="15" max="15" width="12" style="20" customWidth="1"/>
    <col min="16" max="16" width="16.453125" style="21" customWidth="1"/>
    <col min="17" max="17" width="14" style="20" customWidth="1"/>
    <col min="18" max="18" width="56.54296875" style="20" customWidth="1"/>
    <col min="19" max="19" width="31.54296875" customWidth="1"/>
    <col min="20" max="20" width="14.7265625" hidden="1" customWidth="1"/>
  </cols>
  <sheetData>
    <row r="1" spans="1:20" ht="37.5" customHeight="1" x14ac:dyDescent="0.35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 x14ac:dyDescent="0.35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 x14ac:dyDescent="0.35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 x14ac:dyDescent="0.35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 x14ac:dyDescent="0.35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 x14ac:dyDescent="0.35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 x14ac:dyDescent="0.35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 x14ac:dyDescent="0.35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 x14ac:dyDescent="0.35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 x14ac:dyDescent="0.35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 x14ac:dyDescent="0.35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 x14ac:dyDescent="0.35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 x14ac:dyDescent="0.4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 x14ac:dyDescent="0.4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 x14ac:dyDescent="0.35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305</v>
      </c>
      <c r="S15" s="31"/>
    </row>
    <row r="16" spans="1:20" ht="15" customHeight="1" x14ac:dyDescent="0.35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 x14ac:dyDescent="0.35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 x14ac:dyDescent="0.35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275</v>
      </c>
      <c r="S18" s="31"/>
    </row>
    <row r="19" spans="1:20" ht="15" customHeight="1" x14ac:dyDescent="0.35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306</v>
      </c>
      <c r="S19" s="31"/>
    </row>
    <row r="20" spans="1:20" ht="15" customHeight="1" x14ac:dyDescent="0.35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 x14ac:dyDescent="0.35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 x14ac:dyDescent="0.35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 x14ac:dyDescent="0.35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 x14ac:dyDescent="0.35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 x14ac:dyDescent="0.35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 x14ac:dyDescent="0.4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 x14ac:dyDescent="0.4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 x14ac:dyDescent="0.35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 x14ac:dyDescent="0.35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 x14ac:dyDescent="0.35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 x14ac:dyDescent="0.35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 x14ac:dyDescent="0.35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 x14ac:dyDescent="0.35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 x14ac:dyDescent="0.35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 x14ac:dyDescent="0.35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 x14ac:dyDescent="0.35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 x14ac:dyDescent="0.35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 x14ac:dyDescent="0.35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 x14ac:dyDescent="0.35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 x14ac:dyDescent="0.4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 x14ac:dyDescent="0.4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 x14ac:dyDescent="0.35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281</v>
      </c>
      <c r="S42" s="31"/>
    </row>
    <row r="43" spans="1:20" ht="15" customHeight="1" x14ac:dyDescent="0.35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305</v>
      </c>
      <c r="S43" s="31"/>
    </row>
    <row r="44" spans="1:20" ht="15" customHeight="1" x14ac:dyDescent="0.35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 x14ac:dyDescent="0.35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 x14ac:dyDescent="0.35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 x14ac:dyDescent="0.35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 x14ac:dyDescent="0.35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 x14ac:dyDescent="0.35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 x14ac:dyDescent="0.35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305</v>
      </c>
      <c r="S50" s="31"/>
    </row>
    <row r="51" spans="1:20" ht="15" customHeight="1" x14ac:dyDescent="0.35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 x14ac:dyDescent="0.35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 x14ac:dyDescent="0.4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 x14ac:dyDescent="0.4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 x14ac:dyDescent="0.35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 x14ac:dyDescent="0.35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 x14ac:dyDescent="0.35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 x14ac:dyDescent="0.35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 x14ac:dyDescent="0.35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 x14ac:dyDescent="0.35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 x14ac:dyDescent="0.35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 x14ac:dyDescent="0.35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307</v>
      </c>
      <c r="S62" s="31"/>
    </row>
    <row r="63" spans="1:20" ht="15" customHeight="1" x14ac:dyDescent="0.35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 x14ac:dyDescent="0.35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 x14ac:dyDescent="0.35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 x14ac:dyDescent="0.35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 x14ac:dyDescent="0.4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 x14ac:dyDescent="0.4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 x14ac:dyDescent="0.35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308</v>
      </c>
      <c r="S69" s="31"/>
    </row>
    <row r="70" spans="1:20" ht="15" customHeight="1" x14ac:dyDescent="0.35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 x14ac:dyDescent="0.35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 x14ac:dyDescent="0.35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 x14ac:dyDescent="0.35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 x14ac:dyDescent="0.35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 x14ac:dyDescent="0.35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 x14ac:dyDescent="0.35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 x14ac:dyDescent="0.35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 x14ac:dyDescent="0.35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 x14ac:dyDescent="0.35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 x14ac:dyDescent="0.4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 x14ac:dyDescent="0.4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 x14ac:dyDescent="0.35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 x14ac:dyDescent="0.35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309</v>
      </c>
      <c r="S83" s="31"/>
    </row>
    <row r="84" spans="1:20" ht="15" customHeight="1" x14ac:dyDescent="0.35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310</v>
      </c>
      <c r="S84" s="31"/>
    </row>
    <row r="85" spans="1:20" ht="15" customHeight="1" x14ac:dyDescent="0.35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 x14ac:dyDescent="0.35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 x14ac:dyDescent="0.35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 x14ac:dyDescent="0.35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 x14ac:dyDescent="0.35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 x14ac:dyDescent="0.35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 x14ac:dyDescent="0.35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 x14ac:dyDescent="0.35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 x14ac:dyDescent="0.35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 x14ac:dyDescent="0.4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 x14ac:dyDescent="0.4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 x14ac:dyDescent="0.35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 x14ac:dyDescent="0.35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311</v>
      </c>
      <c r="S97" s="31"/>
    </row>
    <row r="98" spans="1:20" ht="15" customHeight="1" x14ac:dyDescent="0.35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 x14ac:dyDescent="0.35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 x14ac:dyDescent="0.35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 x14ac:dyDescent="0.35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 x14ac:dyDescent="0.35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 x14ac:dyDescent="0.35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 x14ac:dyDescent="0.35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 x14ac:dyDescent="0.35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 x14ac:dyDescent="0.35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 x14ac:dyDescent="0.4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 x14ac:dyDescent="0.4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 x14ac:dyDescent="0.35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 x14ac:dyDescent="0.35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 x14ac:dyDescent="0.35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 x14ac:dyDescent="0.35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 x14ac:dyDescent="0.35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 x14ac:dyDescent="0.35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 x14ac:dyDescent="0.35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 x14ac:dyDescent="0.35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 x14ac:dyDescent="0.35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 x14ac:dyDescent="0.35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 x14ac:dyDescent="0.35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 x14ac:dyDescent="0.35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 x14ac:dyDescent="0.4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 x14ac:dyDescent="0.4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 x14ac:dyDescent="0.35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 x14ac:dyDescent="0.35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 x14ac:dyDescent="0.35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312</v>
      </c>
      <c r="S125" s="31"/>
    </row>
    <row r="126" spans="1:20" ht="15" customHeight="1" x14ac:dyDescent="0.35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 x14ac:dyDescent="0.35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 x14ac:dyDescent="0.35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 x14ac:dyDescent="0.35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 x14ac:dyDescent="0.35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 x14ac:dyDescent="0.35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 x14ac:dyDescent="0.35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 x14ac:dyDescent="0.35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 x14ac:dyDescent="0.4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 x14ac:dyDescent="0.4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 x14ac:dyDescent="0.35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 x14ac:dyDescent="0.35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313</v>
      </c>
      <c r="S137" s="31"/>
    </row>
    <row r="138" spans="1:20" ht="15" customHeight="1" x14ac:dyDescent="0.35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 x14ac:dyDescent="0.35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 x14ac:dyDescent="0.35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 x14ac:dyDescent="0.35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 x14ac:dyDescent="0.35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 x14ac:dyDescent="0.35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 x14ac:dyDescent="0.35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289</v>
      </c>
      <c r="S144" s="31"/>
    </row>
    <row r="145" spans="1:20" ht="15" customHeight="1" x14ac:dyDescent="0.35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 x14ac:dyDescent="0.35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 x14ac:dyDescent="0.35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 x14ac:dyDescent="0.4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 x14ac:dyDescent="0.4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 x14ac:dyDescent="0.35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 x14ac:dyDescent="0.35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 x14ac:dyDescent="0.35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 x14ac:dyDescent="0.35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281</v>
      </c>
      <c r="S153" s="31"/>
    </row>
    <row r="154" spans="1:20" ht="15" customHeight="1" x14ac:dyDescent="0.35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 x14ac:dyDescent="0.35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 x14ac:dyDescent="0.35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 x14ac:dyDescent="0.35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 x14ac:dyDescent="0.35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 x14ac:dyDescent="0.35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 x14ac:dyDescent="0.35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 x14ac:dyDescent="0.4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 x14ac:dyDescent="0.4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 x14ac:dyDescent="0.35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 x14ac:dyDescent="0.35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 x14ac:dyDescent="0.35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 x14ac:dyDescent="0.35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314</v>
      </c>
      <c r="S166" s="31"/>
    </row>
    <row r="167" spans="1:20" ht="15" customHeight="1" x14ac:dyDescent="0.35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 x14ac:dyDescent="0.35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 x14ac:dyDescent="0.35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 x14ac:dyDescent="0.35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 x14ac:dyDescent="0.35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 x14ac:dyDescent="0.35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 x14ac:dyDescent="0.35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 x14ac:dyDescent="0.35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 x14ac:dyDescent="0.4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 x14ac:dyDescent="0.4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 x14ac:dyDescent="0.35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 x14ac:dyDescent="0.35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 x14ac:dyDescent="0.35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315</v>
      </c>
      <c r="S179" s="31"/>
    </row>
    <row r="180" spans="1:20" ht="15" customHeight="1" x14ac:dyDescent="0.35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 x14ac:dyDescent="0.35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 x14ac:dyDescent="0.35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292</v>
      </c>
      <c r="S182" s="31"/>
    </row>
    <row r="183" spans="1:20" ht="15" customHeight="1" x14ac:dyDescent="0.35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 x14ac:dyDescent="0.35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 x14ac:dyDescent="0.35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292</v>
      </c>
      <c r="S185" s="31"/>
    </row>
    <row r="186" spans="1:20" ht="15" customHeight="1" x14ac:dyDescent="0.35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 x14ac:dyDescent="0.35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 x14ac:dyDescent="0.4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 x14ac:dyDescent="0.4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 x14ac:dyDescent="0.35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 x14ac:dyDescent="0.35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 x14ac:dyDescent="0.35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 x14ac:dyDescent="0.35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 x14ac:dyDescent="0.35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 x14ac:dyDescent="0.35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 x14ac:dyDescent="0.35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 x14ac:dyDescent="0.35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 x14ac:dyDescent="0.35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 x14ac:dyDescent="0.35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 x14ac:dyDescent="0.35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 x14ac:dyDescent="0.35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 x14ac:dyDescent="0.4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 x14ac:dyDescent="0.4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 x14ac:dyDescent="0.35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 x14ac:dyDescent="0.35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316</v>
      </c>
      <c r="S205" s="47"/>
    </row>
    <row r="206" spans="1:20" ht="15" customHeight="1" x14ac:dyDescent="0.35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 x14ac:dyDescent="0.35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 x14ac:dyDescent="0.35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 x14ac:dyDescent="0.35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 x14ac:dyDescent="0.35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 x14ac:dyDescent="0.35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 x14ac:dyDescent="0.35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 x14ac:dyDescent="0.35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 x14ac:dyDescent="0.35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 x14ac:dyDescent="0.4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 x14ac:dyDescent="0.4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 x14ac:dyDescent="0.35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 x14ac:dyDescent="0.35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 x14ac:dyDescent="0.35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 x14ac:dyDescent="0.35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 x14ac:dyDescent="0.35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317</v>
      </c>
      <c r="S221" s="47"/>
    </row>
    <row r="222" spans="1:20" ht="15" customHeight="1" x14ac:dyDescent="0.35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318</v>
      </c>
      <c r="Q222" s="30" t="str">
        <f t="shared" ca="1" si="49"/>
        <v/>
      </c>
      <c r="R222" s="27" t="s">
        <v>319</v>
      </c>
      <c r="S222" s="47"/>
    </row>
    <row r="223" spans="1:20" ht="15" customHeight="1" x14ac:dyDescent="0.35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 x14ac:dyDescent="0.35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 x14ac:dyDescent="0.35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 x14ac:dyDescent="0.35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 x14ac:dyDescent="0.35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 x14ac:dyDescent="0.35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 x14ac:dyDescent="0.4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 x14ac:dyDescent="0.4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 x14ac:dyDescent="0.35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 x14ac:dyDescent="0.35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 x14ac:dyDescent="0.35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 x14ac:dyDescent="0.35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 x14ac:dyDescent="0.35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 x14ac:dyDescent="0.35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 x14ac:dyDescent="0.35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 x14ac:dyDescent="0.35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 x14ac:dyDescent="0.35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 x14ac:dyDescent="0.35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 x14ac:dyDescent="0.35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 x14ac:dyDescent="0.4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 x14ac:dyDescent="0.4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 x14ac:dyDescent="0.35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 x14ac:dyDescent="0.35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320</v>
      </c>
      <c r="S245" s="47"/>
    </row>
    <row r="246" spans="1:20" ht="15" customHeight="1" x14ac:dyDescent="0.35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 x14ac:dyDescent="0.35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 x14ac:dyDescent="0.35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 x14ac:dyDescent="0.35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 x14ac:dyDescent="0.35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 x14ac:dyDescent="0.35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 x14ac:dyDescent="0.35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 x14ac:dyDescent="0.35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 x14ac:dyDescent="0.35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 x14ac:dyDescent="0.35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 x14ac:dyDescent="0.4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 x14ac:dyDescent="0.4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 x14ac:dyDescent="0.35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 x14ac:dyDescent="0.35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 x14ac:dyDescent="0.35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 x14ac:dyDescent="0.35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 x14ac:dyDescent="0.35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 x14ac:dyDescent="0.35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 x14ac:dyDescent="0.35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 x14ac:dyDescent="0.35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 x14ac:dyDescent="0.35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 x14ac:dyDescent="0.35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 x14ac:dyDescent="0.35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 x14ac:dyDescent="0.4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 x14ac:dyDescent="0.4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 x14ac:dyDescent="0.35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 x14ac:dyDescent="0.35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 x14ac:dyDescent="0.35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 x14ac:dyDescent="0.35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 x14ac:dyDescent="0.35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 x14ac:dyDescent="0.35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 x14ac:dyDescent="0.35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 x14ac:dyDescent="0.35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 x14ac:dyDescent="0.35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 x14ac:dyDescent="0.35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 x14ac:dyDescent="0.35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 x14ac:dyDescent="0.35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 x14ac:dyDescent="0.4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 x14ac:dyDescent="0.4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 x14ac:dyDescent="0.35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 x14ac:dyDescent="0.35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 x14ac:dyDescent="0.35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 x14ac:dyDescent="0.35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 x14ac:dyDescent="0.35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 x14ac:dyDescent="0.35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 x14ac:dyDescent="0.35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 x14ac:dyDescent="0.35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 x14ac:dyDescent="0.35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 x14ac:dyDescent="0.35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 x14ac:dyDescent="0.35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 x14ac:dyDescent="0.4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 x14ac:dyDescent="0.4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 x14ac:dyDescent="0.35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 x14ac:dyDescent="0.35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 x14ac:dyDescent="0.35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 x14ac:dyDescent="0.35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 x14ac:dyDescent="0.35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 x14ac:dyDescent="0.35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 x14ac:dyDescent="0.35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 x14ac:dyDescent="0.35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 x14ac:dyDescent="0.35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 x14ac:dyDescent="0.35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 x14ac:dyDescent="0.35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 x14ac:dyDescent="0.35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 x14ac:dyDescent="0.4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 x14ac:dyDescent="0.4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 x14ac:dyDescent="0.35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 x14ac:dyDescent="0.35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 x14ac:dyDescent="0.35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 x14ac:dyDescent="0.35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 x14ac:dyDescent="0.35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 x14ac:dyDescent="0.35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 x14ac:dyDescent="0.35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 x14ac:dyDescent="0.35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 x14ac:dyDescent="0.35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 x14ac:dyDescent="0.35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 x14ac:dyDescent="0.35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 x14ac:dyDescent="0.4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 x14ac:dyDescent="0.4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 x14ac:dyDescent="0.35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 x14ac:dyDescent="0.35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299</v>
      </c>
      <c r="S326" s="47"/>
    </row>
    <row r="327" spans="1:20" ht="15" customHeight="1" x14ac:dyDescent="0.35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321</v>
      </c>
      <c r="S327" s="47"/>
    </row>
    <row r="328" spans="1:20" ht="15" customHeight="1" x14ac:dyDescent="0.35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 x14ac:dyDescent="0.35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300</v>
      </c>
      <c r="S329" s="47"/>
    </row>
    <row r="330" spans="1:20" ht="15" customHeight="1" x14ac:dyDescent="0.35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 x14ac:dyDescent="0.35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 x14ac:dyDescent="0.35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 x14ac:dyDescent="0.35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 x14ac:dyDescent="0.35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 x14ac:dyDescent="0.35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 x14ac:dyDescent="0.35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 x14ac:dyDescent="0.4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 x14ac:dyDescent="0.4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 x14ac:dyDescent="0.35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 x14ac:dyDescent="0.35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 x14ac:dyDescent="0.35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 x14ac:dyDescent="0.35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 x14ac:dyDescent="0.35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 x14ac:dyDescent="0.35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 x14ac:dyDescent="0.35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 x14ac:dyDescent="0.35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 x14ac:dyDescent="0.35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 x14ac:dyDescent="0.35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 x14ac:dyDescent="0.35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 x14ac:dyDescent="0.4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 x14ac:dyDescent="0.4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 x14ac:dyDescent="0.35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 x14ac:dyDescent="0.35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 x14ac:dyDescent="0.35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281</v>
      </c>
      <c r="S354" s="47"/>
    </row>
    <row r="355" spans="1:20" ht="15" customHeight="1" x14ac:dyDescent="0.35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 x14ac:dyDescent="0.35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 x14ac:dyDescent="0.35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 x14ac:dyDescent="0.35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 x14ac:dyDescent="0.35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 x14ac:dyDescent="0.35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 x14ac:dyDescent="0.35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 x14ac:dyDescent="0.35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 x14ac:dyDescent="0.35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 x14ac:dyDescent="0.4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 x14ac:dyDescent="0.4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 x14ac:dyDescent="0.35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 x14ac:dyDescent="0.35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 x14ac:dyDescent="0.35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 x14ac:dyDescent="0.35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 x14ac:dyDescent="0.35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 x14ac:dyDescent="0.35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 x14ac:dyDescent="0.35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 x14ac:dyDescent="0.35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 x14ac:dyDescent="0.35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 x14ac:dyDescent="0.35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 x14ac:dyDescent="0.35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 x14ac:dyDescent="0.4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 x14ac:dyDescent="0.4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 x14ac:dyDescent="0.35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 x14ac:dyDescent="0.35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 x14ac:dyDescent="0.35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 x14ac:dyDescent="0.35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 x14ac:dyDescent="0.35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322</v>
      </c>
      <c r="S383" s="47"/>
    </row>
    <row r="384" spans="1:20" ht="15" customHeight="1" x14ac:dyDescent="0.35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303</v>
      </c>
      <c r="S384" s="47"/>
    </row>
    <row r="385" spans="1:20" ht="15" customHeight="1" x14ac:dyDescent="0.35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 x14ac:dyDescent="0.35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 x14ac:dyDescent="0.35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 x14ac:dyDescent="0.35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 x14ac:dyDescent="0.35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 x14ac:dyDescent="0.35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 x14ac:dyDescent="0.4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 x14ac:dyDescent="0.4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 x14ac:dyDescent="0.35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 x14ac:dyDescent="0.35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 x14ac:dyDescent="0.35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 x14ac:dyDescent="0.35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 x14ac:dyDescent="0.35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 x14ac:dyDescent="0.35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 x14ac:dyDescent="0.35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 x14ac:dyDescent="0.35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 x14ac:dyDescent="0.35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 x14ac:dyDescent="0.35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 x14ac:dyDescent="0.35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 x14ac:dyDescent="0.4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 x14ac:dyDescent="0.4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 x14ac:dyDescent="0.35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 x14ac:dyDescent="0.35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0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/>
      <c r="Q407" s="35">
        <f t="shared" ref="Q407:Q418" ca="1" si="98">IFERROR(IF(O407="","",IF(P407="",MOD(NOW()-O407,1),IF(P407&gt;=O407,P407-O407,P407+1-O407))),"")</f>
        <v>6.6165624994027894E-2</v>
      </c>
      <c r="R407" s="27"/>
      <c r="S407" s="47"/>
    </row>
    <row r="408" spans="1:20" ht="15" customHeight="1" x14ac:dyDescent="0.35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 x14ac:dyDescent="0.35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 x14ac:dyDescent="0.35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 x14ac:dyDescent="0.35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 x14ac:dyDescent="0.35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 x14ac:dyDescent="0.35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 x14ac:dyDescent="0.35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 x14ac:dyDescent="0.35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 x14ac:dyDescent="0.35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 x14ac:dyDescent="0.35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 x14ac:dyDescent="0.4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 x14ac:dyDescent="0.4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16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67.2</v>
      </c>
      <c r="L419" s="37"/>
      <c r="M419" s="37"/>
      <c r="N419" s="37"/>
      <c r="O419" s="37"/>
      <c r="P419" s="37"/>
      <c r="Q419" s="38">
        <f ca="1">IFERROR(SUM(Q407:Q418),"")</f>
        <v>6.6165624994027894E-2</v>
      </c>
      <c r="R419" s="36" t="s">
        <v>245</v>
      </c>
      <c r="S419" s="39"/>
      <c r="T419" s="119">
        <f>IFERROR(J419,"")</f>
        <v>0</v>
      </c>
    </row>
    <row r="420" spans="1:20" ht="15" customHeight="1" x14ac:dyDescent="0.35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 x14ac:dyDescent="0.35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 x14ac:dyDescent="0.35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 x14ac:dyDescent="0.35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 x14ac:dyDescent="0.35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 x14ac:dyDescent="0.35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 x14ac:dyDescent="0.35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 x14ac:dyDescent="0.35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 x14ac:dyDescent="0.35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 x14ac:dyDescent="0.35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 x14ac:dyDescent="0.35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 x14ac:dyDescent="0.4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 x14ac:dyDescent="0.4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 x14ac:dyDescent="0.35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16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67.2</v>
      </c>
      <c r="L433" s="41"/>
      <c r="M433" s="41"/>
      <c r="N433" s="41"/>
      <c r="O433" s="41"/>
      <c r="P433" s="41"/>
      <c r="Q433" s="42">
        <f ca="1">IFERROR(Q419+Q432,"")</f>
        <v>6.6165624994027894E-2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 x14ac:dyDescent="0.35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 x14ac:dyDescent="0.35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 x14ac:dyDescent="0.35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 x14ac:dyDescent="0.35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 x14ac:dyDescent="0.35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 x14ac:dyDescent="0.35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 x14ac:dyDescent="0.35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 x14ac:dyDescent="0.35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 x14ac:dyDescent="0.35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 x14ac:dyDescent="0.35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 x14ac:dyDescent="0.35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 x14ac:dyDescent="0.4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 x14ac:dyDescent="0.4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 x14ac:dyDescent="0.35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 x14ac:dyDescent="0.35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 x14ac:dyDescent="0.35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 x14ac:dyDescent="0.35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 x14ac:dyDescent="0.35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 x14ac:dyDescent="0.35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 x14ac:dyDescent="0.35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 x14ac:dyDescent="0.35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 x14ac:dyDescent="0.35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 x14ac:dyDescent="0.35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 x14ac:dyDescent="0.35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 x14ac:dyDescent="0.4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 x14ac:dyDescent="0.4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 x14ac:dyDescent="0.35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 x14ac:dyDescent="0.35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 x14ac:dyDescent="0.35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 x14ac:dyDescent="0.35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 x14ac:dyDescent="0.35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 x14ac:dyDescent="0.35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 x14ac:dyDescent="0.35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 x14ac:dyDescent="0.35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 x14ac:dyDescent="0.35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 x14ac:dyDescent="0.35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 x14ac:dyDescent="0.35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 x14ac:dyDescent="0.35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 x14ac:dyDescent="0.4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 x14ac:dyDescent="0.4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 x14ac:dyDescent="0.35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 x14ac:dyDescent="0.35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 x14ac:dyDescent="0.35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 x14ac:dyDescent="0.35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 x14ac:dyDescent="0.35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 x14ac:dyDescent="0.35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 x14ac:dyDescent="0.35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 x14ac:dyDescent="0.35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 x14ac:dyDescent="0.35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 x14ac:dyDescent="0.35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 x14ac:dyDescent="0.35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 x14ac:dyDescent="0.4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 x14ac:dyDescent="0.4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 x14ac:dyDescent="0.35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 x14ac:dyDescent="0.35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 x14ac:dyDescent="0.35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 x14ac:dyDescent="0.35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 x14ac:dyDescent="0.35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 x14ac:dyDescent="0.35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 x14ac:dyDescent="0.35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 x14ac:dyDescent="0.35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 x14ac:dyDescent="0.35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 x14ac:dyDescent="0.35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 x14ac:dyDescent="0.35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 x14ac:dyDescent="0.35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 x14ac:dyDescent="0.4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 x14ac:dyDescent="0.4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 x14ac:dyDescent="0.35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 x14ac:dyDescent="0.35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 x14ac:dyDescent="0.35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 x14ac:dyDescent="0.35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 x14ac:dyDescent="0.35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 x14ac:dyDescent="0.35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 x14ac:dyDescent="0.35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 x14ac:dyDescent="0.35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 x14ac:dyDescent="0.35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 x14ac:dyDescent="0.35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 x14ac:dyDescent="0.35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 x14ac:dyDescent="0.4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 x14ac:dyDescent="0.4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 x14ac:dyDescent="0.35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 x14ac:dyDescent="0.35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 x14ac:dyDescent="0.35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 x14ac:dyDescent="0.35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 x14ac:dyDescent="0.35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 x14ac:dyDescent="0.35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 x14ac:dyDescent="0.35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 x14ac:dyDescent="0.35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 x14ac:dyDescent="0.35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 x14ac:dyDescent="0.35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 x14ac:dyDescent="0.35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 x14ac:dyDescent="0.35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 x14ac:dyDescent="0.4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 x14ac:dyDescent="0.4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 x14ac:dyDescent="0.35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 x14ac:dyDescent="0.35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 x14ac:dyDescent="0.35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 x14ac:dyDescent="0.35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 x14ac:dyDescent="0.35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 x14ac:dyDescent="0.35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 x14ac:dyDescent="0.35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 x14ac:dyDescent="0.35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 x14ac:dyDescent="0.35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 x14ac:dyDescent="0.35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 x14ac:dyDescent="0.35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 x14ac:dyDescent="0.4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 x14ac:dyDescent="0.4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 x14ac:dyDescent="0.35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 x14ac:dyDescent="0.35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 x14ac:dyDescent="0.35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 x14ac:dyDescent="0.35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 x14ac:dyDescent="0.35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 x14ac:dyDescent="0.35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 x14ac:dyDescent="0.35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 x14ac:dyDescent="0.35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 x14ac:dyDescent="0.35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 x14ac:dyDescent="0.35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 x14ac:dyDescent="0.35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 x14ac:dyDescent="0.35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 x14ac:dyDescent="0.4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 x14ac:dyDescent="0.4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 x14ac:dyDescent="0.35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 x14ac:dyDescent="0.35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 x14ac:dyDescent="0.35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 x14ac:dyDescent="0.35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 x14ac:dyDescent="0.35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 x14ac:dyDescent="0.35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 x14ac:dyDescent="0.35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 x14ac:dyDescent="0.35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 x14ac:dyDescent="0.35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 x14ac:dyDescent="0.35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 x14ac:dyDescent="0.35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 x14ac:dyDescent="0.4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 x14ac:dyDescent="0.4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 x14ac:dyDescent="0.35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 x14ac:dyDescent="0.35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 x14ac:dyDescent="0.35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 x14ac:dyDescent="0.35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 x14ac:dyDescent="0.35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 x14ac:dyDescent="0.35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 x14ac:dyDescent="0.35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 x14ac:dyDescent="0.35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 x14ac:dyDescent="0.35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 x14ac:dyDescent="0.35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 x14ac:dyDescent="0.35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 x14ac:dyDescent="0.35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 x14ac:dyDescent="0.4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 x14ac:dyDescent="0.4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 x14ac:dyDescent="0.35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 x14ac:dyDescent="0.35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 x14ac:dyDescent="0.35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 x14ac:dyDescent="0.35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 x14ac:dyDescent="0.35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 x14ac:dyDescent="0.35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 x14ac:dyDescent="0.35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 x14ac:dyDescent="0.35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 x14ac:dyDescent="0.35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 x14ac:dyDescent="0.35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 x14ac:dyDescent="0.35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 x14ac:dyDescent="0.4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 x14ac:dyDescent="0.4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 x14ac:dyDescent="0.35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 x14ac:dyDescent="0.35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 x14ac:dyDescent="0.35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 x14ac:dyDescent="0.35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 x14ac:dyDescent="0.35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 x14ac:dyDescent="0.35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 x14ac:dyDescent="0.35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 x14ac:dyDescent="0.35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 x14ac:dyDescent="0.35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 x14ac:dyDescent="0.35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 x14ac:dyDescent="0.35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 x14ac:dyDescent="0.35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 x14ac:dyDescent="0.4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 x14ac:dyDescent="0.4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 x14ac:dyDescent="0.35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 x14ac:dyDescent="0.35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 x14ac:dyDescent="0.35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 x14ac:dyDescent="0.35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 x14ac:dyDescent="0.35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 x14ac:dyDescent="0.35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 x14ac:dyDescent="0.35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 x14ac:dyDescent="0.35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 x14ac:dyDescent="0.35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 x14ac:dyDescent="0.35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 x14ac:dyDescent="0.35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 x14ac:dyDescent="0.4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 x14ac:dyDescent="0.4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 x14ac:dyDescent="0.35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 x14ac:dyDescent="0.35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 x14ac:dyDescent="0.35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 x14ac:dyDescent="0.35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 x14ac:dyDescent="0.35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 x14ac:dyDescent="0.35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 x14ac:dyDescent="0.35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 x14ac:dyDescent="0.35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 x14ac:dyDescent="0.35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 x14ac:dyDescent="0.35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 x14ac:dyDescent="0.35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 x14ac:dyDescent="0.35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 x14ac:dyDescent="0.4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 x14ac:dyDescent="0.4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 x14ac:dyDescent="0.35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 x14ac:dyDescent="0.35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 x14ac:dyDescent="0.35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 x14ac:dyDescent="0.35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 x14ac:dyDescent="0.35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 x14ac:dyDescent="0.35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 x14ac:dyDescent="0.35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 x14ac:dyDescent="0.35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 x14ac:dyDescent="0.35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 x14ac:dyDescent="0.35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 x14ac:dyDescent="0.35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 x14ac:dyDescent="0.4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 x14ac:dyDescent="0.4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 x14ac:dyDescent="0.35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 x14ac:dyDescent="0.35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 x14ac:dyDescent="0.35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 x14ac:dyDescent="0.35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 x14ac:dyDescent="0.35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 x14ac:dyDescent="0.35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 x14ac:dyDescent="0.35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 x14ac:dyDescent="0.35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 x14ac:dyDescent="0.35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 x14ac:dyDescent="0.35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 x14ac:dyDescent="0.35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 x14ac:dyDescent="0.35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 x14ac:dyDescent="0.4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 x14ac:dyDescent="0.4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 x14ac:dyDescent="0.35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 x14ac:dyDescent="0.35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 x14ac:dyDescent="0.35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 x14ac:dyDescent="0.35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 x14ac:dyDescent="0.35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 x14ac:dyDescent="0.35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 x14ac:dyDescent="0.35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 x14ac:dyDescent="0.35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 x14ac:dyDescent="0.35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 x14ac:dyDescent="0.35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 x14ac:dyDescent="0.35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 x14ac:dyDescent="0.4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 x14ac:dyDescent="0.4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 x14ac:dyDescent="0.35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 x14ac:dyDescent="0.35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 x14ac:dyDescent="0.35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 x14ac:dyDescent="0.35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 x14ac:dyDescent="0.35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 x14ac:dyDescent="0.35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 x14ac:dyDescent="0.35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 x14ac:dyDescent="0.35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 x14ac:dyDescent="0.35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 x14ac:dyDescent="0.35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 x14ac:dyDescent="0.35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 x14ac:dyDescent="0.35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 x14ac:dyDescent="0.4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 x14ac:dyDescent="0.4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 x14ac:dyDescent="0.35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 x14ac:dyDescent="0.35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 x14ac:dyDescent="0.35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 x14ac:dyDescent="0.35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 x14ac:dyDescent="0.35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 x14ac:dyDescent="0.35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 x14ac:dyDescent="0.35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 x14ac:dyDescent="0.35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 x14ac:dyDescent="0.35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 x14ac:dyDescent="0.35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 x14ac:dyDescent="0.35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 x14ac:dyDescent="0.4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 x14ac:dyDescent="0.4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 x14ac:dyDescent="0.35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 x14ac:dyDescent="0.35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 x14ac:dyDescent="0.35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 x14ac:dyDescent="0.35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 x14ac:dyDescent="0.35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 x14ac:dyDescent="0.35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 x14ac:dyDescent="0.35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 x14ac:dyDescent="0.35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 x14ac:dyDescent="0.35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 x14ac:dyDescent="0.35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 x14ac:dyDescent="0.35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 x14ac:dyDescent="0.35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 x14ac:dyDescent="0.4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 x14ac:dyDescent="0.4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 x14ac:dyDescent="0.35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 x14ac:dyDescent="0.35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 x14ac:dyDescent="0.35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 x14ac:dyDescent="0.35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 x14ac:dyDescent="0.35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 x14ac:dyDescent="0.35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 x14ac:dyDescent="0.35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 x14ac:dyDescent="0.35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 x14ac:dyDescent="0.35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 x14ac:dyDescent="0.35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 x14ac:dyDescent="0.35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 x14ac:dyDescent="0.4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 x14ac:dyDescent="0.4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 x14ac:dyDescent="0.35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 x14ac:dyDescent="0.35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 x14ac:dyDescent="0.35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 x14ac:dyDescent="0.35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 x14ac:dyDescent="0.35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 x14ac:dyDescent="0.35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 x14ac:dyDescent="0.35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 x14ac:dyDescent="0.35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 x14ac:dyDescent="0.35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 x14ac:dyDescent="0.35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 x14ac:dyDescent="0.35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 x14ac:dyDescent="0.35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 x14ac:dyDescent="0.4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 x14ac:dyDescent="0.4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 x14ac:dyDescent="0.35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 x14ac:dyDescent="0.35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 x14ac:dyDescent="0.35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 x14ac:dyDescent="0.35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 x14ac:dyDescent="0.35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 x14ac:dyDescent="0.35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 x14ac:dyDescent="0.35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 x14ac:dyDescent="0.35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 x14ac:dyDescent="0.35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 x14ac:dyDescent="0.35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 x14ac:dyDescent="0.35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 x14ac:dyDescent="0.4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 x14ac:dyDescent="0.4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 x14ac:dyDescent="0.35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 x14ac:dyDescent="0.35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 x14ac:dyDescent="0.35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 x14ac:dyDescent="0.35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 x14ac:dyDescent="0.35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 x14ac:dyDescent="0.35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 x14ac:dyDescent="0.35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 x14ac:dyDescent="0.35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 x14ac:dyDescent="0.35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 x14ac:dyDescent="0.35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 x14ac:dyDescent="0.35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 x14ac:dyDescent="0.35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 x14ac:dyDescent="0.4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 x14ac:dyDescent="0.4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 x14ac:dyDescent="0.35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 x14ac:dyDescent="0.35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 x14ac:dyDescent="0.35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 x14ac:dyDescent="0.35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 x14ac:dyDescent="0.35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 x14ac:dyDescent="0.35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 x14ac:dyDescent="0.35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 x14ac:dyDescent="0.35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 x14ac:dyDescent="0.35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 x14ac:dyDescent="0.35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 x14ac:dyDescent="0.35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 x14ac:dyDescent="0.4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 x14ac:dyDescent="0.4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 x14ac:dyDescent="0.35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 x14ac:dyDescent="0.35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 x14ac:dyDescent="0.35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 x14ac:dyDescent="0.35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 x14ac:dyDescent="0.35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 x14ac:dyDescent="0.35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 x14ac:dyDescent="0.35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 x14ac:dyDescent="0.35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 x14ac:dyDescent="0.35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 x14ac:dyDescent="0.35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 x14ac:dyDescent="0.35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 x14ac:dyDescent="0.35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 x14ac:dyDescent="0.4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 x14ac:dyDescent="0.4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 x14ac:dyDescent="0.35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 x14ac:dyDescent="0.35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 x14ac:dyDescent="0.35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 x14ac:dyDescent="0.35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 x14ac:dyDescent="0.35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 x14ac:dyDescent="0.35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 x14ac:dyDescent="0.35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 x14ac:dyDescent="0.35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 x14ac:dyDescent="0.35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 x14ac:dyDescent="0.35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 x14ac:dyDescent="0.35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 x14ac:dyDescent="0.4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 x14ac:dyDescent="0.4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 x14ac:dyDescent="0.35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 x14ac:dyDescent="0.35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 x14ac:dyDescent="0.35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 x14ac:dyDescent="0.35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 x14ac:dyDescent="0.35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 x14ac:dyDescent="0.35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 x14ac:dyDescent="0.35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 x14ac:dyDescent="0.35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 x14ac:dyDescent="0.35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 x14ac:dyDescent="0.35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 x14ac:dyDescent="0.35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 x14ac:dyDescent="0.35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 x14ac:dyDescent="0.4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 x14ac:dyDescent="0.4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 x14ac:dyDescent="0.35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 x14ac:dyDescent="0.35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 x14ac:dyDescent="0.35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 x14ac:dyDescent="0.35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 x14ac:dyDescent="0.35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 x14ac:dyDescent="0.35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 x14ac:dyDescent="0.35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 x14ac:dyDescent="0.35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 x14ac:dyDescent="0.35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 x14ac:dyDescent="0.35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 x14ac:dyDescent="0.35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 x14ac:dyDescent="0.4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 x14ac:dyDescent="0.4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 x14ac:dyDescent="0.35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4" activePane="bottomLeft" state="frozen"/>
      <selection pane="bottomLeft" activeCell="N408" sqref="N408"/>
    </sheetView>
  </sheetViews>
  <sheetFormatPr defaultColWidth="8.54296875" defaultRowHeight="14.5" x14ac:dyDescent="0.3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1640625" style="57" hidden="1" customWidth="1"/>
    <col min="7" max="7" width="13" style="57" customWidth="1"/>
    <col min="8" max="8" width="15.7265625" style="57" hidden="1" customWidth="1"/>
    <col min="9" max="10" width="13.81640625" style="57" hidden="1" customWidth="1"/>
    <col min="11" max="11" width="14" style="57" customWidth="1"/>
    <col min="12" max="12" width="36" style="57" customWidth="1"/>
    <col min="13" max="13" width="25.1796875" style="57" customWidth="1"/>
    <col min="14" max="14" width="42.26953125" style="57" customWidth="1"/>
    <col min="15" max="15" width="18.453125" style="57" customWidth="1"/>
    <col min="16" max="16" width="14" style="58" customWidth="1"/>
    <col min="17" max="17" width="14" style="57" customWidth="1"/>
    <col min="18" max="18" width="64.81640625" style="57" customWidth="1"/>
    <col min="19" max="19" width="25.54296875" customWidth="1"/>
    <col min="20" max="20" width="14.7265625" hidden="1" customWidth="1"/>
  </cols>
  <sheetData>
    <row r="1" spans="1:20" ht="37.5" customHeight="1" x14ac:dyDescent="0.35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 x14ac:dyDescent="0.35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 x14ac:dyDescent="0.35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 x14ac:dyDescent="0.35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 x14ac:dyDescent="0.35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 x14ac:dyDescent="0.35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 x14ac:dyDescent="0.35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 x14ac:dyDescent="0.35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 x14ac:dyDescent="0.35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 x14ac:dyDescent="0.35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 x14ac:dyDescent="0.35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 x14ac:dyDescent="0.35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 x14ac:dyDescent="0.4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 x14ac:dyDescent="0.4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 x14ac:dyDescent="0.35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 x14ac:dyDescent="0.35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323</v>
      </c>
      <c r="S16" s="60"/>
    </row>
    <row r="17" spans="1:20" ht="15" customHeight="1" x14ac:dyDescent="0.35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278</v>
      </c>
      <c r="S17" s="60"/>
    </row>
    <row r="18" spans="1:20" ht="15" customHeight="1" x14ac:dyDescent="0.35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305</v>
      </c>
      <c r="S18" s="60"/>
    </row>
    <row r="19" spans="1:20" ht="15" customHeight="1" x14ac:dyDescent="0.35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324</v>
      </c>
      <c r="S19" s="60"/>
    </row>
    <row r="20" spans="1:20" ht="15" customHeight="1" x14ac:dyDescent="0.35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 x14ac:dyDescent="0.35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 x14ac:dyDescent="0.35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325</v>
      </c>
      <c r="S22" s="60"/>
    </row>
    <row r="23" spans="1:20" ht="15" customHeight="1" x14ac:dyDescent="0.35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 x14ac:dyDescent="0.35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 x14ac:dyDescent="0.35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 x14ac:dyDescent="0.4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 x14ac:dyDescent="0.4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 x14ac:dyDescent="0.35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 x14ac:dyDescent="0.35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 x14ac:dyDescent="0.35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 x14ac:dyDescent="0.35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 x14ac:dyDescent="0.35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 x14ac:dyDescent="0.35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 x14ac:dyDescent="0.35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 x14ac:dyDescent="0.35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 x14ac:dyDescent="0.35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 x14ac:dyDescent="0.35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 x14ac:dyDescent="0.35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 x14ac:dyDescent="0.35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 x14ac:dyDescent="0.4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 x14ac:dyDescent="0.4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 x14ac:dyDescent="0.35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 x14ac:dyDescent="0.35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 x14ac:dyDescent="0.35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 x14ac:dyDescent="0.35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326</v>
      </c>
      <c r="S45" s="60"/>
    </row>
    <row r="46" spans="1:20" ht="15" customHeight="1" x14ac:dyDescent="0.35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 x14ac:dyDescent="0.35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 x14ac:dyDescent="0.35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 x14ac:dyDescent="0.35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 x14ac:dyDescent="0.35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 x14ac:dyDescent="0.35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 x14ac:dyDescent="0.35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 x14ac:dyDescent="0.4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 x14ac:dyDescent="0.4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 x14ac:dyDescent="0.35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 x14ac:dyDescent="0.35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 x14ac:dyDescent="0.35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 x14ac:dyDescent="0.35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 x14ac:dyDescent="0.35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327</v>
      </c>
      <c r="S59" s="60"/>
    </row>
    <row r="60" spans="1:20" ht="15" customHeight="1" x14ac:dyDescent="0.35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328</v>
      </c>
      <c r="S60" s="60"/>
    </row>
    <row r="61" spans="1:20" ht="15" customHeight="1" x14ac:dyDescent="0.35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 x14ac:dyDescent="0.35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 x14ac:dyDescent="0.35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 x14ac:dyDescent="0.35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 x14ac:dyDescent="0.35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 x14ac:dyDescent="0.35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 x14ac:dyDescent="0.4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 x14ac:dyDescent="0.4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 x14ac:dyDescent="0.35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329</v>
      </c>
      <c r="S69" s="60"/>
    </row>
    <row r="70" spans="1:20" ht="15" customHeight="1" x14ac:dyDescent="0.35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 x14ac:dyDescent="0.35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 x14ac:dyDescent="0.35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305</v>
      </c>
      <c r="S72" s="60"/>
    </row>
    <row r="73" spans="1:20" ht="15" customHeight="1" x14ac:dyDescent="0.35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 x14ac:dyDescent="0.35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 x14ac:dyDescent="0.35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 x14ac:dyDescent="0.35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 x14ac:dyDescent="0.35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 x14ac:dyDescent="0.35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 x14ac:dyDescent="0.35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 x14ac:dyDescent="0.4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 x14ac:dyDescent="0.4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 x14ac:dyDescent="0.35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 x14ac:dyDescent="0.35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 x14ac:dyDescent="0.35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 x14ac:dyDescent="0.35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 x14ac:dyDescent="0.35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 x14ac:dyDescent="0.35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 x14ac:dyDescent="0.35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 x14ac:dyDescent="0.35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 x14ac:dyDescent="0.35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 x14ac:dyDescent="0.35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 x14ac:dyDescent="0.35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 x14ac:dyDescent="0.35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 x14ac:dyDescent="0.4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 x14ac:dyDescent="0.4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 x14ac:dyDescent="0.35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 x14ac:dyDescent="0.35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305</v>
      </c>
      <c r="S97" s="60"/>
    </row>
    <row r="98" spans="1:20" ht="15" customHeight="1" x14ac:dyDescent="0.35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 x14ac:dyDescent="0.35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 x14ac:dyDescent="0.35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 x14ac:dyDescent="0.35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 x14ac:dyDescent="0.35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 x14ac:dyDescent="0.35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 x14ac:dyDescent="0.35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 x14ac:dyDescent="0.35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 x14ac:dyDescent="0.35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 x14ac:dyDescent="0.4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 x14ac:dyDescent="0.4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 x14ac:dyDescent="0.35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 x14ac:dyDescent="0.35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 x14ac:dyDescent="0.35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 x14ac:dyDescent="0.35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 x14ac:dyDescent="0.35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 x14ac:dyDescent="0.35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330</v>
      </c>
      <c r="S114" s="60"/>
    </row>
    <row r="115" spans="1:20" ht="15" customHeight="1" x14ac:dyDescent="0.35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 x14ac:dyDescent="0.35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 x14ac:dyDescent="0.35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 x14ac:dyDescent="0.35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 x14ac:dyDescent="0.35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 x14ac:dyDescent="0.35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 x14ac:dyDescent="0.4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 x14ac:dyDescent="0.4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 x14ac:dyDescent="0.35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 x14ac:dyDescent="0.35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331</v>
      </c>
      <c r="S124" s="60"/>
    </row>
    <row r="125" spans="1:20" ht="15" customHeight="1" x14ac:dyDescent="0.35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 x14ac:dyDescent="0.35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 x14ac:dyDescent="0.35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 x14ac:dyDescent="0.35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 x14ac:dyDescent="0.35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305</v>
      </c>
      <c r="S129" s="60"/>
    </row>
    <row r="130" spans="1:22" ht="15" customHeight="1" x14ac:dyDescent="0.35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 x14ac:dyDescent="0.35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 x14ac:dyDescent="0.35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 x14ac:dyDescent="0.35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 x14ac:dyDescent="0.4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 x14ac:dyDescent="0.4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 x14ac:dyDescent="0.35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 x14ac:dyDescent="0.35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 x14ac:dyDescent="0.35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332</v>
      </c>
      <c r="S138" s="31"/>
    </row>
    <row r="139" spans="1:22" ht="15" customHeight="1" x14ac:dyDescent="0.35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333</v>
      </c>
      <c r="S139" s="31"/>
    </row>
    <row r="140" spans="1:22" ht="15" customHeight="1" x14ac:dyDescent="0.35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 x14ac:dyDescent="0.35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 x14ac:dyDescent="0.35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 x14ac:dyDescent="0.35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 x14ac:dyDescent="0.35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 x14ac:dyDescent="0.35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 x14ac:dyDescent="0.35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289</v>
      </c>
      <c r="S146" s="31"/>
    </row>
    <row r="147" spans="1:20" ht="15" customHeight="1" x14ac:dyDescent="0.35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 x14ac:dyDescent="0.4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 x14ac:dyDescent="0.4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 x14ac:dyDescent="0.35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334</v>
      </c>
      <c r="S150" s="31"/>
    </row>
    <row r="151" spans="1:20" ht="15" customHeight="1" x14ac:dyDescent="0.35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335</v>
      </c>
      <c r="S151" s="31"/>
    </row>
    <row r="152" spans="1:20" ht="15" customHeight="1" x14ac:dyDescent="0.35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 x14ac:dyDescent="0.35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 x14ac:dyDescent="0.35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 x14ac:dyDescent="0.35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 x14ac:dyDescent="0.35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 x14ac:dyDescent="0.35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 x14ac:dyDescent="0.35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 x14ac:dyDescent="0.35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 x14ac:dyDescent="0.35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 x14ac:dyDescent="0.4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 x14ac:dyDescent="0.4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 x14ac:dyDescent="0.35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 x14ac:dyDescent="0.35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 x14ac:dyDescent="0.35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 x14ac:dyDescent="0.35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 x14ac:dyDescent="0.35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 x14ac:dyDescent="0.35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 x14ac:dyDescent="0.35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 x14ac:dyDescent="0.35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336</v>
      </c>
      <c r="S170" s="31"/>
    </row>
    <row r="171" spans="1:20" ht="15" customHeight="1" x14ac:dyDescent="0.35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 x14ac:dyDescent="0.35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 x14ac:dyDescent="0.35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 x14ac:dyDescent="0.35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 x14ac:dyDescent="0.4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 x14ac:dyDescent="0.4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 x14ac:dyDescent="0.35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337</v>
      </c>
      <c r="S177" s="31"/>
    </row>
    <row r="178" spans="1:20" ht="15" customHeight="1" x14ac:dyDescent="0.35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 x14ac:dyDescent="0.35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 x14ac:dyDescent="0.35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 x14ac:dyDescent="0.35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 x14ac:dyDescent="0.35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 x14ac:dyDescent="0.35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 x14ac:dyDescent="0.35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 x14ac:dyDescent="0.35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 x14ac:dyDescent="0.35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 x14ac:dyDescent="0.35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 x14ac:dyDescent="0.4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 x14ac:dyDescent="0.4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 x14ac:dyDescent="0.35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 x14ac:dyDescent="0.35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 x14ac:dyDescent="0.35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338</v>
      </c>
      <c r="S192" s="31"/>
    </row>
    <row r="193" spans="1:20" ht="15" customHeight="1" x14ac:dyDescent="0.35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 x14ac:dyDescent="0.35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 x14ac:dyDescent="0.35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 x14ac:dyDescent="0.35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 x14ac:dyDescent="0.35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 x14ac:dyDescent="0.35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 x14ac:dyDescent="0.35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 x14ac:dyDescent="0.35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 x14ac:dyDescent="0.35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 x14ac:dyDescent="0.4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 x14ac:dyDescent="0.4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 x14ac:dyDescent="0.35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339</v>
      </c>
      <c r="S204" s="60"/>
    </row>
    <row r="205" spans="1:20" ht="15" customHeight="1" x14ac:dyDescent="0.35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340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 x14ac:dyDescent="0.35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341</v>
      </c>
      <c r="S206" s="60"/>
    </row>
    <row r="207" spans="1:20" ht="15" customHeight="1" x14ac:dyDescent="0.35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 x14ac:dyDescent="0.35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 x14ac:dyDescent="0.35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 x14ac:dyDescent="0.35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 x14ac:dyDescent="0.35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 x14ac:dyDescent="0.35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 x14ac:dyDescent="0.35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 x14ac:dyDescent="0.35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 x14ac:dyDescent="0.4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 x14ac:dyDescent="0.4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 x14ac:dyDescent="0.35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 x14ac:dyDescent="0.35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 x14ac:dyDescent="0.35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 x14ac:dyDescent="0.35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342</v>
      </c>
      <c r="S220" s="60"/>
    </row>
    <row r="221" spans="1:20" ht="15" customHeight="1" x14ac:dyDescent="0.35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343</v>
      </c>
      <c r="S221" s="60"/>
    </row>
    <row r="222" spans="1:20" ht="15" customHeight="1" x14ac:dyDescent="0.35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 x14ac:dyDescent="0.35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 x14ac:dyDescent="0.35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 x14ac:dyDescent="0.35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 x14ac:dyDescent="0.35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 x14ac:dyDescent="0.35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 x14ac:dyDescent="0.35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 x14ac:dyDescent="0.4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 x14ac:dyDescent="0.4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 x14ac:dyDescent="0.35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344</v>
      </c>
      <c r="S231" s="60"/>
    </row>
    <row r="232" spans="1:20" ht="15" customHeight="1" x14ac:dyDescent="0.35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345</v>
      </c>
      <c r="S232" s="60"/>
    </row>
    <row r="233" spans="1:20" ht="15" customHeight="1" x14ac:dyDescent="0.35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 x14ac:dyDescent="0.35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 x14ac:dyDescent="0.35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 x14ac:dyDescent="0.35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 x14ac:dyDescent="0.35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 x14ac:dyDescent="0.35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 x14ac:dyDescent="0.35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 x14ac:dyDescent="0.35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 x14ac:dyDescent="0.35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 x14ac:dyDescent="0.4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 x14ac:dyDescent="0.4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 x14ac:dyDescent="0.35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 x14ac:dyDescent="0.35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 x14ac:dyDescent="0.35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 x14ac:dyDescent="0.35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 x14ac:dyDescent="0.35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 x14ac:dyDescent="0.35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346</v>
      </c>
      <c r="S249" s="60"/>
    </row>
    <row r="250" spans="1:20" ht="15" customHeight="1" x14ac:dyDescent="0.35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 x14ac:dyDescent="0.35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 x14ac:dyDescent="0.35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 x14ac:dyDescent="0.35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 x14ac:dyDescent="0.35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 x14ac:dyDescent="0.35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 x14ac:dyDescent="0.4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 x14ac:dyDescent="0.4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 x14ac:dyDescent="0.35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 x14ac:dyDescent="0.35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 x14ac:dyDescent="0.35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 x14ac:dyDescent="0.35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 x14ac:dyDescent="0.35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 x14ac:dyDescent="0.35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 x14ac:dyDescent="0.35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 x14ac:dyDescent="0.35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 x14ac:dyDescent="0.35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 x14ac:dyDescent="0.35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 x14ac:dyDescent="0.35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 x14ac:dyDescent="0.4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 x14ac:dyDescent="0.4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 x14ac:dyDescent="0.35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 x14ac:dyDescent="0.35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 x14ac:dyDescent="0.35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 x14ac:dyDescent="0.35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 x14ac:dyDescent="0.35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 x14ac:dyDescent="0.35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 x14ac:dyDescent="0.35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 x14ac:dyDescent="0.35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 x14ac:dyDescent="0.35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 x14ac:dyDescent="0.35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 x14ac:dyDescent="0.35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 x14ac:dyDescent="0.35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 x14ac:dyDescent="0.4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 x14ac:dyDescent="0.4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 x14ac:dyDescent="0.35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 x14ac:dyDescent="0.35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 x14ac:dyDescent="0.35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 x14ac:dyDescent="0.35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 x14ac:dyDescent="0.35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 x14ac:dyDescent="0.35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 x14ac:dyDescent="0.35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 x14ac:dyDescent="0.35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 x14ac:dyDescent="0.35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 x14ac:dyDescent="0.35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 x14ac:dyDescent="0.35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 x14ac:dyDescent="0.4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 x14ac:dyDescent="0.4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 x14ac:dyDescent="0.35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 x14ac:dyDescent="0.35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 x14ac:dyDescent="0.35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 x14ac:dyDescent="0.35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 x14ac:dyDescent="0.35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 x14ac:dyDescent="0.35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 x14ac:dyDescent="0.35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 x14ac:dyDescent="0.35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 x14ac:dyDescent="0.35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 x14ac:dyDescent="0.35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 x14ac:dyDescent="0.35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 x14ac:dyDescent="0.35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 x14ac:dyDescent="0.4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 x14ac:dyDescent="0.4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 x14ac:dyDescent="0.35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 x14ac:dyDescent="0.35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 x14ac:dyDescent="0.35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 x14ac:dyDescent="0.35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 x14ac:dyDescent="0.35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 x14ac:dyDescent="0.35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 x14ac:dyDescent="0.35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 x14ac:dyDescent="0.35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 x14ac:dyDescent="0.35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 x14ac:dyDescent="0.35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 x14ac:dyDescent="0.35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 x14ac:dyDescent="0.4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 x14ac:dyDescent="0.4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 x14ac:dyDescent="0.35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 x14ac:dyDescent="0.35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 x14ac:dyDescent="0.35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 x14ac:dyDescent="0.35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 x14ac:dyDescent="0.35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 x14ac:dyDescent="0.35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 x14ac:dyDescent="0.35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 x14ac:dyDescent="0.35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 x14ac:dyDescent="0.35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 x14ac:dyDescent="0.35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 x14ac:dyDescent="0.35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 x14ac:dyDescent="0.35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 x14ac:dyDescent="0.4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 x14ac:dyDescent="0.4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 x14ac:dyDescent="0.35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 x14ac:dyDescent="0.35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 x14ac:dyDescent="0.35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 x14ac:dyDescent="0.35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 x14ac:dyDescent="0.35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 x14ac:dyDescent="0.35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 x14ac:dyDescent="0.35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 x14ac:dyDescent="0.35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347</v>
      </c>
      <c r="S346" s="60"/>
    </row>
    <row r="347" spans="1:20" ht="15" customHeight="1" x14ac:dyDescent="0.35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348</v>
      </c>
      <c r="S347" s="60"/>
    </row>
    <row r="348" spans="1:20" ht="15" customHeight="1" x14ac:dyDescent="0.35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 x14ac:dyDescent="0.35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 x14ac:dyDescent="0.4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 x14ac:dyDescent="0.4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 x14ac:dyDescent="0.35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 x14ac:dyDescent="0.35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 x14ac:dyDescent="0.35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 x14ac:dyDescent="0.35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 x14ac:dyDescent="0.35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349</v>
      </c>
      <c r="S356" s="60"/>
    </row>
    <row r="357" spans="1:20" ht="15" customHeight="1" x14ac:dyDescent="0.35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 x14ac:dyDescent="0.35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350</v>
      </c>
      <c r="S358" s="60"/>
    </row>
    <row r="359" spans="1:20" ht="15" customHeight="1" x14ac:dyDescent="0.35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 x14ac:dyDescent="0.35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 x14ac:dyDescent="0.35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 x14ac:dyDescent="0.35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 x14ac:dyDescent="0.35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 x14ac:dyDescent="0.4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 x14ac:dyDescent="0.4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 x14ac:dyDescent="0.35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 x14ac:dyDescent="0.35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 x14ac:dyDescent="0.35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 x14ac:dyDescent="0.35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 x14ac:dyDescent="0.35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 x14ac:dyDescent="0.35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 x14ac:dyDescent="0.35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351</v>
      </c>
      <c r="S372" s="60"/>
    </row>
    <row r="373" spans="1:20" ht="15" customHeight="1" x14ac:dyDescent="0.35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 x14ac:dyDescent="0.35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 x14ac:dyDescent="0.35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 x14ac:dyDescent="0.35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 x14ac:dyDescent="0.4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 x14ac:dyDescent="0.4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 x14ac:dyDescent="0.35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 x14ac:dyDescent="0.35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 x14ac:dyDescent="0.35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 x14ac:dyDescent="0.35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 x14ac:dyDescent="0.35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 x14ac:dyDescent="0.35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303</v>
      </c>
      <c r="S384" s="60"/>
    </row>
    <row r="385" spans="1:20" ht="15" customHeight="1" x14ac:dyDescent="0.35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0.77866562499548309</v>
      </c>
      <c r="R385" s="27" t="s">
        <v>352</v>
      </c>
      <c r="S385" s="60"/>
    </row>
    <row r="386" spans="1:20" ht="15" customHeight="1" x14ac:dyDescent="0.35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 x14ac:dyDescent="0.35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 x14ac:dyDescent="0.35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 x14ac:dyDescent="0.35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 x14ac:dyDescent="0.35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 x14ac:dyDescent="0.4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 x14ac:dyDescent="0.4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0.8432489583288163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 x14ac:dyDescent="0.35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 x14ac:dyDescent="0.35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353</v>
      </c>
      <c r="S394" s="60"/>
    </row>
    <row r="395" spans="1:20" ht="15" customHeight="1" x14ac:dyDescent="0.35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 x14ac:dyDescent="0.35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 x14ac:dyDescent="0.35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 x14ac:dyDescent="0.35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 x14ac:dyDescent="0.35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 x14ac:dyDescent="0.35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 x14ac:dyDescent="0.35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 x14ac:dyDescent="0.35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 x14ac:dyDescent="0.35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 x14ac:dyDescent="0.4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 x14ac:dyDescent="0.4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 x14ac:dyDescent="0.35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0.90297118055103853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 x14ac:dyDescent="0.35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0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354</v>
      </c>
      <c r="S407" s="60"/>
    </row>
    <row r="408" spans="1:20" ht="15" customHeight="1" x14ac:dyDescent="0.35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 x14ac:dyDescent="0.35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 x14ac:dyDescent="0.35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 x14ac:dyDescent="0.35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 x14ac:dyDescent="0.35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 x14ac:dyDescent="0.35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 x14ac:dyDescent="0.35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 x14ac:dyDescent="0.35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 x14ac:dyDescent="0.35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 x14ac:dyDescent="0.35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 x14ac:dyDescent="0.4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 x14ac:dyDescent="0.4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42</v>
      </c>
      <c r="L419" s="37"/>
      <c r="M419" s="37"/>
      <c r="N419" s="37"/>
      <c r="O419" s="61"/>
      <c r="P419" s="61"/>
      <c r="Q419" s="38">
        <f ca="1">IFERROR(SUM(Q407:Q418),"")</f>
        <v>1.2500000000000011E-2</v>
      </c>
      <c r="R419" s="36" t="s">
        <v>245</v>
      </c>
      <c r="S419" s="39"/>
      <c r="T419" s="119">
        <f>IFERROR(J419,"")</f>
        <v>0</v>
      </c>
    </row>
    <row r="420" spans="1:20" ht="15" customHeight="1" x14ac:dyDescent="0.35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 x14ac:dyDescent="0.35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 x14ac:dyDescent="0.35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 x14ac:dyDescent="0.35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 x14ac:dyDescent="0.35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 x14ac:dyDescent="0.35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 x14ac:dyDescent="0.35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 x14ac:dyDescent="0.35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 x14ac:dyDescent="0.35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 x14ac:dyDescent="0.35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 x14ac:dyDescent="0.35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 x14ac:dyDescent="0.4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 x14ac:dyDescent="0.4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 x14ac:dyDescent="0.35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42</v>
      </c>
      <c r="L433" s="41"/>
      <c r="M433" s="41"/>
      <c r="N433" s="41"/>
      <c r="O433" s="63"/>
      <c r="P433" s="63"/>
      <c r="Q433" s="42">
        <f ca="1">IFERROR(Q419+Q432,"")</f>
        <v>1.2500000000000011E-2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 x14ac:dyDescent="0.35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 x14ac:dyDescent="0.35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 x14ac:dyDescent="0.35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 x14ac:dyDescent="0.35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 x14ac:dyDescent="0.35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 x14ac:dyDescent="0.35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 x14ac:dyDescent="0.35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 x14ac:dyDescent="0.35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 x14ac:dyDescent="0.35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 x14ac:dyDescent="0.35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 x14ac:dyDescent="0.35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 x14ac:dyDescent="0.4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 x14ac:dyDescent="0.4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 x14ac:dyDescent="0.35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 x14ac:dyDescent="0.35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 x14ac:dyDescent="0.35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 x14ac:dyDescent="0.35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 x14ac:dyDescent="0.35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 x14ac:dyDescent="0.35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 x14ac:dyDescent="0.35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 x14ac:dyDescent="0.35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 x14ac:dyDescent="0.35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 x14ac:dyDescent="0.35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 x14ac:dyDescent="0.35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 x14ac:dyDescent="0.4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 x14ac:dyDescent="0.4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 x14ac:dyDescent="0.35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 x14ac:dyDescent="0.35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 x14ac:dyDescent="0.35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 x14ac:dyDescent="0.35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 x14ac:dyDescent="0.35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 x14ac:dyDescent="0.35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 x14ac:dyDescent="0.35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 x14ac:dyDescent="0.35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 x14ac:dyDescent="0.35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 x14ac:dyDescent="0.35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 x14ac:dyDescent="0.35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 x14ac:dyDescent="0.35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 x14ac:dyDescent="0.4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 x14ac:dyDescent="0.4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 x14ac:dyDescent="0.35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 x14ac:dyDescent="0.35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 x14ac:dyDescent="0.35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 x14ac:dyDescent="0.35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 x14ac:dyDescent="0.35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 x14ac:dyDescent="0.35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 x14ac:dyDescent="0.35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 x14ac:dyDescent="0.35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 x14ac:dyDescent="0.35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 x14ac:dyDescent="0.35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 x14ac:dyDescent="0.35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 x14ac:dyDescent="0.4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 x14ac:dyDescent="0.4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 x14ac:dyDescent="0.35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 x14ac:dyDescent="0.35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 x14ac:dyDescent="0.35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 x14ac:dyDescent="0.35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 x14ac:dyDescent="0.35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 x14ac:dyDescent="0.35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 x14ac:dyDescent="0.35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 x14ac:dyDescent="0.35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 x14ac:dyDescent="0.35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 x14ac:dyDescent="0.35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 x14ac:dyDescent="0.35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 x14ac:dyDescent="0.35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 x14ac:dyDescent="0.4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 x14ac:dyDescent="0.4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 x14ac:dyDescent="0.35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 x14ac:dyDescent="0.35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 x14ac:dyDescent="0.35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 x14ac:dyDescent="0.35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 x14ac:dyDescent="0.35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 x14ac:dyDescent="0.35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 x14ac:dyDescent="0.35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 x14ac:dyDescent="0.35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 x14ac:dyDescent="0.35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 x14ac:dyDescent="0.35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 x14ac:dyDescent="0.35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 x14ac:dyDescent="0.4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 x14ac:dyDescent="0.4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 x14ac:dyDescent="0.35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 x14ac:dyDescent="0.35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 x14ac:dyDescent="0.35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 x14ac:dyDescent="0.35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 x14ac:dyDescent="0.35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 x14ac:dyDescent="0.35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 x14ac:dyDescent="0.35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 x14ac:dyDescent="0.35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 x14ac:dyDescent="0.35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 x14ac:dyDescent="0.35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 x14ac:dyDescent="0.35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 x14ac:dyDescent="0.35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 x14ac:dyDescent="0.4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 x14ac:dyDescent="0.4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 x14ac:dyDescent="0.35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 x14ac:dyDescent="0.35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 x14ac:dyDescent="0.35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 x14ac:dyDescent="0.35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 x14ac:dyDescent="0.35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 x14ac:dyDescent="0.35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 x14ac:dyDescent="0.35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 x14ac:dyDescent="0.35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 x14ac:dyDescent="0.35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 x14ac:dyDescent="0.35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 x14ac:dyDescent="0.35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 x14ac:dyDescent="0.4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 x14ac:dyDescent="0.4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 x14ac:dyDescent="0.35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 x14ac:dyDescent="0.35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 x14ac:dyDescent="0.35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 x14ac:dyDescent="0.35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 x14ac:dyDescent="0.35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 x14ac:dyDescent="0.35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 x14ac:dyDescent="0.35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 x14ac:dyDescent="0.35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 x14ac:dyDescent="0.35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 x14ac:dyDescent="0.35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 x14ac:dyDescent="0.35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 x14ac:dyDescent="0.35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 x14ac:dyDescent="0.4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 x14ac:dyDescent="0.4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 x14ac:dyDescent="0.35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 x14ac:dyDescent="0.35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 x14ac:dyDescent="0.35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 x14ac:dyDescent="0.35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 x14ac:dyDescent="0.35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 x14ac:dyDescent="0.35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 x14ac:dyDescent="0.35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 x14ac:dyDescent="0.35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 x14ac:dyDescent="0.35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 x14ac:dyDescent="0.35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 x14ac:dyDescent="0.35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 x14ac:dyDescent="0.4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 x14ac:dyDescent="0.4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 x14ac:dyDescent="0.35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 x14ac:dyDescent="0.35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 x14ac:dyDescent="0.35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 x14ac:dyDescent="0.35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 x14ac:dyDescent="0.35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 x14ac:dyDescent="0.35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 x14ac:dyDescent="0.35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 x14ac:dyDescent="0.35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 x14ac:dyDescent="0.35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 x14ac:dyDescent="0.35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 x14ac:dyDescent="0.35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 x14ac:dyDescent="0.35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 x14ac:dyDescent="0.4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 x14ac:dyDescent="0.4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 x14ac:dyDescent="0.35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 x14ac:dyDescent="0.35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 x14ac:dyDescent="0.35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 x14ac:dyDescent="0.35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 x14ac:dyDescent="0.35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 x14ac:dyDescent="0.35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 x14ac:dyDescent="0.35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 x14ac:dyDescent="0.35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 x14ac:dyDescent="0.35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 x14ac:dyDescent="0.35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 x14ac:dyDescent="0.35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 x14ac:dyDescent="0.4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 x14ac:dyDescent="0.4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 x14ac:dyDescent="0.35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 x14ac:dyDescent="0.35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 x14ac:dyDescent="0.35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 x14ac:dyDescent="0.35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 x14ac:dyDescent="0.35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 x14ac:dyDescent="0.35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 x14ac:dyDescent="0.35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 x14ac:dyDescent="0.35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 x14ac:dyDescent="0.35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 x14ac:dyDescent="0.35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 x14ac:dyDescent="0.35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 x14ac:dyDescent="0.35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 x14ac:dyDescent="0.4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 x14ac:dyDescent="0.4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 x14ac:dyDescent="0.35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 x14ac:dyDescent="0.35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 x14ac:dyDescent="0.35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 x14ac:dyDescent="0.35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 x14ac:dyDescent="0.35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 x14ac:dyDescent="0.35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 x14ac:dyDescent="0.35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 x14ac:dyDescent="0.35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 x14ac:dyDescent="0.35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 x14ac:dyDescent="0.35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 x14ac:dyDescent="0.35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 x14ac:dyDescent="0.4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 x14ac:dyDescent="0.4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 x14ac:dyDescent="0.35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 x14ac:dyDescent="0.35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 x14ac:dyDescent="0.35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 x14ac:dyDescent="0.35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 x14ac:dyDescent="0.35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 x14ac:dyDescent="0.35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 x14ac:dyDescent="0.35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 x14ac:dyDescent="0.35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 x14ac:dyDescent="0.35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 x14ac:dyDescent="0.35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 x14ac:dyDescent="0.35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 x14ac:dyDescent="0.35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 x14ac:dyDescent="0.4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 x14ac:dyDescent="0.4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 x14ac:dyDescent="0.35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 x14ac:dyDescent="0.35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 x14ac:dyDescent="0.35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 x14ac:dyDescent="0.35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 x14ac:dyDescent="0.35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 x14ac:dyDescent="0.35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 x14ac:dyDescent="0.35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 x14ac:dyDescent="0.35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 x14ac:dyDescent="0.35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 x14ac:dyDescent="0.35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 x14ac:dyDescent="0.35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 x14ac:dyDescent="0.4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 x14ac:dyDescent="0.4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 x14ac:dyDescent="0.35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 x14ac:dyDescent="0.35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 x14ac:dyDescent="0.35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 x14ac:dyDescent="0.35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 x14ac:dyDescent="0.35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 x14ac:dyDescent="0.35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 x14ac:dyDescent="0.35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 x14ac:dyDescent="0.35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 x14ac:dyDescent="0.35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 x14ac:dyDescent="0.35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 x14ac:dyDescent="0.35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 x14ac:dyDescent="0.35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 x14ac:dyDescent="0.4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 x14ac:dyDescent="0.4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 x14ac:dyDescent="0.35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 x14ac:dyDescent="0.35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 x14ac:dyDescent="0.35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 x14ac:dyDescent="0.35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 x14ac:dyDescent="0.35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 x14ac:dyDescent="0.35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 x14ac:dyDescent="0.35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 x14ac:dyDescent="0.35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 x14ac:dyDescent="0.35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 x14ac:dyDescent="0.35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 x14ac:dyDescent="0.35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 x14ac:dyDescent="0.4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 x14ac:dyDescent="0.4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 x14ac:dyDescent="0.35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 x14ac:dyDescent="0.35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 x14ac:dyDescent="0.35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 x14ac:dyDescent="0.35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 x14ac:dyDescent="0.35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 x14ac:dyDescent="0.35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 x14ac:dyDescent="0.35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 x14ac:dyDescent="0.35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 x14ac:dyDescent="0.35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 x14ac:dyDescent="0.35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 x14ac:dyDescent="0.35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 x14ac:dyDescent="0.35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 x14ac:dyDescent="0.4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 x14ac:dyDescent="0.4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 x14ac:dyDescent="0.35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 x14ac:dyDescent="0.35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 x14ac:dyDescent="0.35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 x14ac:dyDescent="0.35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 x14ac:dyDescent="0.35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 x14ac:dyDescent="0.35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 x14ac:dyDescent="0.35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 x14ac:dyDescent="0.35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 x14ac:dyDescent="0.35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 x14ac:dyDescent="0.35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 x14ac:dyDescent="0.35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 x14ac:dyDescent="0.4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 x14ac:dyDescent="0.4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 x14ac:dyDescent="0.35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 x14ac:dyDescent="0.35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 x14ac:dyDescent="0.35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 x14ac:dyDescent="0.35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 x14ac:dyDescent="0.35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 x14ac:dyDescent="0.35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 x14ac:dyDescent="0.35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 x14ac:dyDescent="0.35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 x14ac:dyDescent="0.35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 x14ac:dyDescent="0.35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 x14ac:dyDescent="0.35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 x14ac:dyDescent="0.35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 x14ac:dyDescent="0.4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 x14ac:dyDescent="0.4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 x14ac:dyDescent="0.35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 x14ac:dyDescent="0.35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 x14ac:dyDescent="0.35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 x14ac:dyDescent="0.35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 x14ac:dyDescent="0.35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 x14ac:dyDescent="0.35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 x14ac:dyDescent="0.35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 x14ac:dyDescent="0.35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 x14ac:dyDescent="0.35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 x14ac:dyDescent="0.35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 x14ac:dyDescent="0.35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 x14ac:dyDescent="0.4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 x14ac:dyDescent="0.4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 x14ac:dyDescent="0.35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 x14ac:dyDescent="0.35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 x14ac:dyDescent="0.35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 x14ac:dyDescent="0.35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 x14ac:dyDescent="0.35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 x14ac:dyDescent="0.35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 x14ac:dyDescent="0.35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 x14ac:dyDescent="0.35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 x14ac:dyDescent="0.35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 x14ac:dyDescent="0.35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 x14ac:dyDescent="0.35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 x14ac:dyDescent="0.35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 x14ac:dyDescent="0.4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 x14ac:dyDescent="0.4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 x14ac:dyDescent="0.35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 x14ac:dyDescent="0.35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 x14ac:dyDescent="0.35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 x14ac:dyDescent="0.35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 x14ac:dyDescent="0.35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 x14ac:dyDescent="0.35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 x14ac:dyDescent="0.35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 x14ac:dyDescent="0.35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 x14ac:dyDescent="0.35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 x14ac:dyDescent="0.35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 x14ac:dyDescent="0.35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 x14ac:dyDescent="0.4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 x14ac:dyDescent="0.4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 x14ac:dyDescent="0.35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 x14ac:dyDescent="0.35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 x14ac:dyDescent="0.35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 x14ac:dyDescent="0.35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 x14ac:dyDescent="0.35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 x14ac:dyDescent="0.35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 x14ac:dyDescent="0.35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 x14ac:dyDescent="0.35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 x14ac:dyDescent="0.35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 x14ac:dyDescent="0.35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 x14ac:dyDescent="0.35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 x14ac:dyDescent="0.35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 x14ac:dyDescent="0.4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 x14ac:dyDescent="0.4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 x14ac:dyDescent="0.35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 x14ac:dyDescent="0.35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 x14ac:dyDescent="0.35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 x14ac:dyDescent="0.35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 x14ac:dyDescent="0.35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 x14ac:dyDescent="0.35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 x14ac:dyDescent="0.35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 x14ac:dyDescent="0.35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 x14ac:dyDescent="0.35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 x14ac:dyDescent="0.35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 x14ac:dyDescent="0.35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 x14ac:dyDescent="0.4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 x14ac:dyDescent="0.4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 x14ac:dyDescent="0.35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 x14ac:dyDescent="0.35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 x14ac:dyDescent="0.35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 x14ac:dyDescent="0.35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 x14ac:dyDescent="0.35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 x14ac:dyDescent="0.35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 x14ac:dyDescent="0.35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 x14ac:dyDescent="0.35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 x14ac:dyDescent="0.35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 x14ac:dyDescent="0.35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 x14ac:dyDescent="0.35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 x14ac:dyDescent="0.35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 x14ac:dyDescent="0.4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 x14ac:dyDescent="0.4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 x14ac:dyDescent="0.35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 x14ac:dyDescent="0.35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 x14ac:dyDescent="0.35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 x14ac:dyDescent="0.35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 x14ac:dyDescent="0.35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 x14ac:dyDescent="0.35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 x14ac:dyDescent="0.35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 x14ac:dyDescent="0.35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 x14ac:dyDescent="0.35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 x14ac:dyDescent="0.35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 x14ac:dyDescent="0.35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 x14ac:dyDescent="0.4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 x14ac:dyDescent="0.4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 x14ac:dyDescent="0.35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 x14ac:dyDescent="0.35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 x14ac:dyDescent="0.35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 x14ac:dyDescent="0.35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 x14ac:dyDescent="0.35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 x14ac:dyDescent="0.35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 x14ac:dyDescent="0.35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 x14ac:dyDescent="0.35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 x14ac:dyDescent="0.35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 x14ac:dyDescent="0.35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 x14ac:dyDescent="0.35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 x14ac:dyDescent="0.35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 x14ac:dyDescent="0.4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 x14ac:dyDescent="0.4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 x14ac:dyDescent="0.35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 x14ac:dyDescent="0.35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 x14ac:dyDescent="0.35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 x14ac:dyDescent="0.35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 x14ac:dyDescent="0.35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 x14ac:dyDescent="0.35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 x14ac:dyDescent="0.35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 x14ac:dyDescent="0.35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 x14ac:dyDescent="0.35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 x14ac:dyDescent="0.35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 x14ac:dyDescent="0.35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 x14ac:dyDescent="0.4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 x14ac:dyDescent="0.4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 x14ac:dyDescent="0.35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2026-08-16T13:46:43Z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