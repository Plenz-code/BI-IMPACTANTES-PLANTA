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60" documentId="8_{C51EB6CB-002B-4D6B-B68F-DDEBDB4460C0}" xr6:coauthVersionLast="47" xr6:coauthVersionMax="47" xr10:uidLastSave="{19046EE6-CB09-4CCA-9811-64CC5D4EAE41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<sst xmlns="http://schemas.openxmlformats.org/spreadsheetml/2006/main" count="2645" uniqueCount="267">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</sst>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E107" sqref="E10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229</v>
      </c>
      <c r="G108" s="36">
        <f>SUM(G96:G107)</f>
        <v>1145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538</v>
      </c>
      <c r="G109" s="40">
        <f>G95+G108</f>
        <v>2690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102" sqref="F1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0.92903379629569827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1.0679226851845871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1.1526449074068095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251</v>
      </c>
      <c r="M96" s="30" t="str">
        <f t="shared" ref="M96:M107" ca="1" si="22">IFERROR(IF(K96="","",IF(L96="",MOD(NOW()-K96,1),IF(L96&gt;=K96,L96-K96,L96+1-K96))),"")</f>
        <v/>
      </c>
      <c r="N96" s="46" t="s">
        <v>252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/>
      <c r="M97" s="35">
        <f t="shared" ca="1" si="22"/>
        <v>2.9728240740951151E-2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0</v>
      </c>
      <c r="G98" s="34">
        <f t="shared" si="21"/>
        <v>0</v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25</v>
      </c>
      <c r="G100" s="34">
        <f t="shared" si="21"/>
        <v>105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3</v>
      </c>
      <c r="G101" s="28">
        <f t="shared" si="21"/>
        <v>12.600000000000001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31</v>
      </c>
      <c r="G108" s="36">
        <f>SUM(G96:G107)</f>
        <v>130.19999999999999</v>
      </c>
      <c r="H108" s="37"/>
      <c r="I108" s="37"/>
      <c r="J108" s="37"/>
      <c r="K108" s="37"/>
      <c r="L108" s="37"/>
      <c r="M108" s="38">
        <f ca="1">IFERROR(SUM(M96:M107),"")</f>
        <v>2.9728240740951151E-2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127</v>
      </c>
      <c r="G109" s="40">
        <f>G95+G108</f>
        <v>533.4</v>
      </c>
      <c r="H109" s="41"/>
      <c r="I109" s="41"/>
      <c r="J109" s="41"/>
      <c r="K109" s="41"/>
      <c r="L109" s="41"/>
      <c r="M109" s="42">
        <f ca="1">IFERROR(M95+M108,"")</f>
        <v>0.24639490740761788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78" zoomScale="50" zoomScaleNormal="50" workbookViewId="0">
      <selection activeCell="E103" sqref="E1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/>
      <c r="G97" s="28" t="str">
        <f t="shared" si="21"/>
        <v/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259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7</v>
      </c>
      <c r="G99" s="28">
        <f t="shared" si="21"/>
        <v>29.400000000000002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35</v>
      </c>
      <c r="G108" s="36">
        <f>SUM(G96:G107)</f>
        <v>147</v>
      </c>
      <c r="H108" s="37"/>
      <c r="I108" s="37"/>
      <c r="J108" s="37"/>
      <c r="K108" s="37"/>
      <c r="L108" s="37"/>
      <c r="M108" s="38">
        <f ca="1">IFERROR(SUM(M96:M107),"")</f>
        <v>4.2361111111111072E-2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83</v>
      </c>
      <c r="G109" s="40">
        <f>G95+G108</f>
        <v>348.6</v>
      </c>
      <c r="H109" s="41"/>
      <c r="I109" s="41"/>
      <c r="J109" s="41"/>
      <c r="K109" s="41"/>
      <c r="L109" s="41"/>
      <c r="M109" s="42">
        <f ca="1">IFERROR(M95+M108,"")</f>
        <v>0.19861111111111107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0" activePane="bottomLeft" state="frozen"/>
      <selection pane="bottomLeft" activeCell="F102" sqref="F10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101</v>
      </c>
      <c r="G108" s="36">
        <f>SUM(G96:G107)</f>
        <v>424.2</v>
      </c>
      <c r="H108" s="37"/>
      <c r="I108" s="37"/>
      <c r="J108" s="37"/>
      <c r="K108" s="61"/>
      <c r="L108" s="61"/>
      <c r="M108" s="38">
        <f ca="1">IFERROR(SUM(M96:M107),"")</f>
        <v>1.3194444444444509E-2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284</v>
      </c>
      <c r="G109" s="40">
        <f>G95+G108</f>
        <v>1192.8</v>
      </c>
      <c r="H109" s="41"/>
      <c r="I109" s="41"/>
      <c r="J109" s="41"/>
      <c r="K109" s="63"/>
      <c r="L109" s="63"/>
      <c r="M109" s="42">
        <f ca="1">IFERROR(M95+M108,"")</f>
        <v>5.4166666666666641E-2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2026-08-05T05:12:49Z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