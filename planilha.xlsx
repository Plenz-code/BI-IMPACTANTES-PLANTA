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179" documentId="8_{C51EB6CB-002B-4D6B-B68F-DDEBDB4460C0}" xr6:coauthVersionLast="47" xr6:coauthVersionMax="47" xr10:uidLastSave="{C7C2FA10-05DD-4292-8620-8F7CF0CBD3AA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<sst xmlns="http://schemas.openxmlformats.org/spreadsheetml/2006/main" count="5094" uniqueCount="326">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</sst>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2149680</v>
      </c>
      <c r="D13" s="11">
        <f>IFERROR('Linha 1'!O271,"")</f>
        <v>898190</v>
      </c>
      <c r="E13" s="11">
        <f>IFERROR('Linha 2'!O271,"")</f>
        <v>549440</v>
      </c>
      <c r="F13" s="11">
        <f>IFERROR('Linha 3'!O271,"")</f>
        <v>803560</v>
      </c>
      <c r="G13" s="12">
        <f t="shared" si="0"/>
        <v>2251190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32587190</v>
      </c>
      <c r="D35" s="13">
        <f>IFERROR(SUM(D4:D34),"")</f>
        <v>10551290</v>
      </c>
      <c r="E35" s="13">
        <f>IFERROR(SUM(E4:E34),"")</f>
        <v>5109380</v>
      </c>
      <c r="F35" s="13">
        <f>IFERROR(SUM(F4:F34),"")</f>
        <v>13202780</v>
      </c>
      <c r="G35" s="13">
        <f>IFERROR(SUM(G4:G34),"")</f>
        <v>28863450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34" activePane="bottomLeft" state="frozen"/>
      <selection pane="bottomLeft" activeCell="F266" sqref="F26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120</v>
      </c>
      <c r="G270" s="36">
        <f>SUM(G258:G269)</f>
        <v>600</v>
      </c>
      <c r="H270" s="37"/>
      <c r="I270" s="37"/>
      <c r="J270" s="37"/>
      <c r="K270" s="37"/>
      <c r="L270" s="37"/>
      <c r="M270" s="38">
        <f ca="1">IFERROR(SUM(M258:M269),"")</f>
        <v>5.0000000000000044E-2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404</v>
      </c>
      <c r="G271" s="40">
        <f>G257+G270</f>
        <v>2020</v>
      </c>
      <c r="H271" s="41"/>
      <c r="I271" s="41"/>
      <c r="J271" s="41"/>
      <c r="K271" s="41"/>
      <c r="L271" s="41"/>
      <c r="M271" s="42">
        <f ca="1">IFERROR(M257+M270,"")</f>
        <v>0.10555555555555562</v>
      </c>
      <c r="N271" s="40" t="s">
        <v>240</v>
      </c>
      <c r="O271" s="48">
        <f>IFERROR(O257+O270,"")</f>
        <v>2149680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35" activePane="bottomLeft" state="frozen"/>
      <selection pane="bottomLeft" activeCell="F266" sqref="F26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1.7416319438780192E-2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0.15630520832766909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0.2410274305498914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107</v>
      </c>
      <c r="G270" s="36">
        <f>SUM(G258:G269)</f>
        <v>449.4</v>
      </c>
      <c r="H270" s="37"/>
      <c r="I270" s="37"/>
      <c r="J270" s="37"/>
      <c r="K270" s="37"/>
      <c r="L270" s="37"/>
      <c r="M270" s="38">
        <f ca="1">IFERROR(SUM(M258:M269),"")</f>
        <v>5.8333333333333334E-2</v>
      </c>
      <c r="N270" s="36" t="s">
        <v>236</v>
      </c>
      <c r="O270" s="77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290</v>
      </c>
      <c r="G271" s="40">
        <f>G257+G270</f>
        <v>1274.8</v>
      </c>
      <c r="H271" s="41"/>
      <c r="I271" s="41"/>
      <c r="J271" s="41"/>
      <c r="K271" s="41"/>
      <c r="L271" s="41"/>
      <c r="M271" s="42">
        <f ca="1">IFERROR(M257+M270,"")</f>
        <v>8.5416666666666738E-2</v>
      </c>
      <c r="N271" s="40" t="s">
        <v>240</v>
      </c>
      <c r="O271" s="83">
        <f>IFERROR(O257+O270,"")</f>
        <v>898190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28" zoomScale="50" zoomScaleNormal="50" workbookViewId="0">
      <selection activeCell="N259" sqref="N25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294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296</v>
      </c>
      <c r="M222" s="30" t="str">
        <f t="shared" ca="1" si="49"/>
        <v/>
      </c>
      <c r="N222" s="27" t="s">
        <v>297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298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/>
      <c r="M258" s="30">
        <f t="shared" ref="M258:M269" ca="1" si="58">IFERROR(IF(K258="","",IF(L258="",MOD(NOW()-K258,1),IF(L258&gt;=K258,L258-K258,L258+1-K258))),"")</f>
        <v>4.1721875000803266E-2</v>
      </c>
      <c r="N258" s="27" t="s">
        <v>266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4.1721875000803266E-2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0.10283298611191444</v>
      </c>
      <c r="N271" s="40" t="s">
        <v>240</v>
      </c>
      <c r="O271" s="48">
        <f>IFERROR(O257+O270,"")</f>
        <v>549440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34" activePane="bottomLeft" state="frozen"/>
      <selection pane="bottomLeft" activeCell="F266" sqref="F26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314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315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316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317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318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319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320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321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322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323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290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324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325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116</v>
      </c>
      <c r="G270" s="36">
        <f>SUM(G258:G269)</f>
        <v>487.2</v>
      </c>
      <c r="H270" s="37"/>
      <c r="I270" s="37"/>
      <c r="J270" s="37"/>
      <c r="K270" s="61"/>
      <c r="L270" s="61"/>
      <c r="M270" s="38">
        <f ca="1">IFERROR(SUM(M258:M269),"")</f>
        <v>0.10208333333333328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298</v>
      </c>
      <c r="G271" s="40">
        <f>G257+G270</f>
        <v>1310</v>
      </c>
      <c r="H271" s="41"/>
      <c r="I271" s="41"/>
      <c r="J271" s="41"/>
      <c r="K271" s="63"/>
      <c r="L271" s="63"/>
      <c r="M271" s="42">
        <f ca="1">IFERROR(M257+M270,"")</f>
        <v>0.19375000000000001</v>
      </c>
      <c r="N271" s="40" t="s">
        <v>240</v>
      </c>
      <c r="O271" s="48">
        <f>IFERROR(O257+O270,"")</f>
        <v>803560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2026-08-11T07:20:35Z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