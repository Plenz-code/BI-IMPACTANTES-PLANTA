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40" documentId="13_ncr:1_{0A10D8D4-8450-4366-8075-B53B08E6B7EA}" xr6:coauthVersionLast="47" xr6:coauthVersionMax="47" xr10:uidLastSave="{D09EFB51-810D-450F-8D85-6E354306C442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9" i="6" l="1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<sst xmlns="http://schemas.openxmlformats.org/spreadsheetml/2006/main" count="6153" uniqueCount="342">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</sst>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899060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2497730</v>
      </c>
      <c r="H16" s="96">
        <f>IFERROR('Linha 1'!T352+'Linha 2'!T352+'Linha 3'!T352,0)</f>
        <v>359.67312000000004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15224590</v>
      </c>
      <c r="E35" s="13">
        <f t="shared" si="2"/>
        <v>7516830</v>
      </c>
      <c r="F35" s="13">
        <f t="shared" si="2"/>
        <v>18763480</v>
      </c>
      <c r="G35" s="13">
        <f t="shared" si="2"/>
        <v>41504900</v>
      </c>
      <c r="H35" s="97">
        <f t="shared" si="2"/>
        <v>1042.6382415403104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50" sqref="F35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290</v>
      </c>
      <c r="G351" s="36">
        <f>SUM(G339:G350)</f>
        <v>1450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522</v>
      </c>
      <c r="G352" s="40">
        <f>G338+G351</f>
        <v>2610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6" activePane="bottomLeft" state="frozen"/>
      <selection pane="bottomLeft" activeCell="S352" sqref="S35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0.1642637731420109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0.3031526620308998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0.38787488425312211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3.577412093023256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8.9435302325581389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10.732236279069767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7.154824186046512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12.520942325581395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12.520942325581395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7.751059534883721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7.154824186046512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4.1736474418604645</v>
      </c>
      <c r="K347" s="34">
        <f t="shared" si="79"/>
        <v>29.400000000000002</v>
      </c>
      <c r="L347" s="33" t="s">
        <v>22</v>
      </c>
      <c r="M347" s="33" t="s">
        <v>140</v>
      </c>
      <c r="N347" s="33" t="s">
        <v>54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11.328471627906977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9.539765581395347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7.154824186046512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102.55248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242</v>
      </c>
      <c r="S351" s="45">
        <v>712170</v>
      </c>
      <c r="T351" s="122">
        <f>IFERROR(J351,"")</f>
        <v>102.55248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129.46464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246</v>
      </c>
      <c r="S352" s="143">
        <f>IFERROR(S338+S351,"")</f>
        <v>899060</v>
      </c>
      <c r="T352" s="144">
        <f>IFERROR(J352,"")</f>
        <v>129.46464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51" sqref="G35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 t="s">
        <v>140</v>
      </c>
      <c r="N340" s="26" t="s">
        <v>54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 t="s">
        <v>22</v>
      </c>
      <c r="M341" s="33" t="s">
        <v>140</v>
      </c>
      <c r="N341" s="33" t="s">
        <v>54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4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6"/>
        <v>0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4</v>
      </c>
      <c r="H350" s="137">
        <f>IFERROR(IF($G350="","",$G350*$S$351/$G$351/Cadastro!$E$33),"")</f>
        <v>0</v>
      </c>
      <c r="I350" s="138">
        <f>IFERROR(IF($D350="","",VLOOKUP($D350,Cadastro!$C$4:$G$7,5,FALSE)),"")</f>
        <v>0.6</v>
      </c>
      <c r="J350" s="139">
        <f t="shared" si="76"/>
        <v>0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1" sqref="G35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 t="s">
        <v>25</v>
      </c>
      <c r="M347" s="33" t="s">
        <v>62</v>
      </c>
      <c r="N347" s="33" t="s">
        <v>61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>
        <v>9</v>
      </c>
      <c r="H349" s="134">
        <f>IFERROR(IF($G349="","",$G349*$S$351/$G$351/Cadastro!$E$33),"")</f>
        <v>0</v>
      </c>
      <c r="I349" s="135">
        <f>IFERROR(IF($D349="","",VLOOKUP($D349,Cadastro!$C$4:$G$7,5,FALSE)),"")</f>
        <v>0.6</v>
      </c>
      <c r="J349" s="136">
        <f t="shared" si="78"/>
        <v>0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>
        <v>15</v>
      </c>
      <c r="H350" s="137">
        <f>IFERROR(IF($G350="","",$G350*$S$351/$G$351/Cadastro!$E$33),"")</f>
        <v>0</v>
      </c>
      <c r="I350" s="138">
        <f>IFERROR(IF($D350="","",VLOOKUP($D350,Cadastro!$C$4:$G$7,5,FALSE)),"")</f>
        <v>0.6</v>
      </c>
      <c r="J350" s="139">
        <f t="shared" si="78"/>
        <v>0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2026-08-14T10:51:43Z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