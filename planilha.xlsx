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10" documentId="13_ncr:1_{0A10D8D4-8450-4366-8075-B53B08E6B7EA}" xr6:coauthVersionLast="47" xr6:coauthVersionMax="47" xr10:uidLastSave="{30553885-A442-4519-8F01-B66F85EEF8D3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51" i="6" s="1"/>
  <c r="J451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51" i="5" s="1"/>
  <c r="J451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51" i="4" s="1"/>
  <c r="J451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<sst xmlns="http://schemas.openxmlformats.org/spreadsheetml/2006/main" count="7726" uniqueCount="369">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</sst>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F452" sqref="F45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5.8550462963466998E-2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162</v>
      </c>
      <c r="G459" s="36">
        <f>SUM(G447:G458)</f>
        <v>810</v>
      </c>
      <c r="H459" s="37"/>
      <c r="I459" s="37"/>
      <c r="J459" s="37"/>
      <c r="K459" s="37"/>
      <c r="L459" s="37"/>
      <c r="M459" s="38">
        <f ca="1">IFERROR(SUM(M447:M458),"")</f>
        <v>9.6744907407911529E-2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330</v>
      </c>
      <c r="G460" s="40">
        <f>G446+G459</f>
        <v>1650</v>
      </c>
      <c r="H460" s="41"/>
      <c r="I460" s="41"/>
      <c r="J460" s="41"/>
      <c r="K460" s="41"/>
      <c r="L460" s="41"/>
      <c r="M460" s="42">
        <f ca="1">IFERROR(M446+M459,"")</f>
        <v>0.22521712963013385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M449" sqref="M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0.89882824073720258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1.0377171296260914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1.1224393518483138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67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291.8</v>
      </c>
      <c r="L459" s="37"/>
      <c r="M459" s="37"/>
      <c r="N459" s="37"/>
      <c r="O459" s="37"/>
      <c r="P459" s="37"/>
      <c r="Q459" s="38">
        <f ca="1">IFERROR(SUM(Q447:Q458),"")</f>
        <v>2.2916666666666585E-2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179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762.2</v>
      </c>
      <c r="L460" s="41"/>
      <c r="M460" s="41"/>
      <c r="N460" s="41"/>
      <c r="O460" s="41"/>
      <c r="P460" s="41"/>
      <c r="Q460" s="42">
        <f ca="1">IFERROR(Q446+Q459,"")</f>
        <v>9.027777777777779E-2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R449" sqref="R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206</v>
      </c>
      <c r="O449" s="29">
        <v>2.0833333333333333E-3</v>
      </c>
      <c r="P449" s="29"/>
      <c r="Q449" s="35">
        <f t="shared" ca="1" si="110"/>
        <v>1.8272685185365845E-2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214.19999999999996</v>
      </c>
      <c r="L459" s="37"/>
      <c r="M459" s="37"/>
      <c r="N459" s="37"/>
      <c r="O459" s="37"/>
      <c r="P459" s="37"/>
      <c r="Q459" s="38">
        <f ca="1">IFERROR(SUM(Q447:Q458),"")</f>
        <v>3.2161574074254684E-2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571.20000000000005</v>
      </c>
      <c r="L460" s="41"/>
      <c r="M460" s="41"/>
      <c r="N460" s="41"/>
      <c r="O460" s="41"/>
      <c r="P460" s="41"/>
      <c r="Q460" s="42">
        <f ca="1">IFERROR(Q446+Q459,"")</f>
        <v>7.7300462963143579E-2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N448" sqref="N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27</v>
      </c>
      <c r="M448" s="26" t="s">
        <v>64</v>
      </c>
      <c r="N448" s="26" t="s">
        <v>35</v>
      </c>
      <c r="O448" s="29">
        <v>1.9444444444444445E-2</v>
      </c>
      <c r="P448" s="29"/>
      <c r="Q448" s="30">
        <f t="shared" ca="1" si="112"/>
        <v>9.1157407587161288E-4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126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529.19999999999993</v>
      </c>
      <c r="L459" s="37"/>
      <c r="M459" s="37"/>
      <c r="N459" s="37"/>
      <c r="O459" s="61"/>
      <c r="P459" s="61"/>
      <c r="Q459" s="38">
        <f ca="1">IFERROR(SUM(Q447:Q458),"")</f>
        <v>2.5217129631427193E-2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309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1297.8000000000002</v>
      </c>
      <c r="L460" s="41"/>
      <c r="M460" s="41"/>
      <c r="N460" s="41"/>
      <c r="O460" s="63"/>
      <c r="P460" s="63"/>
      <c r="Q460" s="42">
        <f ca="1">IFERROR(Q446+Q459,"")</f>
        <v>6.1328240742538287E-2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