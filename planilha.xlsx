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638" documentId="8_{AF585B22-221D-4780-BB9C-493D365A6A02}" xr6:coauthVersionLast="47" xr6:coauthVersionMax="47" xr10:uidLastSave="{DCBF2AAC-3823-403F-BCE3-1300CBB1D089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<sst xmlns="http://schemas.openxmlformats.org/spreadsheetml/2006/main" count="2018" uniqueCount="218">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</sst>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8" zoomScale="85" zoomScaleNormal="85" workbookViewId="0">
      <selection activeCell="K54" sqref="K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174</v>
      </c>
      <c r="L48" s="16"/>
      <c r="M48" s="16"/>
    </row>
    <row r="49" spans="1:13" ht="18" customHeight="1">
      <c r="H49" s="92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177</v>
      </c>
      <c r="L50" s="16"/>
      <c r="M50" s="16"/>
    </row>
    <row r="51" spans="1:13" ht="24" customHeight="1">
      <c r="H51" s="92"/>
      <c r="I51" s="17"/>
      <c r="J51" s="17"/>
      <c r="K51" s="17" t="s">
        <v>178</v>
      </c>
      <c r="L51" s="17"/>
      <c r="M51" s="17"/>
    </row>
    <row r="52" spans="1:13" ht="24" customHeight="1">
      <c r="H52" s="92"/>
      <c r="I52" s="16"/>
      <c r="J52" s="16"/>
      <c r="K52" s="16" t="s">
        <v>179</v>
      </c>
      <c r="L52" s="16"/>
      <c r="M52" s="16"/>
    </row>
    <row r="53" spans="1:13" ht="36" customHeight="1">
      <c r="H53" s="92"/>
      <c r="I53" s="17"/>
      <c r="J53" s="17"/>
      <c r="K53" s="17" t="s">
        <v>180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60" activePane="bottomLeft" state="frozen"/>
      <selection pane="bottomLeft" activeCell="K70" sqref="K7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191</v>
      </c>
      <c r="E2" s="59" t="s">
        <v>192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194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196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195</v>
      </c>
      <c r="O27" s="39">
        <v>1183060</v>
      </c>
    </row>
    <row r="28" spans="1:15" ht="18" customHeight="1">
      <c r="A28" s="85" t="s">
        <v>197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194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196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195</v>
      </c>
      <c r="O54" s="39">
        <v>959290</v>
      </c>
    </row>
    <row r="55" spans="1:15" ht="18" customHeight="1">
      <c r="A55" s="85" t="s">
        <v>197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194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/>
      <c r="K69" s="29">
        <v>0.98611111111111116</v>
      </c>
      <c r="L69" s="29"/>
      <c r="M69" s="35">
        <f t="shared" ref="M69:M80" ca="1" si="16">IFERROR(IF(K69="","",IF(L69="",MOD(NOW()-K69,1),IF(L69&gt;=K69,L69-K69,L69+1-K69))),"")</f>
        <v>2.1637731479131617E-3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192</v>
      </c>
      <c r="F70" s="27">
        <v>12</v>
      </c>
      <c r="G70" s="28">
        <f t="shared" si="15"/>
        <v>60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192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192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192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192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192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192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192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192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196</v>
      </c>
      <c r="B81" s="83"/>
      <c r="C81" s="83"/>
      <c r="D81" s="83"/>
      <c r="E81" s="84">
        <f>SUM(E69:E80)</f>
        <v>0</v>
      </c>
      <c r="F81" s="36">
        <f>SUM(F69:F80)</f>
        <v>78</v>
      </c>
      <c r="G81" s="36">
        <f>SUM(G69:G80)</f>
        <v>390</v>
      </c>
      <c r="H81" s="37"/>
      <c r="I81" s="37"/>
      <c r="J81" s="37"/>
      <c r="K81" s="37"/>
      <c r="L81" s="37"/>
      <c r="M81" s="38">
        <f ca="1">IFERROR(SUM(M69:M80),"")</f>
        <v>2.1637731479131617E-3</v>
      </c>
      <c r="N81" s="36" t="s">
        <v>195</v>
      </c>
      <c r="O81" s="39"/>
    </row>
    <row r="82" spans="1:15" ht="18" customHeight="1">
      <c r="A82" s="85" t="s">
        <v>197</v>
      </c>
      <c r="B82" s="86"/>
      <c r="C82" s="86"/>
      <c r="D82" s="86"/>
      <c r="E82" s="87">
        <f>E68+E81</f>
        <v>0</v>
      </c>
      <c r="F82" s="40">
        <f>F68+F81</f>
        <v>447</v>
      </c>
      <c r="G82" s="40">
        <f>G68+G81</f>
        <v>2235</v>
      </c>
      <c r="H82" s="41"/>
      <c r="I82" s="41"/>
      <c r="J82" s="41"/>
      <c r="K82" s="41"/>
      <c r="L82" s="41"/>
      <c r="M82" s="42">
        <f ca="1">IFERROR(M68+M81,"")</f>
        <v>2.1637731479131617E-3</v>
      </c>
      <c r="N82" s="40" t="s">
        <v>198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194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196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5" t="s">
        <v>197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194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196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5" t="s">
        <v>197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194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196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44"/>
    </row>
    <row r="163" spans="1:15" ht="18" customHeight="1">
      <c r="A163" s="85" t="s">
        <v>197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194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196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5" t="s">
        <v>197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194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196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5" t="s">
        <v>197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194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196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5" t="s">
        <v>197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194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196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5" t="s">
        <v>197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194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196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5" t="s">
        <v>197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194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196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5" t="s">
        <v>197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194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196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5" t="s">
        <v>197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194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196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5" t="s">
        <v>197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194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196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5" t="s">
        <v>197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194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196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5" t="s">
        <v>197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194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196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5" t="s">
        <v>197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194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196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5" t="s">
        <v>197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194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196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5" t="s">
        <v>197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194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196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5" t="s">
        <v>197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194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196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5" t="s">
        <v>197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194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196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5" t="s">
        <v>197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194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196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5" t="s">
        <v>197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194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196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5" t="s">
        <v>197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194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196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5" t="s">
        <v>197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194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196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5" t="s">
        <v>197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194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196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5" t="s">
        <v>197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194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196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5" t="s">
        <v>197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194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196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5" t="s">
        <v>197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194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196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5" t="s">
        <v>197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" activePane="bottomLeft" state="frozen"/>
      <selection pane="bottomLeft" activeCell="F73" sqref="F7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194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196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195</v>
      </c>
      <c r="O27" s="78">
        <v>393200</v>
      </c>
    </row>
    <row r="28" spans="1:15" ht="18" customHeight="1">
      <c r="A28" s="85" t="s">
        <v>197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198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194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195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200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196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195</v>
      </c>
      <c r="O54" s="80">
        <v>276360</v>
      </c>
    </row>
    <row r="55" spans="1:15" ht="18" customHeight="1">
      <c r="A55" s="85" t="s">
        <v>197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198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194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195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>
        <v>18</v>
      </c>
      <c r="G70" s="28">
        <f t="shared" si="15"/>
        <v>75.600000000000009</v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196</v>
      </c>
      <c r="B81" s="83"/>
      <c r="C81" s="83"/>
      <c r="D81" s="83"/>
      <c r="E81" s="84">
        <f>SUM(E69:E80)</f>
        <v>0</v>
      </c>
      <c r="F81" s="36">
        <f>SUM(F69:F80)</f>
        <v>52</v>
      </c>
      <c r="G81" s="36">
        <f>SUM(G69:G80)</f>
        <v>218.39999999999998</v>
      </c>
      <c r="H81" s="37"/>
      <c r="I81" s="37"/>
      <c r="J81" s="37"/>
      <c r="K81" s="37"/>
      <c r="L81" s="37"/>
      <c r="M81" s="38">
        <f ca="1">IFERROR(SUM(M69:M80),"")</f>
        <v>9.0277777777777457E-3</v>
      </c>
      <c r="N81" s="36" t="s">
        <v>195</v>
      </c>
      <c r="O81" s="54"/>
    </row>
    <row r="82" spans="1:15" ht="18" customHeight="1">
      <c r="A82" s="85" t="s">
        <v>197</v>
      </c>
      <c r="B82" s="86"/>
      <c r="C82" s="86"/>
      <c r="D82" s="86"/>
      <c r="E82" s="87">
        <f>E68+E81</f>
        <v>0</v>
      </c>
      <c r="F82" s="40">
        <f>F68+F81</f>
        <v>52</v>
      </c>
      <c r="G82" s="40">
        <f>G68+G81</f>
        <v>218.39999999999998</v>
      </c>
      <c r="H82" s="41"/>
      <c r="I82" s="41"/>
      <c r="J82" s="41"/>
      <c r="K82" s="41"/>
      <c r="L82" s="41"/>
      <c r="M82" s="42">
        <f ca="1">IFERROR(M68+M81,"")</f>
        <v>0.44652777777777763</v>
      </c>
      <c r="N82" s="40" t="s">
        <v>198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194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196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54"/>
    </row>
    <row r="109" spans="1:15" ht="18" customHeight="1">
      <c r="A109" s="85" t="s">
        <v>197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194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196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54"/>
    </row>
    <row r="136" spans="1:15" ht="18" customHeight="1">
      <c r="A136" s="85" t="s">
        <v>197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194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196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54"/>
    </row>
    <row r="163" spans="1:15" ht="18" customHeight="1">
      <c r="A163" s="85" t="s">
        <v>197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194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196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5" t="s">
        <v>197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194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196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5" t="s">
        <v>197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194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196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5" t="s">
        <v>197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194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196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5" t="s">
        <v>197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194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196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5" t="s">
        <v>197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194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196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5" t="s">
        <v>197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194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196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5" t="s">
        <v>197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194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196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5" t="s">
        <v>197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194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196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5" t="s">
        <v>197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194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196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5" t="s">
        <v>197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194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196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5" t="s">
        <v>197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194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196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5" t="s">
        <v>197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194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196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5" t="s">
        <v>197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194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196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5" t="s">
        <v>197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194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196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5" t="s">
        <v>197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194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196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5" t="s">
        <v>197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194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196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5" t="s">
        <v>197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194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196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5" t="s">
        <v>197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194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196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5" t="s">
        <v>197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194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196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5" t="s">
        <v>197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194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196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5" t="s">
        <v>197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194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196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5" t="s">
        <v>197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194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196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5" t="s">
        <v>197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194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196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5" t="s">
        <v>197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58" activePane="bottomLeft" state="frozen"/>
      <selection pane="bottomLeft" activeCell="F73" sqref="F7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194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196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195</v>
      </c>
      <c r="O27" s="39">
        <v>308500</v>
      </c>
    </row>
    <row r="28" spans="1:15" ht="18" customHeight="1">
      <c r="A28" s="85" t="s">
        <v>197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194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196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195</v>
      </c>
      <c r="O54" s="39">
        <v>124290</v>
      </c>
    </row>
    <row r="55" spans="1:15" ht="18" customHeight="1">
      <c r="A55" s="85" t="s">
        <v>197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194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14</v>
      </c>
      <c r="G69" s="34">
        <f t="shared" ref="G69:G80" si="15">IF(F69="","",IF(E69="PC 17",F69*4.2,IF(E69="PC 19",F69*5,"")))</f>
        <v>58.800000000000004</v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>
        <v>11</v>
      </c>
      <c r="G70" s="28">
        <f t="shared" si="15"/>
        <v>46.2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196</v>
      </c>
      <c r="B81" s="83"/>
      <c r="C81" s="83"/>
      <c r="D81" s="83"/>
      <c r="E81" s="84">
        <f>SUM(E69:E80)</f>
        <v>0</v>
      </c>
      <c r="F81" s="36">
        <f>SUM(F69:F80)</f>
        <v>41</v>
      </c>
      <c r="G81" s="36">
        <f>SUM(G69:G80)</f>
        <v>172.20000000000002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39"/>
    </row>
    <row r="82" spans="1:15" ht="18" customHeight="1">
      <c r="A82" s="85" t="s">
        <v>197</v>
      </c>
      <c r="B82" s="86"/>
      <c r="C82" s="86"/>
      <c r="D82" s="86"/>
      <c r="E82" s="87">
        <f>E68+E81</f>
        <v>0</v>
      </c>
      <c r="F82" s="40">
        <f>F68+F81</f>
        <v>145</v>
      </c>
      <c r="G82" s="40">
        <f>G68+G81</f>
        <v>609</v>
      </c>
      <c r="H82" s="41"/>
      <c r="I82" s="41"/>
      <c r="J82" s="41"/>
      <c r="K82" s="41"/>
      <c r="L82" s="41"/>
      <c r="M82" s="42">
        <f ca="1">IFERROR(M68+M81,"")</f>
        <v>7.2222222222222132E-2</v>
      </c>
      <c r="N82" s="40" t="s">
        <v>198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194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196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5" t="s">
        <v>197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194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196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5" t="s">
        <v>197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194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196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39"/>
    </row>
    <row r="163" spans="1:15" ht="18" customHeight="1">
      <c r="A163" s="85" t="s">
        <v>197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194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196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5" t="s">
        <v>197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194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196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39"/>
    </row>
    <row r="217" spans="1:15" ht="18" customHeight="1">
      <c r="A217" s="85" t="s">
        <v>197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194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196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5" t="s">
        <v>197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194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196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5" t="s">
        <v>197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194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196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5" t="s">
        <v>197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194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196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5" t="s">
        <v>197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194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196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5" t="s">
        <v>197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194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196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5" t="s">
        <v>197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194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196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5" t="s">
        <v>197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194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196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5" t="s">
        <v>197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194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196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5" t="s">
        <v>197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194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196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5" t="s">
        <v>197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194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196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5" t="s">
        <v>197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194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196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5" t="s">
        <v>197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194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196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5" t="s">
        <v>197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194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196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5" t="s">
        <v>197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194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196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5" t="s">
        <v>197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194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196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5" t="s">
        <v>197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194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196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5" t="s">
        <v>197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194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196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5" t="s">
        <v>197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194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196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5" t="s">
        <v>197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194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196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5" t="s">
        <v>197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194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196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5" t="s">
        <v>197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194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196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5" t="s">
        <v>197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D55" activePane="bottomLeft" state="frozen"/>
      <selection pane="bottomLeft" activeCell="L74" sqref="L7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194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196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195</v>
      </c>
      <c r="O27" s="39">
        <v>202230</v>
      </c>
    </row>
    <row r="28" spans="1:15" ht="18" customHeight="1">
      <c r="A28" s="85" t="s">
        <v>197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194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196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195</v>
      </c>
      <c r="O54" s="39">
        <v>473910</v>
      </c>
    </row>
    <row r="55" spans="1:15" ht="18" customHeight="1">
      <c r="A55" s="85" t="s">
        <v>197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214</v>
      </c>
      <c r="L58" s="29">
        <v>0.54097222222222219</v>
      </c>
      <c r="M58" s="30" t="str">
        <f t="shared" ca="1" si="13"/>
        <v/>
      </c>
      <c r="N58" s="27" t="s">
        <v>215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194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180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216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217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>IF(F75="","",IF(E75="PC 17",F75*4.2,IF(E75="PC 19",F75*5,"")))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196</v>
      </c>
      <c r="B81" s="83"/>
      <c r="C81" s="83"/>
      <c r="D81" s="83"/>
      <c r="E81" s="84">
        <f>SUM(E69:E80)</f>
        <v>0</v>
      </c>
      <c r="F81" s="36">
        <f>SUM(F69:F80)</f>
        <v>67</v>
      </c>
      <c r="G81" s="36">
        <f>SUM(G69:G80)</f>
        <v>281.39999999999998</v>
      </c>
      <c r="H81" s="37"/>
      <c r="I81" s="37"/>
      <c r="J81" s="37"/>
      <c r="K81" s="61"/>
      <c r="L81" s="61"/>
      <c r="M81" s="38">
        <f ca="1">IFERROR(SUM(M69:M80),"")</f>
        <v>9.444444444444422E-2</v>
      </c>
      <c r="N81" s="36" t="s">
        <v>195</v>
      </c>
      <c r="O81" s="39"/>
    </row>
    <row r="82" spans="1:15" ht="18" customHeight="1">
      <c r="A82" s="85" t="s">
        <v>197</v>
      </c>
      <c r="B82" s="86"/>
      <c r="C82" s="86"/>
      <c r="D82" s="86"/>
      <c r="E82" s="87">
        <f>E68+E81</f>
        <v>0</v>
      </c>
      <c r="F82" s="40">
        <f>F68+F81</f>
        <v>262</v>
      </c>
      <c r="G82" s="40">
        <f>G68+G81</f>
        <v>1100.4000000000001</v>
      </c>
      <c r="H82" s="41"/>
      <c r="I82" s="41"/>
      <c r="J82" s="41"/>
      <c r="K82" s="63"/>
      <c r="L82" s="63"/>
      <c r="M82" s="42">
        <f ca="1">IFERROR(M68+M81,"")</f>
        <v>0.15416666666666645</v>
      </c>
      <c r="N82" s="40" t="s">
        <v>198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194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196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5" t="s">
        <v>197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198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194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196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5" t="s">
        <v>197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198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194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196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195</v>
      </c>
      <c r="O162" s="39"/>
    </row>
    <row r="163" spans="1:15" ht="18" customHeight="1">
      <c r="A163" s="85" t="s">
        <v>197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194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196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5" t="s">
        <v>197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194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196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5" t="s">
        <v>197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194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196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5" t="s">
        <v>197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194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196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5" t="s">
        <v>197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194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196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5" t="s">
        <v>197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194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196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5" t="s">
        <v>197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194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196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5" t="s">
        <v>197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194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196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5" t="s">
        <v>197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194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196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5" t="s">
        <v>197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194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196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195</v>
      </c>
      <c r="O432" s="39"/>
    </row>
    <row r="433" spans="1:17" ht="18" customHeight="1">
      <c r="A433" s="85" t="s">
        <v>197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194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196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5" t="s">
        <v>197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194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196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5" t="s">
        <v>197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194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196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5" t="s">
        <v>197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194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196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5" t="s">
        <v>197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194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196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5" t="s">
        <v>197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194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196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5" t="s">
        <v>197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194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196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5" t="s">
        <v>197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194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196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5" t="s">
        <v>197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194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196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5" t="s">
        <v>197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194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196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5" t="s">
        <v>197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194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196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5" t="s">
        <v>197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194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196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5" t="s">
        <v>197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194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196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5" t="s">
        <v>197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194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196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5" t="s">
        <v>197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2026-07-04T03:43:18Z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