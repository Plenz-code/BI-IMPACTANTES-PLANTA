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18" documentId="8_{AF585B22-221D-4780-BB9C-493D365A6A02}" xr6:coauthVersionLast="47" xr6:coauthVersionMax="47" xr10:uidLastSave="{BBE1A325-FE11-4554-B6B4-8F50C314870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<sst xmlns="http://schemas.openxmlformats.org/spreadsheetml/2006/main" count="10542" uniqueCount="399">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</sst>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91" sqref="N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/>
      <c r="M690" s="30">
        <f t="shared" ref="M690:M701" ca="1" si="154">IFERROR(IF(K690="","",IF(L690="",MOD(NOW()-K690,1),IF(L690&gt;=K690,L690-K690,L690+1-K690))),"")</f>
        <v>0.1027714120427845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0.1027714120427845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0.29513252315389554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9" activePane="bottomLeft" state="frozen"/>
      <selection pane="bottomLeft" activeCell="E692" sqref="E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0.6861047453712672</v>
      </c>
      <c r="N377" s="46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0.84374363426015608</v>
      </c>
      <c r="N378" s="36" t="s">
        <v>233</v>
      </c>
      <c r="O378" s="77">
        <v>511980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0.95346585648237825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0.66457696759607643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0.83541030092940982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0.98054918981829875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/>
      <c r="F680" s="101"/>
      <c r="G680" s="101"/>
      <c r="H680" s="101"/>
      <c r="I680" s="102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0.1861047453712672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/>
      <c r="B689" s="101"/>
      <c r="C689" s="101"/>
      <c r="D689" s="101"/>
      <c r="E689" s="102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10.304854745371268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34</v>
      </c>
      <c r="G702" s="36">
        <f>SUM(G690:G701)</f>
        <v>158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163</v>
      </c>
      <c r="G703" s="40">
        <f>G689+G702</f>
        <v>699.80000000000007</v>
      </c>
      <c r="H703" s="41"/>
      <c r="I703" s="41"/>
      <c r="J703" s="41"/>
      <c r="K703" s="41"/>
      <c r="L703" s="41"/>
      <c r="M703" s="42">
        <f ca="1">IFERROR(M689+M702,"")</f>
        <v>10.309715856482379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3" sqref="F6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232</v>
      </c>
      <c r="B338" s="101"/>
      <c r="C338" s="101"/>
      <c r="D338" s="101"/>
      <c r="E338" s="102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232</v>
      </c>
      <c r="B365" s="101"/>
      <c r="C365" s="101"/>
      <c r="D365" s="101"/>
      <c r="E365" s="102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14</v>
      </c>
      <c r="G702" s="36">
        <f>SUM(G690:G701)</f>
        <v>62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144</v>
      </c>
      <c r="G703" s="40">
        <f>G689+G702</f>
        <v>608.00000000000011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9" activePane="bottomLeft" state="frozen"/>
      <selection pane="bottomLeft" activeCell="N692" sqref="N6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232</v>
      </c>
      <c r="B14" s="101"/>
      <c r="C14" s="101"/>
      <c r="D14" s="101"/>
      <c r="E14" s="10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234</v>
      </c>
      <c r="B27" s="101"/>
      <c r="C27" s="101"/>
      <c r="D27" s="101"/>
      <c r="E27" s="10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232</v>
      </c>
      <c r="B41" s="101"/>
      <c r="C41" s="101"/>
      <c r="D41" s="101"/>
      <c r="E41" s="10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234</v>
      </c>
      <c r="B54" s="101"/>
      <c r="C54" s="101"/>
      <c r="D54" s="101"/>
      <c r="E54" s="10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232</v>
      </c>
      <c r="B68" s="101"/>
      <c r="C68" s="101"/>
      <c r="D68" s="101"/>
      <c r="E68" s="10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234</v>
      </c>
      <c r="B81" s="101"/>
      <c r="C81" s="101"/>
      <c r="D81" s="101"/>
      <c r="E81" s="10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232</v>
      </c>
      <c r="B95" s="101"/>
      <c r="C95" s="101"/>
      <c r="D95" s="101"/>
      <c r="E95" s="10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234</v>
      </c>
      <c r="B108" s="101"/>
      <c r="C108" s="101"/>
      <c r="D108" s="101"/>
      <c r="E108" s="10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232</v>
      </c>
      <c r="B122" s="101"/>
      <c r="C122" s="101"/>
      <c r="D122" s="101"/>
      <c r="E122" s="10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0.67638252315373393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234</v>
      </c>
      <c r="B135" s="101"/>
      <c r="C135" s="101"/>
      <c r="D135" s="101"/>
      <c r="E135" s="10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0.87568807870928955</v>
      </c>
      <c r="N135" s="36" t="s">
        <v>233</v>
      </c>
      <c r="O135" s="39">
        <v>729290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1.2430491898204006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232</v>
      </c>
      <c r="B149" s="101"/>
      <c r="C149" s="101"/>
      <c r="D149" s="101"/>
      <c r="E149" s="10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234</v>
      </c>
      <c r="B162" s="101"/>
      <c r="C162" s="101"/>
      <c r="D162" s="101"/>
      <c r="E162" s="10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232</v>
      </c>
      <c r="B176" s="101"/>
      <c r="C176" s="101"/>
      <c r="D176" s="101"/>
      <c r="E176" s="10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234</v>
      </c>
      <c r="B189" s="101"/>
      <c r="C189" s="101"/>
      <c r="D189" s="101"/>
      <c r="E189" s="102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232</v>
      </c>
      <c r="B203" s="101"/>
      <c r="C203" s="101"/>
      <c r="D203" s="101"/>
      <c r="E203" s="102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234</v>
      </c>
      <c r="B216" s="101"/>
      <c r="C216" s="101"/>
      <c r="D216" s="101"/>
      <c r="E216" s="102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232</v>
      </c>
      <c r="B230" s="101"/>
      <c r="C230" s="101"/>
      <c r="D230" s="101"/>
      <c r="E230" s="102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234</v>
      </c>
      <c r="B243" s="101"/>
      <c r="C243" s="101"/>
      <c r="D243" s="101"/>
      <c r="E243" s="102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232</v>
      </c>
      <c r="B257" s="101"/>
      <c r="C257" s="101"/>
      <c r="D257" s="101"/>
      <c r="E257" s="102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234</v>
      </c>
      <c r="B270" s="101"/>
      <c r="C270" s="101"/>
      <c r="D270" s="101"/>
      <c r="E270" s="102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232</v>
      </c>
      <c r="B284" s="101"/>
      <c r="C284" s="101"/>
      <c r="D284" s="101"/>
      <c r="E284" s="102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234</v>
      </c>
      <c r="B297" s="101"/>
      <c r="C297" s="101"/>
      <c r="D297" s="101"/>
      <c r="E297" s="102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232</v>
      </c>
      <c r="B311" s="101"/>
      <c r="C311" s="101"/>
      <c r="D311" s="101"/>
      <c r="E311" s="102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234</v>
      </c>
      <c r="B324" s="101"/>
      <c r="C324" s="101"/>
      <c r="D324" s="101"/>
      <c r="E324" s="102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232</v>
      </c>
      <c r="B338" s="101"/>
      <c r="C338" s="101"/>
      <c r="D338" s="101"/>
      <c r="E338" s="102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234</v>
      </c>
      <c r="B351" s="101"/>
      <c r="C351" s="101"/>
      <c r="D351" s="101"/>
      <c r="E351" s="102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0" t="s">
        <v>234</v>
      </c>
      <c r="B378" s="101"/>
      <c r="C378" s="101"/>
      <c r="D378" s="101"/>
      <c r="E378" s="102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232</v>
      </c>
      <c r="B392" s="101"/>
      <c r="C392" s="101"/>
      <c r="D392" s="101"/>
      <c r="E392" s="102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234</v>
      </c>
      <c r="B405" s="101"/>
      <c r="C405" s="101"/>
      <c r="D405" s="101"/>
      <c r="E405" s="102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232</v>
      </c>
      <c r="B419" s="101"/>
      <c r="C419" s="101"/>
      <c r="D419" s="101"/>
      <c r="E419" s="102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234</v>
      </c>
      <c r="B432" s="101"/>
      <c r="C432" s="101"/>
      <c r="D432" s="101"/>
      <c r="E432" s="102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232</v>
      </c>
      <c r="B446" s="101"/>
      <c r="C446" s="101"/>
      <c r="D446" s="101"/>
      <c r="E446" s="102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234</v>
      </c>
      <c r="B459" s="101"/>
      <c r="C459" s="101"/>
      <c r="D459" s="101"/>
      <c r="E459" s="102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232</v>
      </c>
      <c r="B473" s="101"/>
      <c r="C473" s="101"/>
      <c r="D473" s="101"/>
      <c r="E473" s="102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234</v>
      </c>
      <c r="B486" s="101"/>
      <c r="C486" s="101"/>
      <c r="D486" s="101"/>
      <c r="E486" s="102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232</v>
      </c>
      <c r="B500" s="101"/>
      <c r="C500" s="101"/>
      <c r="D500" s="101"/>
      <c r="E500" s="102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234</v>
      </c>
      <c r="B513" s="101"/>
      <c r="C513" s="101"/>
      <c r="D513" s="101"/>
      <c r="E513" s="102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232</v>
      </c>
      <c r="B527" s="101"/>
      <c r="C527" s="101"/>
      <c r="D527" s="101"/>
      <c r="E527" s="102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234</v>
      </c>
      <c r="B540" s="101"/>
      <c r="C540" s="101"/>
      <c r="D540" s="101"/>
      <c r="E540" s="102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232</v>
      </c>
      <c r="B554" s="101"/>
      <c r="C554" s="101"/>
      <c r="D554" s="101"/>
      <c r="E554" s="102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234</v>
      </c>
      <c r="B567" s="101"/>
      <c r="C567" s="101"/>
      <c r="D567" s="101"/>
      <c r="E567" s="102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232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0" t="s">
        <v>234</v>
      </c>
      <c r="B594" s="101"/>
      <c r="C594" s="101"/>
      <c r="D594" s="101"/>
      <c r="E594" s="102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232</v>
      </c>
      <c r="B608" s="101"/>
      <c r="C608" s="101"/>
      <c r="D608" s="101"/>
      <c r="E608" s="102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234</v>
      </c>
      <c r="B621" s="101"/>
      <c r="C621" s="101"/>
      <c r="D621" s="101"/>
      <c r="E621" s="102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232</v>
      </c>
      <c r="B635" s="101"/>
      <c r="C635" s="101"/>
      <c r="D635" s="101"/>
      <c r="E635" s="102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234</v>
      </c>
      <c r="B648" s="101"/>
      <c r="C648" s="101"/>
      <c r="D648" s="101"/>
      <c r="E648" s="102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232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234</v>
      </c>
      <c r="B675" s="101"/>
      <c r="C675" s="101"/>
      <c r="D675" s="101"/>
      <c r="E675" s="102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232</v>
      </c>
      <c r="B689" s="101"/>
      <c r="C689" s="101"/>
      <c r="D689" s="101"/>
      <c r="E689" s="102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234</v>
      </c>
      <c r="B702" s="101"/>
      <c r="C702" s="101"/>
      <c r="D702" s="101"/>
      <c r="E702" s="102">
        <f>SUM(E690:E701)</f>
        <v>0</v>
      </c>
      <c r="F702" s="36">
        <f>SUM(F690:F701)</f>
        <v>51</v>
      </c>
      <c r="G702" s="36">
        <f>SUM(G690:G701)</f>
        <v>234.2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250</v>
      </c>
      <c r="G703" s="40">
        <f>G689+G702</f>
        <v>998.59999999999991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232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234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232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234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232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234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232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234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2026-07-27T02:13:14Z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