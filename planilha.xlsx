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1" documentId="8_{AF585B22-221D-4780-BB9C-493D365A6A02}" xr6:coauthVersionLast="47" xr6:coauthVersionMax="47" xr10:uidLastSave="{5B9BF507-EBA9-4B0E-9E38-0C6437F5FEA7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3" l="1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<sst xmlns="http://schemas.openxmlformats.org/spreadsheetml/2006/main" count="1147" uniqueCount="201">
  <si>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</si>
  <si>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</si>
  <si>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</si>
  <si>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</si>
  <si>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</si>
  <si>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</si>
  <si>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</si>
  <si>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</si>
  <si>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</si>
  <si>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</si>
  <si>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</si>
  <si>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</si>
  <si>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</si>
  <si>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</si>
  <si>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</si>
  <si>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</si>
  <si>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</si>
  <si>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</si>
  <si>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</si>
  <si>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</si>
  <si>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</si>
  <si>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</si>
  <si>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</si>
  <si>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</si>
  <si>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</si>
  <si>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</si>
  <si>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</si>
  <si>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</si>
  <si>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</si>
  <si>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</si>
  <si>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</si>
  <si>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</si>
  <si>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</si>
  <si>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</si>
  <si>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</si>
  <si>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</si>
  <si>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</si>
  <si>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</si>
  <si>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</si>
  <si>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</si>
  <si>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</si>
  <si>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</si>
  <si>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</si>
  <si>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</si>
  <si>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</si>
  <si>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</si>
  <si>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</si>
  <si>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</si>
  <si>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</si>
  <si>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</si>
  <si>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</si>
  <si>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</si>
  <si>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</si>
  <si>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</si>
  <si>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</si>
  <si>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</si>
  <si>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</si>
  <si>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</si>
  <si>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</si>
  <si>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</si>
  <si>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</si>
  <si>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</si>
  <si>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</si>
  <si>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</si>
  <si>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</si>
  <si>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</si>
  <si>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</si>
  <si>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</si>
  <si>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</si>
  <si>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</si>
  <si>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</si>
  <si>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</si>
  <si>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</si>
  <si>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</si>
  <si>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</si>
  <si>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</si>
  <si>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</si>
  <si>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</si>
  <si>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</si>
  <si>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</si>
  <si>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</si>
  <si>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</si>
  <si>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</si>
  <si>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</si>
  <si>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</si>
  <si>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</si>
  <si>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</si>
  <si>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</si>
  <si>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</si>
  <si>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</si>
  <si>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</si>
  <si>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</si>
  <si>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</si>
  <si>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</si>
  <si>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</si>
  <si>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</si>
  <si>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</si>
  <si>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</si>
  <si>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</si>
  <si>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</si>
  <si>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</si>
  <si>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</si>
  <si>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</si>
  <si>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</si>
  <si>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</si>
  <si>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</si>
  <si>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</si>
  <si>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</si>
  <si>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</si>
  <si>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</si>
  <si>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</si>
  <si>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</si>
  <si>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</si>
  <si>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</si>
  <si>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</si>
  <si>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</si>
  <si>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</si>
  <si>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</si>
  <si>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</si>
  <si>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</si>
  <si>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</si>
  <si>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</si>
  <si>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</si>
  <si>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</si>
  <si>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</si>
  <si>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</si>
  <si>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</si>
  <si>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</si>
  <si>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</si>
  <si>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</si>
  <si>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</si>
  <si>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</si>
  <si>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</si>
  <si>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</si>
  <si>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</si>
  <si>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</si>
  <si>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</si>
  <si>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</si>
  <si>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</si>
  <si>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</si>
  <si>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</si>
  <si>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</si>
  <si>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</si>
  <si>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</si>
  <si>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</si>
  <si>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</si>
  <si>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</si>
  <si>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</si>
  <si>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</si>
  <si>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</si>
  <si>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</si>
  <si>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</si>
  <si>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</si>
  <si>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</si>
  <si>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</si>
  <si>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</si>
  <si>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</si>
  <si>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</si>
  <si>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</si>
  <si>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</si>
  <si>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</si>
  <si>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</si>
  <si>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</si>
  <si>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</si>
  <si>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</si>
  <si>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</si>
  <si>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</si>
  <si>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</si>
  <si>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</si>
  <si>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</si>
  <si>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</si>
  <si>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</si>
  <si>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</si>
  <si>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</si>
  <si>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</si>
  <si>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</si>
  <si>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</si>
  <si>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</si>
  <si>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</si>
  <si>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</si>
  <si>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</si>
  <si>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</si>
  <si>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</si>
  <si>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</si>
  <si>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</si>
  <si>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</si>
  <si>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</si>
  <si>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</si>
  <si>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</si>
  <si>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</si>
  <si>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</si>
  <si>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</si>
  <si>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</si>
  <si>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</si>
  <si>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</si>
  <si>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                         </t>
  </si>
  <si>
    <t>solda na grelha</t>
  </si>
  <si>
    <t>14;00</t>
  </si>
  <si>
    <t>14;21</t>
  </si>
  <si>
    <t>9;10</t>
  </si>
  <si>
    <t>manutençao no rolamento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</si>
</sst>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" activePane="bottomLeft" state="frozen"/>
      <selection pane="bottomLeft" activeCell="F10" sqref="F1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162</v>
      </c>
      <c r="G14" s="36">
        <f>SUM(G2:G13)</f>
        <v>810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162</v>
      </c>
      <c r="G28" s="40">
        <f>G14+G27</f>
        <v>810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9" sqref="F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8</v>
      </c>
      <c r="G4" s="28">
        <f t="shared" si="0"/>
        <v>33.6</v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 t="s">
        <v>195</v>
      </c>
      <c r="G9" s="34"/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74</v>
      </c>
      <c r="G14" s="36">
        <f>SUM(G2:G13)</f>
        <v>310.79999999999995</v>
      </c>
      <c r="H14" s="37"/>
      <c r="I14" s="37"/>
      <c r="J14" s="37"/>
      <c r="K14" s="37"/>
      <c r="L14" s="37"/>
      <c r="M14" s="38">
        <f ca="1">IFERROR(SUM(M2:M13),"")</f>
        <v>6.458333333333327E-2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74</v>
      </c>
      <c r="G28" s="40">
        <f>G14+G27</f>
        <v>310.79999999999995</v>
      </c>
      <c r="H28" s="41"/>
      <c r="I28" s="41"/>
      <c r="J28" s="41"/>
      <c r="K28" s="41"/>
      <c r="L28" s="41"/>
      <c r="M28" s="42">
        <f ca="1">IFERROR(M14+M27,"")</f>
        <v>6.458333333333327E-2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L16" sqref="L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 t="s">
        <v>197</v>
      </c>
      <c r="L5" s="29">
        <v>0.5854166666666667</v>
      </c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10</v>
      </c>
      <c r="G6" s="28">
        <f t="shared" si="0"/>
        <v>42</v>
      </c>
      <c r="H6" s="26"/>
      <c r="I6" s="26"/>
      <c r="J6" s="26"/>
      <c r="K6" s="29" t="s">
        <v>198</v>
      </c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4</v>
      </c>
      <c r="G7" s="34">
        <f t="shared" si="0"/>
        <v>16.8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40</v>
      </c>
      <c r="G14" s="36">
        <f>SUM(G2:G13)</f>
        <v>168</v>
      </c>
      <c r="H14" s="37"/>
      <c r="I14" s="37"/>
      <c r="J14" s="37"/>
      <c r="K14" s="37"/>
      <c r="L14" s="37"/>
      <c r="M14" s="38">
        <f ca="1">IFERROR(SUM(M2:M13),"")</f>
        <v>6.3194444444444386E-2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40</v>
      </c>
      <c r="G28" s="40">
        <f>G14+G27</f>
        <v>168</v>
      </c>
      <c r="H28" s="41"/>
      <c r="I28" s="41"/>
      <c r="J28" s="41"/>
      <c r="K28" s="41"/>
      <c r="L28" s="41"/>
      <c r="M28" s="42">
        <f ca="1">IFERROR(M14+M27,"")</f>
        <v>6.3194444444444386E-2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9" sqref="F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199</v>
      </c>
      <c r="M2" s="30" t="str">
        <f t="shared" ref="M2:M13" ca="1" si="1">IFERROR(IF(K2="","",IF(L2="",MOD(NOW()-K2,1),IF(L2&gt;=K2,L2-K2,L2+1-K2))),"")</f>
        <v/>
      </c>
      <c r="N2" s="27" t="s">
        <v>200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5</v>
      </c>
      <c r="G4" s="28">
        <f t="shared" si="0"/>
        <v>21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41</v>
      </c>
      <c r="G14" s="36">
        <f>SUM(G2:G13)</f>
        <v>172.2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41</v>
      </c>
      <c r="G28" s="40">
        <f>G14+G27</f>
        <v>172.2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2026-07-01T19:10:51Z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