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32" documentId="13_ncr:1_{A6DBCFB4-28D9-4249-9038-216934055CA6}" xr6:coauthVersionLast="47" xr6:coauthVersionMax="47" xr10:uidLastSave="{6AC70B42-9493-4FB4-8B0A-4757F34B62C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<sst xmlns="http://schemas.openxmlformats.org/spreadsheetml/2006/main" count="9342" uniqueCount="408">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</sst>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N560" sqref="N56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0.87708333333333333</v>
      </c>
      <c r="M555" s="71">
        <f t="shared" ref="M555:M566" ca="1" si="120">IFERROR(IF(K555="","",IF(L555="",MOD(NOW()-K555,1),IF(L555&gt;=K555,L555-K555,L555+1-K555))),"")</f>
        <v>8.5416666666666696E-2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8.5416666666666696E-2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0.5854166666666667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0.77095555555570172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0.90984444444458945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0.99456666666681226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0.10081666667247191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0.10081666667247191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0.42234444445024955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36" activePane="bottomLeft" state="frozen"/>
      <selection pane="bottomLeft" activeCell="N556" sqref="N55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/>
      <c r="Q556" s="66">
        <f t="shared" ca="1" si="141"/>
        <v>8.1666666665114462E-4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19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95</v>
      </c>
      <c r="L567" s="72"/>
      <c r="M567" s="72"/>
      <c r="N567" s="72"/>
      <c r="O567" s="72"/>
      <c r="P567" s="72"/>
      <c r="Q567" s="73">
        <f ca="1">IFERROR(SUM(Q555:Q566),"")</f>
        <v>1.8177777777762305E-2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132.80000000000001</v>
      </c>
      <c r="L568" s="76"/>
      <c r="M568" s="76"/>
      <c r="N568" s="76"/>
      <c r="O568" s="76"/>
      <c r="P568" s="76"/>
      <c r="Q568" s="77">
        <f ca="1">IFERROR(Q554+Q567,"")</f>
        <v>0.42859444444442901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E556" sqref="E55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27</v>
      </c>
      <c r="M555" s="70" t="s">
        <v>61</v>
      </c>
      <c r="N555" s="70" t="s">
        <v>167</v>
      </c>
      <c r="O555" s="65">
        <v>0.83819444444444446</v>
      </c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25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107.4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156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657.6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2026-08-22T01:25:46Z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