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691" documentId="8_{AF585B22-221D-4780-BB9C-493D365A6A02}" xr6:coauthVersionLast="47" xr6:coauthVersionMax="47" xr10:uidLastSave="{F26F8D78-2C24-4A04-A9BA-FC7B80E1AE24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<sst xmlns="http://schemas.openxmlformats.org/spreadsheetml/2006/main" count="2792" uniqueCount="246">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</sst>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1693740</v>
      </c>
      <c r="E8" s="8">
        <f>IFERROR('Linha 2'!O136,"")</f>
        <v>314528</v>
      </c>
      <c r="F8" s="8">
        <f>IFERROR('Linha 3'!O136,"")</f>
        <v>1001740</v>
      </c>
      <c r="G8" s="9">
        <f t="shared" si="0"/>
        <v>3010008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12463770</v>
      </c>
      <c r="D35" s="13">
        <f>IFERROR(SUM(D4:D34),"")</f>
        <v>5794850</v>
      </c>
      <c r="E35" s="13">
        <f>IFERROR(SUM(E4:E34),"")</f>
        <v>2660738</v>
      </c>
      <c r="F35" s="13">
        <f>IFERROR(SUM(F4:F34),"")</f>
        <v>4973930</v>
      </c>
      <c r="G35" s="13">
        <f>IFERROR(SUM(G4:G34),"")</f>
        <v>13429518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1" sqref="M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/>
    </row>
    <row r="52" spans="1:13" ht="24" customHeight="1">
      <c r="H52" s="96"/>
      <c r="I52" s="16"/>
      <c r="J52" s="16"/>
      <c r="K52" s="16" t="s">
        <v>185</v>
      </c>
      <c r="L52" s="16"/>
      <c r="M52" s="16"/>
    </row>
    <row r="53" spans="1:13" ht="36" customHeight="1">
      <c r="H53" s="96"/>
      <c r="I53" s="17"/>
      <c r="J53" s="17"/>
      <c r="K53" s="17" t="s">
        <v>186</v>
      </c>
      <c r="L53" s="17"/>
      <c r="M53" s="17"/>
    </row>
    <row r="54" spans="1:13" ht="15" customHeight="1">
      <c r="H54" s="96"/>
      <c r="I54" s="16"/>
      <c r="J54" s="16"/>
      <c r="K54" s="16" t="s">
        <v>187</v>
      </c>
      <c r="L54" s="16"/>
      <c r="M54" s="16"/>
    </row>
    <row r="55" spans="1:13" ht="15" customHeight="1">
      <c r="H55" s="96"/>
      <c r="I55" s="17"/>
      <c r="J55" s="17"/>
      <c r="K55" s="17" t="s">
        <v>188</v>
      </c>
      <c r="L55" s="17"/>
      <c r="M55" s="17"/>
    </row>
    <row r="56" spans="1:13" ht="15" customHeight="1">
      <c r="H56" s="96"/>
      <c r="I56" s="16"/>
      <c r="J56" s="16"/>
      <c r="K56" s="16" t="s">
        <v>189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21" activePane="bottomLeft" state="frozen"/>
      <selection pane="bottomLeft" activeCell="E147" sqref="E1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204</v>
      </c>
      <c r="O27" s="39">
        <v>1183060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204</v>
      </c>
      <c r="O54" s="39">
        <v>959290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209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204</v>
      </c>
      <c r="O81" s="39">
        <v>878050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204</v>
      </c>
      <c r="O108" s="39">
        <v>1700000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188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204</v>
      </c>
      <c r="O135" s="39">
        <v>862330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207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4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22" activePane="bottomLeft" state="frozen"/>
      <selection pane="bottomLeft" activeCell="D141" sqref="D1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204</v>
      </c>
      <c r="O27" s="78">
        <v>393200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212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85">
        <v>276360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204</v>
      </c>
      <c r="O81" s="54">
        <v>787860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204</v>
      </c>
      <c r="O108" s="54">
        <v>1087080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204</v>
      </c>
      <c r="O135" s="54">
        <v>824480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207</v>
      </c>
      <c r="O136" s="83">
        <f>IFERROR(O122+O135,"")</f>
        <v>1693740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5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78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78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78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78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78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78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78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78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78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78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78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78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78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78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78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78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78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78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78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78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78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22" activePane="bottomLeft" state="frozen"/>
      <selection pane="bottomLeft" activeCell="E145" sqref="E1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204</v>
      </c>
      <c r="O27" s="39">
        <v>308500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39">
        <v>124290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204</v>
      </c>
      <c r="O81" s="39">
        <v>396340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204</v>
      </c>
      <c r="O108" s="39">
        <v>41230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204</v>
      </c>
      <c r="O135" s="39">
        <v>263398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207</v>
      </c>
      <c r="O136" s="43">
        <f>IFERROR(O122+O135,"")</f>
        <v>314528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39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121" activePane="bottomLeft" state="frozen"/>
      <selection pane="bottomLeft" activeCell="C137" sqref="C137:C14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204</v>
      </c>
      <c r="O27" s="39">
        <v>202230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204</v>
      </c>
      <c r="O54" s="39">
        <v>473910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236</v>
      </c>
      <c r="L58" s="29">
        <v>0.54097222222222219</v>
      </c>
      <c r="M58" s="30" t="str">
        <f t="shared" ca="1" si="13"/>
        <v/>
      </c>
      <c r="N58" s="27" t="s">
        <v>237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204</v>
      </c>
      <c r="O81" s="39">
        <v>565120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204</v>
      </c>
      <c r="O108" s="39">
        <v>558590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189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3.8407407409977168E-2</v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0.23771296296553279</v>
      </c>
      <c r="N135" s="36" t="s">
        <v>204</v>
      </c>
      <c r="O135" s="39">
        <v>727290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0.60507407407664382</v>
      </c>
      <c r="N136" s="40" t="s">
        <v>207</v>
      </c>
      <c r="O136" s="48">
        <f>IFERROR(O122+O135,"")</f>
        <v>1001740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204</v>
      </c>
      <c r="O432" s="39"/>
    </row>
    <row r="433" spans="1:17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2026-07-06T10:54:24Z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