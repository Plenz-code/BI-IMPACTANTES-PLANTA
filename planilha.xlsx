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04" documentId="8_{C51EB6CB-002B-4D6B-B68F-DDEBDB4460C0}" xr6:coauthVersionLast="47" xr6:coauthVersionMax="47" xr10:uidLastSave="{22BF9FA7-8F8F-41CD-80ED-1C51558B280E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<sst xmlns="http://schemas.openxmlformats.org/spreadsheetml/2006/main" count="5870" uniqueCount="342">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</sst>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8" sqref="F31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120</v>
      </c>
      <c r="G324" s="36">
        <f>SUM(G312:G323)</f>
        <v>600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553</v>
      </c>
      <c r="G325" s="40">
        <f>G311+G324</f>
        <v>2765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K317" sqref="K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0.97207048611016944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1.1109593749990583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1.1956815972212806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>
        <v>9.3055555555555558E-2</v>
      </c>
      <c r="L316" s="29"/>
      <c r="M316" s="30">
        <f t="shared" ca="1" si="70"/>
        <v>5.4270833788905293E-4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111</v>
      </c>
      <c r="G324" s="36">
        <f>SUM(G312:G323)</f>
        <v>476.6</v>
      </c>
      <c r="H324" s="37"/>
      <c r="I324" s="37"/>
      <c r="J324" s="37"/>
      <c r="K324" s="37"/>
      <c r="L324" s="37"/>
      <c r="M324" s="38">
        <f ca="1">IFERROR(SUM(M312:M323),"")</f>
        <v>4.4987152782333353E-2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280</v>
      </c>
      <c r="G325" s="40">
        <f>G311+G324</f>
        <v>1186.4000000000001</v>
      </c>
      <c r="H325" s="41"/>
      <c r="I325" s="41"/>
      <c r="J325" s="41"/>
      <c r="K325" s="41"/>
      <c r="L325" s="41"/>
      <c r="M325" s="42">
        <f ca="1">IFERROR(M311+M324,"")</f>
        <v>9.8459375004555497E-2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9" sqref="F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0.89915381944592809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0.96095937500148365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1.0220704861125949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45</v>
      </c>
      <c r="G324" s="36">
        <f>SUM(G312:G323)</f>
        <v>192.2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168</v>
      </c>
      <c r="G325" s="40">
        <f>G311+G324</f>
        <v>708.8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9" sqref="F319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/>
      <c r="M313" s="35">
        <f t="shared" ca="1" si="70"/>
        <v>1.2348263888270594E-2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136</v>
      </c>
      <c r="G324" s="36">
        <f>SUM(G312:G323)</f>
        <v>584.79999999999995</v>
      </c>
      <c r="H324" s="37"/>
      <c r="I324" s="37"/>
      <c r="J324" s="37"/>
      <c r="K324" s="61"/>
      <c r="L324" s="61"/>
      <c r="M324" s="38">
        <f ca="1">IFERROR(SUM(M312:M323),"")</f>
        <v>4.0126041666048384E-2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328</v>
      </c>
      <c r="G325" s="40">
        <f>G311+G324</f>
        <v>1391.1999999999998</v>
      </c>
      <c r="H325" s="41"/>
      <c r="I325" s="41"/>
      <c r="J325" s="41"/>
      <c r="K325" s="63"/>
      <c r="L325" s="63"/>
      <c r="M325" s="42">
        <f ca="1">IFERROR(M311+M324,"")</f>
        <v>0.11582048611049284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2026-08-13T06:15:19Z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