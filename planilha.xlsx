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041" documentId="8_{C51EB6CB-002B-4D6B-B68F-DDEBDB4460C0}" xr6:coauthVersionLast="47" xr6:coauthVersionMax="47" xr10:uidLastSave="{C4E0D3E8-007B-4C4C-97B8-C412C795CF3F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<sst xmlns="http://schemas.openxmlformats.org/spreadsheetml/2006/main" count="5846" uniqueCount="341">
  <si>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</si>
  <si>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</si>
  <si>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</si>
  <si>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</si>
  <si>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</si>
  <si>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</si>
  <si>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</si>
  <si>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</si>
  <si>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</si>
  <si>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</si>
  <si>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</si>
  <si>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</si>
  <si>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</si>
  <si>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</si>
  <si>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</si>
  <si>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</si>
  <si>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</si>
  <si>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</si>
  <si>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</si>
  <si>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</si>
  <si>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</si>
  <si>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</si>
  <si>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</si>
  <si>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</si>
  <si>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</si>
  <si>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</si>
  <si>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</si>
  <si>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</si>
  <si>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</si>
  <si>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</si>
  <si>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</si>
  <si>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</si>
  <si>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</si>
  <si>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</si>
  <si>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</si>
  <si>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</si>
  <si>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</si>
  <si>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</si>
  <si>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</si>
  <si>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</si>
  <si>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</si>
  <si>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</si>
  <si>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</si>
  <si>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</si>
  <si>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</si>
  <si>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</si>
  <si>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</si>
  <si>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</si>
  <si>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</si>
  <si>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</si>
  <si>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</si>
  <si>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</si>
  <si>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</si>
  <si>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</si>
  <si>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</si>
  <si>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</si>
  <si>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</si>
  <si>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</si>
  <si>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</si>
  <si>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</si>
  <si>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</si>
  <si>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</si>
  <si>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</si>
  <si>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</si>
  <si>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</si>
  <si>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</si>
  <si>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</si>
  <si>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</si>
  <si>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</si>
  <si>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</si>
  <si>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</si>
  <si>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</si>
  <si>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</si>
  <si>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</si>
  <si>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</si>
  <si>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</si>
  <si>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</si>
  <si>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</si>
  <si>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</si>
  <si>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</si>
  <si>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</si>
  <si>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</si>
  <si>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</si>
  <si>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</si>
  <si>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</si>
  <si>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</si>
  <si>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</si>
  <si>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</si>
  <si>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</si>
  <si>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</si>
  <si>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</si>
  <si>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</si>
  <si>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</si>
  <si>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</si>
  <si>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</si>
  <si>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</si>
  <si>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</si>
  <si>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</si>
  <si>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</si>
  <si>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</si>
  <si>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</si>
  <si>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</si>
  <si>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</si>
  <si>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</si>
  <si>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</si>
  <si>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</si>
  <si>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</si>
  <si>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</si>
  <si>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</si>
  <si>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</si>
  <si>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</si>
  <si>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</si>
  <si>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</si>
  <si>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</si>
  <si>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</si>
  <si>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</si>
  <si>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</si>
  <si>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</si>
  <si>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</si>
  <si>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</si>
  <si>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</si>
  <si>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</si>
  <si>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</si>
  <si>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</si>
  <si>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</si>
  <si>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</si>
  <si>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</si>
  <si>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</si>
  <si>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</si>
  <si>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</si>
  <si>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</si>
  <si>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</si>
  <si>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</si>
  <si>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</si>
  <si>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</si>
  <si>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</si>
  <si>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</si>
  <si>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</si>
  <si>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</si>
  <si>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</si>
  <si>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</si>
  <si>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</si>
  <si>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</si>
  <si>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</si>
  <si>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</si>
  <si>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</si>
  <si>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</si>
  <si>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</si>
  <si>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</si>
  <si>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</si>
  <si>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</si>
  <si>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</si>
  <si>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</si>
  <si>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</si>
  <si>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</si>
  <si>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</si>
  <si>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</si>
  <si>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</si>
  <si>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</si>
  <si>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</si>
  <si>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</si>
  <si>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</si>
  <si>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</si>
  <si>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</si>
  <si>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</si>
  <si>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</si>
  <si>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</si>
  <si>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</si>
  <si>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</si>
  <si>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</si>
  <si>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</si>
  <si>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</si>
  <si>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</si>
  <si>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</si>
  <si>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</si>
  <si>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</si>
  <si>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</si>
  <si>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</si>
  <si>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</si>
  <si>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</si>
  <si>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</si>
  <si>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</si>
  <si>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</si>
  <si>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</si>
  <si>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</si>
  <si>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</si>
  <si>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</si>
  <si>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</si>
  <si>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</si>
  <si>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</si>
  <si>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</si>
  <si>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</si>
  <si>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</si>
  <si>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</si>
  <si>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</si>
  <si>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</si>
  <si>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</si>
  <si>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</si>
  <si>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</si>
  <si>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</si>
  <si>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</si>
  <si>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</si>
  <si>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</si>
  <si>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</si>
  <si>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</si>
  <si>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</si>
  <si>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</si>
  <si>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</si>
  <si>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</si>
  <si>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</si>
  <si>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</si>
  <si>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</si>
  <si>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</si>
  <si>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</si>
  <si>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</si>
  <si>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</si>
  <si>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</si>
  <si>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</si>
  <si>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</si>
  <si>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</si>
  <si>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</si>
  <si>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</si>
  <si>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</si>
  <si>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</si>
  <si>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</si>
  <si>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</si>
  <si>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</si>
  <si>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</si>
  <si>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</si>
  <si>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</si>
  <si>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</si>
  <si>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</si>
  <si>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</si>
  <si>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</si>
  <si>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</si>
  <si>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</si>
  <si>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</si>
  <si>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</si>
  <si>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</si>
  <si>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</si>
  <si>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</si>
  <si>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</si>
  <si>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</si>
  <si>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</si>
  <si>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</si>
  <si>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</si>
  <si>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</si>
  <si>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</si>
  <si>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</si>
  <si>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</si>
  <si>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</si>
  <si>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</si>
  <si>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</si>
  <si>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</si>
  <si>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</si>
  <si>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</si>
  <si>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</si>
  <si>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</si>
  <si>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</si>
  <si>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>rolamento do mancal interno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</si>
  <si>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</si>
  <si>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3 viagens com caminhão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</si>
  <si>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</si>
  <si>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</si>
  <si>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</si>
  <si>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</si>
  <si>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</si>
  <si>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</si>
  <si>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</si>
  <si>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</si>
  <si>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</si>
  <si>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</si>
  <si>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</si>
  <si>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</si>
  <si>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</si>
  <si>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</si>
  <si>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</si>
  <si>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</si>
  <si>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</si>
  <si>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</si>
  <si>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</si>
  <si>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</si>
  <si>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</si>
  <si>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</si>
  <si>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</si>
  <si>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</si>
  <si>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</si>
  <si>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</si>
  <si>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</si>
  <si>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</si>
  <si>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</si>
  <si>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</si>
  <si>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</si>
  <si>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</si>
  <si>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</si>
  <si>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</si>
  <si>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</si>
  <si>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</si>
  <si>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</si>
  <si>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</si>
  <si>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</si>
  <si>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</si>
  <si>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</si>
  <si>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</si>
  <si>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</si>
  <si>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</si>
  <si>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</si>
  <si>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</si>
  <si>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</si>
  <si>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</si>
  <si>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</si>
  <si>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</si>
  <si>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</si>
  <si>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</si>
  <si>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</si>
  <si>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</si>
  <si>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</si>
  <si>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</si>
  <si>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</si>
  <si>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</si>
  <si>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</si>
  <si>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</si>
  <si>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</si>
  <si>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</si>
  <si>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</si>
  <si>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</si>
  <si>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</si>
  <si>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</si>
  <si>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</si>
  <si>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</si>
  <si>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</si>
  <si>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</si>
  <si>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</si>
  <si>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</si>
  <si>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</si>
  <si>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</si>
  <si>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</si>
  <si>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</si>
  <si>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</si>
  <si>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</si>
  <si>
    <t>troca de marttelo mm4\5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</si>
</sst>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2631530</v>
      </c>
      <c r="D15" s="11">
        <f>IFERROR('Linha 1'!O325,"")</f>
        <v>754870</v>
      </c>
      <c r="E15" s="11">
        <f>IFERROR('Linha 2'!O325,"")</f>
        <v>567440</v>
      </c>
      <c r="F15" s="11">
        <f>IFERROR('Linha 3'!O325,"")</f>
        <v>948950</v>
      </c>
      <c r="G15" s="12">
        <f t="shared" si="0"/>
        <v>2271260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40061670</v>
      </c>
      <c r="D35" s="13">
        <f>IFERROR(SUM(D4:D34),"")</f>
        <v>13600500</v>
      </c>
      <c r="E35" s="13">
        <f>IFERROR(SUM(E4:E34),"")</f>
        <v>6840030</v>
      </c>
      <c r="F35" s="13">
        <f>IFERROR(SUM(F4:F34),"")</f>
        <v>16502400</v>
      </c>
      <c r="G35" s="13">
        <f>IFERROR(SUM(G4:G34),"")</f>
        <v>36942930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2" activePane="bottomLeft" state="frozen"/>
      <selection pane="bottomLeft" activeCell="K313" sqref="K313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 t="s">
        <v>18</v>
      </c>
      <c r="I301" s="33" t="s">
        <v>23</v>
      </c>
      <c r="J301" s="33" t="s">
        <v>34</v>
      </c>
      <c r="K301" s="29">
        <v>0.71736111111111112</v>
      </c>
      <c r="L301" s="29">
        <v>0.79166666666666663</v>
      </c>
      <c r="M301" s="35">
        <f t="shared" ca="1" si="67"/>
        <v>7.4305555555555514E-2</v>
      </c>
      <c r="N301" s="46" t="s">
        <v>259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 t="s">
        <v>260</v>
      </c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 t="s">
        <v>261</v>
      </c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>
        <v>59</v>
      </c>
      <c r="G308" s="28">
        <f t="shared" si="66"/>
        <v>295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>
        <v>11</v>
      </c>
      <c r="G309" s="34">
        <f t="shared" si="66"/>
        <v>55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433</v>
      </c>
      <c r="G311" s="90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236</v>
      </c>
      <c r="O311" s="39">
        <v>2631530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234</v>
      </c>
      <c r="F312" s="27"/>
      <c r="G312" s="28" t="str">
        <f t="shared" ref="G312:G323" si="69">IF(F312="","",IF(E312="PC 17",F312*4.2,IF(E312="PC 19",F312*5,IF(E312="CB",F312*35,""))))</f>
        <v/>
      </c>
      <c r="H312" s="26" t="s">
        <v>18</v>
      </c>
      <c r="I312" s="26" t="s">
        <v>23</v>
      </c>
      <c r="J312" s="26" t="s">
        <v>34</v>
      </c>
      <c r="K312" s="29">
        <v>0.79166666666666663</v>
      </c>
      <c r="L312" s="29">
        <v>0.89375000000000004</v>
      </c>
      <c r="M312" s="30">
        <f t="shared" ref="M312:M323" ca="1" si="70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234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234</v>
      </c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234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234</v>
      </c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234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234</v>
      </c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234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234</v>
      </c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234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234</v>
      </c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0.10208333333333341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433</v>
      </c>
      <c r="G325" s="40">
        <f>G311+G324</f>
        <v>2165</v>
      </c>
      <c r="H325" s="41"/>
      <c r="I325" s="41"/>
      <c r="J325" s="41"/>
      <c r="K325" s="41"/>
      <c r="L325" s="41"/>
      <c r="M325" s="42">
        <f ca="1">IFERROR(M311+M324,"")</f>
        <v>0.19166666666666671</v>
      </c>
      <c r="N325" s="40" t="s">
        <v>240</v>
      </c>
      <c r="O325" s="48">
        <f>IFERROR(O311+O324,"")</f>
        <v>2631530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70" zoomScaleNormal="70" workbookViewId="0">
      <pane ySplit="1" topLeftCell="A294" activePane="bottomLeft" state="frozen"/>
      <selection pane="bottomLeft" activeCell="L314" sqref="L314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262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0.797702199073683</v>
      </c>
      <c r="N53" s="46" t="s">
        <v>270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0.93659108796257184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1.0213133101847942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262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271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272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273</v>
      </c>
      <c r="M96" s="30" t="str">
        <f t="shared" ref="M96:M107" ca="1" si="22">IFERROR(IF(K96="","",IF(L96="",MOD(NOW()-K96,1),IF(L96&gt;=K96,L96-K96,L96+1-K96))),"")</f>
        <v/>
      </c>
      <c r="N96" s="46" t="s">
        <v>274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280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281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282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271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288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289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290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291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 t="s">
        <v>19</v>
      </c>
      <c r="I303" s="33" t="s">
        <v>39</v>
      </c>
      <c r="J303" s="33" t="s">
        <v>27</v>
      </c>
      <c r="K303" s="29">
        <v>0.73958333333333337</v>
      </c>
      <c r="L303" s="29">
        <v>0.75624999999999998</v>
      </c>
      <c r="M303" s="35">
        <f t="shared" ca="1" si="67"/>
        <v>1.6666666666666607E-2</v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 t="s">
        <v>17</v>
      </c>
      <c r="I304" s="26"/>
      <c r="J304" s="26" t="s">
        <v>25</v>
      </c>
      <c r="K304" s="29">
        <v>0.75624999999999998</v>
      </c>
      <c r="L304" s="29">
        <v>0.7631944444444444</v>
      </c>
      <c r="M304" s="30">
        <f t="shared" ca="1" si="67"/>
        <v>6.9444444444444198E-3</v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16</v>
      </c>
      <c r="G307" s="34">
        <f t="shared" si="66"/>
        <v>67.2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14</v>
      </c>
      <c r="G308" s="28">
        <f t="shared" si="66"/>
        <v>58.800000000000004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4</v>
      </c>
      <c r="G309" s="34">
        <f t="shared" si="66"/>
        <v>16.8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169</v>
      </c>
      <c r="G311" s="36">
        <f>SUM(G299:G310)</f>
        <v>709.8</v>
      </c>
      <c r="H311" s="37"/>
      <c r="I311" s="37"/>
      <c r="J311" s="37"/>
      <c r="K311" s="37"/>
      <c r="L311" s="37"/>
      <c r="M311" s="38">
        <f ca="1">IFERROR(SUM(M299:M310),"")</f>
        <v>5.3472222222222143E-2</v>
      </c>
      <c r="N311" s="36" t="s">
        <v>236</v>
      </c>
      <c r="O311" s="77">
        <v>754870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22</v>
      </c>
      <c r="G312" s="28">
        <f t="shared" ref="G312:G323" si="69">IF(F312="","",IF(E312="PC 17",F312*4.2,IF(E312="PC 19",F312*5,IF(E312="CB",F312*24,""))))</f>
        <v>92.4</v>
      </c>
      <c r="H312" s="26" t="s">
        <v>19</v>
      </c>
      <c r="I312" s="26" t="s">
        <v>159</v>
      </c>
      <c r="J312" s="26" t="s">
        <v>27</v>
      </c>
      <c r="K312" s="29">
        <v>0.84722222222222221</v>
      </c>
      <c r="L312" s="29">
        <v>0.8569444444444444</v>
      </c>
      <c r="M312" s="30">
        <f t="shared" ref="M312:M323" ca="1" si="70">IFERROR(IF(K312="","",IF(L312="",MOD(NOW()-K312,1),IF(L312&gt;=K312,L312-K312,L312+1-K312))),"")</f>
        <v>9.7222222222221877E-3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13</v>
      </c>
      <c r="G313" s="34">
        <f t="shared" si="69"/>
        <v>65</v>
      </c>
      <c r="H313" s="33" t="s">
        <v>20</v>
      </c>
      <c r="I313" s="33" t="s">
        <v>39</v>
      </c>
      <c r="J313" s="33" t="s">
        <v>36</v>
      </c>
      <c r="K313" s="29">
        <v>0.90277777777777779</v>
      </c>
      <c r="L313" s="29">
        <v>0.91666666666666663</v>
      </c>
      <c r="M313" s="35">
        <f t="shared" ca="1" si="70"/>
        <v>1.388888888888884E-2</v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/>
      <c r="G316" s="28"/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35</v>
      </c>
      <c r="G324" s="36">
        <f>SUM(G312:G323)</f>
        <v>157.4</v>
      </c>
      <c r="H324" s="37"/>
      <c r="I324" s="37"/>
      <c r="J324" s="37"/>
      <c r="K324" s="37"/>
      <c r="L324" s="37"/>
      <c r="M324" s="38">
        <f ca="1">IFERROR(SUM(M312:M323),"")</f>
        <v>2.3611111111111027E-2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204</v>
      </c>
      <c r="G325" s="40">
        <f>G311+G324</f>
        <v>867.19999999999993</v>
      </c>
      <c r="H325" s="41"/>
      <c r="I325" s="41"/>
      <c r="J325" s="41"/>
      <c r="K325" s="41"/>
      <c r="L325" s="41"/>
      <c r="M325" s="42">
        <f ca="1">IFERROR(M311+M324,"")</f>
        <v>7.7083333333333171E-2</v>
      </c>
      <c r="N325" s="40" t="s">
        <v>240</v>
      </c>
      <c r="O325" s="83">
        <f>IFERROR(O311+O324,"")</f>
        <v>754870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2" zoomScale="68" zoomScaleNormal="68" workbookViewId="0">
      <selection activeCell="E313" sqref="E313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271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299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300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280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271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301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302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303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305</v>
      </c>
      <c r="M222" s="30" t="str">
        <f t="shared" ca="1" si="49"/>
        <v/>
      </c>
      <c r="N222" s="27" t="s">
        <v>306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307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271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0.72478553240944166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0.78659108796499722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0.84770219907610844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308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271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16</v>
      </c>
      <c r="G308" s="28">
        <f t="shared" si="66"/>
        <v>67.2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123</v>
      </c>
      <c r="G311" s="36">
        <f>SUM(G299:G310)</f>
        <v>516.59999999999991</v>
      </c>
      <c r="H311" s="37"/>
      <c r="I311" s="37"/>
      <c r="J311" s="37"/>
      <c r="K311" s="37"/>
      <c r="L311" s="37"/>
      <c r="M311" s="38">
        <f ca="1">IFERROR(SUM(M299:M310),"")</f>
        <v>2.8472222222222288E-2</v>
      </c>
      <c r="N311" s="36" t="s">
        <v>236</v>
      </c>
      <c r="O311" s="39">
        <v>567440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8</v>
      </c>
      <c r="G312" s="28">
        <f t="shared" ref="G312:G323" si="69">IF(F312="","",IF(E312="PC 17",F312*4.2,IF(E312="PC 19",F312*5,IF(E312="CB",F312*24,""))))</f>
        <v>33.6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4</v>
      </c>
      <c r="G313" s="34">
        <f t="shared" si="69"/>
        <v>20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12</v>
      </c>
      <c r="G324" s="36">
        <f>SUM(G312:G323)</f>
        <v>53.6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135</v>
      </c>
      <c r="G325" s="40">
        <f>G311+G324</f>
        <v>570.19999999999993</v>
      </c>
      <c r="H325" s="41"/>
      <c r="I325" s="41"/>
      <c r="J325" s="41"/>
      <c r="K325" s="41"/>
      <c r="L325" s="41"/>
      <c r="M325" s="42">
        <f ca="1">IFERROR(M311+M324,"")</f>
        <v>2.8472222222222288E-2</v>
      </c>
      <c r="N325" s="40" t="s">
        <v>240</v>
      </c>
      <c r="O325" s="48">
        <f>IFERROR(O311+O324,"")</f>
        <v>567440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0:E261 E29:E256 E263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92" activePane="bottomLeft" state="frozen"/>
      <selection pane="bottomLeft" activeCell="E313" sqref="E313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310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311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312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271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292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280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320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321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322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330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331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332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299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335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336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337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338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339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>
        <v>0.71527777777777779</v>
      </c>
      <c r="M301" s="35">
        <f t="shared" ca="1" si="67"/>
        <v>5.2777777777777812E-2</v>
      </c>
      <c r="N301" s="27" t="s">
        <v>340</v>
      </c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15</v>
      </c>
      <c r="G307" s="34">
        <f t="shared" si="66"/>
        <v>63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14</v>
      </c>
      <c r="G309" s="34">
        <f t="shared" si="66"/>
        <v>58.800000000000004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10</v>
      </c>
      <c r="G310" s="28">
        <f t="shared" si="66"/>
        <v>42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192</v>
      </c>
      <c r="G311" s="36">
        <f>SUM(G299:G310)</f>
        <v>806.4</v>
      </c>
      <c r="H311" s="37"/>
      <c r="I311" s="37"/>
      <c r="J311" s="37"/>
      <c r="K311" s="61"/>
      <c r="L311" s="61"/>
      <c r="M311" s="38">
        <f ca="1">IFERROR(SUM(M299:M310),"")</f>
        <v>7.5694444444444453E-2</v>
      </c>
      <c r="N311" s="36" t="s">
        <v>236</v>
      </c>
      <c r="O311" s="39">
        <v>948950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23</v>
      </c>
      <c r="G312" s="28">
        <f t="shared" ref="G312:G323" si="69">IF(F312="","",IF(E312="PC 17",F312*4.2,IF(E312="PC 19",F312*5,IF(E312="CB",F312*24,""))))</f>
        <v>96.600000000000009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17</v>
      </c>
      <c r="G313" s="34">
        <f t="shared" si="69"/>
        <v>85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40</v>
      </c>
      <c r="G324" s="36">
        <f>SUM(G312:G323)</f>
        <v>181.60000000000002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232</v>
      </c>
      <c r="G325" s="40">
        <f>G311+G324</f>
        <v>988</v>
      </c>
      <c r="H325" s="41"/>
      <c r="I325" s="41"/>
      <c r="J325" s="41"/>
      <c r="K325" s="63"/>
      <c r="L325" s="63"/>
      <c r="M325" s="42">
        <f ca="1">IFERROR(M311+M324,"")</f>
        <v>7.5694444444444453E-2</v>
      </c>
      <c r="N325" s="40" t="s">
        <v>240</v>
      </c>
      <c r="O325" s="48">
        <f>IFERROR(O311+O324,"")</f>
        <v>948950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2026-08-13T02:04:14Z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