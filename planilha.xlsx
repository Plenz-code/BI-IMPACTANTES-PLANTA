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60" documentId="8_{AF585B22-221D-4780-BB9C-493D365A6A02}" xr6:coauthVersionLast="47" xr6:coauthVersionMax="47" xr10:uidLastSave="{D3ED063E-46B4-4D29-BB99-7989270BD3DB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<sst xmlns="http://schemas.openxmlformats.org/spreadsheetml/2006/main" count="5122" uniqueCount="296">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</sst>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74" activePane="bottomLeft" state="frozen"/>
      <selection pane="bottomLeft" activeCell="F301" sqref="F3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/>
      <c r="M299" s="35">
        <f t="shared" ref="M299:M310" ca="1" si="67">IFERROR(IF(K299="","",IF(L299="",MOD(NOW()-K299,1),IF(L299&gt;=K299,L299-K299,L299+1-K299))),"")</f>
        <v>2.5479976851784158E-2</v>
      </c>
      <c r="N299" s="46" t="s">
        <v>228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>
        <v>11</v>
      </c>
      <c r="G300" s="28">
        <f t="shared" si="66"/>
        <v>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11</v>
      </c>
      <c r="G311" s="36">
        <f>SUM(G299:G310)</f>
        <v>55</v>
      </c>
      <c r="H311" s="37"/>
      <c r="I311" s="37"/>
      <c r="J311" s="37"/>
      <c r="K311" s="37"/>
      <c r="L311" s="37"/>
      <c r="M311" s="38">
        <f ca="1">IFERROR(SUM(M299:M310),"")</f>
        <v>2.5479976851784158E-2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11</v>
      </c>
      <c r="G325" s="40">
        <f>G311+G324</f>
        <v>55</v>
      </c>
      <c r="H325" s="41"/>
      <c r="I325" s="41"/>
      <c r="J325" s="41"/>
      <c r="K325" s="41"/>
      <c r="L325" s="41"/>
      <c r="M325" s="42">
        <f ca="1">IFERROR(M311+M324,"")</f>
        <v>2.5479976851784158E-2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1" sqref="F3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6</v>
      </c>
      <c r="G300" s="28">
        <f t="shared" si="66"/>
        <v>25.200000000000003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/>
      <c r="M300" s="30">
        <f t="shared" ca="1" si="67"/>
        <v>2.131331018608762E-2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6</v>
      </c>
      <c r="G311" s="36">
        <f>SUM(G299:G310)</f>
        <v>25.200000000000003</v>
      </c>
      <c r="H311" s="37"/>
      <c r="I311" s="37"/>
      <c r="J311" s="37"/>
      <c r="K311" s="37"/>
      <c r="L311" s="37"/>
      <c r="M311" s="38">
        <f ca="1">IFERROR(SUM(M299:M310),"")</f>
        <v>2.5479976852754271E-2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6</v>
      </c>
      <c r="G325" s="40">
        <f>G311+G324</f>
        <v>25.200000000000003</v>
      </c>
      <c r="H325" s="41"/>
      <c r="I325" s="41"/>
      <c r="J325" s="41"/>
      <c r="K325" s="41"/>
      <c r="L325" s="41"/>
      <c r="M325" s="42">
        <f ca="1">IFERROR(M311+M324,"")</f>
        <v>2.5479976852754271E-2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1" sqref="F3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263</v>
      </c>
      <c r="N166" s="27" t="s">
        <v>264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/>
      <c r="M300" s="30">
        <f t="shared" ca="1" si="67"/>
        <v>2.131331018608762E-2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7</v>
      </c>
      <c r="G311" s="36">
        <f>SUM(G299:G310)</f>
        <v>29.400000000000002</v>
      </c>
      <c r="H311" s="37"/>
      <c r="I311" s="37"/>
      <c r="J311" s="37"/>
      <c r="K311" s="37"/>
      <c r="L311" s="37"/>
      <c r="M311" s="38">
        <f ca="1">IFERROR(SUM(M299:M310),"")</f>
        <v>2.5479976852754271E-2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7</v>
      </c>
      <c r="G325" s="40">
        <f>G311+G324</f>
        <v>29.400000000000002</v>
      </c>
      <c r="H325" s="41"/>
      <c r="I325" s="41"/>
      <c r="J325" s="41"/>
      <c r="K325" s="41"/>
      <c r="L325" s="41"/>
      <c r="M325" s="42">
        <f ca="1">IFERROR(M311+M324,"")</f>
        <v>2.5479976852754271E-2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299" sqref="F2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274</v>
      </c>
      <c r="L58" s="29">
        <v>0.54097222222222219</v>
      </c>
      <c r="M58" s="30" t="str">
        <f t="shared" ca="1" si="13"/>
        <v/>
      </c>
      <c r="N58" s="27" t="s">
        <v>275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0.12617442129703704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0.32547997685259267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0.69284108796370369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/>
      <c r="G299" s="34" t="str">
        <f t="shared" ref="G299:G310" si="66">IF(F299="","",IF(E299="PC 17",F299*4.2,IF(E299="PC 19",F299*5,"")))</f>
        <v/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8.381331018608762E-2</v>
      </c>
      <c r="N299" s="27" t="s">
        <v>295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8.381331018608762E-2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8.381331018608762E-2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2026-07-12T13:01:40Z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