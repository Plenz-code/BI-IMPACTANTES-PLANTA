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16" documentId="8_{C51EB6CB-002B-4D6B-B68F-DDEBDB4460C0}" xr6:coauthVersionLast="47" xr6:coauthVersionMax="47" xr10:uidLastSave="{3D4C2B59-B118-4495-AAFE-92AB97AC007D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<sst xmlns="http://schemas.openxmlformats.org/spreadsheetml/2006/main" count="5837" uniqueCount="341">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</sst>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</v>
      </c>
      <c r="F15" s="11">
        <f>IFERROR('Linha 3'!O325,"")</f>
        <v>948950</v>
      </c>
      <c r="G15" s="12">
        <f t="shared" si="0"/>
        <v>1760564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6329334</v>
      </c>
      <c r="F35" s="13">
        <f>IFERROR(SUM(F4:F34),"")</f>
        <v>16502400</v>
      </c>
      <c r="G35" s="13">
        <f>IFERROR(SUM(G4:G34),"")</f>
        <v>36432234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3" sqref="F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0.71585300925653428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0.85474189814542312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0.93946412036764548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191</v>
      </c>
      <c r="G325" s="40">
        <f>G311+G324</f>
        <v>802.19999999999993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3" sqref="F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0.64293634259229293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0.70474189814784849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0.76585300925895972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8</v>
      </c>
      <c r="G324" s="36">
        <f>SUM(G312:G323)</f>
        <v>33.6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131</v>
      </c>
      <c r="G325" s="40">
        <f>G311+G324</f>
        <v>550.19999999999993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E315" sqref="E31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</v>
      </c>
      <c r="G324" s="36">
        <f>SUM(G312:G323)</f>
        <v>96.600000000000009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215</v>
      </c>
      <c r="G325" s="40">
        <f>G311+G324</f>
        <v>903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2026-08-13T00:05:55Z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