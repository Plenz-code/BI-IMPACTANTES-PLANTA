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02" documentId="8_{AF585B22-221D-4780-BB9C-493D365A6A02}" xr6:coauthVersionLast="47" xr6:coauthVersionMax="47" xr10:uidLastSave="{FC67F811-89A6-4945-8427-FC30359D2ACF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<sst xmlns="http://schemas.openxmlformats.org/spreadsheetml/2006/main" count="7113" uniqueCount="340">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</sst>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4.75" customHeight="1">
      <c r="A2" s="102"/>
      <c r="B2" s="10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3" t="s">
        <v>9</v>
      </c>
      <c r="B35" s="103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0" sqref="K7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5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5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5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5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5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5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5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5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5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5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5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5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5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5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5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5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5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5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5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5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5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5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5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5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5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5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5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5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5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5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5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5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5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5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5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5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5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5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5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5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5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5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5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5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5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5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5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5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5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5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5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5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5"/>
      <c r="I55" s="17"/>
      <c r="J55" s="17"/>
      <c r="K55" s="17" t="s">
        <v>200</v>
      </c>
      <c r="L55" s="17"/>
      <c r="M55" s="17"/>
    </row>
    <row r="56" spans="1:13" ht="15" customHeight="1">
      <c r="H56" s="105"/>
      <c r="I56" s="16"/>
      <c r="J56" s="16"/>
      <c r="K56" s="16" t="s">
        <v>201</v>
      </c>
      <c r="L56" s="16"/>
      <c r="M56" s="16"/>
    </row>
    <row r="57" spans="1:13" ht="15" customHeight="1">
      <c r="H57" s="105"/>
      <c r="I57" s="17"/>
      <c r="J57" s="17"/>
      <c r="K57" s="17" t="s">
        <v>50</v>
      </c>
      <c r="L57" s="17"/>
      <c r="M57" s="17"/>
    </row>
    <row r="58" spans="1:13" ht="15" customHeight="1">
      <c r="H58" s="105"/>
      <c r="I58" s="16"/>
      <c r="J58" s="16"/>
      <c r="K58" s="16" t="s">
        <v>202</v>
      </c>
      <c r="L58" s="16"/>
      <c r="M58" s="16"/>
    </row>
    <row r="59" spans="1:13" ht="15" customHeight="1">
      <c r="H59" s="105"/>
      <c r="I59" s="17"/>
      <c r="J59" s="17"/>
      <c r="K59" s="17" t="s">
        <v>203</v>
      </c>
      <c r="L59" s="17"/>
      <c r="M59" s="17"/>
    </row>
    <row r="60" spans="1:13" ht="15" customHeight="1">
      <c r="H60" s="105"/>
      <c r="I60" s="16"/>
      <c r="J60" s="16"/>
      <c r="K60" s="87" t="s">
        <v>105</v>
      </c>
      <c r="L60" s="16"/>
      <c r="M60" s="16"/>
    </row>
    <row r="61" spans="1:13" ht="15" customHeight="1">
      <c r="H61" s="105"/>
      <c r="I61" s="17"/>
      <c r="J61" s="17"/>
      <c r="K61" s="17" t="s">
        <v>204</v>
      </c>
      <c r="L61" s="17"/>
      <c r="M61" s="17"/>
    </row>
    <row r="62" spans="1:13" ht="15" customHeight="1">
      <c r="H62" s="105"/>
      <c r="I62" s="16"/>
      <c r="J62" s="16"/>
      <c r="K62" s="16" t="s">
        <v>205</v>
      </c>
      <c r="L62" s="16"/>
      <c r="M62" s="16"/>
    </row>
    <row r="63" spans="1:13" ht="15" customHeight="1">
      <c r="H63" s="105"/>
      <c r="I63" s="17"/>
      <c r="J63" s="17"/>
      <c r="K63" s="17" t="s">
        <v>206</v>
      </c>
      <c r="L63" s="17"/>
      <c r="M63" s="17"/>
    </row>
    <row r="64" spans="1:13" ht="15" customHeight="1">
      <c r="H64" s="105"/>
      <c r="I64" s="16"/>
      <c r="J64" s="16"/>
      <c r="K64" s="16" t="s">
        <v>207</v>
      </c>
      <c r="L64" s="16"/>
      <c r="M64" s="16"/>
    </row>
    <row r="65" spans="8:13" ht="15" customHeight="1">
      <c r="H65" s="105"/>
      <c r="I65" s="17"/>
      <c r="J65" s="17"/>
      <c r="K65" s="17" t="s">
        <v>208</v>
      </c>
      <c r="L65" s="17"/>
      <c r="M65" s="17"/>
    </row>
    <row r="66" spans="8:13" ht="15" customHeight="1">
      <c r="H66" s="105"/>
      <c r="I66" s="16"/>
      <c r="J66" s="16"/>
      <c r="K66" s="16" t="s">
        <v>209</v>
      </c>
      <c r="L66" s="16"/>
      <c r="M66" s="16"/>
    </row>
    <row r="67" spans="8:13" ht="15" customHeight="1">
      <c r="H67" s="105"/>
      <c r="I67" s="17"/>
      <c r="J67" s="17"/>
      <c r="K67" s="17" t="s">
        <v>210</v>
      </c>
      <c r="L67" s="17"/>
      <c r="M67" s="17"/>
    </row>
    <row r="68" spans="8:13" ht="15" customHeight="1">
      <c r="H68" s="105"/>
      <c r="I68" s="16"/>
      <c r="J68" s="16"/>
      <c r="K68" s="16" t="s">
        <v>211</v>
      </c>
      <c r="L68" s="16"/>
      <c r="M68" s="16"/>
    </row>
    <row r="69" spans="8:13" ht="15" customHeight="1">
      <c r="H69" s="105"/>
      <c r="I69" s="17"/>
      <c r="J69" s="17"/>
      <c r="K69" s="17" t="s">
        <v>212</v>
      </c>
      <c r="L69" s="17"/>
      <c r="M69" s="17"/>
    </row>
    <row r="70" spans="8:13" ht="15" customHeight="1">
      <c r="H70" s="105"/>
      <c r="I70" s="16"/>
      <c r="J70" s="16"/>
      <c r="K70" s="16"/>
      <c r="L70" s="16"/>
      <c r="M70" s="16"/>
    </row>
    <row r="71" spans="8:13" ht="15" customHeight="1">
      <c r="H71" s="105"/>
      <c r="I71" s="17"/>
      <c r="J71" s="17"/>
      <c r="K71" s="17"/>
      <c r="L71" s="17"/>
      <c r="M71" s="17"/>
    </row>
    <row r="72" spans="8:13" ht="15" customHeight="1">
      <c r="H72" s="105"/>
      <c r="I72" s="16"/>
      <c r="J72" s="16"/>
      <c r="K72" s="16"/>
      <c r="L72" s="16"/>
      <c r="M72" s="16"/>
    </row>
    <row r="73" spans="8:13" ht="15" customHeight="1">
      <c r="H73" s="105"/>
      <c r="I73" s="17"/>
      <c r="J73" s="17"/>
      <c r="K73" s="17"/>
      <c r="L73" s="17"/>
      <c r="M73" s="17"/>
    </row>
    <row r="74" spans="8:13" ht="15" customHeight="1">
      <c r="H74" s="105"/>
      <c r="I74" s="16"/>
      <c r="J74" s="16"/>
      <c r="K74" s="16"/>
      <c r="L74" s="16"/>
      <c r="M74" s="16"/>
    </row>
    <row r="75" spans="8:13" ht="15" customHeight="1">
      <c r="H75" s="105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8" activePane="bottomLeft" state="frozen"/>
      <selection pane="bottomLeft" activeCell="F439" sqref="F43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111</v>
      </c>
      <c r="G446" s="36">
        <f>SUM(G434:G445)</f>
        <v>555</v>
      </c>
      <c r="H446" s="37"/>
      <c r="I446" s="37"/>
      <c r="J446" s="37"/>
      <c r="K446" s="37"/>
      <c r="L446" s="37"/>
      <c r="M446" s="38">
        <f ca="1">IFERROR(SUM(M434:M445),"")</f>
        <v>5.0000000000000044E-2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111</v>
      </c>
      <c r="G460" s="40">
        <f>G446+G459</f>
        <v>555</v>
      </c>
      <c r="H460" s="41"/>
      <c r="I460" s="41"/>
      <c r="J460" s="41"/>
      <c r="K460" s="41"/>
      <c r="L460" s="41"/>
      <c r="M460" s="42">
        <f ca="1">IFERROR(M446+M459,"")</f>
        <v>5.0000000000000044E-2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16" activePane="bottomLeft" state="frozen"/>
      <selection pane="bottomLeft" activeCell="L436" sqref="L4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0.27500324073480442</v>
      </c>
      <c r="N377" s="46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0.43264212962369331</v>
      </c>
      <c r="N378" s="36" t="s">
        <v>227</v>
      </c>
      <c r="O378" s="78">
        <v>511980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0.54236435184591547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0.25347546295961365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0.42430879629294704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0.56944768518183597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83</v>
      </c>
      <c r="G446" s="36">
        <f>SUM(G434:G445)</f>
        <v>348.6</v>
      </c>
      <c r="H446" s="37"/>
      <c r="I446" s="37"/>
      <c r="J446" s="37"/>
      <c r="K446" s="37"/>
      <c r="L446" s="37"/>
      <c r="M446" s="38">
        <f ca="1">IFERROR(SUM(M434:M445),"")</f>
        <v>3.8194444444444475E-2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83</v>
      </c>
      <c r="G460" s="40">
        <f>G446+G459</f>
        <v>348.6</v>
      </c>
      <c r="H460" s="41"/>
      <c r="I460" s="41"/>
      <c r="J460" s="41"/>
      <c r="K460" s="41"/>
      <c r="L460" s="41"/>
      <c r="M460" s="42">
        <f ca="1">IFERROR(M446+M459,"")</f>
        <v>3.8194444444444475E-2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 E432:E433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10" zoomScale="50" zoomScaleNormal="50" workbookViewId="0">
      <selection activeCell="F439" sqref="F4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296</v>
      </c>
      <c r="N166" s="27" t="s">
        <v>297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226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226</v>
      </c>
      <c r="B365" s="96"/>
      <c r="C365" s="96"/>
      <c r="D365" s="96"/>
      <c r="E365" s="97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109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108">
        <f t="shared" ca="1" si="94"/>
        <v>1.5972222222222276E-2</v>
      </c>
      <c r="N421" s="110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10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30</v>
      </c>
      <c r="G446" s="36">
        <f>SUM(G434:G445)</f>
        <v>126.00000000000003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30</v>
      </c>
      <c r="G460" s="40">
        <f>G446+G459</f>
        <v>126.00000000000003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F439" sqref="F43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226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228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98" t="s">
        <v>229</v>
      </c>
      <c r="B28" s="99"/>
      <c r="C28" s="99"/>
      <c r="D28" s="99"/>
      <c r="E28" s="100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226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228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98" t="s">
        <v>229</v>
      </c>
      <c r="B55" s="99"/>
      <c r="C55" s="99"/>
      <c r="D55" s="99"/>
      <c r="E55" s="100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311</v>
      </c>
      <c r="L58" s="29">
        <v>0.54097222222222219</v>
      </c>
      <c r="M58" s="30" t="str">
        <f t="shared" ca="1" si="13"/>
        <v/>
      </c>
      <c r="N58" s="27" t="s">
        <v>312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226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228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98" t="s">
        <v>229</v>
      </c>
      <c r="B82" s="99"/>
      <c r="C82" s="99"/>
      <c r="D82" s="99"/>
      <c r="E82" s="100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226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228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98" t="s">
        <v>229</v>
      </c>
      <c r="B109" s="99"/>
      <c r="C109" s="99"/>
      <c r="D109" s="99"/>
      <c r="E109" s="100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226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0.26528101851727115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228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0.46458657407282677</v>
      </c>
      <c r="N135" s="36" t="s">
        <v>227</v>
      </c>
      <c r="O135" s="39">
        <v>729290</v>
      </c>
    </row>
    <row r="136" spans="1:18" ht="18" customHeight="1">
      <c r="A136" s="98" t="s">
        <v>229</v>
      </c>
      <c r="B136" s="99"/>
      <c r="C136" s="99"/>
      <c r="D136" s="99"/>
      <c r="E136" s="100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0.8319476851839378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226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228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98" t="s">
        <v>229</v>
      </c>
      <c r="B163" s="99"/>
      <c r="C163" s="99"/>
      <c r="D163" s="99"/>
      <c r="E163" s="100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226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228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98" t="s">
        <v>229</v>
      </c>
      <c r="B190" s="99"/>
      <c r="C190" s="99"/>
      <c r="D190" s="99"/>
      <c r="E190" s="100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226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228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98" t="s">
        <v>229</v>
      </c>
      <c r="B217" s="99"/>
      <c r="C217" s="99"/>
      <c r="D217" s="99"/>
      <c r="E217" s="100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226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228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98" t="s">
        <v>229</v>
      </c>
      <c r="B244" s="99"/>
      <c r="C244" s="99"/>
      <c r="D244" s="99"/>
      <c r="E244" s="100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226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228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98" t="s">
        <v>229</v>
      </c>
      <c r="B271" s="99"/>
      <c r="C271" s="99"/>
      <c r="D271" s="99"/>
      <c r="E271" s="100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226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228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98" t="s">
        <v>229</v>
      </c>
      <c r="B298" s="99"/>
      <c r="C298" s="99"/>
      <c r="D298" s="99"/>
      <c r="E298" s="100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226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228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98" t="s">
        <v>229</v>
      </c>
      <c r="B325" s="99"/>
      <c r="C325" s="99"/>
      <c r="D325" s="99"/>
      <c r="E325" s="100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226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228</v>
      </c>
      <c r="B351" s="96"/>
      <c r="C351" s="96"/>
      <c r="D351" s="96"/>
      <c r="E351" s="97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98" t="s">
        <v>229</v>
      </c>
      <c r="B352" s="99"/>
      <c r="C352" s="99"/>
      <c r="D352" s="99"/>
      <c r="E352" s="100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5" t="s">
        <v>228</v>
      </c>
      <c r="B378" s="96"/>
      <c r="C378" s="96"/>
      <c r="D378" s="96"/>
      <c r="E378" s="97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98" t="s">
        <v>229</v>
      </c>
      <c r="B379" s="99"/>
      <c r="C379" s="99"/>
      <c r="D379" s="99"/>
      <c r="E379" s="100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226</v>
      </c>
      <c r="B392" s="96"/>
      <c r="C392" s="96"/>
      <c r="D392" s="96"/>
      <c r="E392" s="97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228</v>
      </c>
      <c r="B405" s="96"/>
      <c r="C405" s="96"/>
      <c r="D405" s="96"/>
      <c r="E405" s="97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98" t="s">
        <v>229</v>
      </c>
      <c r="B406" s="99"/>
      <c r="C406" s="99"/>
      <c r="D406" s="99"/>
      <c r="E406" s="100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226</v>
      </c>
      <c r="B419" s="96"/>
      <c r="C419" s="96"/>
      <c r="D419" s="96"/>
      <c r="E419" s="97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339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228</v>
      </c>
      <c r="B432" s="96"/>
      <c r="C432" s="96"/>
      <c r="D432" s="96"/>
      <c r="E432" s="97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98" t="s">
        <v>229</v>
      </c>
      <c r="B433" s="99"/>
      <c r="C433" s="99"/>
      <c r="D433" s="99"/>
      <c r="E433" s="100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251</v>
      </c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251</v>
      </c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251</v>
      </c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226</v>
      </c>
      <c r="B446" s="96"/>
      <c r="C446" s="96"/>
      <c r="D446" s="96"/>
      <c r="E446" s="97">
        <f>SUM(E434:E445)</f>
        <v>0</v>
      </c>
      <c r="F446" s="36">
        <f>SUM(F434:F445)</f>
        <v>95</v>
      </c>
      <c r="G446" s="36">
        <f>SUM(G434:G445)</f>
        <v>399.00000000000006</v>
      </c>
      <c r="H446" s="37"/>
      <c r="I446" s="37"/>
      <c r="J446" s="37"/>
      <c r="K446" s="61"/>
      <c r="L446" s="61"/>
      <c r="M446" s="38">
        <f ca="1">IFERROR(SUM(M434:M445),"")</f>
        <v>2.083333333333337E-2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228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98" t="s">
        <v>229</v>
      </c>
      <c r="B460" s="99"/>
      <c r="C460" s="99"/>
      <c r="D460" s="99"/>
      <c r="E460" s="100">
        <f>E446+E459</f>
        <v>0</v>
      </c>
      <c r="F460" s="40">
        <f>F446+F459</f>
        <v>95</v>
      </c>
      <c r="G460" s="40">
        <f>G446+G459</f>
        <v>399.00000000000006</v>
      </c>
      <c r="H460" s="41"/>
      <c r="I460" s="41"/>
      <c r="J460" s="41"/>
      <c r="K460" s="63"/>
      <c r="L460" s="63"/>
      <c r="M460" s="42">
        <f ca="1">IFERROR(M446+M459,"")</f>
        <v>2.083333333333337E-2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226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228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98" t="s">
        <v>229</v>
      </c>
      <c r="B487" s="99"/>
      <c r="C487" s="99"/>
      <c r="D487" s="99"/>
      <c r="E487" s="10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226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228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98" t="s">
        <v>229</v>
      </c>
      <c r="B514" s="99"/>
      <c r="C514" s="99"/>
      <c r="D514" s="99"/>
      <c r="E514" s="10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226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228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98" t="s">
        <v>229</v>
      </c>
      <c r="B541" s="99"/>
      <c r="C541" s="99"/>
      <c r="D541" s="99"/>
      <c r="E541" s="10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226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228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98" t="s">
        <v>229</v>
      </c>
      <c r="B568" s="99"/>
      <c r="C568" s="99"/>
      <c r="D568" s="99"/>
      <c r="E568" s="10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226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228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98" t="s">
        <v>229</v>
      </c>
      <c r="B595" s="99"/>
      <c r="C595" s="99"/>
      <c r="D595" s="99"/>
      <c r="E595" s="10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226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228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98" t="s">
        <v>229</v>
      </c>
      <c r="B622" s="99"/>
      <c r="C622" s="99"/>
      <c r="D622" s="99"/>
      <c r="E622" s="10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226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228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98" t="s">
        <v>229</v>
      </c>
      <c r="B649" s="99"/>
      <c r="C649" s="99"/>
      <c r="D649" s="99"/>
      <c r="E649" s="10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226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228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98" t="s">
        <v>229</v>
      </c>
      <c r="B676" s="99"/>
      <c r="C676" s="99"/>
      <c r="D676" s="99"/>
      <c r="E676" s="10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226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228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98" t="s">
        <v>229</v>
      </c>
      <c r="B703" s="99"/>
      <c r="C703" s="99"/>
      <c r="D703" s="99"/>
      <c r="E703" s="10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226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228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98" t="s">
        <v>229</v>
      </c>
      <c r="B730" s="99"/>
      <c r="C730" s="99"/>
      <c r="D730" s="99"/>
      <c r="E730" s="10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226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228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98" t="s">
        <v>229</v>
      </c>
      <c r="B757" s="99"/>
      <c r="C757" s="99"/>
      <c r="D757" s="99"/>
      <c r="E757" s="10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226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228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98" t="s">
        <v>229</v>
      </c>
      <c r="B784" s="99"/>
      <c r="C784" s="99"/>
      <c r="D784" s="99"/>
      <c r="E784" s="10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226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228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98" t="s">
        <v>229</v>
      </c>
      <c r="B811" s="99"/>
      <c r="C811" s="99"/>
      <c r="D811" s="99"/>
      <c r="E811" s="100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2026-07-17T16:23:03Z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