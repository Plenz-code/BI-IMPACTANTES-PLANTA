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02" documentId="8_{C51EB6CB-002B-4D6B-B68F-DDEBDB4460C0}" xr6:coauthVersionLast="47" xr6:coauthVersionMax="47" xr10:uidLastSave="{365FE552-85D5-431E-8EB1-52D4D363E85A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<sst xmlns="http://schemas.openxmlformats.org/spreadsheetml/2006/main" count="1490" uniqueCount="246">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</sst>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" activePane="bottomLeft" state="frozen"/>
      <selection pane="bottomLeft" activeCell="J29" sqref="J2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/>
      <c r="G29" s="28" t="str">
        <f t="shared" ref="G29:G40" si="6">IF(F29="","",IF(E29="PC 17",F29*4.2,IF(E29="PC 19",F29*5,IF(E29="CB",F29*35,""))))</f>
        <v/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/>
      <c r="M29" s="35">
        <f t="shared" ref="M29:M40" ca="1" si="7">IFERROR(IF(K29="","",IF(L29="",MOD(NOW()-K29,1),IF(L29&gt;=K29,L29-K29,L29+1-K29))),"")</f>
        <v>2.0995138889702503E-2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2.0995138889702503E-2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2.0995138889702503E-2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C29" sqref="C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239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O28" sqref="O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G29" sqref="G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245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2026-08-02T11:30:47Z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