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4" documentId="8_{C51EB6CB-002B-4D6B-B68F-DDEBDB4460C0}" xr6:coauthVersionLast="47" xr6:coauthVersionMax="47" xr10:uidLastSave="{AEDFDC1E-BBCD-4A46-BCD8-061A802511DD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<sst xmlns="http://schemas.openxmlformats.org/spreadsheetml/2006/main" count="5498" uniqueCount="334">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</sst>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2" sqref="F29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206</v>
      </c>
      <c r="G297" s="36">
        <f>SUM(G285:G296)</f>
        <v>865.2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469</v>
      </c>
      <c r="G298" s="40">
        <f>G284+G297</f>
        <v>2180.1999999999998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3" activePane="bottomLeft" state="frozen"/>
      <selection pane="bottomLeft" activeCell="E261" sqref="E26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0.96342349537007976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1.1023123842589686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1.187034606481191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13</v>
      </c>
      <c r="G261" s="28">
        <f t="shared" si="57"/>
        <v>65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699.19999999999993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1524.6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/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366.4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215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0.89050682870583842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0.95231238426139397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1.0134234953725052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44</v>
      </c>
      <c r="G297" s="36">
        <f>SUM(G285:G296)</f>
        <v>215.2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139</v>
      </c>
      <c r="G298" s="40">
        <f>G284+G297</f>
        <v>622.20000000000005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2" sqref="F29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/>
      <c r="M285" s="35">
        <f t="shared" ref="M285:M296" ca="1" si="64">IFERROR(IF(K285="","",IF(L285="",MOD(NOW()-K285,1),IF(L285&gt;=K285,L285-K285,L285+1-K285))),"")</f>
        <v>7.8679398211534135E-3</v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102</v>
      </c>
      <c r="G297" s="36">
        <f>SUM(G285:G296)</f>
        <v>488.4</v>
      </c>
      <c r="H297" s="37"/>
      <c r="I297" s="37"/>
      <c r="J297" s="37"/>
      <c r="K297" s="61"/>
      <c r="L297" s="61"/>
      <c r="M297" s="38">
        <f ca="1">IFERROR(SUM(M285:M296),"")</f>
        <v>7.8679398211534135E-3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274</v>
      </c>
      <c r="G298" s="40">
        <f>G284+G297</f>
        <v>1210.8</v>
      </c>
      <c r="H298" s="41"/>
      <c r="I298" s="41"/>
      <c r="J298" s="41"/>
      <c r="K298" s="63"/>
      <c r="L298" s="63"/>
      <c r="M298" s="42">
        <f ca="1">IFERROR(M284+M297,"")</f>
        <v>8.0090162043375601E-2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2026-08-12T06:02:20Z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