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3" documentId="8_{C51EB6CB-002B-4D6B-B68F-DDEBDB4460C0}" xr6:coauthVersionLast="47" xr6:coauthVersionMax="47" xr10:uidLastSave="{E70D879E-37F7-4C95-AE61-9A2BC9CAA882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838" i="6" l="1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E811" i="3" s="1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G622" i="6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<sst xmlns="http://schemas.openxmlformats.org/spreadsheetml/2006/main" count="1196" uniqueCount="236">
  <si>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</si>
  <si>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</si>
  <si>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</si>
  <si>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</si>
  <si>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</si>
  <si>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</si>
  <si>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</si>
  <si>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</si>
  <si>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</si>
  <si>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</si>
  <si>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</si>
  <si>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</si>
  <si>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</si>
  <si>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</si>
  <si>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</si>
  <si>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</si>
  <si>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</si>
  <si>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</si>
  <si>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</si>
  <si>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</si>
  <si>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</si>
  <si>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</si>
  <si>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</si>
  <si>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</si>
  <si>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</si>
  <si>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</si>
  <si>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</si>
  <si>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</si>
  <si>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</si>
  <si>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</si>
  <si>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</si>
  <si>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</si>
  <si>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</si>
  <si>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</si>
  <si>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</si>
  <si>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</si>
  <si>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</si>
  <si>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</si>
  <si>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</si>
  <si>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</si>
  <si>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</si>
  <si>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</si>
  <si>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</si>
  <si>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</si>
  <si>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</si>
  <si>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</si>
  <si>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</si>
  <si>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</si>
  <si>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</si>
  <si>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</si>
  <si>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</si>
  <si>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</si>
  <si>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</si>
  <si>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</si>
  <si>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</si>
  <si>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</si>
  <si>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</si>
  <si>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</si>
  <si>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</si>
  <si>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</si>
  <si>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</si>
  <si>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</si>
  <si>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</si>
  <si>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</si>
  <si>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</si>
  <si>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</si>
  <si>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</si>
  <si>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</si>
  <si>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</si>
  <si>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</si>
  <si>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</si>
  <si>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</si>
  <si>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</si>
  <si>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</si>
  <si>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</si>
  <si>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</si>
  <si>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</si>
  <si>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</si>
  <si>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</si>
  <si>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</si>
  <si>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</si>
  <si>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</si>
  <si>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</si>
  <si>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</si>
  <si>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</si>
  <si>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</si>
  <si>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</si>
  <si>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</si>
  <si>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</si>
  <si>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</si>
  <si>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</si>
  <si>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</si>
  <si>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</si>
  <si>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</si>
  <si>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</si>
  <si>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</si>
  <si>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</si>
  <si>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</si>
  <si>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</si>
  <si>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</si>
  <si>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</si>
  <si>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</si>
  <si>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</si>
  <si>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</si>
  <si>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</si>
  <si>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</si>
  <si>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</si>
  <si>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</si>
  <si>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</si>
  <si>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</si>
  <si>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</si>
  <si>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</si>
  <si>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</si>
  <si>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</si>
  <si>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</si>
  <si>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</si>
  <si>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</si>
  <si>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</si>
  <si>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</si>
  <si>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</si>
  <si>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</si>
  <si>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</si>
  <si>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</si>
  <si>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</si>
  <si>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</si>
  <si>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</si>
  <si>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</si>
  <si>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</si>
  <si>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</si>
  <si>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</si>
  <si>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</si>
  <si>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</si>
  <si>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</si>
  <si>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</si>
  <si>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</si>
  <si>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</si>
  <si>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</si>
  <si>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</si>
  <si>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</si>
  <si>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</si>
  <si>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</si>
  <si>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</si>
  <si>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</si>
  <si>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</si>
  <si>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</si>
  <si>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</si>
  <si>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</si>
  <si>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</si>
  <si>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</si>
  <si>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</si>
  <si>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</si>
  <si>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</si>
  <si>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</si>
  <si>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</si>
  <si>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</si>
  <si>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</si>
  <si>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</si>
  <si>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</si>
  <si>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</si>
  <si>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</si>
  <si>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</si>
  <si>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</si>
  <si>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</si>
  <si>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</si>
  <si>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</si>
  <si>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</si>
  <si>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</si>
  <si>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</si>
  <si>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</si>
  <si>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</si>
  <si>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</si>
  <si>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</si>
  <si>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</si>
  <si>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</si>
  <si>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</si>
  <si>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</si>
  <si>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</si>
  <si>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</si>
  <si>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</si>
  <si>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</si>
  <si>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</si>
  <si>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</si>
  <si>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</si>
  <si>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</si>
  <si>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</si>
  <si>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</si>
  <si>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</si>
  <si>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</si>
  <si>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</si>
  <si>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</si>
  <si>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</si>
  <si>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</si>
  <si>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</si>
  <si>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</si>
  <si>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</si>
  <si>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</si>
  <si>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</si>
  <si>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</si>
  <si>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</si>
  <si>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</si>
  <si>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</si>
  <si>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</si>
  <si>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</si>
  <si>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</si>
  <si>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</si>
  <si>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</si>
  <si>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</si>
  <si>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</si>
  <si>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</si>
  <si>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</si>
  <si>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</si>
  <si>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</si>
  <si>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</si>
  <si>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</si>
  <si>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</si>
  <si>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</si>
  <si>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</si>
  <si>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</si>
  <si>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</si>
  <si>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</si>
  <si>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</si>
  <si>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</si>
  <si>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</si>
  <si>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</si>
  <si>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</si>
  <si>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</si>
  <si>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</si>
  <si>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</si>
  <si>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</si>
  <si>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</si>
  <si>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</si>
  <si>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</si>
  <si>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</si>
  <si>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</si>
  <si>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</si>
  <si>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00:020:00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</si>
</sst>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6" sqref="F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/>
      <c r="I2" s="26"/>
      <c r="J2" s="26"/>
      <c r="K2" s="29"/>
      <c r="L2" s="29"/>
      <c r="M2" s="30" t="str">
        <f ca="1">IFERROR(IF(K2="","",IF(L2="",MOD(NOW()-K2,1),IF(L2&gt;=K2,L2-K2,L2+1-K2))),"")</f>
        <v/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25</v>
      </c>
      <c r="G14" s="36">
        <f>SUM(G2:G13)</f>
        <v>125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25</v>
      </c>
      <c r="G28" s="40">
        <f>G14+G27</f>
        <v>125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100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100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>
        <v>3.3333333333333333E-2</v>
      </c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3.3333333333333333E-2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230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2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D29:D900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L4" sqref="L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/>
      <c r="G5" s="34" t="str">
        <f t="shared" si="0"/>
        <v/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/>
      <c r="G6" s="28" t="str">
        <f t="shared" si="0"/>
        <v/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/>
      <c r="G9" s="28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28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</v>
      </c>
      <c r="G14" s="36">
        <f>SUM(G2:G13)</f>
        <v>79.800000000000011</v>
      </c>
      <c r="H14" s="37"/>
      <c r="I14" s="37"/>
      <c r="J14" s="37"/>
      <c r="K14" s="37"/>
      <c r="L14" s="37"/>
      <c r="M14" s="38">
        <f ca="1">IFERROR(SUM(M2:M13),"")</f>
        <v>7.2916666666666685E-2</v>
      </c>
      <c r="N14" s="36" t="s">
        <v>229</v>
      </c>
      <c r="O14" s="77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19</v>
      </c>
      <c r="G28" s="40">
        <f>G14+G27</f>
        <v>79.800000000000011</v>
      </c>
      <c r="H28" s="41"/>
      <c r="I28" s="41"/>
      <c r="J28" s="41"/>
      <c r="K28" s="41"/>
      <c r="L28" s="41"/>
      <c r="M28" s="42">
        <f ca="1">IFERROR(M14+M27,"")</f>
        <v>7.2916666666666685E-2</v>
      </c>
      <c r="N28" s="40" t="s">
        <v>232</v>
      </c>
      <c r="O28" s="82">
        <f>O14+O27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228</v>
      </c>
      <c r="B230" s="88"/>
      <c r="C230" s="88"/>
      <c r="D230" s="59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3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3" t="s">
        <v>231</v>
      </c>
      <c r="B514" s="91"/>
      <c r="C514" s="91"/>
      <c r="D514" s="91"/>
      <c r="E514" s="91"/>
      <c r="F514" s="40">
        <f>F500+F513</f>
        <v>0</v>
      </c>
      <c r="G514" s="98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230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8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29:E431 E434:E512 E515:E838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D84:D900 D29:D82 E432:E433 E513:E514 D2:D13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L3" sqref="L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</v>
      </c>
      <c r="G14" s="36">
        <f>SUM(G2:G13)</f>
        <v>113.4</v>
      </c>
      <c r="H14" s="37"/>
      <c r="I14" s="37"/>
      <c r="J14" s="37"/>
      <c r="K14" s="37"/>
      <c r="L14" s="37"/>
      <c r="M14" s="38">
        <f ca="1">IFERROR(SUM(M2:M13),"")</f>
        <v>3.4722222222222099E-3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27</v>
      </c>
      <c r="G28" s="40">
        <f>G14+G27</f>
        <v>113.4</v>
      </c>
      <c r="H28" s="41"/>
      <c r="I28" s="41"/>
      <c r="J28" s="41"/>
      <c r="K28" s="41"/>
      <c r="L28" s="41"/>
      <c r="M28" s="42">
        <f ca="1">IFERROR(M14+M27,"")</f>
        <v>3.4722222222222099E-3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">
        <v>235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>
        <v>5.5555555555555558E-3</v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5.5555555555555558E-3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5.5555555555555558E-3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63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63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6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5" t="str">
        <f t="shared" ca="1" si="94"/>
        <v/>
      </c>
      <c r="N421" s="97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230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7" sqref="F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54</v>
      </c>
      <c r="G14" s="36">
        <f>SUM(G2:G13)</f>
        <v>226.8</v>
      </c>
      <c r="H14" s="37"/>
      <c r="I14" s="37"/>
      <c r="J14" s="37"/>
      <c r="K14" s="61"/>
      <c r="L14" s="61"/>
      <c r="M14" s="38">
        <f ca="1">IFERROR(SUM(M2:M13),"")</f>
        <v>2.777777777777779E-2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54</v>
      </c>
      <c r="G28" s="40">
        <f>G14+G27</f>
        <v>226.8</v>
      </c>
      <c r="H28" s="41"/>
      <c r="I28" s="41"/>
      <c r="J28" s="41"/>
      <c r="K28" s="63"/>
      <c r="L28" s="63"/>
      <c r="M28" s="42">
        <f ca="1">IFERROR(M14+M27,"")</f>
        <v>2.777777777777779E-2</v>
      </c>
      <c r="N28" s="40" t="s">
        <v>232</v>
      </c>
      <c r="O28" s="48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>
        <v>6.9444444444444441E-3</v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6.9444444444444441E-3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6.9444444444444441E-3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>
        <v>84</v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84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84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>
        <v>59</v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59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59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>
        <v>2.7777777777777776E-2</v>
      </c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2.7777777777777776E-2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2.7777777777777776E-2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230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2026-08-01T15:02:59Z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