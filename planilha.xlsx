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95" documentId="13_ncr:1_{0A10D8D4-8450-4366-8075-B53B08E6B7EA}" xr6:coauthVersionLast="47" xr6:coauthVersionMax="47" xr10:uidLastSave="{F2BC19E5-2A3A-470C-BA73-52AFC281CFA4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9" i="6" s="1"/>
  <c r="J389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8" i="5" l="1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<sst xmlns="http://schemas.openxmlformats.org/spreadsheetml/2006/main" count="6753" uniqueCount="351">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</sst>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2403.2399999999998</v>
      </c>
      <c r="J35" s="130">
        <f>IFERROR(AVERAGE(J4:J34),"-")</f>
        <v>0.95823702915128151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69" activePane="bottomLeft" state="frozen"/>
      <selection pane="bottomLeft" activeCell="F390" sqref="F39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227</v>
      </c>
      <c r="G392" s="36">
        <f>SUM(G380:G391)</f>
        <v>1150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227</v>
      </c>
      <c r="G406" s="40">
        <f>G392+G405</f>
        <v>1150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55" activePane="bottomLeft" state="frozen"/>
      <selection pane="bottomLeft" activeCell="G390" sqref="G39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0.60124826388346264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0.74013715277235148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0.82485937499457385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301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588.00000000000011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140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588.00000000000011</v>
      </c>
      <c r="L406" s="41"/>
      <c r="M406" s="41"/>
      <c r="N406" s="41"/>
      <c r="O406" s="41"/>
      <c r="P406" s="41"/>
      <c r="Q406" s="42">
        <f ca="1">IFERROR(Q392+Q405,"")</f>
        <v>7.2222222222222188E-2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90" sqref="G39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319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301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88"/>
        <v>0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88"/>
        <v>0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88"/>
        <v>0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88"/>
        <v>0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77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294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77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294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53" activePane="bottomLeft" state="frozen"/>
      <selection pane="bottomLeft" activeCell="G390" sqref="G39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343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301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9.4998263884917833E-2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0</v>
      </c>
      <c r="I386" s="135">
        <f>IFERROR(IF($D386="","",VLOOKUP($D386,Cadastro!$C$4:$G$7,5,FALSE)),"")</f>
        <v>0.6</v>
      </c>
      <c r="J386" s="136">
        <f t="shared" si="90"/>
        <v>0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0</v>
      </c>
      <c r="I387" s="135">
        <f>IFERROR(IF($D387="","",VLOOKUP($D387,Cadastro!$C$4:$G$7,5,FALSE)),"")</f>
        <v>0.6</v>
      </c>
      <c r="J387" s="136">
        <f t="shared" si="90"/>
        <v>0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0</v>
      </c>
      <c r="I388" s="135">
        <f>IFERROR(IF($D388="","",VLOOKUP($D388,Cadastro!$C$4:$G$7,5,FALSE)),"")</f>
        <v>0.6</v>
      </c>
      <c r="J388" s="136">
        <f t="shared" si="90"/>
        <v>0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0</v>
      </c>
      <c r="I389" s="135">
        <f>IFERROR(IF($D389="","",VLOOKUP($D389,Cadastro!$C$4:$G$7,5,FALSE)),"")</f>
        <v>0.6</v>
      </c>
      <c r="J389" s="136">
        <f t="shared" si="90"/>
        <v>0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118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495.6</v>
      </c>
      <c r="L392" s="37"/>
      <c r="M392" s="37"/>
      <c r="N392" s="37"/>
      <c r="O392" s="61"/>
      <c r="P392" s="61"/>
      <c r="Q392" s="38">
        <f ca="1">IFERROR(SUM(Q380:Q391),"")</f>
        <v>0.1595815972182511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118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495.6</v>
      </c>
      <c r="L406" s="41"/>
      <c r="M406" s="41"/>
      <c r="N406" s="41"/>
      <c r="O406" s="63"/>
      <c r="P406" s="63"/>
      <c r="Q406" s="42">
        <f ca="1">IFERROR(Q392+Q405,"")</f>
        <v>0.1595815972182511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2026-08-15T21:21:10Z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