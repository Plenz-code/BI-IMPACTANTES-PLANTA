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028" documentId="8_{AF585B22-221D-4780-BB9C-493D365A6A02}" xr6:coauthVersionLast="47" xr6:coauthVersionMax="47" xr10:uidLastSave="{53B97DA2-7896-410D-AF97-A473FCB58C6C}"/>
  <bookViews>
    <workbookView xWindow="-108" yWindow="-108" windowWidth="23256" windowHeight="12456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38" i="5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<sst xmlns="http://schemas.openxmlformats.org/spreadsheetml/2006/main" count="5471" uniqueCount="306">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</sst>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 x14ac:knownFonts="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546875" defaultRowHeight="14.4" x14ac:dyDescent="0.3"/>
  <cols>
    <col min="2" max="2" width="17.44140625" style="71" customWidth="1"/>
    <col min="3" max="3" width="21.44140625" customWidth="1"/>
    <col min="4" max="6" width="16" hidden="1" customWidth="1"/>
    <col min="7" max="7" width="34" customWidth="1"/>
  </cols>
  <sheetData>
    <row r="1" spans="1:7" ht="31.5" customHeight="1" x14ac:dyDescent="0.3">
      <c r="A1" s="97" t="s">
        <v>0</v>
      </c>
      <c r="B1" s="97"/>
      <c r="C1" s="97"/>
      <c r="D1" s="97"/>
      <c r="E1" s="97"/>
      <c r="F1" s="97"/>
      <c r="G1" s="97"/>
    </row>
    <row r="2" spans="1:7" ht="24.75" customHeight="1" x14ac:dyDescent="0.3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 x14ac:dyDescent="0.3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 x14ac:dyDescent="0.3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 x14ac:dyDescent="0.3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 x14ac:dyDescent="0.3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 x14ac:dyDescent="0.3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 x14ac:dyDescent="0.3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 x14ac:dyDescent="0.3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 x14ac:dyDescent="0.3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 x14ac:dyDescent="0.3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 x14ac:dyDescent="0.3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 x14ac:dyDescent="0.3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 x14ac:dyDescent="0.3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 x14ac:dyDescent="0.3">
      <c r="A15" s="10">
        <v>12</v>
      </c>
      <c r="B15" s="74">
        <v>46215</v>
      </c>
      <c r="C15" s="11">
        <f>IFERROR(Britador!O325,"")</f>
        <v>2176148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 x14ac:dyDescent="0.3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 x14ac:dyDescent="0.3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 x14ac:dyDescent="0.3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 x14ac:dyDescent="0.3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 x14ac:dyDescent="0.3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 x14ac:dyDescent="0.3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 x14ac:dyDescent="0.3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 x14ac:dyDescent="0.3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 x14ac:dyDescent="0.3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 x14ac:dyDescent="0.3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 x14ac:dyDescent="0.3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 x14ac:dyDescent="0.3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 x14ac:dyDescent="0.3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 x14ac:dyDescent="0.3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 x14ac:dyDescent="0.3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 x14ac:dyDescent="0.3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 x14ac:dyDescent="0.3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 x14ac:dyDescent="0.3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 x14ac:dyDescent="0.3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 x14ac:dyDescent="0.3">
      <c r="A35" s="99" t="s">
        <v>9</v>
      </c>
      <c r="B35" s="99"/>
      <c r="C35" s="13">
        <f>IFERROR(SUM(C4:C34),"")</f>
        <v>36043688</v>
      </c>
      <c r="D35" s="13">
        <f>IFERROR(SUM(D4:D34),"")</f>
        <v>12990250</v>
      </c>
      <c r="E35" s="13">
        <f>IFERROR(SUM(E4:E34),"")</f>
        <v>9191510</v>
      </c>
      <c r="F35" s="13">
        <f>IFERROR(SUM(F4:F34),"")</f>
        <v>16638500</v>
      </c>
      <c r="G35" s="13">
        <f>IFERROR(SUM(G4:G34),"")</f>
        <v>38820260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546875" defaultRowHeight="14.4" x14ac:dyDescent="0.3"/>
  <cols>
    <col min="1" max="1" width="14" customWidth="1"/>
    <col min="2" max="2" width="2" customWidth="1"/>
    <col min="3" max="3" width="17.554687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09375" customWidth="1"/>
    <col min="10" max="10" width="45.44140625" customWidth="1"/>
    <col min="11" max="11" width="42.109375" customWidth="1"/>
    <col min="12" max="12" width="36" customWidth="1"/>
    <col min="13" max="13" width="45.88671875" customWidth="1"/>
  </cols>
  <sheetData>
    <row r="1" spans="1:13" ht="27.75" customHeight="1" x14ac:dyDescent="0.3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 x14ac:dyDescent="0.3">
      <c r="H2" s="101"/>
    </row>
    <row r="3" spans="1:13" ht="21.75" customHeight="1" x14ac:dyDescent="0.3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 x14ac:dyDescent="0.3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 x14ac:dyDescent="0.3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 x14ac:dyDescent="0.3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 x14ac:dyDescent="0.3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 x14ac:dyDescent="0.3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 x14ac:dyDescent="0.3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 x14ac:dyDescent="0.3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 x14ac:dyDescent="0.3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 x14ac:dyDescent="0.3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 x14ac:dyDescent="0.3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 x14ac:dyDescent="0.3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 x14ac:dyDescent="0.3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 x14ac:dyDescent="0.3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 x14ac:dyDescent="0.3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 x14ac:dyDescent="0.3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 x14ac:dyDescent="0.3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 x14ac:dyDescent="0.3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 x14ac:dyDescent="0.3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 x14ac:dyDescent="0.3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 x14ac:dyDescent="0.3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 x14ac:dyDescent="0.3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 x14ac:dyDescent="0.3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 x14ac:dyDescent="0.3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 x14ac:dyDescent="0.3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 x14ac:dyDescent="0.3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 x14ac:dyDescent="0.3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 x14ac:dyDescent="0.3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 x14ac:dyDescent="0.3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 x14ac:dyDescent="0.3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 x14ac:dyDescent="0.3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 x14ac:dyDescent="0.3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 x14ac:dyDescent="0.3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 x14ac:dyDescent="0.3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 x14ac:dyDescent="0.3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 x14ac:dyDescent="0.3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 x14ac:dyDescent="0.3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 x14ac:dyDescent="0.3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 x14ac:dyDescent="0.3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 x14ac:dyDescent="0.3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 x14ac:dyDescent="0.3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 x14ac:dyDescent="0.3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 x14ac:dyDescent="0.3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 x14ac:dyDescent="0.3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 x14ac:dyDescent="0.3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 x14ac:dyDescent="0.3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 x14ac:dyDescent="0.3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 x14ac:dyDescent="0.3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 x14ac:dyDescent="0.3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 x14ac:dyDescent="0.3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 x14ac:dyDescent="0.3">
      <c r="H53" s="101"/>
      <c r="I53" s="17"/>
      <c r="J53" s="17"/>
      <c r="K53" s="17" t="s">
        <v>194</v>
      </c>
      <c r="L53" s="17"/>
      <c r="M53" s="17"/>
    </row>
    <row r="54" spans="1:13" ht="15" customHeight="1" x14ac:dyDescent="0.3">
      <c r="H54" s="101"/>
      <c r="I54" s="16"/>
      <c r="J54" s="16"/>
      <c r="K54" s="16" t="s">
        <v>195</v>
      </c>
      <c r="L54" s="16"/>
      <c r="M54" s="16"/>
    </row>
    <row r="55" spans="1:13" ht="15" customHeight="1" x14ac:dyDescent="0.3">
      <c r="H55" s="101"/>
      <c r="I55" s="17"/>
      <c r="J55" s="17"/>
      <c r="K55" s="17" t="s">
        <v>196</v>
      </c>
      <c r="L55" s="17"/>
      <c r="M55" s="17"/>
    </row>
    <row r="56" spans="1:13" ht="15" customHeight="1" x14ac:dyDescent="0.3">
      <c r="H56" s="101"/>
      <c r="I56" s="16"/>
      <c r="J56" s="16"/>
      <c r="K56" s="16" t="s">
        <v>197</v>
      </c>
      <c r="L56" s="16"/>
      <c r="M56" s="16"/>
    </row>
    <row r="57" spans="1:13" ht="15" customHeight="1" x14ac:dyDescent="0.3">
      <c r="H57" s="101"/>
      <c r="I57" s="17"/>
      <c r="J57" s="17"/>
      <c r="K57" s="17" t="s">
        <v>50</v>
      </c>
      <c r="L57" s="17"/>
      <c r="M57" s="17"/>
    </row>
    <row r="58" spans="1:13" ht="15" customHeight="1" x14ac:dyDescent="0.3">
      <c r="H58" s="101"/>
      <c r="I58" s="16"/>
      <c r="J58" s="16"/>
      <c r="K58" s="16" t="s">
        <v>198</v>
      </c>
      <c r="L58" s="16"/>
      <c r="M58" s="16"/>
    </row>
    <row r="59" spans="1:13" ht="15" customHeight="1" x14ac:dyDescent="0.3">
      <c r="H59" s="101"/>
      <c r="I59" s="17"/>
      <c r="J59" s="17"/>
      <c r="K59" s="17" t="s">
        <v>199</v>
      </c>
      <c r="L59" s="17"/>
      <c r="M59" s="17"/>
    </row>
    <row r="60" spans="1:13" ht="15" customHeight="1" x14ac:dyDescent="0.3">
      <c r="H60" s="101"/>
      <c r="I60" s="16"/>
      <c r="J60" s="16"/>
      <c r="K60" s="87" t="s">
        <v>105</v>
      </c>
      <c r="L60" s="16"/>
      <c r="M60" s="16"/>
    </row>
    <row r="61" spans="1:13" ht="15" customHeight="1" x14ac:dyDescent="0.3">
      <c r="H61" s="101"/>
      <c r="I61" s="17"/>
      <c r="J61" s="17"/>
      <c r="K61" s="17" t="s">
        <v>200</v>
      </c>
      <c r="L61" s="17"/>
      <c r="M61" s="17"/>
    </row>
    <row r="62" spans="1:13" ht="15" customHeight="1" x14ac:dyDescent="0.3">
      <c r="H62" s="101"/>
      <c r="I62" s="16"/>
      <c r="J62" s="16"/>
      <c r="K62" s="16" t="s">
        <v>201</v>
      </c>
      <c r="L62" s="16"/>
      <c r="M62" s="16"/>
    </row>
    <row r="63" spans="1:13" ht="15" customHeight="1" x14ac:dyDescent="0.3">
      <c r="H63" s="101"/>
      <c r="I63" s="17"/>
      <c r="J63" s="17"/>
      <c r="K63" s="17" t="s">
        <v>202</v>
      </c>
      <c r="L63" s="17"/>
      <c r="M63" s="17"/>
    </row>
    <row r="64" spans="1:13" ht="15" customHeight="1" x14ac:dyDescent="0.3">
      <c r="H64" s="101"/>
      <c r="I64" s="16"/>
      <c r="J64" s="16"/>
      <c r="K64" s="16" t="s">
        <v>203</v>
      </c>
      <c r="L64" s="16"/>
      <c r="M64" s="16"/>
    </row>
    <row r="65" spans="8:13" ht="15" customHeight="1" x14ac:dyDescent="0.3">
      <c r="H65" s="101"/>
      <c r="I65" s="17"/>
      <c r="J65" s="17"/>
      <c r="K65" s="17"/>
      <c r="L65" s="17"/>
      <c r="M65" s="17"/>
    </row>
    <row r="66" spans="8:13" ht="15" customHeight="1" x14ac:dyDescent="0.3">
      <c r="H66" s="101"/>
      <c r="I66" s="16"/>
      <c r="J66" s="16"/>
      <c r="K66" s="16"/>
      <c r="L66" s="16"/>
      <c r="M66" s="16"/>
    </row>
    <row r="67" spans="8:13" ht="15" customHeight="1" x14ac:dyDescent="0.3">
      <c r="H67" s="101"/>
      <c r="I67" s="17"/>
      <c r="J67" s="17"/>
      <c r="K67" s="17"/>
      <c r="L67" s="17"/>
      <c r="M67" s="17"/>
    </row>
    <row r="68" spans="8:13" ht="15" customHeight="1" x14ac:dyDescent="0.3">
      <c r="H68" s="101"/>
      <c r="I68" s="16"/>
      <c r="J68" s="16"/>
      <c r="K68" s="16"/>
      <c r="L68" s="16"/>
      <c r="M68" s="16"/>
    </row>
    <row r="69" spans="8:13" ht="15" customHeight="1" x14ac:dyDescent="0.3">
      <c r="H69" s="101"/>
      <c r="I69" s="17"/>
      <c r="J69" s="17"/>
      <c r="K69" s="17"/>
      <c r="L69" s="17"/>
      <c r="M69" s="17"/>
    </row>
    <row r="70" spans="8:13" ht="15" customHeight="1" x14ac:dyDescent="0.3">
      <c r="H70" s="101"/>
      <c r="I70" s="16"/>
      <c r="J70" s="16"/>
      <c r="K70" s="16"/>
      <c r="L70" s="16"/>
      <c r="M70" s="16"/>
    </row>
    <row r="71" spans="8:13" ht="15" customHeight="1" x14ac:dyDescent="0.3">
      <c r="H71" s="101"/>
      <c r="I71" s="17"/>
      <c r="J71" s="17"/>
      <c r="K71" s="17"/>
      <c r="L71" s="17"/>
      <c r="M71" s="17"/>
    </row>
    <row r="72" spans="8:13" ht="15" customHeight="1" x14ac:dyDescent="0.3">
      <c r="H72" s="101"/>
      <c r="I72" s="16"/>
      <c r="J72" s="16"/>
      <c r="K72" s="16"/>
      <c r="L72" s="16"/>
      <c r="M72" s="16"/>
    </row>
    <row r="73" spans="8:13" ht="15" customHeight="1" x14ac:dyDescent="0.3">
      <c r="H73" s="101"/>
      <c r="I73" s="17"/>
      <c r="J73" s="17"/>
      <c r="K73" s="17"/>
      <c r="L73" s="17"/>
      <c r="M73" s="17"/>
    </row>
    <row r="74" spans="8:13" ht="15" customHeight="1" x14ac:dyDescent="0.3">
      <c r="H74" s="101"/>
      <c r="I74" s="16"/>
      <c r="J74" s="16"/>
      <c r="K74" s="16"/>
      <c r="L74" s="16"/>
      <c r="M74" s="16"/>
    </row>
    <row r="75" spans="8:13" ht="15" customHeight="1" x14ac:dyDescent="0.3">
      <c r="H75" s="101"/>
      <c r="I75" s="17"/>
      <c r="J75" s="17"/>
      <c r="K75" s="17"/>
      <c r="L75" s="17"/>
      <c r="M75" s="17"/>
    </row>
    <row r="76" spans="8:13" ht="15" customHeight="1" x14ac:dyDescent="0.3"/>
    <row r="77" spans="8:13" ht="15" customHeight="1" x14ac:dyDescent="0.3"/>
    <row r="78" spans="8:13" ht="15" customHeight="1" x14ac:dyDescent="0.3"/>
    <row r="79" spans="8:13" ht="15" customHeight="1" x14ac:dyDescent="0.3"/>
    <row r="80" spans="8:13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98" activePane="bottomLeft" state="frozen"/>
      <selection pane="bottomLeft" activeCell="D326" sqref="D326:D337"/>
    </sheetView>
  </sheetViews>
  <sheetFormatPr defaultColWidth="8.5546875" defaultRowHeight="14.4" x14ac:dyDescent="0.3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09375" style="20" customWidth="1"/>
    <col min="9" max="9" width="23.44140625" style="20" customWidth="1"/>
    <col min="10" max="10" width="43.109375" style="20" customWidth="1"/>
    <col min="11" max="11" width="14" style="20" customWidth="1"/>
    <col min="12" max="12" width="13.109375" style="21" customWidth="1"/>
    <col min="13" max="13" width="14" style="20" customWidth="1"/>
    <col min="14" max="14" width="50.44140625" style="20" customWidth="1"/>
    <col min="15" max="15" width="14" customWidth="1"/>
  </cols>
  <sheetData>
    <row r="1" spans="1:15" ht="37.5" customHeight="1" x14ac:dyDescent="0.3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 x14ac:dyDescent="0.3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 x14ac:dyDescent="0.3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3:M13" ca="1" si="2">IFERROR(IF(K3="","",IF(L3="",MOD(NOW()-K3,1),IF(L3&gt;=K3,L3-K3,L3+1-K3))),"")</f>
        <v>4.7916666666666663E-2</v>
      </c>
      <c r="N3" s="27"/>
      <c r="O3" s="31"/>
    </row>
    <row r="4" spans="1:15" ht="15" customHeight="1" x14ac:dyDescent="0.3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3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3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3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3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3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3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3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3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3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3">
      <c r="A14" s="91" t="s">
        <v>217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 x14ac:dyDescent="0.3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 x14ac:dyDescent="0.3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 x14ac:dyDescent="0.3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 x14ac:dyDescent="0.3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3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3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3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3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3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3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3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3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3">
      <c r="A27" s="91" t="s">
        <v>219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 x14ac:dyDescent="0.3">
      <c r="A28" s="94" t="s">
        <v>220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 x14ac:dyDescent="0.3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 x14ac:dyDescent="0.3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 x14ac:dyDescent="0.3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3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3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3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3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3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3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3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3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3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3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 x14ac:dyDescent="0.3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 x14ac:dyDescent="0.3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 x14ac:dyDescent="0.3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3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3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3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3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3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3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3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3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3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3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 x14ac:dyDescent="0.3">
      <c r="A55" s="94" t="s">
        <v>220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 x14ac:dyDescent="0.3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 x14ac:dyDescent="0.3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 x14ac:dyDescent="0.3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3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3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3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3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3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3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3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3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3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3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 x14ac:dyDescent="0.3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 x14ac:dyDescent="0.3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 x14ac:dyDescent="0.3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3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3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3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3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3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3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3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3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3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3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 x14ac:dyDescent="0.3">
      <c r="A82" s="94" t="s">
        <v>220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 x14ac:dyDescent="0.3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 x14ac:dyDescent="0.3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 x14ac:dyDescent="0.3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 x14ac:dyDescent="0.3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 x14ac:dyDescent="0.3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3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3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3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3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3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3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3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3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 x14ac:dyDescent="0.3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 x14ac:dyDescent="0.3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3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3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3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3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3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3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3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3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3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3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3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 x14ac:dyDescent="0.3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 x14ac:dyDescent="0.3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 x14ac:dyDescent="0.3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3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3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3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3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3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3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3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3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3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3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3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 x14ac:dyDescent="0.3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 x14ac:dyDescent="0.3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 x14ac:dyDescent="0.3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3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3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3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3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3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3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3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3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3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3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 x14ac:dyDescent="0.3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 x14ac:dyDescent="0.3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 x14ac:dyDescent="0.3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 x14ac:dyDescent="0.3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 x14ac:dyDescent="0.3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 x14ac:dyDescent="0.3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3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5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 x14ac:dyDescent="0.3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 x14ac:dyDescent="0.3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 x14ac:dyDescent="0.3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3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3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5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 x14ac:dyDescent="0.3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 x14ac:dyDescent="0.3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 x14ac:dyDescent="0.3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3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3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3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3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 x14ac:dyDescent="0.3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3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3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 x14ac:dyDescent="0.3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 x14ac:dyDescent="0.3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 x14ac:dyDescent="0.3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 x14ac:dyDescent="0.3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3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3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 x14ac:dyDescent="0.3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 x14ac:dyDescent="0.3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 x14ac:dyDescent="0.3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3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3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3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3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3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3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3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3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3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3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 x14ac:dyDescent="0.3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 x14ac:dyDescent="0.3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 x14ac:dyDescent="0.3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 x14ac:dyDescent="0.3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 x14ac:dyDescent="0.3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3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3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3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3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3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3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3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3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3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 x14ac:dyDescent="0.3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 x14ac:dyDescent="0.3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 x14ac:dyDescent="0.3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 x14ac:dyDescent="0.3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 x14ac:dyDescent="0.3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3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3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3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3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3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3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3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3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 x14ac:dyDescent="0.3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 x14ac:dyDescent="0.3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 x14ac:dyDescent="0.3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3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3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3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3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3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3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3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3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3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3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3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 x14ac:dyDescent="0.3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 x14ac:dyDescent="0.3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3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3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3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3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3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3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3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3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3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3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 x14ac:dyDescent="0.3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 x14ac:dyDescent="0.3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 x14ac:dyDescent="0.3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3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3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3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3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3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3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3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3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3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3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3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 x14ac:dyDescent="0.3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 x14ac:dyDescent="0.3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 x14ac:dyDescent="0.3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3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3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 x14ac:dyDescent="0.3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 x14ac:dyDescent="0.3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 x14ac:dyDescent="0.3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 x14ac:dyDescent="0.3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 x14ac:dyDescent="0.3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 x14ac:dyDescent="0.3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 x14ac:dyDescent="0.3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 x14ac:dyDescent="0.3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 x14ac:dyDescent="0.3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 x14ac:dyDescent="0.3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 x14ac:dyDescent="0.3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 x14ac:dyDescent="0.3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 x14ac:dyDescent="0.3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3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3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3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3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3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3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3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3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3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217.5</v>
      </c>
      <c r="G311" s="36">
        <f>SUM(G299:G310)</f>
        <v>1087.5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>
        <v>955688</v>
      </c>
    </row>
    <row r="312" spans="1:15" ht="15" customHeight="1" x14ac:dyDescent="0.3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3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232</v>
      </c>
      <c r="O313" s="47"/>
    </row>
    <row r="314" spans="1:15" ht="15" customHeight="1" x14ac:dyDescent="0.3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232</v>
      </c>
      <c r="O314" s="47"/>
    </row>
    <row r="315" spans="1:15" ht="15" customHeight="1" x14ac:dyDescent="0.3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215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3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232</v>
      </c>
      <c r="O316" s="47"/>
    </row>
    <row r="317" spans="1:15" ht="15" customHeight="1" x14ac:dyDescent="0.3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232</v>
      </c>
      <c r="O317" s="47"/>
    </row>
    <row r="318" spans="1:15" ht="15" customHeight="1" x14ac:dyDescent="0.3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232</v>
      </c>
      <c r="O318" s="47"/>
    </row>
    <row r="319" spans="1:15" ht="15" customHeight="1" x14ac:dyDescent="0.3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215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3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232</v>
      </c>
      <c r="O320" s="47"/>
    </row>
    <row r="321" spans="1:15" ht="15" customHeight="1" x14ac:dyDescent="0.3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3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3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3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>
        <v>1220460</v>
      </c>
    </row>
    <row r="325" spans="1:15" ht="18" customHeight="1" x14ac:dyDescent="0.3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478.09999999999997</v>
      </c>
      <c r="G325" s="40">
        <f>G311+G324</f>
        <v>1237.5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2176148</v>
      </c>
    </row>
    <row r="326" spans="1:15" ht="15" customHeight="1" x14ac:dyDescent="0.3">
      <c r="A326" s="69">
        <v>46216</v>
      </c>
      <c r="B326" s="25">
        <v>0.33333333333333298</v>
      </c>
      <c r="C326" s="26" t="s">
        <v>45</v>
      </c>
      <c r="D326" s="59" t="s">
        <v>30</v>
      </c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3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3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3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3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3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3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3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3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3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3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3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3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 x14ac:dyDescent="0.3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3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3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3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3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3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3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3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3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3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3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3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3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 x14ac:dyDescent="0.3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 x14ac:dyDescent="0.3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3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3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3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3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3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3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3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 x14ac:dyDescent="0.3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 x14ac:dyDescent="0.3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3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3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 x14ac:dyDescent="0.3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3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3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3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3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3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3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3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3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3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3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3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3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 x14ac:dyDescent="0.3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 x14ac:dyDescent="0.3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3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3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3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3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3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3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3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3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3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3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3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3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 x14ac:dyDescent="0.3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3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3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3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3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3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3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3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3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3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3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3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3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 x14ac:dyDescent="0.3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 x14ac:dyDescent="0.3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3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3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3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3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3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3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3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3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3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3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3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3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 x14ac:dyDescent="0.3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3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3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3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3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3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3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3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3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3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3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3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3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 x14ac:dyDescent="0.3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 x14ac:dyDescent="0.3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3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3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3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3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3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3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3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3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3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3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3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 x14ac:dyDescent="0.3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3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3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3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3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3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3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3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3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3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3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3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3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 x14ac:dyDescent="0.3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 x14ac:dyDescent="0.3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3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3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 x14ac:dyDescent="0.3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3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 x14ac:dyDescent="0.3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 x14ac:dyDescent="0.3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3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3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3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3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3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3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 x14ac:dyDescent="0.3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 x14ac:dyDescent="0.3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3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3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3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3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3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3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3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3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3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3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3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 x14ac:dyDescent="0.3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 x14ac:dyDescent="0.3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3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3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3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3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3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3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3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3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3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3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3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3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 x14ac:dyDescent="0.3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3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3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3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3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3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3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3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3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3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3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3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3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 x14ac:dyDescent="0.3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 x14ac:dyDescent="0.3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3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3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3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3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3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3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3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3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3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3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3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3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 x14ac:dyDescent="0.3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 x14ac:dyDescent="0.3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 x14ac:dyDescent="0.3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 x14ac:dyDescent="0.3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 x14ac:dyDescent="0.3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 x14ac:dyDescent="0.3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 x14ac:dyDescent="0.3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3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3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3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3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3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3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 x14ac:dyDescent="0.3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 x14ac:dyDescent="0.3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3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3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3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3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3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3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3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3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3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3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3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3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 x14ac:dyDescent="0.3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3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3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3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3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3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3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3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3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3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3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3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3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 x14ac:dyDescent="0.3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 x14ac:dyDescent="0.3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3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3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3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3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3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3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3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3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3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3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3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3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 x14ac:dyDescent="0.3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3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3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3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3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3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3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3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3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3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3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3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3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 x14ac:dyDescent="0.3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 x14ac:dyDescent="0.3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3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3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3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3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3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3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3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3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3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3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3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3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 x14ac:dyDescent="0.3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3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3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3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3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3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3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3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3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3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3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3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3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 x14ac:dyDescent="0.3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 x14ac:dyDescent="0.3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3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3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3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3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3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3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3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3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3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3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3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3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 x14ac:dyDescent="0.3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3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3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3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3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3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3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3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3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3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3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3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3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 x14ac:dyDescent="0.3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 x14ac:dyDescent="0.3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3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3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3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3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3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3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3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3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3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3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3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3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 x14ac:dyDescent="0.3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3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3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3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3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3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3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3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3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3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3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3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3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 x14ac:dyDescent="0.3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 x14ac:dyDescent="0.3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3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 x14ac:dyDescent="0.3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3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 x14ac:dyDescent="0.3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3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 x14ac:dyDescent="0.3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3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3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3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3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3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3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 x14ac:dyDescent="0.3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3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3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3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3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3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3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3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3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3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3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3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3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 x14ac:dyDescent="0.3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 x14ac:dyDescent="0.3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3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3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3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3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3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3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3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3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3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3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3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3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 x14ac:dyDescent="0.3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3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3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3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3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3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3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3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3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3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3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3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3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 x14ac:dyDescent="0.3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 x14ac:dyDescent="0.3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3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3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3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3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3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3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3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3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3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3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3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3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 x14ac:dyDescent="0.3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3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3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3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3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3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3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3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3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3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3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3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3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 x14ac:dyDescent="0.3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 x14ac:dyDescent="0.3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3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3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3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3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3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3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3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3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3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3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3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3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 x14ac:dyDescent="0.3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3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3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3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3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3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3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3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3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3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3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3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3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 x14ac:dyDescent="0.3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 x14ac:dyDescent="0.3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3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3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3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3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3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3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3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3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3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3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3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3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 x14ac:dyDescent="0.3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3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3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3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3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3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3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3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3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3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3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3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3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 x14ac:dyDescent="0.3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305" activePane="bottomLeft" state="frozen"/>
      <selection pane="bottomLeft" activeCell="P324" sqref="P324"/>
    </sheetView>
  </sheetViews>
  <sheetFormatPr defaultColWidth="8.5546875" defaultRowHeight="14.4" x14ac:dyDescent="0.3"/>
  <cols>
    <col min="1" max="1" width="13" style="75" customWidth="1"/>
    <col min="2" max="2" width="9" style="20" customWidth="1"/>
    <col min="3" max="3" width="14" style="20" customWidth="1"/>
    <col min="4" max="5" width="16.109375" style="20" customWidth="1"/>
    <col min="6" max="6" width="13" style="20" customWidth="1"/>
    <col min="7" max="7" width="14" style="20" customWidth="1"/>
    <col min="8" max="8" width="29.44140625" style="20" customWidth="1"/>
    <col min="9" max="9" width="25" style="20" customWidth="1"/>
    <col min="10" max="10" width="48.5546875" style="20" customWidth="1"/>
    <col min="11" max="11" width="15.44140625" style="20" customWidth="1"/>
    <col min="12" max="12" width="12" style="21" customWidth="1"/>
    <col min="13" max="13" width="15.5546875" style="20" customWidth="1"/>
    <col min="14" max="14" width="64.5546875" style="20" customWidth="1"/>
    <col min="15" max="15" width="20" customWidth="1"/>
    <col min="16" max="16" width="20.109375" customWidth="1"/>
  </cols>
  <sheetData>
    <row r="1" spans="1:15" ht="37.5" customHeight="1" x14ac:dyDescent="0.3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 x14ac:dyDescent="0.3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 x14ac:dyDescent="0.3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 x14ac:dyDescent="0.3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 x14ac:dyDescent="0.3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 x14ac:dyDescent="0.3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 x14ac:dyDescent="0.3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 x14ac:dyDescent="0.3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 x14ac:dyDescent="0.3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 x14ac:dyDescent="0.3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 x14ac:dyDescent="0.3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 x14ac:dyDescent="0.3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 x14ac:dyDescent="0.3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 x14ac:dyDescent="0.3">
      <c r="A14" s="91" t="s">
        <v>217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 x14ac:dyDescent="0.3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 x14ac:dyDescent="0.3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 x14ac:dyDescent="0.3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 x14ac:dyDescent="0.3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 x14ac:dyDescent="0.3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 x14ac:dyDescent="0.3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 x14ac:dyDescent="0.3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 x14ac:dyDescent="0.3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 x14ac:dyDescent="0.3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 x14ac:dyDescent="0.3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 x14ac:dyDescent="0.3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 x14ac:dyDescent="0.3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 x14ac:dyDescent="0.3">
      <c r="A27" s="91" t="s">
        <v>219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 x14ac:dyDescent="0.3">
      <c r="A28" s="94" t="s">
        <v>220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 x14ac:dyDescent="0.3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234</v>
      </c>
      <c r="O29" s="31"/>
    </row>
    <row r="30" spans="1:15" ht="15" customHeight="1" x14ac:dyDescent="0.3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 x14ac:dyDescent="0.3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 x14ac:dyDescent="0.3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 x14ac:dyDescent="0.3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 x14ac:dyDescent="0.3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 x14ac:dyDescent="0.3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 x14ac:dyDescent="0.3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 x14ac:dyDescent="0.3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 x14ac:dyDescent="0.3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 x14ac:dyDescent="0.3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 x14ac:dyDescent="0.3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 x14ac:dyDescent="0.3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 x14ac:dyDescent="0.3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 x14ac:dyDescent="0.3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 x14ac:dyDescent="0.3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235</v>
      </c>
      <c r="O44" s="31"/>
    </row>
    <row r="45" spans="1:15" ht="15" customHeight="1" x14ac:dyDescent="0.3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 x14ac:dyDescent="0.3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 x14ac:dyDescent="0.3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 x14ac:dyDescent="0.3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 x14ac:dyDescent="0.3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 x14ac:dyDescent="0.3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 x14ac:dyDescent="0.3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 x14ac:dyDescent="0.3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 x14ac:dyDescent="0.3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 x14ac:dyDescent="0.3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 x14ac:dyDescent="0.3">
      <c r="A55" s="94" t="s">
        <v>220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 x14ac:dyDescent="0.3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 x14ac:dyDescent="0.3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236</v>
      </c>
      <c r="O57" s="31"/>
    </row>
    <row r="58" spans="1:15" ht="15" customHeight="1" x14ac:dyDescent="0.3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237</v>
      </c>
      <c r="O58" s="31"/>
    </row>
    <row r="59" spans="1:15" ht="15" customHeight="1" x14ac:dyDescent="0.3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 x14ac:dyDescent="0.3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 x14ac:dyDescent="0.3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 x14ac:dyDescent="0.3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 x14ac:dyDescent="0.3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 x14ac:dyDescent="0.3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 x14ac:dyDescent="0.3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 x14ac:dyDescent="0.3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 x14ac:dyDescent="0.3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 x14ac:dyDescent="0.4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 x14ac:dyDescent="0.3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 x14ac:dyDescent="0.3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 x14ac:dyDescent="0.3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 x14ac:dyDescent="0.3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 x14ac:dyDescent="0.3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 x14ac:dyDescent="0.3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 x14ac:dyDescent="0.3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 x14ac:dyDescent="0.3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 x14ac:dyDescent="0.3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 x14ac:dyDescent="0.3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 x14ac:dyDescent="0.3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 x14ac:dyDescent="0.3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 x14ac:dyDescent="0.4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 x14ac:dyDescent="0.3">
      <c r="A82" s="94" t="s">
        <v>220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 x14ac:dyDescent="0.3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238</v>
      </c>
      <c r="O83" s="31"/>
    </row>
    <row r="84" spans="1:15" ht="15" customHeight="1" x14ac:dyDescent="0.3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 x14ac:dyDescent="0.3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 x14ac:dyDescent="0.3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 x14ac:dyDescent="0.3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 x14ac:dyDescent="0.3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 x14ac:dyDescent="0.3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 x14ac:dyDescent="0.3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 x14ac:dyDescent="0.3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 x14ac:dyDescent="0.3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 x14ac:dyDescent="0.3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 x14ac:dyDescent="0.3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 x14ac:dyDescent="0.4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 x14ac:dyDescent="0.3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239</v>
      </c>
      <c r="O96" s="31"/>
    </row>
    <row r="97" spans="1:15" ht="15" customHeight="1" x14ac:dyDescent="0.3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240</v>
      </c>
      <c r="O97" s="31"/>
    </row>
    <row r="98" spans="1:15" ht="15" customHeight="1" x14ac:dyDescent="0.3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241</v>
      </c>
      <c r="O98" s="31"/>
    </row>
    <row r="99" spans="1:15" ht="15" customHeight="1" x14ac:dyDescent="0.3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 x14ac:dyDescent="0.3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 x14ac:dyDescent="0.3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 x14ac:dyDescent="0.3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 x14ac:dyDescent="0.3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 x14ac:dyDescent="0.3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 x14ac:dyDescent="0.3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 x14ac:dyDescent="0.3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 x14ac:dyDescent="0.3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 x14ac:dyDescent="0.4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 x14ac:dyDescent="0.3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 x14ac:dyDescent="0.3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 x14ac:dyDescent="0.3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242</v>
      </c>
      <c r="O111" s="31"/>
    </row>
    <row r="112" spans="1:15" ht="15" customHeight="1" x14ac:dyDescent="0.3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 x14ac:dyDescent="0.3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 x14ac:dyDescent="0.3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 x14ac:dyDescent="0.3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 x14ac:dyDescent="0.3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 x14ac:dyDescent="0.3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 x14ac:dyDescent="0.3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 x14ac:dyDescent="0.3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 x14ac:dyDescent="0.3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 x14ac:dyDescent="0.3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 x14ac:dyDescent="0.4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 x14ac:dyDescent="0.3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243</v>
      </c>
      <c r="O123" s="31"/>
    </row>
    <row r="124" spans="1:15" ht="15" customHeight="1" x14ac:dyDescent="0.3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 x14ac:dyDescent="0.3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 x14ac:dyDescent="0.3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245</v>
      </c>
      <c r="O126" s="31"/>
    </row>
    <row r="127" spans="1:15" ht="15" customHeight="1" x14ac:dyDescent="0.3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 x14ac:dyDescent="0.3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 x14ac:dyDescent="0.3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246</v>
      </c>
      <c r="O129" s="31"/>
    </row>
    <row r="130" spans="1:15" ht="15" customHeight="1" x14ac:dyDescent="0.3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 x14ac:dyDescent="0.3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 x14ac:dyDescent="0.3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 x14ac:dyDescent="0.3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 x14ac:dyDescent="0.3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 x14ac:dyDescent="0.4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 x14ac:dyDescent="0.3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 x14ac:dyDescent="0.3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 x14ac:dyDescent="0.3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 x14ac:dyDescent="0.3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247</v>
      </c>
      <c r="O139" s="31"/>
    </row>
    <row r="140" spans="1:15" ht="15" customHeight="1" x14ac:dyDescent="0.3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 x14ac:dyDescent="0.3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 x14ac:dyDescent="0.3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 x14ac:dyDescent="0.3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 x14ac:dyDescent="0.3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 x14ac:dyDescent="0.3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 x14ac:dyDescent="0.3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 x14ac:dyDescent="0.3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 x14ac:dyDescent="0.3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 x14ac:dyDescent="0.4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 x14ac:dyDescent="0.3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248</v>
      </c>
      <c r="O150" s="31"/>
    </row>
    <row r="151" spans="1:15" ht="15" customHeight="1" x14ac:dyDescent="0.3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 x14ac:dyDescent="0.3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 x14ac:dyDescent="0.3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 x14ac:dyDescent="0.3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 x14ac:dyDescent="0.3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 x14ac:dyDescent="0.3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 x14ac:dyDescent="0.3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 x14ac:dyDescent="0.3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 x14ac:dyDescent="0.3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 x14ac:dyDescent="0.3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 x14ac:dyDescent="0.3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 x14ac:dyDescent="0.4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 x14ac:dyDescent="0.3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 x14ac:dyDescent="0.3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 x14ac:dyDescent="0.3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 x14ac:dyDescent="0.3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 x14ac:dyDescent="0.3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 x14ac:dyDescent="0.3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 x14ac:dyDescent="0.3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 x14ac:dyDescent="0.3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 x14ac:dyDescent="0.3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 x14ac:dyDescent="0.3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 x14ac:dyDescent="0.3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 x14ac:dyDescent="0.3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 x14ac:dyDescent="0.3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 x14ac:dyDescent="0.3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 x14ac:dyDescent="0.3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 x14ac:dyDescent="0.3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 x14ac:dyDescent="0.3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 x14ac:dyDescent="0.3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 x14ac:dyDescent="0.3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 x14ac:dyDescent="0.3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 x14ac:dyDescent="0.3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 x14ac:dyDescent="0.3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 x14ac:dyDescent="0.3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 x14ac:dyDescent="0.3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 x14ac:dyDescent="0.3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 x14ac:dyDescent="0.3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 x14ac:dyDescent="0.3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 x14ac:dyDescent="0.3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 x14ac:dyDescent="0.3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 x14ac:dyDescent="0.3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 x14ac:dyDescent="0.3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 x14ac:dyDescent="0.3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 x14ac:dyDescent="0.3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 x14ac:dyDescent="0.3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 x14ac:dyDescent="0.3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 x14ac:dyDescent="0.3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 x14ac:dyDescent="0.3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 x14ac:dyDescent="0.3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 x14ac:dyDescent="0.3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 x14ac:dyDescent="0.3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 x14ac:dyDescent="0.3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 x14ac:dyDescent="0.3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 x14ac:dyDescent="0.3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 x14ac:dyDescent="0.3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250</v>
      </c>
      <c r="O206" s="47"/>
    </row>
    <row r="207" spans="1:15" ht="15" customHeight="1" x14ac:dyDescent="0.3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251</v>
      </c>
      <c r="O207" s="47"/>
    </row>
    <row r="208" spans="1:15" ht="15" customHeight="1" x14ac:dyDescent="0.3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3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3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3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3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3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3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3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3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 x14ac:dyDescent="0.3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 x14ac:dyDescent="0.3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252</v>
      </c>
      <c r="O218" s="47"/>
    </row>
    <row r="219" spans="1:15" ht="15" customHeight="1" x14ac:dyDescent="0.3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253</v>
      </c>
      <c r="O219" s="47"/>
    </row>
    <row r="220" spans="1:15" ht="15" customHeight="1" x14ac:dyDescent="0.3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 x14ac:dyDescent="0.3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3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3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3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3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3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3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3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3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3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 x14ac:dyDescent="0.3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 x14ac:dyDescent="0.3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 x14ac:dyDescent="0.3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 x14ac:dyDescent="0.3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248</v>
      </c>
      <c r="O234" s="47"/>
    </row>
    <row r="235" spans="1:15" ht="15" customHeight="1" x14ac:dyDescent="0.3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 x14ac:dyDescent="0.3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3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3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3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3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3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3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3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 x14ac:dyDescent="0.3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 x14ac:dyDescent="0.3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255</v>
      </c>
      <c r="O245" s="47"/>
    </row>
    <row r="246" spans="1:15" ht="15" customHeight="1" x14ac:dyDescent="0.3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3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3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3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3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3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3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3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3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3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3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3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 x14ac:dyDescent="0.3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 x14ac:dyDescent="0.3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 x14ac:dyDescent="0.3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 x14ac:dyDescent="0.3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 x14ac:dyDescent="0.3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 x14ac:dyDescent="0.3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3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3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3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3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3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3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 x14ac:dyDescent="0.3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 x14ac:dyDescent="0.3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256</v>
      </c>
      <c r="O272" s="47"/>
    </row>
    <row r="273" spans="1:15" ht="15" customHeight="1" x14ac:dyDescent="0.3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257</v>
      </c>
      <c r="O273" s="47"/>
    </row>
    <row r="274" spans="1:15" ht="15" customHeight="1" x14ac:dyDescent="0.3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 x14ac:dyDescent="0.3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3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3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3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3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3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3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3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3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3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 x14ac:dyDescent="0.3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 x14ac:dyDescent="0.3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258</v>
      </c>
      <c r="O286" s="47"/>
    </row>
    <row r="287" spans="1:15" ht="15" customHeight="1" x14ac:dyDescent="0.3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 x14ac:dyDescent="0.3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 x14ac:dyDescent="0.3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 x14ac:dyDescent="0.3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 x14ac:dyDescent="0.3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3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3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3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3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3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3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 x14ac:dyDescent="0.3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 x14ac:dyDescent="0.3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 x14ac:dyDescent="0.3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 x14ac:dyDescent="0.3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 x14ac:dyDescent="0.3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259</v>
      </c>
      <c r="O302" s="47"/>
    </row>
    <row r="303" spans="1:15" ht="15" customHeight="1" x14ac:dyDescent="0.3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259</v>
      </c>
      <c r="O303" s="47"/>
    </row>
    <row r="304" spans="1:15" ht="15" customHeight="1" x14ac:dyDescent="0.3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 x14ac:dyDescent="0.3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3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3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3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3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3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3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>
        <v>605560</v>
      </c>
    </row>
    <row r="312" spans="1:15" ht="15" customHeight="1" x14ac:dyDescent="0.3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 x14ac:dyDescent="0.3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260</v>
      </c>
      <c r="O313" s="47"/>
    </row>
    <row r="314" spans="1:15" ht="15" customHeight="1" x14ac:dyDescent="0.3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261</v>
      </c>
      <c r="O314" s="47"/>
    </row>
    <row r="315" spans="1:15" ht="15" customHeight="1" x14ac:dyDescent="0.3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3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3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3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3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3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3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3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3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215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3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218</v>
      </c>
      <c r="O324" s="78">
        <v>524410</v>
      </c>
    </row>
    <row r="325" spans="1:15" ht="18" customHeight="1" x14ac:dyDescent="0.3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221</v>
      </c>
      <c r="O325" s="84">
        <f>IFERROR(O311+O324,"")</f>
        <v>1129970</v>
      </c>
    </row>
    <row r="326" spans="1:15" ht="15" customHeight="1" x14ac:dyDescent="0.3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3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3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3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3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3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3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3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3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3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3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3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3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 x14ac:dyDescent="0.3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3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3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3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3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3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3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3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3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3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3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3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3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 x14ac:dyDescent="0.3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 x14ac:dyDescent="0.3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3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3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3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3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3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3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3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3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3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3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3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 x14ac:dyDescent="0.3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3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3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3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3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3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3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3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3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3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3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3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3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 x14ac:dyDescent="0.3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 x14ac:dyDescent="0.3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3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3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3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3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3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3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3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3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3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3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3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3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 x14ac:dyDescent="0.3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3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3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3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3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3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3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3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3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3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3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3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3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 x14ac:dyDescent="0.3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 x14ac:dyDescent="0.3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3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3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3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3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3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3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3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3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3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3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3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3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 x14ac:dyDescent="0.3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3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3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3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3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3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3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3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3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3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3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3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3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 x14ac:dyDescent="0.3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 x14ac:dyDescent="0.3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3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3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3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3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3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3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3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3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3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3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3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 x14ac:dyDescent="0.3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3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3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3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3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3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3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3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3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3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3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3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3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 x14ac:dyDescent="0.3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 x14ac:dyDescent="0.3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3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3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 x14ac:dyDescent="0.3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3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 x14ac:dyDescent="0.3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 x14ac:dyDescent="0.3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3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3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3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3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3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3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 x14ac:dyDescent="0.3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 x14ac:dyDescent="0.3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3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3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3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3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3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3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3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3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3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3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3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 x14ac:dyDescent="0.3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 x14ac:dyDescent="0.3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3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3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3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3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3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3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3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3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3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3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3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3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 x14ac:dyDescent="0.3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3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3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3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3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3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3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3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3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3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3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3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3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 x14ac:dyDescent="0.3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 x14ac:dyDescent="0.3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3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3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3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3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3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3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3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3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3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3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3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3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 x14ac:dyDescent="0.3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 x14ac:dyDescent="0.3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 x14ac:dyDescent="0.3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 x14ac:dyDescent="0.3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 x14ac:dyDescent="0.3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 x14ac:dyDescent="0.3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 x14ac:dyDescent="0.3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3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3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3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3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3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3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 x14ac:dyDescent="0.3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 x14ac:dyDescent="0.3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3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3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3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3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3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3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3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3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3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3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3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3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 x14ac:dyDescent="0.3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3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3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3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3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3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3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3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3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3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3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3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3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 x14ac:dyDescent="0.3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 x14ac:dyDescent="0.3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3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3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3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3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3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3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3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3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3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3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3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3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 x14ac:dyDescent="0.3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3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3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3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3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3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3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3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3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3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3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3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3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 x14ac:dyDescent="0.3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 x14ac:dyDescent="0.3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3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3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3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3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3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3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3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3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3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3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3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3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 x14ac:dyDescent="0.3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3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3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3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3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3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3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3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3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3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3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3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3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 x14ac:dyDescent="0.3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 x14ac:dyDescent="0.3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3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3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3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3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3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3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3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3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3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3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3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3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 x14ac:dyDescent="0.3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3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3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3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3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3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3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3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3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3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3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3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3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 x14ac:dyDescent="0.3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 x14ac:dyDescent="0.3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3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3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3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3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3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3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3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3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3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3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3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3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 x14ac:dyDescent="0.3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3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3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3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3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3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3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3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3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3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3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3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3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 x14ac:dyDescent="0.3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 x14ac:dyDescent="0.3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3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 x14ac:dyDescent="0.3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3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 x14ac:dyDescent="0.3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3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 x14ac:dyDescent="0.3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3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3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3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3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3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3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 x14ac:dyDescent="0.3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3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3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3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3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3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3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3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3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3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3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3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3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 x14ac:dyDescent="0.3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 x14ac:dyDescent="0.3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3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3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3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3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3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3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3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3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3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3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3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3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 x14ac:dyDescent="0.3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3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3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3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3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3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3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3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3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3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3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3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3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 x14ac:dyDescent="0.3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 x14ac:dyDescent="0.3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3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3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3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3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3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3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3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3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3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3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3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3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 x14ac:dyDescent="0.3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3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3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3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3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3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3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3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3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3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3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3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3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 x14ac:dyDescent="0.3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 x14ac:dyDescent="0.3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3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3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3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3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3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3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3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3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3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3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3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3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 x14ac:dyDescent="0.3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3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3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3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3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3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3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3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3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3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3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3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3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 x14ac:dyDescent="0.3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 x14ac:dyDescent="0.3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3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3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3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3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3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3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3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3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3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3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3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3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 x14ac:dyDescent="0.3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3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3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3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3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3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3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3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3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3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3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3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3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 x14ac:dyDescent="0.3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05" zoomScale="50" zoomScaleNormal="50" workbookViewId="0">
      <selection activeCell="O325" sqref="O325"/>
    </sheetView>
  </sheetViews>
  <sheetFormatPr defaultColWidth="8.5546875" defaultRowHeight="14.4" x14ac:dyDescent="0.3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546875" style="20" customWidth="1"/>
    <col min="9" max="9" width="30.44140625" style="20" customWidth="1"/>
    <col min="10" max="10" width="46.44140625" style="20" customWidth="1"/>
    <col min="11" max="11" width="12" style="20" customWidth="1"/>
    <col min="12" max="12" width="16.44140625" style="21" customWidth="1"/>
    <col min="13" max="13" width="14" style="20" customWidth="1"/>
    <col min="14" max="14" width="39.33203125" style="20" customWidth="1"/>
    <col min="15" max="15" width="14" customWidth="1"/>
  </cols>
  <sheetData>
    <row r="1" spans="1:15" ht="37.5" customHeight="1" x14ac:dyDescent="0.3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 x14ac:dyDescent="0.3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 x14ac:dyDescent="0.3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 x14ac:dyDescent="0.3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262</v>
      </c>
      <c r="O4" s="31"/>
    </row>
    <row r="5" spans="1:15" ht="15" customHeight="1" x14ac:dyDescent="0.3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 x14ac:dyDescent="0.3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263</v>
      </c>
      <c r="O6" s="31"/>
    </row>
    <row r="7" spans="1:15" ht="15" customHeight="1" x14ac:dyDescent="0.3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 x14ac:dyDescent="0.3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 x14ac:dyDescent="0.3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 x14ac:dyDescent="0.3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 x14ac:dyDescent="0.3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 x14ac:dyDescent="0.3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 x14ac:dyDescent="0.3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 x14ac:dyDescent="0.3">
      <c r="A14" s="91" t="s">
        <v>217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 x14ac:dyDescent="0.3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 x14ac:dyDescent="0.3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 x14ac:dyDescent="0.3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 x14ac:dyDescent="0.3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 x14ac:dyDescent="0.3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 x14ac:dyDescent="0.3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 x14ac:dyDescent="0.3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 x14ac:dyDescent="0.3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 x14ac:dyDescent="0.3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 x14ac:dyDescent="0.3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 x14ac:dyDescent="0.3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 x14ac:dyDescent="0.3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 x14ac:dyDescent="0.3">
      <c r="A27" s="91" t="s">
        <v>219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 x14ac:dyDescent="0.3">
      <c r="A28" s="94" t="s">
        <v>220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 x14ac:dyDescent="0.3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264</v>
      </c>
      <c r="O29" s="31"/>
    </row>
    <row r="30" spans="1:15" ht="15" customHeight="1" x14ac:dyDescent="0.3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 x14ac:dyDescent="0.3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3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3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3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3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3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3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3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3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3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3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 x14ac:dyDescent="0.3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 x14ac:dyDescent="0.3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 x14ac:dyDescent="0.3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3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3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3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3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3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3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3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3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3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3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 x14ac:dyDescent="0.3">
      <c r="A55" s="94" t="s">
        <v>220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 x14ac:dyDescent="0.3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 x14ac:dyDescent="0.3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 x14ac:dyDescent="0.3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 x14ac:dyDescent="0.3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265</v>
      </c>
      <c r="O59" s="31"/>
    </row>
    <row r="60" spans="1:15" ht="15" customHeight="1" x14ac:dyDescent="0.3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3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3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3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3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3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3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3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3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 x14ac:dyDescent="0.3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266</v>
      </c>
      <c r="O69" s="31"/>
    </row>
    <row r="70" spans="1:15" ht="15" customHeight="1" x14ac:dyDescent="0.3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 x14ac:dyDescent="0.3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3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3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3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3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3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3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3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3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3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3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 x14ac:dyDescent="0.3">
      <c r="A82" s="94" t="s">
        <v>220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 x14ac:dyDescent="0.3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 x14ac:dyDescent="0.3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 x14ac:dyDescent="0.3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 x14ac:dyDescent="0.3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3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3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267</v>
      </c>
      <c r="O88" s="31"/>
    </row>
    <row r="89" spans="1:15" ht="15" customHeight="1" x14ac:dyDescent="0.3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3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3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3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3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3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3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 x14ac:dyDescent="0.3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 x14ac:dyDescent="0.3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3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3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3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3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3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3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3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3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3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3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3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 x14ac:dyDescent="0.3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 x14ac:dyDescent="0.3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 x14ac:dyDescent="0.3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3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3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3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3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3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3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3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3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3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3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3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 x14ac:dyDescent="0.3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 x14ac:dyDescent="0.3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 x14ac:dyDescent="0.3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3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3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3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3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31"/>
    </row>
    <row r="130" spans="1:15" ht="15" customHeight="1" x14ac:dyDescent="0.3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3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3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3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3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3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 x14ac:dyDescent="0.3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 x14ac:dyDescent="0.3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 x14ac:dyDescent="0.3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 x14ac:dyDescent="0.3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 x14ac:dyDescent="0.3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 x14ac:dyDescent="0.3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268</v>
      </c>
      <c r="M141" s="35" t="str">
        <f t="shared" ca="1" si="31"/>
        <v/>
      </c>
      <c r="N141" s="27"/>
      <c r="O141" s="31"/>
    </row>
    <row r="142" spans="1:15" ht="15" customHeight="1" x14ac:dyDescent="0.3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 x14ac:dyDescent="0.3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269</v>
      </c>
      <c r="O150" s="31"/>
    </row>
    <row r="151" spans="1:15" ht="15" customHeight="1" x14ac:dyDescent="0.3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3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 x14ac:dyDescent="0.3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3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 x14ac:dyDescent="0.3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 x14ac:dyDescent="0.3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 x14ac:dyDescent="0.3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 x14ac:dyDescent="0.3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270</v>
      </c>
      <c r="N166" s="27" t="s">
        <v>271</v>
      </c>
      <c r="O166" s="31"/>
    </row>
    <row r="167" spans="1:15" ht="15" customHeight="1" x14ac:dyDescent="0.3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 x14ac:dyDescent="0.3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 x14ac:dyDescent="0.3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 x14ac:dyDescent="0.3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 x14ac:dyDescent="0.3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 x14ac:dyDescent="0.3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 x14ac:dyDescent="0.3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 x14ac:dyDescent="0.3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 x14ac:dyDescent="0.3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 x14ac:dyDescent="0.3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 x14ac:dyDescent="0.3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272</v>
      </c>
      <c r="O192" s="31"/>
    </row>
    <row r="193" spans="1:15" ht="15" customHeight="1" x14ac:dyDescent="0.3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 x14ac:dyDescent="0.3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 x14ac:dyDescent="0.3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 x14ac:dyDescent="0.3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 x14ac:dyDescent="0.3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 x14ac:dyDescent="0.3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 x14ac:dyDescent="0.3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 x14ac:dyDescent="0.3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 x14ac:dyDescent="0.3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 x14ac:dyDescent="0.3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 x14ac:dyDescent="0.3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 x14ac:dyDescent="0.3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 x14ac:dyDescent="0.3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 x14ac:dyDescent="0.3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 x14ac:dyDescent="0.3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 x14ac:dyDescent="0.3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 x14ac:dyDescent="0.3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 x14ac:dyDescent="0.3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 x14ac:dyDescent="0.3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 x14ac:dyDescent="0.3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 x14ac:dyDescent="0.3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 x14ac:dyDescent="0.3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 x14ac:dyDescent="0.3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 x14ac:dyDescent="0.3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 x14ac:dyDescent="0.3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 x14ac:dyDescent="0.3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 x14ac:dyDescent="0.3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 x14ac:dyDescent="0.3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 x14ac:dyDescent="0.3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 x14ac:dyDescent="0.3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 x14ac:dyDescent="0.3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 x14ac:dyDescent="0.3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 x14ac:dyDescent="0.3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 x14ac:dyDescent="0.3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 x14ac:dyDescent="0.3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 x14ac:dyDescent="0.3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 x14ac:dyDescent="0.3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 x14ac:dyDescent="0.3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 x14ac:dyDescent="0.3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 x14ac:dyDescent="0.3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 x14ac:dyDescent="0.3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 x14ac:dyDescent="0.3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 x14ac:dyDescent="0.3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 x14ac:dyDescent="0.3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 x14ac:dyDescent="0.3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 x14ac:dyDescent="0.3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 x14ac:dyDescent="0.3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 x14ac:dyDescent="0.3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 x14ac:dyDescent="0.3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 x14ac:dyDescent="0.3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 x14ac:dyDescent="0.3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 x14ac:dyDescent="0.3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 x14ac:dyDescent="0.3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 x14ac:dyDescent="0.3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 x14ac:dyDescent="0.3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 x14ac:dyDescent="0.3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 x14ac:dyDescent="0.3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 x14ac:dyDescent="0.3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 x14ac:dyDescent="0.3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273</v>
      </c>
      <c r="O259" s="47"/>
    </row>
    <row r="260" spans="1:15" ht="15" customHeight="1" x14ac:dyDescent="0.3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 x14ac:dyDescent="0.3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 x14ac:dyDescent="0.3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 x14ac:dyDescent="0.3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274</v>
      </c>
      <c r="O263" s="47"/>
    </row>
    <row r="264" spans="1:15" ht="15" customHeight="1" x14ac:dyDescent="0.3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 x14ac:dyDescent="0.3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 x14ac:dyDescent="0.3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 x14ac:dyDescent="0.3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 x14ac:dyDescent="0.3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 x14ac:dyDescent="0.3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 x14ac:dyDescent="0.3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 x14ac:dyDescent="0.3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 x14ac:dyDescent="0.3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 x14ac:dyDescent="0.3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 x14ac:dyDescent="0.3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 x14ac:dyDescent="0.3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 x14ac:dyDescent="0.3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 x14ac:dyDescent="0.3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 x14ac:dyDescent="0.3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 x14ac:dyDescent="0.3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 x14ac:dyDescent="0.3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 x14ac:dyDescent="0.3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 x14ac:dyDescent="0.3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 x14ac:dyDescent="0.3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 x14ac:dyDescent="0.3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 x14ac:dyDescent="0.3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275</v>
      </c>
      <c r="O286" s="47"/>
    </row>
    <row r="287" spans="1:15" ht="15" customHeight="1" x14ac:dyDescent="0.3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 x14ac:dyDescent="0.3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 x14ac:dyDescent="0.3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276</v>
      </c>
      <c r="O289" s="47"/>
    </row>
    <row r="290" spans="1:15" ht="15" customHeight="1" x14ac:dyDescent="0.3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 x14ac:dyDescent="0.3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 x14ac:dyDescent="0.3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 x14ac:dyDescent="0.3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 x14ac:dyDescent="0.3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 x14ac:dyDescent="0.3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 x14ac:dyDescent="0.3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 x14ac:dyDescent="0.3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 x14ac:dyDescent="0.3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 x14ac:dyDescent="0.3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 x14ac:dyDescent="0.3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 x14ac:dyDescent="0.3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 x14ac:dyDescent="0.3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277</v>
      </c>
      <c r="O302" s="47"/>
    </row>
    <row r="303" spans="1:15" ht="15" customHeight="1" x14ac:dyDescent="0.3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 x14ac:dyDescent="0.3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 x14ac:dyDescent="0.3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 x14ac:dyDescent="0.3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 x14ac:dyDescent="0.3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 x14ac:dyDescent="0.3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 x14ac:dyDescent="0.3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 x14ac:dyDescent="0.3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 x14ac:dyDescent="0.3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>
        <v>373300</v>
      </c>
    </row>
    <row r="312" spans="1:15" ht="15" customHeight="1" x14ac:dyDescent="0.3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278</v>
      </c>
      <c r="O312" s="47"/>
    </row>
    <row r="313" spans="1:15" ht="15" customHeight="1" x14ac:dyDescent="0.3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 x14ac:dyDescent="0.3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 x14ac:dyDescent="0.3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279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 x14ac:dyDescent="0.3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 x14ac:dyDescent="0.3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 x14ac:dyDescent="0.3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 x14ac:dyDescent="0.3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 x14ac:dyDescent="0.3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 x14ac:dyDescent="0.3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 x14ac:dyDescent="0.3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 x14ac:dyDescent="0.3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215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 x14ac:dyDescent="0.3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218</v>
      </c>
      <c r="O324" s="39">
        <v>609460</v>
      </c>
    </row>
    <row r="325" spans="1:15" ht="18" customHeight="1" x14ac:dyDescent="0.3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221</v>
      </c>
      <c r="O325" s="48">
        <f>IFERROR(O311+O324,"")</f>
        <v>982760</v>
      </c>
    </row>
    <row r="326" spans="1:15" ht="15" customHeight="1" x14ac:dyDescent="0.3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 x14ac:dyDescent="0.3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 x14ac:dyDescent="0.3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 x14ac:dyDescent="0.3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 x14ac:dyDescent="0.3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 x14ac:dyDescent="0.3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 x14ac:dyDescent="0.3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 x14ac:dyDescent="0.3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 x14ac:dyDescent="0.3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 x14ac:dyDescent="0.3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 x14ac:dyDescent="0.3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 x14ac:dyDescent="0.3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 x14ac:dyDescent="0.3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 x14ac:dyDescent="0.3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 x14ac:dyDescent="0.3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 x14ac:dyDescent="0.3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 x14ac:dyDescent="0.3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 x14ac:dyDescent="0.3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 x14ac:dyDescent="0.3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 x14ac:dyDescent="0.3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 x14ac:dyDescent="0.3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 x14ac:dyDescent="0.3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 x14ac:dyDescent="0.3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 x14ac:dyDescent="0.3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 x14ac:dyDescent="0.3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 x14ac:dyDescent="0.3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 x14ac:dyDescent="0.3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 x14ac:dyDescent="0.3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 x14ac:dyDescent="0.3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 x14ac:dyDescent="0.3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 x14ac:dyDescent="0.3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 x14ac:dyDescent="0.3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 x14ac:dyDescent="0.3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 x14ac:dyDescent="0.3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 x14ac:dyDescent="0.3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3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3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 x14ac:dyDescent="0.3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 x14ac:dyDescent="0.3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 x14ac:dyDescent="0.3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 x14ac:dyDescent="0.3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 x14ac:dyDescent="0.3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 x14ac:dyDescent="0.3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 x14ac:dyDescent="0.3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 x14ac:dyDescent="0.3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 x14ac:dyDescent="0.3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 x14ac:dyDescent="0.3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 x14ac:dyDescent="0.3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 x14ac:dyDescent="0.3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 x14ac:dyDescent="0.3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 x14ac:dyDescent="0.3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 x14ac:dyDescent="0.3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 x14ac:dyDescent="0.3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 x14ac:dyDescent="0.3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 x14ac:dyDescent="0.3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 x14ac:dyDescent="0.3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 x14ac:dyDescent="0.3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 x14ac:dyDescent="0.3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 x14ac:dyDescent="0.3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 x14ac:dyDescent="0.3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 x14ac:dyDescent="0.3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 x14ac:dyDescent="0.3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 x14ac:dyDescent="0.3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 x14ac:dyDescent="0.3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 x14ac:dyDescent="0.3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 x14ac:dyDescent="0.3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 x14ac:dyDescent="0.3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 x14ac:dyDescent="0.3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 x14ac:dyDescent="0.3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 x14ac:dyDescent="0.3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 x14ac:dyDescent="0.3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 x14ac:dyDescent="0.3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 x14ac:dyDescent="0.3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 x14ac:dyDescent="0.3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 x14ac:dyDescent="0.3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 x14ac:dyDescent="0.3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 x14ac:dyDescent="0.3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 x14ac:dyDescent="0.3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 x14ac:dyDescent="0.3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 x14ac:dyDescent="0.3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 x14ac:dyDescent="0.3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 x14ac:dyDescent="0.3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 x14ac:dyDescent="0.3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 x14ac:dyDescent="0.3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 x14ac:dyDescent="0.3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 x14ac:dyDescent="0.3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 x14ac:dyDescent="0.3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 x14ac:dyDescent="0.3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 x14ac:dyDescent="0.3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 x14ac:dyDescent="0.3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 x14ac:dyDescent="0.3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 x14ac:dyDescent="0.3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 x14ac:dyDescent="0.3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 x14ac:dyDescent="0.3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 x14ac:dyDescent="0.3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 x14ac:dyDescent="0.3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 x14ac:dyDescent="0.3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 x14ac:dyDescent="0.3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 x14ac:dyDescent="0.3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 x14ac:dyDescent="0.3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 x14ac:dyDescent="0.3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 x14ac:dyDescent="0.3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 x14ac:dyDescent="0.3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 x14ac:dyDescent="0.3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 x14ac:dyDescent="0.3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 x14ac:dyDescent="0.3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 x14ac:dyDescent="0.3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 x14ac:dyDescent="0.3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 x14ac:dyDescent="0.3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 x14ac:dyDescent="0.3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 x14ac:dyDescent="0.3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 x14ac:dyDescent="0.3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 x14ac:dyDescent="0.3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 x14ac:dyDescent="0.3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 x14ac:dyDescent="0.3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 x14ac:dyDescent="0.3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 x14ac:dyDescent="0.3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 x14ac:dyDescent="0.3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 x14ac:dyDescent="0.3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 x14ac:dyDescent="0.3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 x14ac:dyDescent="0.3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 x14ac:dyDescent="0.3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 x14ac:dyDescent="0.3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 x14ac:dyDescent="0.3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 x14ac:dyDescent="0.3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 x14ac:dyDescent="0.3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 x14ac:dyDescent="0.3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 x14ac:dyDescent="0.3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 x14ac:dyDescent="0.3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 x14ac:dyDescent="0.3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 x14ac:dyDescent="0.3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 x14ac:dyDescent="0.3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 x14ac:dyDescent="0.3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 x14ac:dyDescent="0.3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 x14ac:dyDescent="0.3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 x14ac:dyDescent="0.3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 x14ac:dyDescent="0.3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 x14ac:dyDescent="0.3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 x14ac:dyDescent="0.3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 x14ac:dyDescent="0.3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 x14ac:dyDescent="0.3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 x14ac:dyDescent="0.3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 x14ac:dyDescent="0.3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 x14ac:dyDescent="0.3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 x14ac:dyDescent="0.3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 x14ac:dyDescent="0.3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 x14ac:dyDescent="0.3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 x14ac:dyDescent="0.3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 x14ac:dyDescent="0.3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 x14ac:dyDescent="0.3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 x14ac:dyDescent="0.3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 x14ac:dyDescent="0.3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 x14ac:dyDescent="0.3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 x14ac:dyDescent="0.3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 x14ac:dyDescent="0.3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 x14ac:dyDescent="0.3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 x14ac:dyDescent="0.3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 x14ac:dyDescent="0.3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 x14ac:dyDescent="0.3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 x14ac:dyDescent="0.3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 x14ac:dyDescent="0.3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 x14ac:dyDescent="0.3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 x14ac:dyDescent="0.3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 x14ac:dyDescent="0.3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 x14ac:dyDescent="0.3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 x14ac:dyDescent="0.3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 x14ac:dyDescent="0.3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 x14ac:dyDescent="0.3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 x14ac:dyDescent="0.3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 x14ac:dyDescent="0.3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 x14ac:dyDescent="0.3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 x14ac:dyDescent="0.3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 x14ac:dyDescent="0.3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 x14ac:dyDescent="0.3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 x14ac:dyDescent="0.3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 x14ac:dyDescent="0.3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 x14ac:dyDescent="0.3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 x14ac:dyDescent="0.3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 x14ac:dyDescent="0.3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 x14ac:dyDescent="0.3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 x14ac:dyDescent="0.3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 x14ac:dyDescent="0.3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 x14ac:dyDescent="0.3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 x14ac:dyDescent="0.3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 x14ac:dyDescent="0.3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 x14ac:dyDescent="0.3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 x14ac:dyDescent="0.3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 x14ac:dyDescent="0.3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 x14ac:dyDescent="0.3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 x14ac:dyDescent="0.3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 x14ac:dyDescent="0.3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 x14ac:dyDescent="0.3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 x14ac:dyDescent="0.3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 x14ac:dyDescent="0.3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 x14ac:dyDescent="0.3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 x14ac:dyDescent="0.3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 x14ac:dyDescent="0.3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 x14ac:dyDescent="0.3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 x14ac:dyDescent="0.3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 x14ac:dyDescent="0.3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 x14ac:dyDescent="0.3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 x14ac:dyDescent="0.3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 x14ac:dyDescent="0.3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 x14ac:dyDescent="0.3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 x14ac:dyDescent="0.3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 x14ac:dyDescent="0.3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 x14ac:dyDescent="0.3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 x14ac:dyDescent="0.3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 x14ac:dyDescent="0.3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 x14ac:dyDescent="0.3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 x14ac:dyDescent="0.3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 x14ac:dyDescent="0.3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 x14ac:dyDescent="0.3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 x14ac:dyDescent="0.3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 x14ac:dyDescent="0.3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 x14ac:dyDescent="0.3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 x14ac:dyDescent="0.3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 x14ac:dyDescent="0.3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 x14ac:dyDescent="0.3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 x14ac:dyDescent="0.3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 x14ac:dyDescent="0.3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 x14ac:dyDescent="0.3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 x14ac:dyDescent="0.3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 x14ac:dyDescent="0.3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 x14ac:dyDescent="0.3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 x14ac:dyDescent="0.3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 x14ac:dyDescent="0.3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 x14ac:dyDescent="0.3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 x14ac:dyDescent="0.3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 x14ac:dyDescent="0.3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 x14ac:dyDescent="0.3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 x14ac:dyDescent="0.3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 x14ac:dyDescent="0.3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 x14ac:dyDescent="0.3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 x14ac:dyDescent="0.3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 x14ac:dyDescent="0.3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 x14ac:dyDescent="0.3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 x14ac:dyDescent="0.3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 x14ac:dyDescent="0.3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 x14ac:dyDescent="0.3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 x14ac:dyDescent="0.3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 x14ac:dyDescent="0.3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 x14ac:dyDescent="0.3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 x14ac:dyDescent="0.3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 x14ac:dyDescent="0.3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 x14ac:dyDescent="0.3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 x14ac:dyDescent="0.3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 x14ac:dyDescent="0.3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 x14ac:dyDescent="0.3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 x14ac:dyDescent="0.3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 x14ac:dyDescent="0.3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 x14ac:dyDescent="0.3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 x14ac:dyDescent="0.3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 x14ac:dyDescent="0.3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 x14ac:dyDescent="0.3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 x14ac:dyDescent="0.3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 x14ac:dyDescent="0.3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 x14ac:dyDescent="0.3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 x14ac:dyDescent="0.3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 x14ac:dyDescent="0.3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 x14ac:dyDescent="0.3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 x14ac:dyDescent="0.3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 x14ac:dyDescent="0.3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 x14ac:dyDescent="0.3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 x14ac:dyDescent="0.3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 x14ac:dyDescent="0.3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 x14ac:dyDescent="0.3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 x14ac:dyDescent="0.3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 x14ac:dyDescent="0.3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 x14ac:dyDescent="0.3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 x14ac:dyDescent="0.3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 x14ac:dyDescent="0.3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 x14ac:dyDescent="0.3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 x14ac:dyDescent="0.3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 x14ac:dyDescent="0.3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 x14ac:dyDescent="0.3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 x14ac:dyDescent="0.3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 x14ac:dyDescent="0.3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 x14ac:dyDescent="0.3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 x14ac:dyDescent="0.3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 x14ac:dyDescent="0.3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 x14ac:dyDescent="0.3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 x14ac:dyDescent="0.3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 x14ac:dyDescent="0.3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 x14ac:dyDescent="0.3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 x14ac:dyDescent="0.3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 x14ac:dyDescent="0.3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 x14ac:dyDescent="0.3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 x14ac:dyDescent="0.3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 x14ac:dyDescent="0.3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 x14ac:dyDescent="0.3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 x14ac:dyDescent="0.3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 x14ac:dyDescent="0.3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 x14ac:dyDescent="0.3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 x14ac:dyDescent="0.3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 x14ac:dyDescent="0.3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 x14ac:dyDescent="0.3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 x14ac:dyDescent="0.3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 x14ac:dyDescent="0.3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 x14ac:dyDescent="0.3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 x14ac:dyDescent="0.3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 x14ac:dyDescent="0.3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 x14ac:dyDescent="0.3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 x14ac:dyDescent="0.3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 x14ac:dyDescent="0.3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 x14ac:dyDescent="0.3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 x14ac:dyDescent="0.3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 x14ac:dyDescent="0.3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 x14ac:dyDescent="0.3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 x14ac:dyDescent="0.3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 x14ac:dyDescent="0.3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 x14ac:dyDescent="0.3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 x14ac:dyDescent="0.3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 x14ac:dyDescent="0.3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 x14ac:dyDescent="0.3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 x14ac:dyDescent="0.3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 x14ac:dyDescent="0.3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 x14ac:dyDescent="0.3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 x14ac:dyDescent="0.3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 x14ac:dyDescent="0.3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 x14ac:dyDescent="0.3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 x14ac:dyDescent="0.3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 x14ac:dyDescent="0.3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 x14ac:dyDescent="0.3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 x14ac:dyDescent="0.3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 x14ac:dyDescent="0.3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 x14ac:dyDescent="0.3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 x14ac:dyDescent="0.3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 x14ac:dyDescent="0.3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 x14ac:dyDescent="0.3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 x14ac:dyDescent="0.3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 x14ac:dyDescent="0.3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 x14ac:dyDescent="0.3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 x14ac:dyDescent="0.3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 x14ac:dyDescent="0.3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 x14ac:dyDescent="0.3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 x14ac:dyDescent="0.3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 x14ac:dyDescent="0.3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 x14ac:dyDescent="0.3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 x14ac:dyDescent="0.3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 x14ac:dyDescent="0.3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 x14ac:dyDescent="0.3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 x14ac:dyDescent="0.3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 x14ac:dyDescent="0.3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 x14ac:dyDescent="0.3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 x14ac:dyDescent="0.3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 x14ac:dyDescent="0.3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 x14ac:dyDescent="0.3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 x14ac:dyDescent="0.3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 x14ac:dyDescent="0.3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 x14ac:dyDescent="0.3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 x14ac:dyDescent="0.3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 x14ac:dyDescent="0.3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 x14ac:dyDescent="0.3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 x14ac:dyDescent="0.3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 x14ac:dyDescent="0.3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 x14ac:dyDescent="0.3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 x14ac:dyDescent="0.3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 x14ac:dyDescent="0.3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 x14ac:dyDescent="0.3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 x14ac:dyDescent="0.3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 x14ac:dyDescent="0.3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 x14ac:dyDescent="0.3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 x14ac:dyDescent="0.3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 x14ac:dyDescent="0.3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 x14ac:dyDescent="0.3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 x14ac:dyDescent="0.3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 x14ac:dyDescent="0.3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 x14ac:dyDescent="0.3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 x14ac:dyDescent="0.3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 x14ac:dyDescent="0.3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 x14ac:dyDescent="0.3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 x14ac:dyDescent="0.3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 x14ac:dyDescent="0.3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 x14ac:dyDescent="0.3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 x14ac:dyDescent="0.3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 x14ac:dyDescent="0.3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 x14ac:dyDescent="0.3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 x14ac:dyDescent="0.3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 x14ac:dyDescent="0.3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 x14ac:dyDescent="0.3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 x14ac:dyDescent="0.3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 x14ac:dyDescent="0.3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 x14ac:dyDescent="0.3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 x14ac:dyDescent="0.3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 x14ac:dyDescent="0.3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 x14ac:dyDescent="0.3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 x14ac:dyDescent="0.3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 x14ac:dyDescent="0.3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 x14ac:dyDescent="0.3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 x14ac:dyDescent="0.3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 x14ac:dyDescent="0.3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 x14ac:dyDescent="0.3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 x14ac:dyDescent="0.3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 x14ac:dyDescent="0.3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 x14ac:dyDescent="0.3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 x14ac:dyDescent="0.3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 x14ac:dyDescent="0.3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 x14ac:dyDescent="0.3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 x14ac:dyDescent="0.3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 x14ac:dyDescent="0.3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 x14ac:dyDescent="0.3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 x14ac:dyDescent="0.3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 x14ac:dyDescent="0.3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 x14ac:dyDescent="0.3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 x14ac:dyDescent="0.3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 x14ac:dyDescent="0.3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 x14ac:dyDescent="0.3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 x14ac:dyDescent="0.3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 x14ac:dyDescent="0.3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 x14ac:dyDescent="0.3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 x14ac:dyDescent="0.3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 x14ac:dyDescent="0.3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 x14ac:dyDescent="0.3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 x14ac:dyDescent="0.3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 x14ac:dyDescent="0.3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 x14ac:dyDescent="0.3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 x14ac:dyDescent="0.3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 x14ac:dyDescent="0.3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 x14ac:dyDescent="0.3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 x14ac:dyDescent="0.3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 x14ac:dyDescent="0.3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 x14ac:dyDescent="0.3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 x14ac:dyDescent="0.3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 x14ac:dyDescent="0.3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 x14ac:dyDescent="0.3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 x14ac:dyDescent="0.3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 x14ac:dyDescent="0.3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 x14ac:dyDescent="0.3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 x14ac:dyDescent="0.3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 x14ac:dyDescent="0.3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 x14ac:dyDescent="0.3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 x14ac:dyDescent="0.3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 x14ac:dyDescent="0.3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 x14ac:dyDescent="0.3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 x14ac:dyDescent="0.3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 x14ac:dyDescent="0.3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 x14ac:dyDescent="0.3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 x14ac:dyDescent="0.3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 x14ac:dyDescent="0.3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 x14ac:dyDescent="0.3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 x14ac:dyDescent="0.3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 x14ac:dyDescent="0.3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 x14ac:dyDescent="0.3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 x14ac:dyDescent="0.3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 x14ac:dyDescent="0.3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 x14ac:dyDescent="0.3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 x14ac:dyDescent="0.3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 x14ac:dyDescent="0.3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 x14ac:dyDescent="0.3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 x14ac:dyDescent="0.3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 x14ac:dyDescent="0.3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 x14ac:dyDescent="0.3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 x14ac:dyDescent="0.3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 x14ac:dyDescent="0.3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 x14ac:dyDescent="0.3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 x14ac:dyDescent="0.3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 x14ac:dyDescent="0.3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 x14ac:dyDescent="0.3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 x14ac:dyDescent="0.3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 x14ac:dyDescent="0.3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 x14ac:dyDescent="0.3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 x14ac:dyDescent="0.3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 x14ac:dyDescent="0.3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 x14ac:dyDescent="0.3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 x14ac:dyDescent="0.3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 x14ac:dyDescent="0.3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 x14ac:dyDescent="0.3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 x14ac:dyDescent="0.3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 x14ac:dyDescent="0.3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 x14ac:dyDescent="0.3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 x14ac:dyDescent="0.3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 x14ac:dyDescent="0.3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 x14ac:dyDescent="0.3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 x14ac:dyDescent="0.3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 x14ac:dyDescent="0.3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 x14ac:dyDescent="0.3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 x14ac:dyDescent="0.3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 x14ac:dyDescent="0.3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 x14ac:dyDescent="0.3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 x14ac:dyDescent="0.3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 x14ac:dyDescent="0.3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 x14ac:dyDescent="0.3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 x14ac:dyDescent="0.3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09" activePane="bottomLeft" state="frozen"/>
      <selection pane="bottomLeft" activeCell="O325" sqref="O325"/>
    </sheetView>
  </sheetViews>
  <sheetFormatPr defaultColWidth="8.5546875" defaultRowHeight="14.4" x14ac:dyDescent="0.3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09375" style="57" customWidth="1"/>
    <col min="10" max="10" width="52.109375" style="57" customWidth="1"/>
    <col min="11" max="11" width="18.44140625" style="57" customWidth="1"/>
    <col min="12" max="12" width="14" style="58" customWidth="1"/>
    <col min="13" max="13" width="14" style="57" customWidth="1"/>
    <col min="14" max="14" width="65.44140625" style="57" customWidth="1"/>
    <col min="15" max="15" width="14" customWidth="1"/>
  </cols>
  <sheetData>
    <row r="1" spans="1:15" ht="37.5" customHeight="1" x14ac:dyDescent="0.3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 x14ac:dyDescent="0.3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280</v>
      </c>
      <c r="O2" s="60"/>
    </row>
    <row r="3" spans="1:15" ht="15" customHeight="1" x14ac:dyDescent="0.3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266</v>
      </c>
      <c r="O3" s="60"/>
    </row>
    <row r="4" spans="1:15" ht="15" customHeight="1" x14ac:dyDescent="0.3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 x14ac:dyDescent="0.3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 x14ac:dyDescent="0.3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 x14ac:dyDescent="0.3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 x14ac:dyDescent="0.3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 x14ac:dyDescent="0.3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 x14ac:dyDescent="0.3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 x14ac:dyDescent="0.3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 x14ac:dyDescent="0.3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 x14ac:dyDescent="0.3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 x14ac:dyDescent="0.3">
      <c r="A14" s="91" t="s">
        <v>217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 x14ac:dyDescent="0.3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 x14ac:dyDescent="0.3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281</v>
      </c>
      <c r="O16" s="60"/>
    </row>
    <row r="17" spans="1:15" ht="15" customHeight="1" x14ac:dyDescent="0.3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 x14ac:dyDescent="0.3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 x14ac:dyDescent="0.3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 x14ac:dyDescent="0.3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 x14ac:dyDescent="0.3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 x14ac:dyDescent="0.3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 x14ac:dyDescent="0.3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 x14ac:dyDescent="0.3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 x14ac:dyDescent="0.3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 x14ac:dyDescent="0.3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 x14ac:dyDescent="0.3">
      <c r="A27" s="91" t="s">
        <v>219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 x14ac:dyDescent="0.3">
      <c r="A28" s="94" t="s">
        <v>220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 x14ac:dyDescent="0.3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282</v>
      </c>
      <c r="O29" s="60"/>
    </row>
    <row r="30" spans="1:15" ht="15" customHeight="1" x14ac:dyDescent="0.3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 x14ac:dyDescent="0.3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 x14ac:dyDescent="0.3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 x14ac:dyDescent="0.3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 x14ac:dyDescent="0.3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283</v>
      </c>
      <c r="O34" s="60"/>
    </row>
    <row r="35" spans="1:15" ht="15" customHeight="1" x14ac:dyDescent="0.3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 x14ac:dyDescent="0.3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 x14ac:dyDescent="0.3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 x14ac:dyDescent="0.3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 x14ac:dyDescent="0.3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 x14ac:dyDescent="0.3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 x14ac:dyDescent="0.3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 x14ac:dyDescent="0.3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 x14ac:dyDescent="0.3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 x14ac:dyDescent="0.3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 x14ac:dyDescent="0.3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 x14ac:dyDescent="0.3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 x14ac:dyDescent="0.3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 x14ac:dyDescent="0.3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 x14ac:dyDescent="0.3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 x14ac:dyDescent="0.3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 x14ac:dyDescent="0.3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 x14ac:dyDescent="0.3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 x14ac:dyDescent="0.3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 x14ac:dyDescent="0.3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 x14ac:dyDescent="0.3">
      <c r="A55" s="94" t="s">
        <v>220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 x14ac:dyDescent="0.3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 x14ac:dyDescent="0.3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 x14ac:dyDescent="0.3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284</v>
      </c>
      <c r="L58" s="29">
        <v>0.54097222222222219</v>
      </c>
      <c r="M58" s="30" t="str">
        <f t="shared" ca="1" si="13"/>
        <v/>
      </c>
      <c r="N58" s="27" t="s">
        <v>285</v>
      </c>
      <c r="O58" s="60"/>
    </row>
    <row r="59" spans="1:15" ht="15" customHeight="1" x14ac:dyDescent="0.3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 x14ac:dyDescent="0.3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 x14ac:dyDescent="0.3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 x14ac:dyDescent="0.3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 x14ac:dyDescent="0.3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 x14ac:dyDescent="0.3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 x14ac:dyDescent="0.3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 x14ac:dyDescent="0.3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 x14ac:dyDescent="0.3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 x14ac:dyDescent="0.3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 x14ac:dyDescent="0.3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 x14ac:dyDescent="0.3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262</v>
      </c>
      <c r="O70" s="60"/>
    </row>
    <row r="71" spans="1:15" ht="15" customHeight="1" x14ac:dyDescent="0.3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 x14ac:dyDescent="0.3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286</v>
      </c>
      <c r="O72" s="60"/>
    </row>
    <row r="73" spans="1:15" ht="15" customHeight="1" x14ac:dyDescent="0.3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287</v>
      </c>
      <c r="O73" s="60"/>
    </row>
    <row r="74" spans="1:15" ht="15" customHeight="1" x14ac:dyDescent="0.3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288</v>
      </c>
      <c r="O74" s="60"/>
    </row>
    <row r="75" spans="1:15" ht="15" customHeight="1" x14ac:dyDescent="0.3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289</v>
      </c>
      <c r="O75" s="60"/>
    </row>
    <row r="76" spans="1:15" ht="15" customHeight="1" x14ac:dyDescent="0.3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 x14ac:dyDescent="0.3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 x14ac:dyDescent="0.3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 x14ac:dyDescent="0.3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 x14ac:dyDescent="0.3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 x14ac:dyDescent="0.3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 x14ac:dyDescent="0.3">
      <c r="A82" s="94" t="s">
        <v>220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 x14ac:dyDescent="0.3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290</v>
      </c>
      <c r="O83" s="60"/>
    </row>
    <row r="84" spans="1:15" ht="15" customHeight="1" x14ac:dyDescent="0.3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 x14ac:dyDescent="0.3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 x14ac:dyDescent="0.3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 x14ac:dyDescent="0.3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 x14ac:dyDescent="0.3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 x14ac:dyDescent="0.3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 x14ac:dyDescent="0.3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 x14ac:dyDescent="0.3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 x14ac:dyDescent="0.3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 x14ac:dyDescent="0.3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 x14ac:dyDescent="0.3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 x14ac:dyDescent="0.3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 x14ac:dyDescent="0.3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 x14ac:dyDescent="0.3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 x14ac:dyDescent="0.3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 x14ac:dyDescent="0.3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 x14ac:dyDescent="0.3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 x14ac:dyDescent="0.3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 x14ac:dyDescent="0.3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 x14ac:dyDescent="0.3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 x14ac:dyDescent="0.3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 x14ac:dyDescent="0.3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 x14ac:dyDescent="0.3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 x14ac:dyDescent="0.3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 x14ac:dyDescent="0.3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 x14ac:dyDescent="0.3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 x14ac:dyDescent="0.3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291</v>
      </c>
      <c r="O110" s="60"/>
    </row>
    <row r="111" spans="1:15" ht="15" customHeight="1" x14ac:dyDescent="0.3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 x14ac:dyDescent="0.3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 x14ac:dyDescent="0.3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 x14ac:dyDescent="0.3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 x14ac:dyDescent="0.3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 x14ac:dyDescent="0.3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 x14ac:dyDescent="0.3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 x14ac:dyDescent="0.3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 x14ac:dyDescent="0.3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 x14ac:dyDescent="0.3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 x14ac:dyDescent="0.3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 x14ac:dyDescent="0.3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 x14ac:dyDescent="0.3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 x14ac:dyDescent="0.3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292</v>
      </c>
      <c r="O124" s="60"/>
    </row>
    <row r="125" spans="1:15" ht="15" customHeight="1" x14ac:dyDescent="0.3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293</v>
      </c>
      <c r="O125" s="60"/>
    </row>
    <row r="126" spans="1:15" ht="15" customHeight="1" x14ac:dyDescent="0.3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 x14ac:dyDescent="0.3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 x14ac:dyDescent="0.3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5.2957060186599847E-2</v>
      </c>
      <c r="N128" s="27"/>
      <c r="O128" s="60"/>
    </row>
    <row r="129" spans="1:18" ht="15" customHeight="1" x14ac:dyDescent="0.3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60"/>
    </row>
    <row r="130" spans="1:18" ht="15" customHeight="1" x14ac:dyDescent="0.3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 x14ac:dyDescent="0.3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 x14ac:dyDescent="0.3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 x14ac:dyDescent="0.3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 x14ac:dyDescent="0.3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 x14ac:dyDescent="0.3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0.25226261574215547</v>
      </c>
      <c r="N135" s="36" t="s">
        <v>218</v>
      </c>
      <c r="O135" s="39">
        <v>729290</v>
      </c>
    </row>
    <row r="136" spans="1:18" ht="18" customHeight="1" x14ac:dyDescent="0.3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0.6196237268532665</v>
      </c>
      <c r="N136" s="40" t="s">
        <v>221</v>
      </c>
      <c r="O136" s="48">
        <f>IFERROR(O122+O135,"")</f>
        <v>1003740</v>
      </c>
    </row>
    <row r="137" spans="1:18" ht="15" customHeight="1" x14ac:dyDescent="0.3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 x14ac:dyDescent="0.3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 x14ac:dyDescent="0.3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294</v>
      </c>
      <c r="O139" s="31"/>
    </row>
    <row r="140" spans="1:18" ht="15" customHeight="1" x14ac:dyDescent="0.3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 x14ac:dyDescent="0.3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 x14ac:dyDescent="0.3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 x14ac:dyDescent="0.3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 x14ac:dyDescent="0.3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 x14ac:dyDescent="0.3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 x14ac:dyDescent="0.3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 x14ac:dyDescent="0.3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295</v>
      </c>
      <c r="O152" s="31"/>
    </row>
    <row r="153" spans="1:15" ht="15" customHeight="1" x14ac:dyDescent="0.3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 x14ac:dyDescent="0.3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 x14ac:dyDescent="0.3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 x14ac:dyDescent="0.3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 x14ac:dyDescent="0.3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233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 x14ac:dyDescent="0.3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 x14ac:dyDescent="0.3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 x14ac:dyDescent="0.3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296</v>
      </c>
      <c r="O168" s="31"/>
    </row>
    <row r="169" spans="1:15" ht="15" customHeight="1" x14ac:dyDescent="0.3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 x14ac:dyDescent="0.3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 x14ac:dyDescent="0.3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 x14ac:dyDescent="0.3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 x14ac:dyDescent="0.3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 x14ac:dyDescent="0.3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 x14ac:dyDescent="0.3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 x14ac:dyDescent="0.3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 x14ac:dyDescent="0.3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297</v>
      </c>
      <c r="O193" s="31"/>
    </row>
    <row r="194" spans="1:15" ht="15" customHeight="1" x14ac:dyDescent="0.3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298</v>
      </c>
      <c r="O194" s="31"/>
    </row>
    <row r="195" spans="1:15" ht="15" customHeight="1" x14ac:dyDescent="0.3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 x14ac:dyDescent="0.3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 x14ac:dyDescent="0.3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 x14ac:dyDescent="0.3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299</v>
      </c>
      <c r="O206" s="60"/>
    </row>
    <row r="207" spans="1:15" ht="15" customHeight="1" x14ac:dyDescent="0.3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 x14ac:dyDescent="0.3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 x14ac:dyDescent="0.3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 x14ac:dyDescent="0.3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 x14ac:dyDescent="0.3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 x14ac:dyDescent="0.3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 x14ac:dyDescent="0.3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 x14ac:dyDescent="0.3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 x14ac:dyDescent="0.3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 x14ac:dyDescent="0.3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 x14ac:dyDescent="0.3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 x14ac:dyDescent="0.3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300</v>
      </c>
      <c r="O218" s="60"/>
    </row>
    <row r="219" spans="1:15" ht="15" customHeight="1" x14ac:dyDescent="0.3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 x14ac:dyDescent="0.3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301</v>
      </c>
      <c r="O220" s="60"/>
    </row>
    <row r="221" spans="1:15" ht="15" customHeight="1" x14ac:dyDescent="0.3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 x14ac:dyDescent="0.3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 x14ac:dyDescent="0.3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 x14ac:dyDescent="0.3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 x14ac:dyDescent="0.3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 x14ac:dyDescent="0.3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 x14ac:dyDescent="0.3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 x14ac:dyDescent="0.3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 x14ac:dyDescent="0.3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 x14ac:dyDescent="0.3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 x14ac:dyDescent="0.3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 x14ac:dyDescent="0.3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303</v>
      </c>
      <c r="O232" s="60"/>
    </row>
    <row r="233" spans="1:15" ht="15" customHeight="1" x14ac:dyDescent="0.3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 x14ac:dyDescent="0.3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 x14ac:dyDescent="0.3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 x14ac:dyDescent="0.3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 x14ac:dyDescent="0.3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 x14ac:dyDescent="0.3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 x14ac:dyDescent="0.3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 x14ac:dyDescent="0.3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 x14ac:dyDescent="0.3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 x14ac:dyDescent="0.3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 x14ac:dyDescent="0.3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 x14ac:dyDescent="0.3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 x14ac:dyDescent="0.3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304</v>
      </c>
      <c r="O245" s="60"/>
    </row>
    <row r="246" spans="1:15" ht="15" customHeight="1" x14ac:dyDescent="0.3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 x14ac:dyDescent="0.3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 x14ac:dyDescent="0.3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 x14ac:dyDescent="0.3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 x14ac:dyDescent="0.3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 x14ac:dyDescent="0.3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 x14ac:dyDescent="0.3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 x14ac:dyDescent="0.3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 x14ac:dyDescent="0.3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 x14ac:dyDescent="0.3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 x14ac:dyDescent="0.3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 x14ac:dyDescent="0.3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 x14ac:dyDescent="0.3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 x14ac:dyDescent="0.3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 x14ac:dyDescent="0.3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 x14ac:dyDescent="0.3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 x14ac:dyDescent="0.3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 x14ac:dyDescent="0.3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 x14ac:dyDescent="0.3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 x14ac:dyDescent="0.3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 x14ac:dyDescent="0.3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 x14ac:dyDescent="0.3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 x14ac:dyDescent="0.3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 x14ac:dyDescent="0.3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 x14ac:dyDescent="0.3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 x14ac:dyDescent="0.3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 x14ac:dyDescent="0.3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 x14ac:dyDescent="0.3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 x14ac:dyDescent="0.3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 x14ac:dyDescent="0.3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 x14ac:dyDescent="0.3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 x14ac:dyDescent="0.3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 x14ac:dyDescent="0.3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 x14ac:dyDescent="0.3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 x14ac:dyDescent="0.3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 x14ac:dyDescent="0.3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 x14ac:dyDescent="0.3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 x14ac:dyDescent="0.3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 x14ac:dyDescent="0.3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 x14ac:dyDescent="0.3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 x14ac:dyDescent="0.3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 x14ac:dyDescent="0.3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 x14ac:dyDescent="0.3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 x14ac:dyDescent="0.3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 x14ac:dyDescent="0.3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 x14ac:dyDescent="0.3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 x14ac:dyDescent="0.3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 x14ac:dyDescent="0.3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 x14ac:dyDescent="0.3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 x14ac:dyDescent="0.3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 x14ac:dyDescent="0.3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 x14ac:dyDescent="0.3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 x14ac:dyDescent="0.3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 x14ac:dyDescent="0.3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305</v>
      </c>
      <c r="O299" s="60"/>
    </row>
    <row r="300" spans="1:15" ht="15" customHeight="1" x14ac:dyDescent="0.3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 x14ac:dyDescent="0.3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 x14ac:dyDescent="0.3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 x14ac:dyDescent="0.3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 x14ac:dyDescent="0.3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 x14ac:dyDescent="0.3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 x14ac:dyDescent="0.3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 x14ac:dyDescent="0.3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 x14ac:dyDescent="0.3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 x14ac:dyDescent="0.3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 x14ac:dyDescent="0.3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 x14ac:dyDescent="0.3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218</v>
      </c>
      <c r="O311" s="39">
        <v>145580</v>
      </c>
    </row>
    <row r="312" spans="1:15" ht="15" customHeight="1" x14ac:dyDescent="0.3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 x14ac:dyDescent="0.3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 x14ac:dyDescent="0.3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 x14ac:dyDescent="0.3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 x14ac:dyDescent="0.3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 x14ac:dyDescent="0.3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 x14ac:dyDescent="0.3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242</v>
      </c>
      <c r="O318" s="60"/>
    </row>
    <row r="319" spans="1:15" ht="15" customHeight="1" x14ac:dyDescent="0.3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 x14ac:dyDescent="0.3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 x14ac:dyDescent="0.3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 x14ac:dyDescent="0.3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 x14ac:dyDescent="0.3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215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 x14ac:dyDescent="0.3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218</v>
      </c>
      <c r="O324" s="39">
        <v>1063720</v>
      </c>
    </row>
    <row r="325" spans="1:15" ht="18" customHeight="1" x14ac:dyDescent="0.3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221</v>
      </c>
      <c r="O325" s="48">
        <f>IFERROR(O311+O324,"")</f>
        <v>1209300</v>
      </c>
    </row>
    <row r="326" spans="1:15" ht="15" customHeight="1" x14ac:dyDescent="0.3">
      <c r="A326" s="69">
        <v>46216</v>
      </c>
      <c r="B326" s="25">
        <v>0.33333333333333298</v>
      </c>
      <c r="C326" s="26" t="s">
        <v>45</v>
      </c>
      <c r="D326" s="59" t="s">
        <v>30</v>
      </c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 x14ac:dyDescent="0.3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 x14ac:dyDescent="0.3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 x14ac:dyDescent="0.3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 x14ac:dyDescent="0.3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 x14ac:dyDescent="0.3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 x14ac:dyDescent="0.3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 x14ac:dyDescent="0.3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 x14ac:dyDescent="0.3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 x14ac:dyDescent="0.3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 x14ac:dyDescent="0.3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 x14ac:dyDescent="0.3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 x14ac:dyDescent="0.3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 x14ac:dyDescent="0.3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 x14ac:dyDescent="0.3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 x14ac:dyDescent="0.3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 x14ac:dyDescent="0.3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 x14ac:dyDescent="0.3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 x14ac:dyDescent="0.3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 x14ac:dyDescent="0.3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 x14ac:dyDescent="0.3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 x14ac:dyDescent="0.3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 x14ac:dyDescent="0.3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 x14ac:dyDescent="0.3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 x14ac:dyDescent="0.3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 x14ac:dyDescent="0.3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 x14ac:dyDescent="0.3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 x14ac:dyDescent="0.3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 x14ac:dyDescent="0.3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 x14ac:dyDescent="0.3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 x14ac:dyDescent="0.3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 x14ac:dyDescent="0.3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 x14ac:dyDescent="0.3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 x14ac:dyDescent="0.3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 x14ac:dyDescent="0.3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 x14ac:dyDescent="0.3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 x14ac:dyDescent="0.3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 x14ac:dyDescent="0.3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 x14ac:dyDescent="0.3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 x14ac:dyDescent="0.3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 x14ac:dyDescent="0.3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 x14ac:dyDescent="0.3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 x14ac:dyDescent="0.3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 x14ac:dyDescent="0.3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 x14ac:dyDescent="0.3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 x14ac:dyDescent="0.3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 x14ac:dyDescent="0.3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 x14ac:dyDescent="0.3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 x14ac:dyDescent="0.3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 x14ac:dyDescent="0.3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 x14ac:dyDescent="0.3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 x14ac:dyDescent="0.3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 x14ac:dyDescent="0.3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 x14ac:dyDescent="0.3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 x14ac:dyDescent="0.3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 x14ac:dyDescent="0.3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 x14ac:dyDescent="0.3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 x14ac:dyDescent="0.3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 x14ac:dyDescent="0.3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 x14ac:dyDescent="0.3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 x14ac:dyDescent="0.3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 x14ac:dyDescent="0.3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 x14ac:dyDescent="0.3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 x14ac:dyDescent="0.3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 x14ac:dyDescent="0.3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 x14ac:dyDescent="0.3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 x14ac:dyDescent="0.3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 x14ac:dyDescent="0.3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 x14ac:dyDescent="0.3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 x14ac:dyDescent="0.3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 x14ac:dyDescent="0.3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 x14ac:dyDescent="0.3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 x14ac:dyDescent="0.3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 x14ac:dyDescent="0.3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 x14ac:dyDescent="0.3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 x14ac:dyDescent="0.3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 x14ac:dyDescent="0.3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 x14ac:dyDescent="0.3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 x14ac:dyDescent="0.3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 x14ac:dyDescent="0.3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 x14ac:dyDescent="0.3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 x14ac:dyDescent="0.3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 x14ac:dyDescent="0.3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 x14ac:dyDescent="0.3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 x14ac:dyDescent="0.3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 x14ac:dyDescent="0.3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 x14ac:dyDescent="0.3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 x14ac:dyDescent="0.3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 x14ac:dyDescent="0.3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 x14ac:dyDescent="0.3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 x14ac:dyDescent="0.3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 x14ac:dyDescent="0.3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 x14ac:dyDescent="0.3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 x14ac:dyDescent="0.3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 x14ac:dyDescent="0.3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 x14ac:dyDescent="0.3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 x14ac:dyDescent="0.3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 x14ac:dyDescent="0.3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 x14ac:dyDescent="0.3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 x14ac:dyDescent="0.3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 x14ac:dyDescent="0.3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 x14ac:dyDescent="0.3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 x14ac:dyDescent="0.3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 x14ac:dyDescent="0.3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 x14ac:dyDescent="0.3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 x14ac:dyDescent="0.3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 x14ac:dyDescent="0.3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 x14ac:dyDescent="0.3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 x14ac:dyDescent="0.3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 x14ac:dyDescent="0.3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 x14ac:dyDescent="0.3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 x14ac:dyDescent="0.3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 x14ac:dyDescent="0.3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 x14ac:dyDescent="0.3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 x14ac:dyDescent="0.3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 x14ac:dyDescent="0.3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 x14ac:dyDescent="0.3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 x14ac:dyDescent="0.3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 x14ac:dyDescent="0.3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 x14ac:dyDescent="0.3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 x14ac:dyDescent="0.3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 x14ac:dyDescent="0.3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 x14ac:dyDescent="0.3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 x14ac:dyDescent="0.3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 x14ac:dyDescent="0.3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 x14ac:dyDescent="0.3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 x14ac:dyDescent="0.3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 x14ac:dyDescent="0.3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 x14ac:dyDescent="0.3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 x14ac:dyDescent="0.3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 x14ac:dyDescent="0.3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 x14ac:dyDescent="0.3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 x14ac:dyDescent="0.3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 x14ac:dyDescent="0.3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 x14ac:dyDescent="0.3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 x14ac:dyDescent="0.3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 x14ac:dyDescent="0.3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 x14ac:dyDescent="0.3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 x14ac:dyDescent="0.3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 x14ac:dyDescent="0.3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 x14ac:dyDescent="0.3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 x14ac:dyDescent="0.3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 x14ac:dyDescent="0.3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 x14ac:dyDescent="0.3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 x14ac:dyDescent="0.3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 x14ac:dyDescent="0.3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 x14ac:dyDescent="0.3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 x14ac:dyDescent="0.3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 x14ac:dyDescent="0.3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 x14ac:dyDescent="0.3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 x14ac:dyDescent="0.3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 x14ac:dyDescent="0.3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 x14ac:dyDescent="0.3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 x14ac:dyDescent="0.3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 x14ac:dyDescent="0.3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 x14ac:dyDescent="0.3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 x14ac:dyDescent="0.3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 x14ac:dyDescent="0.3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 x14ac:dyDescent="0.3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 x14ac:dyDescent="0.3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 x14ac:dyDescent="0.3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 x14ac:dyDescent="0.3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 x14ac:dyDescent="0.3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 x14ac:dyDescent="0.3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 x14ac:dyDescent="0.3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 x14ac:dyDescent="0.3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 x14ac:dyDescent="0.3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 x14ac:dyDescent="0.3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 x14ac:dyDescent="0.3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 x14ac:dyDescent="0.3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 x14ac:dyDescent="0.3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 x14ac:dyDescent="0.3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 x14ac:dyDescent="0.3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 x14ac:dyDescent="0.3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 x14ac:dyDescent="0.3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 x14ac:dyDescent="0.3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 x14ac:dyDescent="0.3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 x14ac:dyDescent="0.3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 x14ac:dyDescent="0.3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 x14ac:dyDescent="0.3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 x14ac:dyDescent="0.3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 x14ac:dyDescent="0.3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 x14ac:dyDescent="0.3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 x14ac:dyDescent="0.3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 x14ac:dyDescent="0.3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 x14ac:dyDescent="0.3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 x14ac:dyDescent="0.3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 x14ac:dyDescent="0.3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 x14ac:dyDescent="0.3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 x14ac:dyDescent="0.3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 x14ac:dyDescent="0.3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 x14ac:dyDescent="0.3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 x14ac:dyDescent="0.3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 x14ac:dyDescent="0.3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 x14ac:dyDescent="0.3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 x14ac:dyDescent="0.3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 x14ac:dyDescent="0.3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 x14ac:dyDescent="0.3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 x14ac:dyDescent="0.3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 x14ac:dyDescent="0.3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 x14ac:dyDescent="0.3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 x14ac:dyDescent="0.3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 x14ac:dyDescent="0.3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 x14ac:dyDescent="0.3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 x14ac:dyDescent="0.3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 x14ac:dyDescent="0.3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 x14ac:dyDescent="0.3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 x14ac:dyDescent="0.3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 x14ac:dyDescent="0.3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 x14ac:dyDescent="0.3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 x14ac:dyDescent="0.3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 x14ac:dyDescent="0.3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 x14ac:dyDescent="0.3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 x14ac:dyDescent="0.3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 x14ac:dyDescent="0.3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 x14ac:dyDescent="0.3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 x14ac:dyDescent="0.3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 x14ac:dyDescent="0.3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 x14ac:dyDescent="0.3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 x14ac:dyDescent="0.3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 x14ac:dyDescent="0.3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 x14ac:dyDescent="0.3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 x14ac:dyDescent="0.3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 x14ac:dyDescent="0.3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 x14ac:dyDescent="0.3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 x14ac:dyDescent="0.3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 x14ac:dyDescent="0.3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 x14ac:dyDescent="0.3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 x14ac:dyDescent="0.3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 x14ac:dyDescent="0.3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 x14ac:dyDescent="0.3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 x14ac:dyDescent="0.3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 x14ac:dyDescent="0.3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 x14ac:dyDescent="0.3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 x14ac:dyDescent="0.3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 x14ac:dyDescent="0.3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 x14ac:dyDescent="0.3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 x14ac:dyDescent="0.3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 x14ac:dyDescent="0.3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 x14ac:dyDescent="0.3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 x14ac:dyDescent="0.3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 x14ac:dyDescent="0.3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 x14ac:dyDescent="0.3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 x14ac:dyDescent="0.3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 x14ac:dyDescent="0.3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 x14ac:dyDescent="0.3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 x14ac:dyDescent="0.3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 x14ac:dyDescent="0.3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 x14ac:dyDescent="0.3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 x14ac:dyDescent="0.3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 x14ac:dyDescent="0.3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 x14ac:dyDescent="0.3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 x14ac:dyDescent="0.3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 x14ac:dyDescent="0.3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 x14ac:dyDescent="0.3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 x14ac:dyDescent="0.3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 x14ac:dyDescent="0.3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 x14ac:dyDescent="0.3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 x14ac:dyDescent="0.3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 x14ac:dyDescent="0.3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 x14ac:dyDescent="0.3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 x14ac:dyDescent="0.3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 x14ac:dyDescent="0.3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 x14ac:dyDescent="0.3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 x14ac:dyDescent="0.3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 x14ac:dyDescent="0.3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 x14ac:dyDescent="0.3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 x14ac:dyDescent="0.3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 x14ac:dyDescent="0.3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 x14ac:dyDescent="0.3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 x14ac:dyDescent="0.3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 x14ac:dyDescent="0.3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 x14ac:dyDescent="0.3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 x14ac:dyDescent="0.3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 x14ac:dyDescent="0.3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 x14ac:dyDescent="0.3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 x14ac:dyDescent="0.3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 x14ac:dyDescent="0.3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 x14ac:dyDescent="0.3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 x14ac:dyDescent="0.3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 x14ac:dyDescent="0.3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 x14ac:dyDescent="0.3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 x14ac:dyDescent="0.3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 x14ac:dyDescent="0.3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 x14ac:dyDescent="0.3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 x14ac:dyDescent="0.3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 x14ac:dyDescent="0.3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 x14ac:dyDescent="0.3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 x14ac:dyDescent="0.3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 x14ac:dyDescent="0.3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 x14ac:dyDescent="0.3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 x14ac:dyDescent="0.3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 x14ac:dyDescent="0.3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 x14ac:dyDescent="0.3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 x14ac:dyDescent="0.3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 x14ac:dyDescent="0.3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 x14ac:dyDescent="0.3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 x14ac:dyDescent="0.3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 x14ac:dyDescent="0.3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 x14ac:dyDescent="0.3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 x14ac:dyDescent="0.3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 x14ac:dyDescent="0.3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 x14ac:dyDescent="0.3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 x14ac:dyDescent="0.3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 x14ac:dyDescent="0.3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 x14ac:dyDescent="0.3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 x14ac:dyDescent="0.3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 x14ac:dyDescent="0.3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 x14ac:dyDescent="0.3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 x14ac:dyDescent="0.3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 x14ac:dyDescent="0.3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 x14ac:dyDescent="0.3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 x14ac:dyDescent="0.3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 x14ac:dyDescent="0.3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 x14ac:dyDescent="0.3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 x14ac:dyDescent="0.3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 x14ac:dyDescent="0.3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 x14ac:dyDescent="0.3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 x14ac:dyDescent="0.3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 x14ac:dyDescent="0.3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 x14ac:dyDescent="0.3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 x14ac:dyDescent="0.3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 x14ac:dyDescent="0.3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 x14ac:dyDescent="0.3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 x14ac:dyDescent="0.3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 x14ac:dyDescent="0.3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 x14ac:dyDescent="0.3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 x14ac:dyDescent="0.3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 x14ac:dyDescent="0.3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 x14ac:dyDescent="0.3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 x14ac:dyDescent="0.3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 x14ac:dyDescent="0.3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 x14ac:dyDescent="0.3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 x14ac:dyDescent="0.3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 x14ac:dyDescent="0.3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 x14ac:dyDescent="0.3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 x14ac:dyDescent="0.3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 x14ac:dyDescent="0.3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 x14ac:dyDescent="0.3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 x14ac:dyDescent="0.3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 x14ac:dyDescent="0.3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 x14ac:dyDescent="0.3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 x14ac:dyDescent="0.3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 x14ac:dyDescent="0.3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 x14ac:dyDescent="0.3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 x14ac:dyDescent="0.3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 x14ac:dyDescent="0.3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 x14ac:dyDescent="0.3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 x14ac:dyDescent="0.3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 x14ac:dyDescent="0.3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 x14ac:dyDescent="0.3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 x14ac:dyDescent="0.3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 x14ac:dyDescent="0.3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 x14ac:dyDescent="0.3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 x14ac:dyDescent="0.3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 x14ac:dyDescent="0.3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 x14ac:dyDescent="0.3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 x14ac:dyDescent="0.3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 x14ac:dyDescent="0.3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 x14ac:dyDescent="0.3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 x14ac:dyDescent="0.3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 x14ac:dyDescent="0.3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 x14ac:dyDescent="0.3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 x14ac:dyDescent="0.3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 x14ac:dyDescent="0.3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 x14ac:dyDescent="0.3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 x14ac:dyDescent="0.3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 x14ac:dyDescent="0.3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 x14ac:dyDescent="0.3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 x14ac:dyDescent="0.3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 x14ac:dyDescent="0.3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 x14ac:dyDescent="0.3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 x14ac:dyDescent="0.3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 x14ac:dyDescent="0.3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 x14ac:dyDescent="0.3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 x14ac:dyDescent="0.3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 x14ac:dyDescent="0.3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 x14ac:dyDescent="0.3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 x14ac:dyDescent="0.3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 x14ac:dyDescent="0.3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 x14ac:dyDescent="0.3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 x14ac:dyDescent="0.3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 x14ac:dyDescent="0.3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 x14ac:dyDescent="0.3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 x14ac:dyDescent="0.3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 x14ac:dyDescent="0.3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 x14ac:dyDescent="0.3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 x14ac:dyDescent="0.3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 x14ac:dyDescent="0.3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 x14ac:dyDescent="0.3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 x14ac:dyDescent="0.3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 x14ac:dyDescent="0.3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 x14ac:dyDescent="0.3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 x14ac:dyDescent="0.3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 x14ac:dyDescent="0.3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 x14ac:dyDescent="0.3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 x14ac:dyDescent="0.3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 x14ac:dyDescent="0.3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 x14ac:dyDescent="0.3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 x14ac:dyDescent="0.3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 x14ac:dyDescent="0.3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 x14ac:dyDescent="0.3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 x14ac:dyDescent="0.3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 x14ac:dyDescent="0.3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 x14ac:dyDescent="0.3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 x14ac:dyDescent="0.3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 x14ac:dyDescent="0.3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 x14ac:dyDescent="0.3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 x14ac:dyDescent="0.3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 x14ac:dyDescent="0.3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 x14ac:dyDescent="0.3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 x14ac:dyDescent="0.3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 x14ac:dyDescent="0.3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 x14ac:dyDescent="0.3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 x14ac:dyDescent="0.3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 x14ac:dyDescent="0.3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 x14ac:dyDescent="0.3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 x14ac:dyDescent="0.3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 x14ac:dyDescent="0.3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 x14ac:dyDescent="0.3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 x14ac:dyDescent="0.3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 x14ac:dyDescent="0.3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 x14ac:dyDescent="0.3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 x14ac:dyDescent="0.3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 x14ac:dyDescent="0.3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 x14ac:dyDescent="0.3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 x14ac:dyDescent="0.3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 x14ac:dyDescent="0.3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 x14ac:dyDescent="0.3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 x14ac:dyDescent="0.3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 x14ac:dyDescent="0.3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 x14ac:dyDescent="0.3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 x14ac:dyDescent="0.3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 x14ac:dyDescent="0.3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 x14ac:dyDescent="0.3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 x14ac:dyDescent="0.3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 x14ac:dyDescent="0.3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 x14ac:dyDescent="0.3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 x14ac:dyDescent="0.3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 x14ac:dyDescent="0.3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 x14ac:dyDescent="0.3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 x14ac:dyDescent="0.3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 x14ac:dyDescent="0.3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 x14ac:dyDescent="0.3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 x14ac:dyDescent="0.3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 x14ac:dyDescent="0.3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 x14ac:dyDescent="0.3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 x14ac:dyDescent="0.3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 x14ac:dyDescent="0.3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 x14ac:dyDescent="0.3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 x14ac:dyDescent="0.3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 x14ac:dyDescent="0.3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 x14ac:dyDescent="0.3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 x14ac:dyDescent="0.3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 x14ac:dyDescent="0.3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 x14ac:dyDescent="0.3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 x14ac:dyDescent="0.3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 x14ac:dyDescent="0.3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 x14ac:dyDescent="0.3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 x14ac:dyDescent="0.3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 x14ac:dyDescent="0.3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 x14ac:dyDescent="0.3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 x14ac:dyDescent="0.3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 x14ac:dyDescent="0.3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 x14ac:dyDescent="0.3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 x14ac:dyDescent="0.3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 x14ac:dyDescent="0.3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 x14ac:dyDescent="0.3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 x14ac:dyDescent="0.3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 x14ac:dyDescent="0.3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 x14ac:dyDescent="0.3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 x14ac:dyDescent="0.3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 x14ac:dyDescent="0.3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 x14ac:dyDescent="0.3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 x14ac:dyDescent="0.3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 x14ac:dyDescent="0.3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 x14ac:dyDescent="0.3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 x14ac:dyDescent="0.3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 x14ac:dyDescent="0.3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 x14ac:dyDescent="0.3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 x14ac:dyDescent="0.3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 x14ac:dyDescent="0.3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 x14ac:dyDescent="0.3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 x14ac:dyDescent="0.3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 x14ac:dyDescent="0.3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 x14ac:dyDescent="0.3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0A38338-7112-4F45-BCE1-49C5EC8DDAF1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3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Cavaliere Borges</cp:lastModifiedBy>
  <cp:revision>0</cp:revision>
  <dcterms:created xsi:type="dcterms:W3CDTF">2026-06-05T19:56:02Z</dcterms:created>
  <dcterms:modified xsi:type="dcterms:W3CDTF">2026-07-13T11:15:29Z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