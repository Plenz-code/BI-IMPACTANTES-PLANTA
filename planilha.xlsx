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60" documentId="13_ncr:1_{0A10D8D4-8450-4366-8075-B53B08E6B7EA}" xr6:coauthVersionLast="47" xr6:coauthVersionMax="47" xr10:uidLastSave="{465B827A-023E-4D9C-895B-3081062CA3EA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3" i="6" s="1"/>
  <c r="J343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3" i="5" s="1"/>
  <c r="J343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3" i="4" s="1"/>
  <c r="J343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1" i="6" l="1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<sst xmlns="http://schemas.openxmlformats.org/spreadsheetml/2006/main" count="6123" uniqueCount="340">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</sst>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13" activePane="bottomLeft" state="frozen"/>
      <selection pane="bottomLeft" activeCell="F345" sqref="F34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120</v>
      </c>
      <c r="G351" s="36">
        <f>SUM(G339:G350)</f>
        <v>600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352</v>
      </c>
      <c r="G352" s="40">
        <f>G338+G351</f>
        <v>1760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P342" sqref="P34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0.92325405092560686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1.0621429398144957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1.1468651620367181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72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302.40000000000003</v>
      </c>
      <c r="L351" s="37"/>
      <c r="M351" s="37"/>
      <c r="N351" s="37"/>
      <c r="O351" s="37"/>
      <c r="P351" s="37"/>
      <c r="Q351" s="38">
        <f ca="1">IFERROR(SUM(Q339:Q350),"")</f>
        <v>6.0416666666666813E-2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109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475.40000000000003</v>
      </c>
      <c r="L352" s="41"/>
      <c r="M352" s="41"/>
      <c r="N352" s="41"/>
      <c r="O352" s="41"/>
      <c r="P352" s="41"/>
      <c r="Q352" s="42">
        <f ca="1">IFERROR(Q338+Q351,"")</f>
        <v>0.40277777777777779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44" sqref="G34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105.00000000000001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86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402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8" activePane="bottomLeft" state="frozen"/>
      <selection pane="bottomLeft" activeCell="G344" sqref="G34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105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441</v>
      </c>
      <c r="L351" s="37"/>
      <c r="M351" s="37"/>
      <c r="N351" s="37"/>
      <c r="O351" s="61"/>
      <c r="P351" s="61"/>
      <c r="Q351" s="38">
        <f ca="1">IFERROR(SUM(Q339:Q350),"")</f>
        <v>4.3749999999999976E-2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322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1409.2</v>
      </c>
      <c r="L352" s="41"/>
      <c r="M352" s="41"/>
      <c r="N352" s="41"/>
      <c r="O352" s="63"/>
      <c r="P352" s="63"/>
      <c r="Q352" s="42">
        <f ca="1">IFERROR(Q338+Q351,"")</f>
        <v>8.4722222222222116E-2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2026-08-14T05:04:59Z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