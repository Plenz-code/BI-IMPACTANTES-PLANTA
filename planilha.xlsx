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7" documentId="13_ncr:1_{A6DBCFB4-28D9-4249-9038-216934055CA6}" xr6:coauthVersionLast="47" xr6:coauthVersionMax="47" xr10:uidLastSave="{737165F2-2A59-44D0-ADC4-4FDF80D4A57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<sst xmlns="http://schemas.openxmlformats.org/spreadsheetml/2006/main" count="8531" uniqueCount="395">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</sst>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3" sqref="D50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125</v>
      </c>
      <c r="G513" s="2">
        <f>SUM(G501:G512)</f>
        <v>625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407</v>
      </c>
      <c r="G514" s="1">
        <f>G500+G513</f>
        <v>2035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G503" sqref="G50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0.80914780092280125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0.94803668981168898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1.0327589120339118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24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100.80000000000001</v>
      </c>
      <c r="L513" s="72"/>
      <c r="M513" s="72"/>
      <c r="N513" s="72"/>
      <c r="O513" s="72"/>
      <c r="P513" s="72"/>
      <c r="Q513" s="73">
        <f ca="1">IFERROR(SUM(Q501:Q512),"")</f>
        <v>1.388888888888884E-2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166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706</v>
      </c>
      <c r="L514" s="76"/>
      <c r="M514" s="76"/>
      <c r="N514" s="76"/>
      <c r="O514" s="76"/>
      <c r="P514" s="76"/>
      <c r="Q514" s="77">
        <f ca="1">IFERROR(Q500+Q513,"")</f>
        <v>0.10555555555555546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E503" sqref="E50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/>
      <c r="E502" s="100" t="s">
        <v>274</v>
      </c>
      <c r="F502" s="88" t="str">
        <f>IFERROR(IF($D502="","",VLOOKUP($D502,Cadastro!$C$4:$E$7,3,FALSE())),"")</f>
        <v/>
      </c>
      <c r="G502" s="89">
        <v>9</v>
      </c>
      <c r="H502" s="88">
        <f>IFERROR(IF($G502="","",$G502*$S$513/$G$513/Cadastro!$E$33),"")</f>
        <v>0</v>
      </c>
      <c r="I502" s="90" t="str">
        <f>IFERROR(IF($D502="","",VLOOKUP($D502,Cadastro!$C$4:$G$7,5,FALSE())),"")</f>
        <v/>
      </c>
      <c r="J502" s="91" t="str">
        <f t="shared" si="123"/>
        <v/>
      </c>
      <c r="K502" s="64">
        <f t="shared" si="124"/>
        <v>37.800000000000004</v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/>
      <c r="E503" s="100" t="s">
        <v>274</v>
      </c>
      <c r="F503" s="88" t="str">
        <f>IFERROR(IF($D503="","",VLOOKUP($D503,Cadastro!$C$4:$E$7,3,FALSE())),"")</f>
        <v/>
      </c>
      <c r="G503" s="89">
        <v>7</v>
      </c>
      <c r="H503" s="88">
        <f>IFERROR(IF($G503="","",$G503*$S$513/$G$513/Cadastro!$E$33),"")</f>
        <v>0</v>
      </c>
      <c r="I503" s="90" t="str">
        <f>IFERROR(IF($D503="","",VLOOKUP($D503,Cadastro!$C$4:$G$7,5,FALSE())),"")</f>
        <v/>
      </c>
      <c r="J503" s="91" t="str">
        <f t="shared" si="123"/>
        <v/>
      </c>
      <c r="K503" s="69">
        <f t="shared" si="124"/>
        <v>29.400000000000002</v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23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96.600000000000009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95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403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E503" sqref="E50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47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197.40000000000003</v>
      </c>
      <c r="L513" s="72"/>
      <c r="M513" s="72"/>
      <c r="N513" s="72"/>
      <c r="O513" s="134"/>
      <c r="P513" s="134"/>
      <c r="Q513" s="73">
        <f ca="1">IFERROR(SUM(Q501:Q512),"")</f>
        <v>5.5555555555556468E-3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249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1051.4000000000001</v>
      </c>
      <c r="L514" s="76"/>
      <c r="M514" s="76"/>
      <c r="N514" s="76"/>
      <c r="O514" s="135"/>
      <c r="P514" s="135"/>
      <c r="Q514" s="77">
        <f ca="1">IFERROR(Q500+Q513,"")</f>
        <v>9.0277777777777179E-2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2026-08-20T02:20:26Z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