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80" documentId="13_ncr:1_{A6DBCFB4-28D9-4249-9038-216934055CA6}" xr6:coauthVersionLast="47" xr6:coauthVersionMax="47" xr10:uidLastSave="{D115EBF5-9BE9-4267-B0D4-7257C8D685D8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<sst xmlns="http://schemas.openxmlformats.org/spreadsheetml/2006/main" count="10013" uniqueCount="428">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</sst>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2.8848842594015878E-2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2.8848842594015878E-2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2.8848842594015878E-2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D599" sqref="D599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0.19898773147724569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0.33787662036613342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0.42259884258835623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/>
      <c r="F596" s="101">
        <f>IFERROR(IF($D596="","",VLOOKUP($D596,Cadastro!$C$4:$E$7,3,FALSE())),"")</f>
        <v>0.35</v>
      </c>
      <c r="G596" s="89"/>
      <c r="H596" s="101" t="str">
        <f>IFERROR(IF($G596="","",$G596*$S$608/$G$608/Cadastro!$E$33),"")</f>
        <v/>
      </c>
      <c r="I596" s="102">
        <f>IFERROR(IF($D596="","",VLOOKUP($D596,Cadastro!$C$4:$G$7,5,FALSE())),"")</f>
        <v>0.6</v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/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/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D596" sqref="D596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/>
      <c r="F596" s="101">
        <f>IFERROR(IF($D596="","",VLOOKUP($D596,Cadastro!$C$4:$E$7,3,FALSE())),"")</f>
        <v>0.35</v>
      </c>
      <c r="G596" s="89"/>
      <c r="H596" s="101" t="str">
        <f>IFERROR(IF($G596="","",$G596*$S$608/$G$608/Cadastro!$E$33),"")</f>
        <v/>
      </c>
      <c r="I596" s="102">
        <f>IFERROR(IF($D596="","",VLOOKUP($D596,Cadastro!$C$4:$G$7,5,FALSE())),"")</f>
        <v>0.6</v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80" activePane="bottomLeft" state="frozen"/>
      <selection pane="bottomLeft" activeCell="E607" sqref="E607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/>
      <c r="H596" s="101" t="str">
        <f>IFERROR(IF($G596="","",$G596*$S$608/$G$608/Cadastro!$E$33),"")</f>
        <v/>
      </c>
      <c r="I596" s="102">
        <f>IFERROR(IF($D596="","",VLOOKUP($D596,Cadastro!$C$4:$G$7,5,FALSE())),"")</f>
        <v>0.6</v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2026-08-23T11:41:34Z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