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56" documentId="8_{AF585B22-221D-4780-BB9C-493D365A6A02}" xr6:coauthVersionLast="47" xr6:coauthVersionMax="47" xr10:uidLastSave="{E6C0C805-2884-45D2-8AFE-D82DB2E0D8DD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5" i="4" l="1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4" i="3"/>
  <c r="G25" i="3"/>
  <c r="G26" i="3"/>
  <c r="G26" i="4"/>
  <c r="G17" i="4"/>
  <c r="G18" i="4"/>
  <c r="G19" i="4"/>
  <c r="G20" i="4"/>
  <c r="G21" i="4"/>
  <c r="G22" i="4"/>
  <c r="G23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<sst xmlns="http://schemas.openxmlformats.org/spreadsheetml/2006/main" count="1315" uniqueCount="201">
  <si>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</si>
  <si>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</si>
  <si>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</si>
  <si>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</si>
  <si>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</si>
  <si>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</si>
  <si>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</si>
  <si>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</si>
  <si>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</si>
  <si>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</si>
  <si>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</si>
  <si>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</si>
  <si>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</si>
  <si>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</si>
  <si>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</si>
  <si>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</si>
  <si>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</si>
  <si>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</si>
  <si>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</si>
  <si>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</si>
  <si>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</si>
  <si>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</si>
  <si>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</si>
  <si>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</si>
  <si>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</si>
  <si>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</si>
  <si>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</si>
  <si>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</si>
  <si>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</si>
  <si>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</si>
  <si>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</si>
  <si>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</si>
  <si>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</si>
  <si>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</si>
  <si>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</si>
  <si>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</si>
  <si>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</si>
  <si>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</si>
  <si>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</si>
  <si>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</si>
  <si>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</si>
  <si>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</si>
  <si>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</si>
  <si>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</si>
  <si>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</si>
  <si>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</si>
  <si>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</si>
  <si>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</si>
  <si>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</si>
  <si>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</si>
  <si>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</si>
  <si>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</si>
  <si>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</si>
  <si>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</si>
  <si>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</si>
  <si>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</si>
  <si>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</si>
  <si>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</si>
  <si>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</si>
  <si>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</si>
  <si>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</si>
  <si>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</si>
  <si>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</si>
  <si>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</si>
  <si>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</si>
  <si>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</si>
  <si>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</si>
  <si>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</si>
  <si>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</si>
  <si>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</si>
  <si>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</si>
  <si>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</si>
  <si>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</si>
  <si>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</si>
  <si>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</si>
  <si>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</si>
  <si>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</si>
  <si>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</si>
  <si>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</si>
  <si>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</si>
  <si>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</si>
  <si>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</si>
  <si>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</si>
  <si>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</si>
  <si>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</si>
  <si>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</si>
  <si>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</si>
  <si>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</si>
  <si>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</si>
  <si>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</si>
  <si>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</si>
  <si>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</si>
  <si>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</si>
  <si>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</si>
  <si>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</si>
  <si>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</si>
  <si>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</si>
  <si>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</si>
  <si>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</si>
  <si>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</si>
  <si>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</si>
  <si>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</si>
  <si>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</si>
  <si>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</si>
  <si>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</si>
  <si>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</si>
  <si>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</si>
  <si>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</si>
  <si>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</si>
  <si>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</si>
  <si>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</si>
  <si>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</si>
  <si>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</si>
  <si>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</si>
  <si>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</si>
  <si>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</si>
  <si>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</si>
  <si>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</si>
  <si>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</si>
  <si>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</si>
  <si>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</si>
  <si>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</si>
  <si>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</si>
  <si>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</si>
  <si>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</si>
  <si>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</si>
  <si>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</si>
  <si>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</si>
  <si>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</si>
  <si>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</si>
  <si>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</si>
  <si>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</si>
  <si>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</si>
  <si>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</si>
  <si>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</si>
  <si>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</si>
  <si>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</si>
  <si>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</si>
  <si>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</si>
  <si>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</si>
  <si>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</si>
  <si>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</si>
  <si>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</si>
  <si>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</si>
  <si>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</si>
  <si>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</si>
  <si>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</si>
  <si>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</si>
  <si>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</si>
  <si>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</si>
  <si>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</si>
  <si>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</si>
  <si>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</si>
  <si>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</si>
  <si>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</si>
  <si>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</si>
  <si>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</si>
  <si>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</si>
  <si>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</si>
  <si>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</si>
  <si>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</si>
  <si>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</si>
  <si>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</si>
  <si>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</si>
  <si>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</si>
  <si>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</si>
  <si>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</si>
  <si>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</si>
  <si>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</si>
  <si>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</si>
  <si>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</si>
  <si>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</si>
  <si>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</si>
  <si>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</si>
  <si>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</si>
  <si>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</si>
  <si>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</si>
  <si>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</si>
  <si>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</si>
  <si>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</si>
  <si>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</si>
  <si>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</si>
  <si>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</si>
  <si>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</si>
  <si>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</si>
  <si>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</si>
  <si>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</si>
  <si>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</si>
  <si>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</si>
  <si>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</si>
  <si>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</si>
  <si>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</si>
  <si>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</si>
  <si>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</si>
  <si>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</si>
  <si>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</si>
  <si>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solda na grelha</t>
  </si>
  <si>
    <t>solda na tampa do moinho</t>
  </si>
  <si>
    <t>manutençao no rolamento do moinho 4</t>
  </si>
  <si>
    <t>troca de martelo</t>
  </si>
  <si>
    <t>OBS: EIXO TRAVOU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</si>
</sst>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1489420</v>
      </c>
      <c r="D4" s="8">
        <f>IFERROR('Linha 1'!O28,"")</f>
        <v>627260</v>
      </c>
      <c r="E4" s="8">
        <f>IFERROR('Linha 2'!O28,"")</f>
        <v>292530</v>
      </c>
      <c r="F4" s="8">
        <f>IFERROR('Linha 3'!O28,"")</f>
        <v>327070</v>
      </c>
      <c r="G4" s="9">
        <f t="shared" ref="G4:G34" si="0">IFERROR(D4+E4+F4,"")</f>
        <v>1246860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1489420</v>
      </c>
      <c r="D35" s="13">
        <f>IFERROR(SUM(D4:D34),"")</f>
        <v>627260</v>
      </c>
      <c r="E35" s="13">
        <f>IFERROR(SUM(E4:E34),"")</f>
        <v>292530</v>
      </c>
      <c r="F35" s="13">
        <f>IFERROR(SUM(F4:F34),"")</f>
        <v>327070</v>
      </c>
      <c r="G35" s="13">
        <f>IFERROR(SUM(G4:G34),"")</f>
        <v>1246860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51" sqref="I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9" activePane="bottomLeft" state="frozen"/>
      <selection pane="bottomLeft" activeCell="F22" sqref="F2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187</v>
      </c>
      <c r="E2" s="59" t="s">
        <v>188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188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188</v>
      </c>
      <c r="F16" s="27">
        <v>12</v>
      </c>
      <c r="G16" s="34">
        <f t="shared" si="3"/>
        <v>60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188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188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188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188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188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188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188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188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188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188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133</v>
      </c>
      <c r="G27" s="36">
        <f>SUM(G15:G26)</f>
        <v>665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405</v>
      </c>
      <c r="G28" s="40">
        <f>G14+G27</f>
        <v>2025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194</v>
      </c>
      <c r="O28" s="43">
        <f>IFERROR(O14+O27,"")</f>
        <v>1489420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4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F22" sqref="F2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191</v>
      </c>
      <c r="O14" s="54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68</v>
      </c>
      <c r="G27" s="36">
        <f>SUM(G15:G26)</f>
        <v>285.60000000000008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191</v>
      </c>
      <c r="O27" s="54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216</v>
      </c>
      <c r="G28" s="40">
        <f>G14+G27</f>
        <v>907.2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194</v>
      </c>
      <c r="O28" s="43">
        <f>IFERROR(O14+O27,"")</f>
        <v>627260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54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54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54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54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5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9" activePane="bottomLeft" state="frozen"/>
      <selection pane="bottomLeft" activeCell="F22" sqref="F2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197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10</v>
      </c>
      <c r="G15" s="34">
        <f t="shared" ref="G15:G26" si="3">IF(F15="","",IF(E15="PC 17",F15*4.2,IF(E15="PC 19",F15*5,"")))</f>
        <v>42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102</v>
      </c>
      <c r="G28" s="40">
        <f>G14+G27</f>
        <v>428.40000000000003</v>
      </c>
      <c r="H28" s="41"/>
      <c r="I28" s="41"/>
      <c r="J28" s="41"/>
      <c r="K28" s="41"/>
      <c r="L28" s="41"/>
      <c r="M28" s="42">
        <f ca="1">IFERROR(M14+M27,"")</f>
        <v>0.16736111111111113</v>
      </c>
      <c r="N28" s="40" t="s">
        <v>194</v>
      </c>
      <c r="O28" s="43">
        <f>IFERROR(O14+O27,"")</f>
        <v>292530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39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9" activePane="bottomLeft" state="frozen"/>
      <selection pane="bottomLeft" activeCell="F22" sqref="F2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198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199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/>
      <c r="M16" s="30"/>
      <c r="N16" s="27" t="s">
        <v>200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20</v>
      </c>
      <c r="G27" s="36">
        <f>SUM(G15:G26)</f>
        <v>84.000000000000014</v>
      </c>
      <c r="H27" s="37"/>
      <c r="I27" s="37"/>
      <c r="J27" s="37"/>
      <c r="K27" s="61"/>
      <c r="L27" s="61"/>
      <c r="M27" s="38">
        <f ca="1">IFERROR(SUM(M15:M26),"")</f>
        <v>3.0555555555555558E-2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84</v>
      </c>
      <c r="G28" s="40">
        <f>G14+G27</f>
        <v>352.79999999999995</v>
      </c>
      <c r="H28" s="41"/>
      <c r="I28" s="41"/>
      <c r="J28" s="41"/>
      <c r="K28" s="63"/>
      <c r="L28" s="63"/>
      <c r="M28" s="42">
        <f ca="1">IFERROR(M14+M27,"")</f>
        <v>0.25138888888888883</v>
      </c>
      <c r="N28" s="40" t="s">
        <v>194</v>
      </c>
      <c r="O28" s="48">
        <f>IFERROR(O14+O27,"")</f>
        <v>327070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194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194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194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194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191</v>
      </c>
      <c r="O432" s="39"/>
    </row>
    <row r="433" spans="1:17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2026-07-02T06:02:56Z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