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67" documentId="13_ncr:1_{A6DBCFB4-28D9-4249-9038-216934055CA6}" xr6:coauthVersionLast="47" xr6:coauthVersionMax="47" xr10:uidLastSave="{75C3703A-4854-417D-9301-C36235812CF0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<sst xmlns="http://schemas.openxmlformats.org/spreadsheetml/2006/main" count="8897" uniqueCount="400">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</sst>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7" sqref="E53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188</v>
      </c>
      <c r="G541" s="1">
        <f>G527+G540</f>
        <v>881.6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M528" sqref="M52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0.67864537036803085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0.81753425925691858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0.90225648147914139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 t="s">
        <v>28</v>
      </c>
      <c r="M528" s="61"/>
      <c r="N528" s="61"/>
      <c r="O528" s="65">
        <v>0.79791666666666672</v>
      </c>
      <c r="P528" s="65"/>
      <c r="Q528" s="66">
        <f t="shared" ref="Q528:Q539" ca="1" si="136">IFERROR(IF(O528="","",IF(P528="",MOD(NOW()-O528,1),IF(P528&gt;=O528,P528-O528,P528+1-O528))),"")</f>
        <v>2.2564814789802767E-3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2.2564814789802767E-3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179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825.40000000000009</v>
      </c>
      <c r="L541" s="76"/>
      <c r="M541" s="76"/>
      <c r="N541" s="76"/>
      <c r="O541" s="76"/>
      <c r="P541" s="76"/>
      <c r="Q541" s="77">
        <f ca="1">IFERROR(Q527+Q540,"")</f>
        <v>6.6839814812313547E-2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2" activePane="bottomLeft" state="frozen"/>
      <selection pane="bottomLeft" activeCell="D528" sqref="D52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77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349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4" activePane="bottomLeft" state="frozen"/>
      <selection pane="bottomLeft" activeCell="D529" sqref="D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/>
      <c r="F528" s="101">
        <f>IFERROR(IF($D528="","",VLOOKUP($D528,Cadastro!$C$4:$E$7,3,FALSE())),"")</f>
        <v>0.35</v>
      </c>
      <c r="G528" s="89"/>
      <c r="H528" s="101" t="str">
        <f>IFERROR(IF($G528="","",$G528*$S$540/$G$540/Cadastro!$E$33),"")</f>
        <v/>
      </c>
      <c r="I528" s="102">
        <f>IFERROR(IF($D528="","",VLOOKUP($D528,Cadastro!$C$4:$G$7,5,FALSE())),"")</f>
        <v>0.6</v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31</v>
      </c>
      <c r="E529" s="87"/>
      <c r="F529" s="88">
        <f>IFERROR(IF($D529="","",VLOOKUP($D529,Cadastro!$C$4:$E$7,3,FALSE())),"")</f>
        <v>0.35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197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901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2026-08-20T23:12:50Z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