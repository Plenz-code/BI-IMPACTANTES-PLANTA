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35" documentId="8_{C51EB6CB-002B-4D6B-B68F-DDEBDB4460C0}" xr6:coauthVersionLast="47" xr6:coauthVersionMax="47" xr10:uidLastSave="{B9AF3220-A8A1-43A4-B29D-FCBC31FCC2A7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<sst xmlns="http://schemas.openxmlformats.org/spreadsheetml/2006/main" count="5303" uniqueCount="331">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</sst>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34131890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47" activePane="bottomLeft" state="frozen"/>
      <selection pane="bottomLeft" activeCell="L276" sqref="L27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96</v>
      </c>
      <c r="G284" s="36">
        <f>SUM(G272:G283)</f>
        <v>480</v>
      </c>
      <c r="H284" s="37"/>
      <c r="I284" s="37"/>
      <c r="J284" s="37"/>
      <c r="K284" s="37"/>
      <c r="L284" s="37"/>
      <c r="M284" s="38">
        <f ca="1">IFERROR(SUM(M272:M283),"")</f>
        <v>0.10208333333333325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96</v>
      </c>
      <c r="G298" s="40">
        <f>G284+G297</f>
        <v>480</v>
      </c>
      <c r="H298" s="41"/>
      <c r="I298" s="41"/>
      <c r="J298" s="41"/>
      <c r="K298" s="41"/>
      <c r="L298" s="41"/>
      <c r="M298" s="42">
        <f ca="1">IFERROR(M284+M297,"")</f>
        <v>0.10208333333333325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55" activePane="bottomLeft" state="frozen"/>
      <selection pane="bottomLeft" activeCell="L278" sqref="L27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0.39421365740417968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0.53310254629306852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0.61782476851529089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>
        <f t="shared" ref="G272:G283" si="60">IF(F272="","",IF(E272="PC 17",F272*4.2,IF(E272="PC 19",F272*5,IF(E272="CB",F272*24,""))))</f>
        <v>29.400000000000002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1">IFERROR(IF(K272="","",IF(L272="",MOD(NOW()-K272,1),IF(L272&gt;=K272,L272-K272,L272+1-K272))),"")</f>
        <v>2.4305555555555525E-2</v>
      </c>
      <c r="N272" s="46" t="s">
        <v>283</v>
      </c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si="60"/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1"/>
        <v>1.2500000000000011E-2</v>
      </c>
      <c r="N273" s="46" t="s">
        <v>284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0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1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0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1"/>
        <v>1.7361111111111105E-2</v>
      </c>
      <c r="N275" s="46" t="s">
        <v>285</v>
      </c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0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1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1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48</v>
      </c>
      <c r="G284" s="36">
        <f>SUM(G272:G283)</f>
        <v>201.60000000000002</v>
      </c>
      <c r="H284" s="37"/>
      <c r="I284" s="37"/>
      <c r="J284" s="37"/>
      <c r="K284" s="37"/>
      <c r="L284" s="37"/>
      <c r="M284" s="38">
        <f ca="1">IFERROR(SUM(M272:M283),"")</f>
        <v>7.0833333333333248E-2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48</v>
      </c>
      <c r="G298" s="40">
        <f>G284+G297</f>
        <v>201.60000000000002</v>
      </c>
      <c r="H298" s="41"/>
      <c r="I298" s="41"/>
      <c r="J298" s="41"/>
      <c r="K298" s="41"/>
      <c r="L298" s="41"/>
      <c r="M298" s="42">
        <f ca="1">IFERROR(M284+M297,"")</f>
        <v>7.0833333333333248E-2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54" zoomScale="50" zoomScaleNormal="50" workbookViewId="0">
      <selection activeCell="L276" sqref="L27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286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287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286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286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288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289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290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291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293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295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296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297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299</v>
      </c>
      <c r="M222" s="30" t="str">
        <f t="shared" ca="1" si="49"/>
        <v/>
      </c>
      <c r="N222" s="27" t="s">
        <v>300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301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0.32129699073993834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0.3831025462954939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0.44421365740660507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302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29</v>
      </c>
      <c r="G284" s="36">
        <f>SUM(G272:G283)</f>
        <v>121.80000000000001</v>
      </c>
      <c r="H284" s="37"/>
      <c r="I284" s="37"/>
      <c r="J284" s="37"/>
      <c r="K284" s="37"/>
      <c r="L284" s="37"/>
      <c r="M284" s="38">
        <f ca="1">IFERROR(SUM(M272:M283),"")</f>
        <v>9.3055555555555503E-2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29</v>
      </c>
      <c r="G298" s="40">
        <f>G284+G297</f>
        <v>121.80000000000001</v>
      </c>
      <c r="H298" s="41"/>
      <c r="I298" s="41"/>
      <c r="J298" s="41"/>
      <c r="K298" s="41"/>
      <c r="L298" s="41"/>
      <c r="M298" s="42">
        <f ca="1">IFERROR(M284+M297,"")</f>
        <v>9.3055555555555503E-2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53" activePane="bottomLeft" state="frozen"/>
      <selection pane="bottomLeft" activeCell="K280" sqref="K2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303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286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286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286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286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312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313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322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323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326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327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293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328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329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330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/>
      <c r="G277" s="34" t="str">
        <f t="shared" si="60"/>
        <v/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/>
      <c r="G278" s="28" t="str">
        <f t="shared" si="60"/>
        <v/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/>
      <c r="G279" s="34" t="str">
        <f t="shared" si="60"/>
        <v/>
      </c>
      <c r="H279" s="33" t="s">
        <v>20</v>
      </c>
      <c r="I279" s="33" t="s">
        <v>57</v>
      </c>
      <c r="J279" s="33" t="s">
        <v>62</v>
      </c>
      <c r="K279" s="29">
        <v>0.48472222222222222</v>
      </c>
      <c r="L279" s="29"/>
      <c r="M279" s="35">
        <f ca="1">IFERROR(IF(K279="","",IF(L279="",MOD(NOW()-K279,1),IF(L279&gt;=K279,L279-K279,L279+1-K279))),"")</f>
        <v>3.1019212961837184E-2</v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64</v>
      </c>
      <c r="G284" s="36">
        <f>SUM(G272:G283)</f>
        <v>268.8</v>
      </c>
      <c r="H284" s="37"/>
      <c r="I284" s="37"/>
      <c r="J284" s="37"/>
      <c r="K284" s="61"/>
      <c r="L284" s="61"/>
      <c r="M284" s="38">
        <f ca="1">IFERROR(SUM(M272:M283),"")</f>
        <v>8.1019212961837117E-2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64</v>
      </c>
      <c r="G298" s="40">
        <f>G284+G297</f>
        <v>268.8</v>
      </c>
      <c r="H298" s="41"/>
      <c r="I298" s="41"/>
      <c r="J298" s="41"/>
      <c r="K298" s="63"/>
      <c r="L298" s="63"/>
      <c r="M298" s="42">
        <f ca="1">IFERROR(M284+M297,"")</f>
        <v>8.1019212961837117E-2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2026-08-11T16:23:10Z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