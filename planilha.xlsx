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367" documentId="8_{C51EB6CB-002B-4D6B-B68F-DDEBDB4460C0}" xr6:coauthVersionLast="47" xr6:coauthVersionMax="47" xr10:uidLastSave="{EBE72AC5-112A-46DF-A6B5-677724028B0F}"/>
  <bookViews>
    <workbookView xWindow="-108" yWindow="-108" windowWidth="23256" windowHeight="12456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<sst xmlns="http://schemas.openxmlformats.org/spreadsheetml/2006/main" count="2057" uniqueCount="259">
  <si>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</si>
  <si>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</si>
  <si>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</si>
  <si>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</si>
  <si>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</si>
  <si>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</si>
  <si>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</si>
  <si>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</si>
  <si>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</si>
  <si>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</si>
  <si>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</si>
  <si>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</si>
  <si>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</si>
  <si>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</si>
  <si>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</si>
  <si>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</si>
  <si>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</si>
  <si>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</si>
  <si>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</si>
  <si>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</si>
  <si>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</si>
  <si>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</si>
  <si>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</si>
  <si>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</si>
  <si>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</si>
  <si>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</si>
  <si>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</si>
  <si>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</si>
  <si>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</si>
  <si>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</si>
  <si>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</si>
  <si>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</si>
  <si>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</si>
  <si>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</si>
  <si>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</si>
  <si>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</si>
  <si>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</si>
  <si>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</si>
  <si>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</si>
  <si>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</si>
  <si>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</si>
  <si>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</si>
  <si>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</si>
  <si>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</si>
  <si>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</si>
  <si>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</si>
  <si>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</si>
  <si>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</si>
  <si>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</si>
  <si>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</si>
  <si>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</si>
  <si>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</si>
  <si>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</si>
  <si>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</si>
  <si>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</si>
  <si>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</si>
  <si>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</si>
  <si>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</si>
  <si>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</si>
  <si>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</si>
  <si>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</si>
  <si>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</si>
  <si>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</si>
  <si>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</si>
  <si>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</si>
  <si>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</si>
  <si>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</si>
  <si>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</si>
  <si>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</si>
  <si>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</si>
  <si>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</si>
  <si>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</si>
  <si>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</si>
  <si>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</si>
  <si>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</si>
  <si>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</si>
  <si>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</si>
  <si>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</si>
  <si>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</si>
  <si>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</si>
  <si>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</si>
  <si>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</si>
  <si>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</si>
  <si>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</si>
  <si>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</si>
  <si>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</si>
  <si>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</si>
  <si>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</si>
  <si>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</si>
  <si>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</si>
  <si>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</si>
  <si>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</si>
  <si>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</si>
  <si>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</si>
  <si>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</si>
  <si>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</si>
  <si>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</si>
  <si>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</si>
  <si>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</si>
  <si>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</si>
  <si>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</si>
  <si>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</si>
  <si>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</si>
  <si>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</si>
  <si>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</si>
  <si>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</si>
  <si>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</si>
  <si>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</si>
  <si>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</si>
  <si>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</si>
  <si>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</si>
  <si>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</si>
  <si>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</si>
  <si>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</si>
  <si>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</si>
  <si>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</si>
  <si>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</si>
  <si>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</si>
  <si>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</si>
  <si>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</si>
  <si>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</si>
  <si>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</si>
  <si>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</si>
  <si>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</si>
  <si>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</si>
  <si>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</si>
  <si>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</si>
  <si>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</si>
  <si>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</si>
  <si>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</si>
  <si>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</si>
  <si>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</si>
  <si>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</si>
  <si>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</si>
  <si>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</si>
  <si>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</si>
  <si>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</si>
  <si>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</si>
  <si>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</si>
  <si>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</si>
  <si>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</si>
  <si>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</si>
  <si>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</si>
  <si>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</si>
  <si>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</si>
  <si>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</si>
  <si>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</si>
  <si>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</si>
  <si>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</si>
  <si>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</si>
  <si>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</si>
  <si>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</si>
  <si>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</si>
  <si>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</si>
  <si>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</si>
  <si>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</si>
  <si>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</si>
  <si>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</si>
  <si>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</si>
  <si>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</si>
  <si>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</si>
  <si>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</si>
  <si>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</si>
  <si>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</si>
  <si>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</si>
  <si>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</si>
  <si>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</si>
  <si>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</si>
  <si>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</si>
  <si>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</si>
  <si>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</si>
  <si>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</si>
  <si>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</si>
  <si>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</si>
  <si>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</si>
  <si>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</si>
  <si>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</si>
  <si>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</si>
  <si>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</si>
  <si>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</si>
  <si>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</si>
  <si>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</si>
  <si>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</si>
  <si>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</si>
  <si>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</si>
  <si>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</si>
  <si>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</si>
  <si>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</si>
  <si>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</si>
  <si>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</si>
  <si>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</si>
  <si>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</si>
  <si>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</si>
  <si>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</si>
  <si>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</si>
  <si>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</si>
  <si>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</si>
  <si>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</si>
  <si>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</si>
  <si>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</si>
  <si>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</si>
  <si>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</si>
  <si>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</si>
  <si>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</si>
  <si>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</si>
  <si>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</si>
  <si>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</si>
  <si>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</si>
  <si>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</si>
  <si>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</si>
  <si>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</si>
  <si>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</si>
  <si>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</si>
  <si>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</si>
  <si>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</si>
  <si>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</si>
  <si>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</si>
  <si>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</si>
  <si>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</si>
  <si>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</si>
  <si>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</si>
  <si>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</si>
  <si>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</si>
  <si>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</si>
  <si>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</si>
  <si>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</si>
  <si>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</si>
  <si>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</si>
  <si>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</si>
  <si>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</si>
  <si>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</si>
  <si>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</si>
  <si>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</si>
  <si>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</si>
  <si>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</si>
  <si>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</si>
  <si>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</si>
  <si>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</si>
  <si>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</si>
  <si>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</si>
  <si>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</si>
  <si>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troca dos pinos ,caiu 1 faca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</si>
  <si>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</si>
  <si>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</si>
  <si>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</si>
  <si>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</si>
  <si>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</si>
  <si>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</si>
  <si>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</si>
  <si>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</si>
  <si>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</si>
  <si>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</si>
  <si>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solda no queixo</t>
  </si>
  <si>
    <t>sem material no estoque</t>
  </si>
  <si>
    <t>troca de martelo</t>
  </si>
  <si>
    <t>colocar chapa na bica</t>
  </si>
  <si>
    <t>solda no queixo ,revestimento gasto</t>
  </si>
  <si>
    <t>troca de martelo mm 4\5</t>
  </si>
  <si>
    <t>processando blend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</si>
</sst>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4128545</v>
      </c>
      <c r="D35" s="13">
        <f>IFERROR(SUM(D4:D34),"")</f>
        <v>1694640</v>
      </c>
      <c r="E35" s="13">
        <f>IFERROR(SUM(E4:E34),"")</f>
        <v>1201580</v>
      </c>
      <c r="F35" s="13">
        <f>IFERROR(SUM(F4:F34),"")</f>
        <v>2172170</v>
      </c>
      <c r="G35" s="13">
        <f>IFERROR(SUM(G4:G34),"")</f>
        <v>5068390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3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3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3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3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3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3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3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3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3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3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3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3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3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3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3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3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3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3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3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3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3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3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3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3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3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3"/>
      <c r="I56" s="16"/>
      <c r="J56" s="16"/>
      <c r="K56" s="16" t="s">
        <v>202</v>
      </c>
      <c r="L56" s="16"/>
      <c r="M56" s="16"/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203</v>
      </c>
      <c r="L58" s="16"/>
      <c r="M58" s="16"/>
    </row>
    <row r="59" spans="1:13" ht="15" customHeight="1">
      <c r="H59" s="113"/>
      <c r="I59" s="17"/>
      <c r="J59" s="17"/>
      <c r="K59" s="17" t="s">
        <v>204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205</v>
      </c>
      <c r="L61" s="17"/>
      <c r="M61" s="17"/>
    </row>
    <row r="62" spans="1:13" ht="15" customHeight="1">
      <c r="H62" s="113"/>
      <c r="I62" s="16"/>
      <c r="J62" s="16"/>
      <c r="K62" s="16" t="s">
        <v>206</v>
      </c>
      <c r="L62" s="16"/>
      <c r="M62" s="16"/>
    </row>
    <row r="63" spans="1:13" ht="15" customHeight="1">
      <c r="H63" s="113"/>
      <c r="I63" s="17"/>
      <c r="J63" s="17"/>
      <c r="K63" s="17" t="s">
        <v>207</v>
      </c>
      <c r="L63" s="17"/>
      <c r="M63" s="17"/>
    </row>
    <row r="64" spans="1:13" ht="15" customHeight="1">
      <c r="H64" s="113"/>
      <c r="I64" s="16"/>
      <c r="J64" s="16"/>
      <c r="K64" s="16" t="s">
        <v>208</v>
      </c>
      <c r="L64" s="16"/>
      <c r="M64" s="16"/>
    </row>
    <row r="65" spans="8:13" ht="15" customHeight="1">
      <c r="H65" s="113"/>
      <c r="I65" s="17"/>
      <c r="J65" s="17"/>
      <c r="K65" s="17" t="s">
        <v>209</v>
      </c>
      <c r="L65" s="17"/>
      <c r="M65" s="17"/>
    </row>
    <row r="66" spans="8:13" ht="15" customHeight="1">
      <c r="H66" s="113"/>
      <c r="I66" s="16"/>
      <c r="J66" s="16"/>
      <c r="K66" s="16" t="s">
        <v>210</v>
      </c>
      <c r="L66" s="16"/>
      <c r="M66" s="16"/>
    </row>
    <row r="67" spans="8:13" ht="15" customHeight="1">
      <c r="H67" s="113"/>
      <c r="I67" s="17"/>
      <c r="J67" s="17"/>
      <c r="K67" s="17" t="s">
        <v>211</v>
      </c>
      <c r="L67" s="17"/>
      <c r="M67" s="17"/>
    </row>
    <row r="68" spans="8:13" ht="15" customHeight="1">
      <c r="H68" s="113"/>
      <c r="I68" s="16"/>
      <c r="J68" s="16"/>
      <c r="K68" s="16" t="s">
        <v>212</v>
      </c>
      <c r="L68" s="16"/>
      <c r="M68" s="16"/>
    </row>
    <row r="69" spans="8:13" ht="15" customHeight="1">
      <c r="H69" s="113"/>
      <c r="I69" s="17"/>
      <c r="J69" s="17"/>
      <c r="K69" s="17" t="s">
        <v>213</v>
      </c>
      <c r="L69" s="17"/>
      <c r="M69" s="17"/>
    </row>
    <row r="70" spans="8:13" ht="15" customHeight="1">
      <c r="H70" s="113"/>
      <c r="I70" s="16"/>
      <c r="J70" s="16"/>
      <c r="K70" s="16" t="s">
        <v>214</v>
      </c>
      <c r="L70" s="16"/>
      <c r="M70" s="16"/>
    </row>
    <row r="71" spans="8:13" ht="15" customHeight="1">
      <c r="H71" s="113"/>
      <c r="I71" s="17"/>
      <c r="J71" s="17"/>
      <c r="K71" s="17" t="s">
        <v>215</v>
      </c>
      <c r="L71" s="17"/>
      <c r="M71" s="17"/>
    </row>
    <row r="72" spans="8:13" ht="15" customHeight="1">
      <c r="H72" s="113"/>
      <c r="I72" s="16"/>
      <c r="J72" s="16"/>
      <c r="K72" s="16" t="s">
        <v>216</v>
      </c>
      <c r="L72" s="16"/>
      <c r="M72" s="16"/>
    </row>
    <row r="73" spans="8:13" ht="15" customHeight="1">
      <c r="H73" s="113"/>
      <c r="I73" s="17"/>
      <c r="J73" s="17"/>
      <c r="K73" s="17"/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34" activePane="bottomLeft" state="frozen"/>
      <selection pane="bottomLeft" activeCell="F61" sqref="F6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230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229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227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227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227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227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227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227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227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229</v>
      </c>
      <c r="O54" s="39">
        <v>981310</v>
      </c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1555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233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227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227</v>
      </c>
      <c r="F57" s="27">
        <v>16</v>
      </c>
      <c r="G57" s="34">
        <f t="shared" si="12"/>
        <v>80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227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227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227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227</v>
      </c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227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227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227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227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227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227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156</v>
      </c>
      <c r="G68" s="36">
        <f>SUM(G56:G67)</f>
        <v>780</v>
      </c>
      <c r="H68" s="37"/>
      <c r="I68" s="37"/>
      <c r="J68" s="37"/>
      <c r="K68" s="37"/>
      <c r="L68" s="37"/>
      <c r="M68" s="38">
        <f ca="1">IFERROR(SUM(M56:M67),"")</f>
        <v>2.777777777777779E-2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156</v>
      </c>
      <c r="G82" s="40">
        <f>G68+G81</f>
        <v>780</v>
      </c>
      <c r="H82" s="41"/>
      <c r="I82" s="41"/>
      <c r="J82" s="41"/>
      <c r="K82" s="41"/>
      <c r="L82" s="41"/>
      <c r="M82" s="42">
        <f ca="1">IFERROR(M68+M81,"")</f>
        <v>2.777777777777779E-2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5" t="s">
        <v>232</v>
      </c>
      <c r="B811" s="116"/>
      <c r="C811" s="116"/>
      <c r="D811" s="116"/>
      <c r="E811" s="117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46" activePane="bottomLeft" state="frozen"/>
      <selection pane="bottomLeft" activeCell="F61" sqref="F6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243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244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245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242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242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242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242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246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242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247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242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242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242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242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242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229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242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242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242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242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248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242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249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242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242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242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250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242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0.38003020833275514</v>
      </c>
      <c r="N53" s="46" t="s">
        <v>251</v>
      </c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0.51891909722164398</v>
      </c>
      <c r="N54" s="36" t="s">
        <v>229</v>
      </c>
      <c r="O54" s="84">
        <v>352430</v>
      </c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0.60364131944386634</v>
      </c>
      <c r="N55" s="40" t="s">
        <v>233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242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242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242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242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242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242</v>
      </c>
      <c r="F61" s="27"/>
      <c r="G61" s="34" t="str">
        <f t="shared" si="12"/>
        <v/>
      </c>
      <c r="H61" s="33" t="s">
        <v>20</v>
      </c>
      <c r="I61" s="33" t="s">
        <v>120</v>
      </c>
      <c r="J61" s="33" t="s">
        <v>113</v>
      </c>
      <c r="K61" s="29">
        <v>0.5</v>
      </c>
      <c r="L61" s="29"/>
      <c r="M61" s="30">
        <f t="shared" ca="1" si="13"/>
        <v>1.557986113766674E-3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242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242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242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242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242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242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55</v>
      </c>
      <c r="G68" s="36">
        <f>SUM(G56:G67)</f>
        <v>231</v>
      </c>
      <c r="H68" s="37"/>
      <c r="I68" s="37"/>
      <c r="J68" s="37"/>
      <c r="K68" s="37"/>
      <c r="L68" s="37"/>
      <c r="M68" s="38">
        <f ca="1">IFERROR(SUM(M56:M67),"")</f>
        <v>5.6419097224877764E-2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26"/>
      <c r="K69" s="33"/>
      <c r="L69" s="29"/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ref="M70:M80" ca="1" si="17">IFERROR(IF(K70="","",IF(L70="",MOD(NOW()-K70,1),IF(L70&gt;=K70,L70-K70,L70+1-K70))),"")</f>
        <v/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7"/>
        <v/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7"/>
        <v/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7"/>
        <v/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7"/>
        <v/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7"/>
        <v/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7"/>
        <v/>
      </c>
      <c r="N76" s="46"/>
      <c r="O76" s="31"/>
    </row>
    <row r="77" spans="1:15" ht="15" customHeight="1">
      <c r="A77" s="69">
        <v>46237</v>
      </c>
      <c r="B77" s="32">
        <f t="shared" si="16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55</v>
      </c>
      <c r="G82" s="40">
        <f>G68+G81</f>
        <v>231</v>
      </c>
      <c r="H82" s="41"/>
      <c r="I82" s="41"/>
      <c r="J82" s="41"/>
      <c r="K82" s="41"/>
      <c r="L82" s="41"/>
      <c r="M82" s="42">
        <f ca="1">IFERROR(M68+M81,"")</f>
        <v>5.6419097224877764E-2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228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42" zoomScale="50" zoomScaleNormal="50" workbookViewId="0">
      <selection activeCell="F61" sqref="F6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252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242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242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246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242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253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242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242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242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242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242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242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229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254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252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242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242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252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242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242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242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229</v>
      </c>
      <c r="O54" s="39">
        <v>279980</v>
      </c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233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242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242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242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/>
      <c r="M58" s="30">
        <f t="shared" ca="1" si="13"/>
        <v>5.7246527794632129E-3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242</v>
      </c>
      <c r="F59" s="27">
        <v>4</v>
      </c>
      <c r="G59" s="34">
        <f t="shared" si="12"/>
        <v>16.8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242</v>
      </c>
      <c r="F60" s="27">
        <v>5</v>
      </c>
      <c r="G60" s="28">
        <f t="shared" si="12"/>
        <v>21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242</v>
      </c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242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242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242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242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242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242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23</v>
      </c>
      <c r="G68" s="36">
        <f>SUM(G56:G67)</f>
        <v>96.600000000000009</v>
      </c>
      <c r="H68" s="37"/>
      <c r="I68" s="37"/>
      <c r="J68" s="37"/>
      <c r="K68" s="37"/>
      <c r="L68" s="37"/>
      <c r="M68" s="38">
        <f ca="1">IFERROR(SUM(M56:M67),"")</f>
        <v>2.8641319446129854E-2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23</v>
      </c>
      <c r="G82" s="40">
        <f>G68+G81</f>
        <v>96.600000000000009</v>
      </c>
      <c r="H82" s="41"/>
      <c r="I82" s="41"/>
      <c r="J82" s="41"/>
      <c r="K82" s="41"/>
      <c r="L82" s="41"/>
      <c r="M82" s="42">
        <f ca="1">IFERROR(M68+M81,"")</f>
        <v>2.8641319446129854E-2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32" activePane="bottomLeft" state="frozen"/>
      <selection pane="bottomLeft" activeCell="F61" sqref="F6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242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249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242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252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242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242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242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242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242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242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242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242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242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242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242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242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242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242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242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242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228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229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258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242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242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242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242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229</v>
      </c>
      <c r="O54" s="39">
        <v>352430</v>
      </c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233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242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242</v>
      </c>
      <c r="F57" s="27">
        <v>12</v>
      </c>
      <c r="G57" s="34">
        <f t="shared" si="12"/>
        <v>50.400000000000006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242</v>
      </c>
      <c r="F58" s="27">
        <v>15</v>
      </c>
      <c r="G58" s="28">
        <f t="shared" si="12"/>
        <v>63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242</v>
      </c>
      <c r="F59" s="27">
        <v>15</v>
      </c>
      <c r="G59" s="34">
        <f t="shared" si="12"/>
        <v>63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242</v>
      </c>
      <c r="F60" s="27">
        <v>16</v>
      </c>
      <c r="G60" s="28">
        <f t="shared" si="12"/>
        <v>67.2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242</v>
      </c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242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242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242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242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242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242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76</v>
      </c>
      <c r="G68" s="36">
        <f>SUM(G56:G67)</f>
        <v>319.2</v>
      </c>
      <c r="H68" s="37"/>
      <c r="I68" s="37"/>
      <c r="J68" s="37"/>
      <c r="K68" s="61"/>
      <c r="L68" s="61"/>
      <c r="M68" s="38">
        <f ca="1">IFERROR(SUM(M56:M67),"")</f>
        <v>5.5555555555555913E-3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76</v>
      </c>
      <c r="G82" s="40">
        <f>G68+G81</f>
        <v>319.2</v>
      </c>
      <c r="H82" s="41"/>
      <c r="I82" s="41"/>
      <c r="J82" s="41"/>
      <c r="K82" s="63"/>
      <c r="L82" s="63"/>
      <c r="M82" s="42">
        <f ca="1">IFERROR(M68+M81,"")</f>
        <v>5.5555555555555913E-3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228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2026-08-03T16:02:43Z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