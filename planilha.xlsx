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21" documentId="13_ncr:1_{A6DBCFB4-28D9-4249-9038-216934055CA6}" xr6:coauthVersionLast="47" xr6:coauthVersionMax="47" xr10:uidLastSave="{84E22F06-9E02-4E6C-9A5B-B60C2921CA61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<sst xmlns="http://schemas.openxmlformats.org/spreadsheetml/2006/main" count="8814" uniqueCount="399">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</sst>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3" fontId="23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486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3591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180</v>
      </c>
      <c r="F58" s="150">
        <f>IFERROR(SUM(F56:F57),"")</f>
        <v>486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93" activePane="bottomLeft" state="frozen"/>
      <selection pane="bottomLeft" activeCell="F517" sqref="F51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53</v>
      </c>
      <c r="G527" s="2">
        <f>SUM(G515:G526)</f>
        <v>265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53</v>
      </c>
      <c r="G541" s="1">
        <f>G527+G540</f>
        <v>265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17" sqref="G51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0.25624351851729443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0.39513240740618216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0.47985462962840497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26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109.20000000000002</v>
      </c>
      <c r="L527" s="72"/>
      <c r="M527" s="72"/>
      <c r="N527" s="72"/>
      <c r="O527" s="72"/>
      <c r="P527" s="72"/>
      <c r="Q527" s="73">
        <f ca="1">IFERROR(SUM(Q515:Q526),"")</f>
        <v>1.3194444444444453E-2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26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109.20000000000002</v>
      </c>
      <c r="L541" s="76"/>
      <c r="M541" s="76"/>
      <c r="N541" s="76"/>
      <c r="O541" s="76"/>
      <c r="P541" s="76"/>
      <c r="Q541" s="77">
        <f ca="1">IFERROR(Q527+Q540,"")</f>
        <v>1.3194444444444453E-2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17" sqref="G51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66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/>
      <c r="M516" s="61"/>
      <c r="N516" s="70"/>
      <c r="O516" s="65"/>
      <c r="P516" s="65"/>
      <c r="Q516" s="66" t="str">
        <f t="shared" ca="1" si="128"/>
        <v/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27"/>
        <v/>
      </c>
      <c r="K517" s="69" t="str">
        <f t="shared" si="130"/>
        <v/>
      </c>
      <c r="L517" s="70"/>
      <c r="M517" s="70"/>
      <c r="N517" s="70"/>
      <c r="O517" s="65"/>
      <c r="P517" s="65"/>
      <c r="Q517" s="71" t="str">
        <f t="shared" ca="1" si="128"/>
        <v/>
      </c>
      <c r="R517" s="63"/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27"/>
        <v/>
      </c>
      <c r="K518" s="64" t="str">
        <f t="shared" si="130"/>
        <v/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27"/>
        <v/>
      </c>
      <c r="K519" s="69" t="str">
        <f t="shared" si="130"/>
        <v/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27"/>
        <v/>
      </c>
      <c r="K520" s="64" t="str">
        <f t="shared" si="130"/>
        <v/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30"/>
        <v/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13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54.600000000000009</v>
      </c>
      <c r="L527" s="72"/>
      <c r="M527" s="72"/>
      <c r="N527" s="72"/>
      <c r="O527" s="72"/>
      <c r="P527" s="72"/>
      <c r="Q527" s="73">
        <f ca="1">IFERROR(SUM(Q515:Q526),"")</f>
        <v>1.2500000000000011E-2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13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54.600000000000009</v>
      </c>
      <c r="L541" s="76"/>
      <c r="M541" s="76"/>
      <c r="N541" s="76"/>
      <c r="O541" s="76"/>
      <c r="P541" s="76"/>
      <c r="Q541" s="77">
        <f ca="1">IFERROR(Q527+Q540,"")</f>
        <v>1.2500000000000011E-2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2" activePane="bottomLeft" state="frozen"/>
      <selection pane="bottomLeft" activeCell="G517" sqref="G51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66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35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147</v>
      </c>
      <c r="L527" s="72"/>
      <c r="M527" s="72"/>
      <c r="N527" s="72"/>
      <c r="O527" s="134"/>
      <c r="P527" s="134"/>
      <c r="Q527" s="73">
        <f ca="1">IFERROR(SUM(Q515:Q526),"")</f>
        <v>1.6666666666666663E-2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35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147</v>
      </c>
      <c r="L541" s="76"/>
      <c r="M541" s="76"/>
      <c r="N541" s="76"/>
      <c r="O541" s="135"/>
      <c r="P541" s="135"/>
      <c r="Q541" s="77">
        <f ca="1">IFERROR(Q527+Q540,"")</f>
        <v>1.6666666666666663E-2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2026-08-20T13:05:46Z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