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974" documentId="8_{AF585B22-221D-4780-BB9C-493D365A6A02}" xr6:coauthVersionLast="47" xr6:coauthVersionMax="47" xr10:uidLastSave="{E3EF37D2-93DD-4586-A171-8CA3D2D9C6F3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<sst xmlns="http://schemas.openxmlformats.org/spreadsheetml/2006/main" count="11787" uniqueCount="428">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</sst>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8" activePane="bottomLeft" state="frozen"/>
      <selection pane="bottomLeft" activeCell="F781" sqref="F78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274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280</v>
      </c>
      <c r="G783" s="36">
        <f>SUM(G771:G782)</f>
        <v>1400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630</v>
      </c>
      <c r="G784" s="40">
        <f>G770+G783</f>
        <v>3150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F781" sqref="F7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0.98616597222280689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1.1438048611116958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1.253527083333918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0.96463819444761612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1.1354715277809495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1.2806104166698384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328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329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330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332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333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334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335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337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338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340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161</v>
      </c>
      <c r="G783" s="36">
        <f>SUM(G771:G782)</f>
        <v>685</v>
      </c>
      <c r="H783" s="37"/>
      <c r="I783" s="37"/>
      <c r="J783" s="37"/>
      <c r="K783" s="37"/>
      <c r="L783" s="37"/>
      <c r="M783" s="38">
        <f ca="1">IFERROR(SUM(M771:M782),"")</f>
        <v>9.3750000000000042E-2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295</v>
      </c>
      <c r="G784" s="40">
        <f>G770+G783</f>
        <v>1255.8000000000002</v>
      </c>
      <c r="H784" s="41"/>
      <c r="I784" s="41"/>
      <c r="J784" s="41"/>
      <c r="K784" s="41"/>
      <c r="L784" s="41"/>
      <c r="M784" s="42">
        <f ca="1">IFERROR(M770+M783,"")</f>
        <v>0.18888888888888888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I776" sqref="I7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288</v>
      </c>
      <c r="K141" s="29">
        <v>0.71597222222222223</v>
      </c>
      <c r="L141" s="29" t="s">
        <v>347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349</v>
      </c>
      <c r="N166" s="27" t="s">
        <v>350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325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371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372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325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374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 t="s">
        <v>20</v>
      </c>
      <c r="I776" s="26" t="s">
        <v>47</v>
      </c>
      <c r="J776" s="26"/>
      <c r="K776" s="29">
        <v>0.22222222222222221</v>
      </c>
      <c r="L776" s="29"/>
      <c r="M776" s="30">
        <f t="shared" ca="1" si="172"/>
        <v>3.5270833395770751E-3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56</v>
      </c>
      <c r="G783" s="36">
        <f>SUM(G771:G782)</f>
        <v>239.2</v>
      </c>
      <c r="H783" s="37"/>
      <c r="I783" s="37"/>
      <c r="J783" s="37"/>
      <c r="K783" s="37"/>
      <c r="L783" s="37"/>
      <c r="M783" s="38">
        <f ca="1">IFERROR(SUM(M771:M782),"")</f>
        <v>0.10561041667291053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97</v>
      </c>
      <c r="G784" s="40">
        <f>G770+G783</f>
        <v>415.4</v>
      </c>
      <c r="H784" s="41"/>
      <c r="I784" s="41"/>
      <c r="J784" s="41"/>
      <c r="K784" s="41"/>
      <c r="L784" s="41"/>
      <c r="M784" s="42">
        <f ca="1">IFERROR(M770+M783,"")</f>
        <v>0.21949930556179947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64" activePane="bottomLeft" state="frozen"/>
      <selection pane="bottomLeft" activeCell="J774" sqref="J77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379</v>
      </c>
      <c r="L58" s="29">
        <v>0.54097222222222219</v>
      </c>
      <c r="M58" s="30" t="str">
        <f t="shared" ca="1" si="13"/>
        <v/>
      </c>
      <c r="N58" s="27" t="s">
        <v>380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0.97644375000527361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1.1757493055608292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1.5431104166719403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283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325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340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/>
      <c r="M774" s="30">
        <f t="shared" ca="1" si="172"/>
        <v>2.5749305561475921E-2</v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163</v>
      </c>
      <c r="G783" s="36">
        <f>SUM(G771:G782)</f>
        <v>694.2</v>
      </c>
      <c r="H783" s="37"/>
      <c r="I783" s="37"/>
      <c r="J783" s="37"/>
      <c r="K783" s="61"/>
      <c r="L783" s="61"/>
      <c r="M783" s="38">
        <f ca="1">IFERROR(SUM(M771:M782),"")</f>
        <v>7.9221527783698245E-2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171</v>
      </c>
      <c r="G784" s="40">
        <f>G770+G783</f>
        <v>727.80000000000007</v>
      </c>
      <c r="H784" s="41"/>
      <c r="I784" s="41"/>
      <c r="J784" s="41"/>
      <c r="K784" s="63"/>
      <c r="L784" s="63"/>
      <c r="M784" s="42">
        <f ca="1">IFERROR(M770+M783,"")</f>
        <v>0.54311041667258708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2026-07-30T09:25:28Z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