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7" documentId="13_ncr:1_{A6DBCFB4-28D9-4249-9038-216934055CA6}" xr6:coauthVersionLast="47" xr6:coauthVersionMax="47" xr10:uidLastSave="{984912E7-156E-4DAD-A1A7-7ED60B1CE2B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<sst xmlns="http://schemas.openxmlformats.org/spreadsheetml/2006/main" count="10060" uniqueCount="428">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</sst>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6.4920023149170447E-2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6.4920023149170447E-2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6.4920023149170447E-2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7" sqref="G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0.23505891203240026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0.37394780092128799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0.4586700231435108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109.2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597" sqref="P59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8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33.6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8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33.6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G597" sqref="G59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/>
      <c r="H597" s="88" t="str">
        <f>IFERROR(IF($G597="","",$G597*$S$608/$G$608/Cadastro!$E$33),"")</f>
        <v/>
      </c>
      <c r="I597" s="90">
        <f>IFERROR(IF($D597="","",VLOOKUP($D597,Cadastro!$C$4:$G$7,5,FALSE())),"")</f>
        <v>0.6</v>
      </c>
      <c r="J597" s="91" t="str">
        <f t="shared" si="154"/>
        <v/>
      </c>
      <c r="K597" s="69" t="str">
        <f t="shared" si="155"/>
        <v/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84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84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2026-08-23T12:33:59Z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