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06" documentId="8_{AF585B22-221D-4780-BB9C-493D365A6A02}" xr6:coauthVersionLast="47" xr6:coauthVersionMax="47" xr10:uidLastSave="{66C7187A-F9FC-40A8-955F-41251516FF1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<sst xmlns="http://schemas.openxmlformats.org/spreadsheetml/2006/main" count="12558" uniqueCount="445">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</sst>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0" sqref="F8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133</v>
      </c>
      <c r="G837" s="109">
        <f>SUM(G825:G836)</f>
        <v>665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266</v>
      </c>
      <c r="G838" s="111">
        <f>G824+G837</f>
        <v>665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F830" sqref="F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0.79078703703271458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0.94842592592160346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1.0581481481438257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0.76925925925752381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0.9400925925908572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1.0852314814797461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 t="s">
        <v>31</v>
      </c>
      <c r="J828" s="80"/>
      <c r="K828" s="98">
        <v>2.5694444444444443E-2</v>
      </c>
      <c r="L828" s="98"/>
      <c r="M828" s="78">
        <f ca="1">IFERROR(IF(K828="","",IF(L828="",MOD(NOW()-K828,1),IF(L828&gt;=K828,L828-K828,L828+1-K828))),"")</f>
        <v>4.6758101889281534E-3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112</v>
      </c>
      <c r="G837" s="109">
        <f>SUM(G825:G836)</f>
        <v>483.20000000000005</v>
      </c>
      <c r="H837" s="37"/>
      <c r="I837" s="37"/>
      <c r="J837" s="37"/>
      <c r="K837" s="37"/>
      <c r="L837" s="37"/>
      <c r="M837" s="110">
        <f ca="1">IFERROR(SUM(M825:M836),"")</f>
        <v>2.5509143522261413E-2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281</v>
      </c>
      <c r="G838" s="111">
        <f>G824+G837</f>
        <v>1193</v>
      </c>
      <c r="H838" s="41"/>
      <c r="I838" s="41"/>
      <c r="J838" s="41"/>
      <c r="K838" s="41"/>
      <c r="L838" s="41"/>
      <c r="M838" s="112">
        <f ca="1">IFERROR(M824+M837,"")</f>
        <v>0.13037025463337254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F830" sqref="F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68</v>
      </c>
      <c r="G837" s="109">
        <f>SUM(G825:G836)</f>
        <v>294.39999999999998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163</v>
      </c>
      <c r="G838" s="111">
        <f>G824+G837</f>
        <v>693.39999999999986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F830" sqref="F8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0.78106481481518131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0.98037037037073693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1.347731481481848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25</v>
      </c>
      <c r="G829" s="104">
        <f>IF(F829="","",IF(E829="PC 17",F829*4.2,IF(E829="PC 19",F829*5,"")))</f>
        <v>105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64</v>
      </c>
      <c r="G837" s="109">
        <f>SUM(G825:G836)</f>
        <v>268.8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183</v>
      </c>
      <c r="G838" s="111">
        <f>G824+G837</f>
        <v>768.60000000000014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2026-08-01T04:44:06Z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