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7" documentId="13_ncr:1_{A6DBCFB4-28D9-4249-9038-216934055CA6}" xr6:coauthVersionLast="47" xr6:coauthVersionMax="47" xr10:uidLastSave="{89397E72-1F1F-425A-843C-2A794805877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07" i="6" l="1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<sst xmlns="http://schemas.openxmlformats.org/spreadsheetml/2006/main" count="8814" uniqueCount="400">
  <si>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</si>
  <si>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</si>
  <si>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</si>
  <si>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</si>
  <si>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</si>
  <si>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</si>
  <si>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</si>
  <si>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</si>
  <si>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</si>
  <si>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</si>
  <si>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</si>
  <si>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</si>
  <si>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</si>
  <si>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</si>
  <si>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</si>
  <si>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</si>
  <si>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</si>
  <si>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</si>
  <si>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</si>
  <si>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</si>
  <si>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</si>
  <si>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</si>
  <si>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</si>
  <si>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</si>
  <si>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</si>
  <si>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</si>
  <si>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</si>
  <si>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</si>
  <si>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</si>
  <si>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</si>
  <si>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</si>
  <si>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</si>
  <si>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</si>
  <si>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</si>
  <si>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</si>
  <si>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</si>
  <si>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</si>
  <si>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</si>
  <si>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</si>
  <si>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</si>
  <si>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</si>
  <si>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</si>
  <si>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</si>
  <si>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</si>
  <si>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</si>
  <si>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</si>
  <si>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</si>
  <si>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</si>
  <si>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</si>
  <si>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</si>
  <si>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</si>
  <si>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</si>
  <si>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</si>
  <si>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</si>
  <si>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</si>
  <si>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</si>
  <si>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</si>
  <si>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</si>
  <si>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</si>
  <si>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</si>
  <si>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</si>
  <si>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</si>
  <si>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</si>
  <si>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</si>
  <si>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</si>
  <si>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</si>
  <si>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</si>
  <si>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</si>
  <si>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</si>
  <si>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</si>
  <si>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</si>
  <si>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</si>
  <si>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</si>
  <si>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</si>
  <si>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</si>
  <si>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</si>
  <si>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</si>
  <si>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</si>
  <si>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</si>
  <si>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</si>
  <si>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</si>
  <si>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</si>
  <si>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</si>
  <si>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</si>
  <si>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</si>
  <si>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</si>
  <si>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</si>
  <si>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</si>
  <si>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</si>
  <si>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</si>
  <si>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</si>
  <si>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</si>
  <si>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</si>
  <si>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</si>
  <si>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</si>
  <si>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</si>
  <si>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</si>
  <si>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</si>
  <si>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</si>
  <si>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</si>
  <si>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</si>
  <si>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</si>
  <si>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</si>
  <si>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</si>
  <si>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</si>
  <si>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</si>
  <si>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</si>
  <si>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</si>
  <si>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</si>
  <si>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</si>
  <si>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</si>
  <si>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</si>
  <si>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</si>
  <si>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</si>
  <si>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</si>
  <si>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</si>
  <si>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</si>
  <si>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</si>
  <si>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</si>
  <si>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</si>
  <si>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</si>
  <si>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</si>
  <si>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</si>
  <si>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</si>
  <si>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</si>
  <si>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</si>
  <si>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</si>
  <si>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</si>
  <si>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</si>
  <si>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</si>
  <si>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</si>
  <si>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</si>
  <si>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</si>
  <si>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</si>
  <si>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</si>
  <si>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</si>
  <si>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</si>
  <si>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</si>
  <si>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</si>
  <si>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</si>
  <si>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</si>
  <si>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</si>
  <si>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</si>
  <si>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</si>
  <si>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</si>
  <si>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</si>
  <si>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</si>
  <si>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</si>
  <si>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</si>
  <si>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</si>
  <si>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</si>
  <si>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</si>
  <si>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</si>
  <si>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</si>
  <si>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</si>
  <si>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</si>
  <si>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</si>
  <si>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</si>
  <si>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</si>
  <si>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</si>
  <si>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</si>
  <si>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</si>
  <si>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</si>
  <si>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</si>
  <si>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</si>
  <si>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</si>
  <si>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</si>
  <si>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</si>
  <si>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</si>
  <si>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</si>
  <si>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</si>
  <si>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</si>
  <si>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</si>
  <si>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</si>
  <si>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</si>
  <si>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</si>
  <si>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</si>
  <si>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</si>
  <si>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</si>
  <si>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</si>
  <si>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</si>
  <si>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</si>
  <si>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</si>
  <si>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</si>
  <si>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</si>
  <si>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</si>
  <si>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</si>
  <si>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</si>
  <si>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</si>
  <si>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</si>
  <si>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</si>
  <si>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</si>
  <si>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</si>
  <si>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</si>
  <si>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</si>
  <si>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</si>
  <si>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</si>
  <si>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</si>
  <si>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</si>
  <si>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</si>
  <si>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</si>
  <si>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</si>
  <si>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</si>
  <si>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</si>
  <si>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</si>
  <si>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</si>
  <si>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</si>
  <si>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</si>
  <si>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</si>
  <si>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</si>
  <si>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</si>
  <si>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</si>
  <si>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</si>
  <si>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</si>
  <si>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</si>
  <si>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</si>
  <si>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</si>
  <si>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</si>
  <si>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</si>
  <si>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</si>
  <si>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</si>
  <si>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</si>
  <si>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</si>
  <si>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</si>
  <si>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</si>
  <si>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</si>
  <si>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</si>
  <si>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</si>
  <si>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</si>
  <si>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</si>
  <si>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</si>
  <si>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</si>
  <si>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</si>
  <si>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</si>
  <si>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</si>
  <si>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</si>
  <si>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</si>
  <si>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</si>
  <si>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</si>
  <si>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</si>
  <si>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</si>
  <si>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</si>
  <si>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</si>
  <si>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</si>
  <si>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</si>
  <si>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</si>
  <si>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</si>
  <si>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</si>
  <si>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</si>
  <si>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</si>
  <si>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</si>
  <si>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</si>
  <si>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</si>
  <si>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</si>
  <si>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</si>
  <si>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</si>
  <si>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</si>
  <si>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</si>
  <si>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</si>
  <si>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</si>
  <si>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</si>
  <si>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</si>
  <si>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</si>
  <si>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</si>
  <si>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</si>
  <si>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</si>
  <si>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</si>
  <si>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</si>
  <si>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</si>
  <si>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</si>
  <si>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</si>
  <si>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</si>
  <si>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</si>
  <si>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</si>
  <si>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</si>
  <si>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</si>
  <si>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</si>
  <si>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</si>
  <si>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</si>
  <si>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</si>
  <si>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</si>
  <si>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</si>
  <si>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</si>
  <si>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</si>
  <si>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</si>
  <si>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</si>
  <si>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</si>
  <si>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</si>
  <si>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</si>
  <si>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</si>
  <si>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</si>
  <si>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</si>
  <si>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</si>
  <si>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</si>
  <si>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</si>
  <si>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</si>
  <si>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</si>
  <si>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</si>
  <si>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</si>
  <si>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</si>
  <si>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</si>
  <si>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</si>
  <si>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</si>
  <si>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</si>
  <si>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</si>
  <si>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</si>
  <si>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</si>
  <si>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</si>
  <si>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</si>
  <si>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</si>
  <si>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</si>
  <si>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</si>
  <si>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</si>
  <si>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</si>
  <si>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</si>
  <si>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</si>
  <si>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</si>
  <si>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</si>
  <si>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</si>
  <si>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</si>
  <si>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</si>
  <si>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</si>
  <si>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</si>
  <si>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</si>
  <si>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</si>
  <si>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</si>
  <si>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</si>
  <si>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</si>
  <si>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</si>
  <si>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</si>
  <si>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</si>
  <si>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</si>
  <si>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</si>
  <si>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</si>
  <si>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</si>
  <si>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</si>
  <si>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</si>
  <si>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</si>
  <si>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</si>
  <si>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</si>
  <si>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</si>
  <si>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</si>
  <si>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</si>
  <si>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</si>
  <si>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</si>
  <si>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</si>
  <si>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</si>
  <si>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</si>
  <si>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</si>
  <si>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</si>
  <si>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</si>
  <si>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</si>
  <si>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</si>
  <si>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</si>
  <si>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</si>
  <si>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</si>
  <si>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</si>
  <si>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</si>
  <si>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</si>
  <si>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</si>
  <si>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</si>
  <si>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</si>
  <si>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</si>
  <si>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PC 17;PC 01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</si>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</sst>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3" fontId="23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486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3591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180</v>
      </c>
      <c r="F58" s="150">
        <f>IFERROR(SUM(F56:F57),"")</f>
        <v>486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15" sqref="F51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15" sqref="G51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0.2080094907360035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0.34689837962489123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0.43162060184711404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/>
      <c r="H515" s="101" t="str">
        <f>IFERROR(IF($G515="","",$G515*$S$527/$G$527/Cadastro!$E$33),"")</f>
        <v/>
      </c>
      <c r="I515" s="102">
        <f>IFERROR(IF($D515="","",VLOOKUP($D515,Cadastro!$C$4:$G$7,5,FALSE())),"")</f>
        <v>0.6</v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1.3194444444444453E-2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1.3194444444444453E-2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96" activePane="bottomLeft" state="frozen"/>
      <selection pane="bottomLeft" activeCell="P516" sqref="P51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363</v>
      </c>
      <c r="F515" s="101">
        <f>IFERROR(IF($D515="","",VLOOKUP($D515,Cadastro!$C$4:$E$7,3,FALSE())),"")</f>
        <v>0.35</v>
      </c>
      <c r="G515" s="89"/>
      <c r="H515" s="101" t="str">
        <f>IFERROR(IF($G515="","",$G515*$S$527/$G$527/Cadastro!$E$33),"")</f>
        <v/>
      </c>
      <c r="I515" s="102">
        <f>IFERROR(IF($D515="","",VLOOKUP($D515,Cadastro!$C$4:$G$7,5,FALSE())),"")</f>
        <v>0.6</v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9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1.2500000000000011E-2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1.2500000000000011E-2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2" activePane="bottomLeft" state="frozen"/>
      <selection pane="bottomLeft" activeCell="G515" sqref="G51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66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/>
      <c r="H515" s="101" t="str">
        <f>IFERROR(IF($G515="","",$G515*$S$527/$G$527/Cadastro!$E$33),"")</f>
        <v/>
      </c>
      <c r="I515" s="102">
        <f>IFERROR(IF($D515="","",VLOOKUP($D515,Cadastro!$C$4:$G$7,5,FALSE())),"")</f>
        <v>0.6</v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1.6666666666666663E-2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1.6666666666666663E-2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2026-08-20T11:56:21Z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