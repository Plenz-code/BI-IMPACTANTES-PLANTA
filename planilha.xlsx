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77" documentId="8_{AF585B22-221D-4780-BB9C-493D365A6A02}" xr6:coauthVersionLast="47" xr6:coauthVersionMax="47" xr10:uidLastSave="{D58ADFA5-AEB0-4625-B25C-5DFCBAA8BD51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<sst xmlns="http://schemas.openxmlformats.org/spreadsheetml/2006/main" count="6741" uniqueCount="330">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</sst>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1" activePane="bottomLeft" state="frozen"/>
      <selection pane="bottomLeft" activeCell="F415" sqref="F4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207</v>
      </c>
      <c r="G419" s="36">
        <f>SUM(G407:G418)</f>
        <v>1035</v>
      </c>
      <c r="H419" s="37"/>
      <c r="I419" s="37"/>
      <c r="J419" s="37"/>
      <c r="K419" s="37"/>
      <c r="L419" s="37"/>
      <c r="M419" s="38">
        <f ca="1">IFERROR(SUM(M407:M418),"")</f>
        <v>1.2500000000000011E-2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207</v>
      </c>
      <c r="G433" s="40">
        <f>G419+G432</f>
        <v>1035</v>
      </c>
      <c r="H433" s="41"/>
      <c r="I433" s="41"/>
      <c r="J433" s="41"/>
      <c r="K433" s="41"/>
      <c r="L433" s="41"/>
      <c r="M433" s="42">
        <f ca="1">IFERROR(M419+M432,"")</f>
        <v>1.2500000000000011E-2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14" sqref="F4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0.37630393518338678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0.53394282407227567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0.64366504629449783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0</v>
      </c>
      <c r="G412" s="34">
        <f t="shared" si="90"/>
        <v>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15</v>
      </c>
      <c r="G413" s="34">
        <f t="shared" si="90"/>
        <v>63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78</v>
      </c>
      <c r="G419" s="36">
        <f>SUM(G407:G418)</f>
        <v>327.60000000000002</v>
      </c>
      <c r="H419" s="37"/>
      <c r="I419" s="37"/>
      <c r="J419" s="37"/>
      <c r="K419" s="37"/>
      <c r="L419" s="37"/>
      <c r="M419" s="38">
        <f ca="1">IFERROR(SUM(M407:M418),"")</f>
        <v>9.7916666666666596E-2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78</v>
      </c>
      <c r="G433" s="40">
        <f>G419+G432</f>
        <v>327.60000000000002</v>
      </c>
      <c r="H433" s="41"/>
      <c r="I433" s="41"/>
      <c r="J433" s="41"/>
      <c r="K433" s="41"/>
      <c r="L433" s="41"/>
      <c r="M433" s="42">
        <f ca="1">IFERROR(M419+M432,"")</f>
        <v>9.7916666666666596E-2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0" zoomScale="50" zoomScaleNormal="50" workbookViewId="0">
      <selection activeCell="L381" sqref="L3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258</v>
      </c>
      <c r="K141" s="29">
        <v>0.71597222222222223</v>
      </c>
      <c r="L141" s="29" t="s">
        <v>285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287</v>
      </c>
      <c r="N166" s="27" t="s">
        <v>288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244</v>
      </c>
      <c r="F410" s="27">
        <v>6</v>
      </c>
      <c r="G410" s="28">
        <f t="shared" si="90"/>
        <v>25.200000000000003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244</v>
      </c>
      <c r="F414" s="27">
        <v>8</v>
      </c>
      <c r="G414" s="28">
        <f t="shared" si="90"/>
        <v>33.6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35</v>
      </c>
      <c r="G419" s="36">
        <f>SUM(G407:G418)</f>
        <v>147</v>
      </c>
      <c r="H419" s="37"/>
      <c r="I419" s="37"/>
      <c r="J419" s="37"/>
      <c r="K419" s="37"/>
      <c r="L419" s="37"/>
      <c r="M419" s="38">
        <f ca="1">IFERROR(SUM(M407:M418),"")</f>
        <v>6.8055555555555536E-2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35</v>
      </c>
      <c r="G433" s="40">
        <f>G419+G432</f>
        <v>147</v>
      </c>
      <c r="H433" s="41"/>
      <c r="I433" s="41"/>
      <c r="J433" s="41"/>
      <c r="K433" s="41"/>
      <c r="L433" s="41"/>
      <c r="M433" s="42">
        <f ca="1">IFERROR(M419+M432,"")</f>
        <v>6.8055555555555536E-2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F414" sqref="F41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302</v>
      </c>
      <c r="L58" s="29">
        <v>0.54097222222222219</v>
      </c>
      <c r="M58" s="30" t="str">
        <f t="shared" ca="1" si="13"/>
        <v/>
      </c>
      <c r="N58" s="27" t="s">
        <v>303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0.36658171296585351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0.56588726852140914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0.93324837963252016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18</v>
      </c>
      <c r="G412" s="28">
        <f t="shared" si="90"/>
        <v>75.600000000000009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75</v>
      </c>
      <c r="G419" s="36">
        <f>SUM(G407:G418)</f>
        <v>315</v>
      </c>
      <c r="H419" s="37"/>
      <c r="I419" s="37"/>
      <c r="J419" s="37"/>
      <c r="K419" s="61"/>
      <c r="L419" s="61"/>
      <c r="M419" s="38">
        <f ca="1">IFERROR(SUM(M407:M418),"")</f>
        <v>0.10486111111111113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75</v>
      </c>
      <c r="G433" s="40">
        <f>G419+G432</f>
        <v>315</v>
      </c>
      <c r="H433" s="41"/>
      <c r="I433" s="41"/>
      <c r="J433" s="41"/>
      <c r="K433" s="63"/>
      <c r="L433" s="63"/>
      <c r="M433" s="42">
        <f ca="1">IFERROR(M419+M432,"")</f>
        <v>0.10486111111111113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2026-07-16T18:47:25Z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