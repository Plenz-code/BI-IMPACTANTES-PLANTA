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82" documentId="8_{AF585B22-221D-4780-BB9C-493D365A6A02}" xr6:coauthVersionLast="47" xr6:coauthVersionMax="47" xr10:uidLastSave="{F93A988A-868B-4729-8DCC-17AAF62DD076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<sst xmlns="http://schemas.openxmlformats.org/spreadsheetml/2006/main" count="6163" uniqueCount="316">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</sst>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8" sqref="I1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58" activePane="bottomLeft" state="frozen"/>
      <selection pane="bottomLeft" activeCell="L368" sqref="L36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156</v>
      </c>
      <c r="G378" s="36">
        <f>SUM(G366:G377)</f>
        <v>780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431</v>
      </c>
      <c r="G379" s="40">
        <f>G365+G378</f>
        <v>2155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7" activePane="bottomLeft" state="frozen"/>
      <selection pane="bottomLeft" activeCell="K378" sqref="K3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1.459733796218643E-2</v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0.17223622685107531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0.28195844907329748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J368" sqref="J3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250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/>
      <c r="M368" s="30">
        <f t="shared" ca="1" si="82"/>
        <v>2.7917824118048884E-3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104</v>
      </c>
      <c r="G378" s="36">
        <f>SUM(G366:G377)</f>
        <v>436.80000000000007</v>
      </c>
      <c r="H378" s="37"/>
      <c r="I378" s="37"/>
      <c r="J378" s="37"/>
      <c r="K378" s="37"/>
      <c r="L378" s="37"/>
      <c r="M378" s="38">
        <f ca="1">IFERROR(SUM(M366:M377),"")</f>
        <v>3.6125115745138159E-2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113</v>
      </c>
      <c r="G379" s="40">
        <f>G365+G378</f>
        <v>474.60000000000008</v>
      </c>
      <c r="H379" s="41"/>
      <c r="I379" s="41"/>
      <c r="J379" s="41"/>
      <c r="K379" s="41"/>
      <c r="L379" s="41"/>
      <c r="M379" s="42">
        <f ca="1">IFERROR(M365+M378,"")</f>
        <v>0.46737511574513813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J377" sqref="J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4.8751157446531579E-3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0.20418067130020878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0.57154178241131981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/>
      <c r="M377" s="35">
        <f t="shared" ca="1" si="82"/>
        <v>5.0708449074591044E-2</v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151</v>
      </c>
      <c r="G378" s="36">
        <f>SUM(G366:G377)</f>
        <v>634.19999999999993</v>
      </c>
      <c r="H378" s="37"/>
      <c r="I378" s="37"/>
      <c r="J378" s="37"/>
      <c r="K378" s="61"/>
      <c r="L378" s="61"/>
      <c r="M378" s="38">
        <f ca="1">IFERROR(SUM(M366:M377),"")</f>
        <v>0.13751400463014668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276</v>
      </c>
      <c r="G379" s="40">
        <f>G365+G378</f>
        <v>1159.1999999999998</v>
      </c>
      <c r="H379" s="41"/>
      <c r="I379" s="41"/>
      <c r="J379" s="41"/>
      <c r="K379" s="63"/>
      <c r="L379" s="63"/>
      <c r="M379" s="42">
        <f ca="1">IFERROR(M365+M378,"")</f>
        <v>0.24237511574125786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2026-07-15T10:06:23Z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