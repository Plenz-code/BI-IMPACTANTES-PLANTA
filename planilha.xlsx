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95" documentId="8_{C51EB6CB-002B-4D6B-B68F-DDEBDB4460C0}" xr6:coauthVersionLast="47" xr6:coauthVersionMax="47" xr10:uidLastSave="{118DE1B6-1520-4DFD-B049-769AD85725EA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<sst xmlns="http://schemas.openxmlformats.org/spreadsheetml/2006/main" count="5866" uniqueCount="341">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</sst>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120</v>
      </c>
      <c r="G324" s="36">
        <f>SUM(G312:G323)</f>
        <v>600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553</v>
      </c>
      <c r="G325" s="40">
        <f>G311+G324</f>
        <v>2765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8" sqref="F31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0.95999560185009614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1.098884490738985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1.1836067129612073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34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95</v>
      </c>
      <c r="G324" s="36">
        <f>SUM(G312:G323)</f>
        <v>409.40000000000003</v>
      </c>
      <c r="H324" s="37"/>
      <c r="I324" s="37"/>
      <c r="J324" s="37"/>
      <c r="K324" s="37"/>
      <c r="L324" s="37"/>
      <c r="M324" s="38">
        <f ca="1">IFERROR(SUM(M312:M323),"")</f>
        <v>4.44444444444443E-2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264</v>
      </c>
      <c r="G325" s="40">
        <f>G311+G324</f>
        <v>1119.2</v>
      </c>
      <c r="H325" s="41"/>
      <c r="I325" s="41"/>
      <c r="J325" s="41"/>
      <c r="K325" s="41"/>
      <c r="L325" s="41"/>
      <c r="M325" s="42">
        <f ca="1">IFERROR(M311+M324,"")</f>
        <v>9.7916666666666444E-2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I315" sqref="I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0.88707893518585479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0.94888449074141035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1.0099956018525216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/>
      <c r="M312" s="30">
        <f t="shared" ref="M312:M323" ca="1" si="70">IFERROR(IF(K312="","",IF(L312="",MOD(NOW()-K312,1),IF(L312&gt;=K312,L312-K312,L312+1-K312))),"")</f>
        <v>1.555115741211921E-2</v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42</v>
      </c>
      <c r="G324" s="36">
        <f>SUM(G312:G323)</f>
        <v>179.6</v>
      </c>
      <c r="H324" s="37"/>
      <c r="I324" s="37"/>
      <c r="J324" s="37"/>
      <c r="K324" s="37"/>
      <c r="L324" s="37"/>
      <c r="M324" s="38">
        <f ca="1">IFERROR(SUM(M312:M323),"")</f>
        <v>1.555115741211921E-2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165</v>
      </c>
      <c r="G325" s="40">
        <f>G311+G324</f>
        <v>696.19999999999993</v>
      </c>
      <c r="H325" s="41"/>
      <c r="I325" s="41"/>
      <c r="J325" s="41"/>
      <c r="K325" s="41"/>
      <c r="L325" s="41"/>
      <c r="M325" s="42">
        <f ca="1">IFERROR(M311+M324,"")</f>
        <v>4.4023379634341497E-2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K314" sqref="K31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>
        <v>8.1250000000000003E-2</v>
      </c>
      <c r="L313" s="29"/>
      <c r="M313" s="35">
        <f t="shared" ca="1" si="70"/>
        <v>2.7337962819729E-4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122</v>
      </c>
      <c r="G324" s="36">
        <f>SUM(G312:G323)</f>
        <v>526</v>
      </c>
      <c r="H324" s="37"/>
      <c r="I324" s="37"/>
      <c r="J324" s="37"/>
      <c r="K324" s="61"/>
      <c r="L324" s="61"/>
      <c r="M324" s="38">
        <f ca="1">IFERROR(SUM(M312:M323),"")</f>
        <v>2.805115740597508E-2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314</v>
      </c>
      <c r="G325" s="40">
        <f>G311+G324</f>
        <v>1332.4</v>
      </c>
      <c r="H325" s="41"/>
      <c r="I325" s="41"/>
      <c r="J325" s="41"/>
      <c r="K325" s="63"/>
      <c r="L325" s="63"/>
      <c r="M325" s="42">
        <f ca="1">IFERROR(M311+M324,"")</f>
        <v>0.10374560185041953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2026-08-13T05:57:56Z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