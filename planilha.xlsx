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19" documentId="13_ncr:1_{A6DBCFB4-28D9-4249-9038-216934055CA6}" xr6:coauthVersionLast="47" xr6:coauthVersionMax="47" xr10:uidLastSave="{430B8FBA-B9BE-487E-8DA9-4FFC772490F6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<sst xmlns="http://schemas.openxmlformats.org/spreadsheetml/2006/main" count="8936" uniqueCount="401">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</sst>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D529" sqref="D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/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39</v>
      </c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17</v>
      </c>
      <c r="G540" s="2">
        <f>SUM(G528:G539)</f>
        <v>85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205</v>
      </c>
      <c r="G541" s="1">
        <f>G527+G540</f>
        <v>966.6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D531" sqref="D53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0.73516481481055962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0.87405370369944735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0.95877592592167016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29.400000000000002</v>
      </c>
      <c r="L540" s="72"/>
      <c r="M540" s="72"/>
      <c r="N540" s="72"/>
      <c r="O540" s="72"/>
      <c r="P540" s="72"/>
      <c r="Q540" s="73">
        <f ca="1">IFERROR(SUM(Q528:Q539),"")</f>
        <v>1.1805555555555625E-2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186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854.80000000000007</v>
      </c>
      <c r="L541" s="76"/>
      <c r="M541" s="76"/>
      <c r="N541" s="76"/>
      <c r="O541" s="76"/>
      <c r="P541" s="76"/>
      <c r="Q541" s="77">
        <f ca="1">IFERROR(Q527+Q540,"")</f>
        <v>7.6388888888888895E-2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D529" sqref="D52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/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31</v>
      </c>
      <c r="E530" s="87"/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79.8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96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428.8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D529" sqref="D52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/>
      <c r="H529" s="88" t="str">
        <f>IFERROR(IF($G529="","",$G529*$S$540/$G$540/Cadastro!$E$33),"")</f>
        <v/>
      </c>
      <c r="I529" s="90">
        <f>IFERROR(IF($D529="","",VLOOKUP($D529,Cadastro!$C$4:$G$7,5,FALSE())),"")</f>
        <v>0.6</v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31</v>
      </c>
      <c r="E530" s="87" t="s">
        <v>274</v>
      </c>
      <c r="F530" s="88">
        <f>IFERROR(IF($D530="","",VLOOKUP($D530,Cadastro!$C$4:$E$7,3,FALSE())),"")</f>
        <v>0.35</v>
      </c>
      <c r="G530" s="89"/>
      <c r="H530" s="88" t="str">
        <f>IFERROR(IF($G530="","",$G530*$S$540/$G$540/Cadastro!$E$33),"")</f>
        <v/>
      </c>
      <c r="I530" s="90">
        <f>IFERROR(IF($D530="","",VLOOKUP($D530,Cadastro!$C$4:$G$7,5,FALSE())),"")</f>
        <v>0.6</v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22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92.4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219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993.4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2026-08-21T00:33:39Z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