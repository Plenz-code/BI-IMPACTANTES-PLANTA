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4" documentId="8_{AF585B22-221D-4780-BB9C-493D365A6A02}" xr6:coauthVersionLast="47" xr6:coauthVersionMax="47" xr10:uidLastSave="{65BC8F58-D24E-47FE-BB72-9C5FA8F9C71B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2" i="3" l="1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G26" i="3"/>
  <c r="G25" i="3"/>
  <c r="G24" i="3"/>
  <c r="G23" i="3"/>
  <c r="G22" i="3"/>
  <c r="G21" i="3"/>
  <c r="G20" i="3"/>
  <c r="G19" i="3"/>
  <c r="G18" i="3"/>
  <c r="G17" i="3"/>
  <c r="G16" i="3"/>
  <c r="G15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G27" i="4"/>
  <c r="F27" i="4"/>
  <c r="G26" i="4"/>
  <c r="G25" i="4"/>
  <c r="G24" i="4"/>
  <c r="G23" i="4"/>
  <c r="G22" i="4"/>
  <c r="G21" i="4"/>
  <c r="G20" i="4"/>
  <c r="G19" i="4"/>
  <c r="G18" i="4"/>
  <c r="G17" i="4"/>
  <c r="G16" i="4"/>
  <c r="G15" i="4"/>
  <c r="F14" i="4"/>
  <c r="F28" i="4" s="1"/>
  <c r="G13" i="4"/>
  <c r="G12" i="4"/>
  <c r="G11" i="4"/>
  <c r="G10" i="4"/>
  <c r="G9" i="4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G27" i="5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F4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G27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<sst xmlns="http://schemas.openxmlformats.org/spreadsheetml/2006/main" count="1094" uniqueCount="197">
  <si>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</si>
  <si>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</si>
  <si>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</si>
  <si>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</si>
  <si>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</si>
  <si>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</si>
  <si>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</si>
  <si>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</si>
  <si>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</si>
  <si>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</si>
  <si>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</si>
  <si>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</si>
  <si>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</si>
  <si>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</si>
  <si>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</si>
  <si>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</si>
  <si>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</si>
  <si>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</si>
  <si>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</si>
  <si>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</si>
  <si>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</si>
  <si>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</si>
  <si>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</si>
  <si>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</si>
  <si>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</si>
  <si>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</si>
  <si>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</si>
  <si>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</si>
  <si>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</si>
  <si>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</si>
  <si>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</si>
  <si>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</si>
  <si>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</si>
  <si>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</si>
  <si>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</si>
  <si>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</si>
  <si>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</si>
  <si>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</si>
  <si>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</si>
  <si>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</si>
  <si>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</si>
  <si>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</si>
  <si>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</si>
  <si>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</si>
  <si>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</si>
  <si>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</si>
  <si>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</si>
  <si>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</si>
  <si>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</si>
  <si>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</si>
  <si>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</si>
  <si>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</si>
  <si>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</si>
  <si>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</si>
  <si>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</si>
  <si>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</si>
  <si>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</si>
  <si>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</si>
  <si>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</si>
  <si>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</si>
  <si>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</si>
  <si>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</si>
  <si>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</si>
  <si>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</si>
  <si>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</si>
  <si>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</si>
  <si>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</si>
  <si>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</si>
  <si>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</si>
  <si>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</si>
  <si>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</si>
  <si>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</si>
  <si>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</si>
  <si>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</si>
  <si>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</si>
  <si>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</si>
  <si>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</si>
  <si>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</si>
  <si>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</si>
  <si>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</si>
  <si>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</si>
  <si>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</si>
  <si>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</si>
  <si>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</si>
  <si>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</si>
  <si>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</si>
  <si>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</si>
  <si>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</si>
  <si>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</si>
  <si>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</si>
  <si>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</si>
  <si>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</si>
  <si>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</si>
  <si>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</si>
  <si>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</si>
  <si>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</si>
  <si>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</si>
  <si>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</si>
  <si>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</si>
  <si>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</si>
  <si>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</si>
  <si>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</si>
  <si>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</si>
  <si>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</si>
  <si>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</si>
  <si>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</si>
  <si>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</si>
  <si>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</si>
  <si>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</si>
  <si>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</si>
  <si>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</si>
  <si>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</si>
  <si>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</si>
  <si>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</si>
  <si>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</si>
  <si>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</si>
  <si>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</si>
  <si>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</si>
  <si>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</si>
  <si>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</si>
  <si>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</si>
  <si>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</si>
  <si>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</si>
  <si>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</si>
  <si>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</si>
  <si>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</si>
  <si>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</si>
  <si>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</si>
  <si>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</si>
  <si>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</si>
  <si>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</si>
  <si>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</si>
  <si>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</si>
  <si>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</si>
  <si>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</si>
  <si>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</si>
  <si>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</si>
  <si>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</si>
  <si>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</si>
  <si>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</si>
  <si>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</si>
  <si>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</si>
  <si>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</si>
  <si>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</si>
  <si>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</si>
  <si>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</si>
  <si>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</si>
  <si>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</si>
  <si>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</si>
  <si>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</si>
  <si>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</si>
  <si>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</si>
  <si>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</si>
  <si>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</si>
  <si>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</si>
  <si>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</si>
  <si>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</si>
  <si>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</si>
  <si>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</si>
  <si>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</si>
  <si>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</si>
  <si>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</si>
  <si>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</si>
  <si>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</si>
  <si>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</si>
  <si>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</si>
  <si>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</si>
  <si>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</si>
  <si>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</si>
  <si>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</si>
  <si>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</si>
  <si>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</si>
  <si>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</si>
  <si>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</si>
  <si>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</si>
  <si>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</si>
  <si>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</si>
  <si>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</si>
  <si>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</si>
  <si>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</si>
  <si>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</si>
  <si>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</si>
  <si>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</si>
  <si>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</si>
  <si>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</si>
  <si>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</si>
  <si>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</si>
  <si>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17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</si>
  <si>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</si>
  <si>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</si>
  <si>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</si>
  <si>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</si>
  <si>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</si>
  <si>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</si>
  <si>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solda na grelha</t>
  </si>
  <si>
    <t>9;10</t>
  </si>
  <si>
    <t>manutençao no rolamento do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</si>
</sst>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1:B104857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0</v>
      </c>
      <c r="D4" s="8">
        <f>IFERROR('Linha 1'!O28,"")</f>
        <v>0</v>
      </c>
      <c r="E4" s="8">
        <f>IFERROR('Linha 2'!O28,"")</f>
        <v>0</v>
      </c>
      <c r="F4" s="8">
        <f>IFERROR('Linha 3'!O28,"")</f>
        <v>0</v>
      </c>
      <c r="G4" s="9">
        <f t="shared" ref="G4:G34" si="0">IFERROR(D4+E4+F4,"")</f>
        <v>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0</v>
      </c>
      <c r="D35" s="13">
        <f>IFERROR(SUM(D4:D34),"")</f>
        <v>0</v>
      </c>
      <c r="E35" s="13">
        <f>IFERROR(SUM(E4:E34),"")</f>
        <v>0</v>
      </c>
      <c r="F35" s="13">
        <f>IFERROR(SUM(F4:F34),"")</f>
        <v>0</v>
      </c>
      <c r="G35" s="13">
        <f>IFERROR(SUM(G4:G34),"")</f>
        <v>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16" zoomScale="85" zoomScaleNormal="85" workbookViewId="0">
      <selection activeCell="M44" sqref="M4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/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2" activePane="bottomLeft" state="frozen"/>
      <selection pane="bottomLeft" activeCell="F5" sqref="F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186</v>
      </c>
      <c r="E2" s="59" t="s">
        <v>187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/>
      <c r="F4" s="27">
        <v>0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/>
      <c r="F5" s="27">
        <v>10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10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10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4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15:E26 E2:E13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D15:D26 D3:D13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10</v>
      </c>
      <c r="G3" s="34" t="str">
        <f t="shared" si="0"/>
        <v/>
      </c>
      <c r="H3" s="33" t="s">
        <v>20</v>
      </c>
      <c r="I3" s="33" t="s">
        <v>149</v>
      </c>
      <c r="J3" s="33"/>
      <c r="K3" s="29">
        <v>0.44930555555555557</v>
      </c>
      <c r="L3" s="29"/>
      <c r="M3" s="30">
        <f t="shared" ca="1" si="1"/>
        <v>1.3944444443040993E-2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8</v>
      </c>
      <c r="G4" s="28" t="str">
        <f t="shared" si="0"/>
        <v/>
      </c>
      <c r="H4" s="26"/>
      <c r="I4" s="26"/>
      <c r="J4" s="26"/>
      <c r="K4" s="29"/>
      <c r="L4" s="29"/>
      <c r="M4" s="35" t="str">
        <f t="shared" ca="1" si="1"/>
        <v/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8</v>
      </c>
      <c r="G5" s="34" t="str">
        <f t="shared" si="0"/>
        <v/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26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5.5611111109707623E-2</v>
      </c>
      <c r="N14" s="36" t="s">
        <v>190</v>
      </c>
      <c r="O14" s="54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54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26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5.5611111109707623E-2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54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54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54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54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54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5</v>
      </c>
      <c r="G3" s="34" t="str">
        <f t="shared" si="0"/>
        <v/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1</v>
      </c>
      <c r="G4" s="28" t="str">
        <f t="shared" si="0"/>
        <v/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6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12</v>
      </c>
      <c r="G14" s="36">
        <f>SUM(G2:G13)</f>
        <v>0</v>
      </c>
      <c r="H14" s="37"/>
      <c r="I14" s="37"/>
      <c r="J14" s="37"/>
      <c r="K14" s="37"/>
      <c r="L14" s="37"/>
      <c r="M14" s="38">
        <f ca="1">IFERROR(SUM(M2:M13),"")</f>
        <v>6.3194444444444386E-2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12</v>
      </c>
      <c r="G28" s="40">
        <f>G14+G27</f>
        <v>0</v>
      </c>
      <c r="H28" s="41"/>
      <c r="I28" s="41"/>
      <c r="J28" s="41"/>
      <c r="K28" s="41"/>
      <c r="L28" s="41"/>
      <c r="M28" s="42">
        <f ca="1">IFERROR(M14+M27,"")</f>
        <v>6.3194444444444386E-2</v>
      </c>
      <c r="N28" s="40" t="s">
        <v>193</v>
      </c>
      <c r="O28" s="43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193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193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193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193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190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190</v>
      </c>
      <c r="O216" s="39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190</v>
      </c>
      <c r="O432" s="39"/>
    </row>
    <row r="433" spans="1:15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190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2" activePane="bottomLeft" state="frozen"/>
      <selection pane="bottomLeft" activeCell="F6" sqref="F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176</v>
      </c>
      <c r="C1" s="23" t="s">
        <v>12</v>
      </c>
      <c r="D1" s="22" t="s">
        <v>13</v>
      </c>
      <c r="E1" s="22" t="s">
        <v>177</v>
      </c>
      <c r="F1" s="23" t="s">
        <v>178</v>
      </c>
      <c r="G1" s="23" t="s">
        <v>179</v>
      </c>
      <c r="H1" s="23" t="s">
        <v>14</v>
      </c>
      <c r="I1" s="23" t="s">
        <v>15</v>
      </c>
      <c r="J1" s="23" t="s">
        <v>180</v>
      </c>
      <c r="K1" s="23" t="s">
        <v>181</v>
      </c>
      <c r="L1" s="23" t="s">
        <v>182</v>
      </c>
      <c r="M1" s="24" t="s">
        <v>183</v>
      </c>
      <c r="N1" s="23" t="s">
        <v>184</v>
      </c>
      <c r="O1" s="23" t="s">
        <v>185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/>
      <c r="F2" s="27">
        <v>0</v>
      </c>
      <c r="G2" s="28" t="str">
        <f t="shared" ref="G2:G13" si="0">IF(F2="","",IF(E2="PC 17",F2*4.2,IF(E2="PC 19",F2*5,"")))</f>
        <v/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 t="s">
        <v>195</v>
      </c>
      <c r="M2" s="30" t="str">
        <f t="shared" ref="M2:M13" ca="1" si="1">IFERROR(IF(K2="","",IF(L2="",MOD(NOW()-K2,1),IF(L2&gt;=K2,L2-K2,L2+1-K2))),"")</f>
        <v/>
      </c>
      <c r="N2" s="27" t="s">
        <v>196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/>
      <c r="F3" s="27">
        <v>0</v>
      </c>
      <c r="G3" s="34" t="str">
        <f t="shared" si="0"/>
        <v/>
      </c>
      <c r="H3" s="33"/>
      <c r="I3" s="33"/>
      <c r="J3" s="33"/>
      <c r="K3" s="29"/>
      <c r="L3" s="29"/>
      <c r="M3" s="35" t="str">
        <f t="shared" ca="1" si="1"/>
        <v/>
      </c>
      <c r="N3" s="27"/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/>
      <c r="F4" s="27">
        <v>5</v>
      </c>
      <c r="G4" s="28" t="str">
        <f t="shared" si="0"/>
        <v/>
      </c>
      <c r="H4" s="26"/>
      <c r="I4" s="26"/>
      <c r="J4" s="26"/>
      <c r="K4" s="29"/>
      <c r="L4" s="29"/>
      <c r="M4" s="30" t="str">
        <f t="shared" ca="1" si="1"/>
        <v/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/>
      <c r="F5" s="27">
        <v>10</v>
      </c>
      <c r="G5" s="34" t="str">
        <f t="shared" si="0"/>
        <v/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/>
      <c r="F6" s="27"/>
      <c r="G6" s="28" t="str">
        <f t="shared" si="0"/>
        <v/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/>
      <c r="F7" s="27"/>
      <c r="G7" s="34" t="str">
        <f t="shared" si="0"/>
        <v/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/>
      <c r="F8" s="27"/>
      <c r="G8" s="28" t="str">
        <f t="shared" si="0"/>
        <v/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/>
      <c r="F9" s="27"/>
      <c r="G9" s="34" t="str">
        <f t="shared" si="0"/>
        <v/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/>
      <c r="F10" s="27"/>
      <c r="G10" s="28" t="str">
        <f t="shared" si="0"/>
        <v/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/>
      <c r="F11" s="27"/>
      <c r="G11" s="34" t="str">
        <f t="shared" si="0"/>
        <v/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/>
      <c r="F12" s="27"/>
      <c r="G12" s="28" t="str">
        <f t="shared" si="0"/>
        <v/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/>
      <c r="F13" s="27"/>
      <c r="G13" s="34" t="str">
        <f t="shared" si="0"/>
        <v/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189</v>
      </c>
      <c r="B14" s="78"/>
      <c r="C14" s="78"/>
      <c r="D14" s="78"/>
      <c r="E14" s="79"/>
      <c r="F14" s="36">
        <f>SUM(F2:F13)</f>
        <v>15</v>
      </c>
      <c r="G14" s="36">
        <f>SUM(G2:G13)</f>
        <v>0</v>
      </c>
      <c r="H14" s="37"/>
      <c r="I14" s="37"/>
      <c r="J14" s="37"/>
      <c r="K14" s="61"/>
      <c r="L14" s="61"/>
      <c r="M14" s="38">
        <f ca="1">IFERROR(SUM(M2:M13),"")</f>
        <v>0</v>
      </c>
      <c r="N14" s="36" t="s">
        <v>190</v>
      </c>
      <c r="O14" s="39"/>
    </row>
    <row r="15" spans="1:15" ht="15" customHeight="1">
      <c r="A15" s="70">
        <v>46204</v>
      </c>
      <c r="B15" s="32">
        <v>0.83333333333333304</v>
      </c>
      <c r="C15" s="33"/>
      <c r="D15" s="62"/>
      <c r="E15" s="62"/>
      <c r="F15" s="27"/>
      <c r="G15" s="34" t="str">
        <f t="shared" ref="G15:G26" si="3">IF(F15="","",IF(E15="PC 17",F15*4.2,IF(E15="PC 19",F15*5,"")))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/>
      <c r="D16" s="62"/>
      <c r="E16" s="62"/>
      <c r="F16" s="27"/>
      <c r="G16" s="28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/>
      <c r="D17" s="62"/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/>
      <c r="D18" s="62"/>
      <c r="E18" s="62"/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/>
      <c r="D19" s="62"/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/>
      <c r="D20" s="62"/>
      <c r="E20" s="62"/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/>
      <c r="D21" s="62"/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/>
      <c r="D22" s="62"/>
      <c r="E22" s="62"/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/>
      <c r="D23" s="62"/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/>
      <c r="D24" s="62"/>
      <c r="E24" s="62"/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/>
      <c r="D25" s="62"/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/>
      <c r="D26" s="62"/>
      <c r="E26" s="62"/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191</v>
      </c>
      <c r="B27" s="78"/>
      <c r="C27" s="78"/>
      <c r="D27" s="78"/>
      <c r="E27" s="79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0</v>
      </c>
      <c r="N27" s="36" t="s">
        <v>190</v>
      </c>
      <c r="O27" s="39"/>
    </row>
    <row r="28" spans="1:15" ht="18" customHeight="1">
      <c r="A28" s="80" t="s">
        <v>192</v>
      </c>
      <c r="B28" s="81"/>
      <c r="C28" s="81"/>
      <c r="D28" s="81"/>
      <c r="E28" s="82"/>
      <c r="F28" s="40">
        <f>F14+F27</f>
        <v>15</v>
      </c>
      <c r="G28" s="40">
        <f>G14+G27</f>
        <v>0</v>
      </c>
      <c r="H28" s="41"/>
      <c r="I28" s="41"/>
      <c r="J28" s="41"/>
      <c r="K28" s="63"/>
      <c r="L28" s="63"/>
      <c r="M28" s="42">
        <f ca="1">IFERROR(M14+M27,"")</f>
        <v>0</v>
      </c>
      <c r="N28" s="40" t="s">
        <v>193</v>
      </c>
      <c r="O28" s="48">
        <f>IFERROR(O14+O27,"")</f>
        <v>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189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190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191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190</v>
      </c>
      <c r="O54" s="39"/>
    </row>
    <row r="55" spans="1:15" ht="18" customHeight="1">
      <c r="A55" s="80" t="s">
        <v>192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193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189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190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191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190</v>
      </c>
      <c r="O81" s="39"/>
    </row>
    <row r="82" spans="1:15" ht="18" customHeight="1">
      <c r="A82" s="80" t="s">
        <v>192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193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189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190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191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190</v>
      </c>
      <c r="O108" s="39"/>
    </row>
    <row r="109" spans="1:15" ht="18" customHeight="1">
      <c r="A109" s="80" t="s">
        <v>192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193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189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190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191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190</v>
      </c>
      <c r="O135" s="39"/>
    </row>
    <row r="136" spans="1:15" ht="18" customHeight="1">
      <c r="A136" s="80" t="s">
        <v>192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193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189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190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191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190</v>
      </c>
      <c r="O162" s="39"/>
    </row>
    <row r="163" spans="1:15" ht="18" customHeight="1">
      <c r="A163" s="80" t="s">
        <v>192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193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189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190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191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190</v>
      </c>
      <c r="O189" s="39"/>
    </row>
    <row r="190" spans="1:15" ht="18" customHeight="1">
      <c r="A190" s="80" t="s">
        <v>192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193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189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190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191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190</v>
      </c>
      <c r="O216" s="45"/>
    </row>
    <row r="217" spans="1:15" ht="18" customHeight="1">
      <c r="A217" s="80" t="s">
        <v>192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193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189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190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191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190</v>
      </c>
      <c r="O243" s="39"/>
    </row>
    <row r="244" spans="1:15" ht="18" customHeight="1">
      <c r="A244" s="80" t="s">
        <v>192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193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189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190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191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190</v>
      </c>
      <c r="O270" s="39"/>
    </row>
    <row r="271" spans="1:15" ht="18" customHeight="1">
      <c r="A271" s="80" t="s">
        <v>192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193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189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190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191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190</v>
      </c>
      <c r="O297" s="39"/>
    </row>
    <row r="298" spans="1:15" ht="18" customHeight="1">
      <c r="A298" s="80" t="s">
        <v>192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193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189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190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191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190</v>
      </c>
      <c r="O324" s="39"/>
    </row>
    <row r="325" spans="1:15" ht="18" customHeight="1">
      <c r="A325" s="80" t="s">
        <v>192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193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189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190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191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190</v>
      </c>
      <c r="O351" s="39"/>
    </row>
    <row r="352" spans="1:15" ht="18" customHeight="1">
      <c r="A352" s="80" t="s">
        <v>192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193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189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190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191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190</v>
      </c>
      <c r="O378" s="39"/>
    </row>
    <row r="379" spans="1:15" ht="18" customHeight="1">
      <c r="A379" s="80" t="s">
        <v>192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193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189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190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191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190</v>
      </c>
      <c r="O405" s="39"/>
    </row>
    <row r="406" spans="1:15" ht="18" customHeight="1">
      <c r="A406" s="80" t="s">
        <v>192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193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189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190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191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190</v>
      </c>
      <c r="O432" s="39"/>
    </row>
    <row r="433" spans="1:17" ht="18" customHeight="1">
      <c r="A433" s="80" t="s">
        <v>192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193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189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190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191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190</v>
      </c>
      <c r="O459" s="39"/>
    </row>
    <row r="460" spans="1:15" ht="18" customHeight="1">
      <c r="A460" s="80" t="s">
        <v>192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193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189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190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191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190</v>
      </c>
      <c r="O486" s="39"/>
    </row>
    <row r="487" spans="1:15" ht="18" customHeight="1">
      <c r="A487" s="80" t="s">
        <v>192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193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189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191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190</v>
      </c>
      <c r="O513" s="39"/>
    </row>
    <row r="514" spans="1:15" ht="18" customHeight="1">
      <c r="A514" s="80" t="s">
        <v>192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189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191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190</v>
      </c>
      <c r="O540" s="39"/>
    </row>
    <row r="541" spans="1:15" ht="18" customHeight="1">
      <c r="A541" s="80" t="s">
        <v>192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189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191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190</v>
      </c>
      <c r="O567" s="39"/>
    </row>
    <row r="568" spans="1:15" ht="18" customHeight="1">
      <c r="A568" s="80" t="s">
        <v>192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189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191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190</v>
      </c>
      <c r="O594" s="39"/>
    </row>
    <row r="595" spans="1:15" ht="18" customHeight="1">
      <c r="A595" s="80" t="s">
        <v>192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189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191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190</v>
      </c>
      <c r="O621" s="39"/>
    </row>
    <row r="622" spans="1:15" ht="18" customHeight="1">
      <c r="A622" s="80" t="s">
        <v>192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189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191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190</v>
      </c>
      <c r="O648" s="39"/>
    </row>
    <row r="649" spans="1:15" ht="18" customHeight="1">
      <c r="A649" s="80" t="s">
        <v>192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189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191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190</v>
      </c>
      <c r="O675" s="39"/>
    </row>
    <row r="676" spans="1:15" ht="18" customHeight="1">
      <c r="A676" s="80" t="s">
        <v>192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189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191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190</v>
      </c>
      <c r="O702" s="39"/>
    </row>
    <row r="703" spans="1:15" ht="18" customHeight="1">
      <c r="A703" s="80" t="s">
        <v>192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189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191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190</v>
      </c>
      <c r="O729" s="39"/>
    </row>
    <row r="730" spans="1:15" ht="18" customHeight="1">
      <c r="A730" s="80" t="s">
        <v>192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189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191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190</v>
      </c>
      <c r="O756" s="39"/>
    </row>
    <row r="757" spans="1:15" ht="18" customHeight="1">
      <c r="A757" s="80" t="s">
        <v>192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189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191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190</v>
      </c>
      <c r="O783" s="39"/>
    </row>
    <row r="784" spans="1:15" ht="18" customHeight="1">
      <c r="A784" s="80" t="s">
        <v>192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189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191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190</v>
      </c>
      <c r="O810" s="39"/>
    </row>
    <row r="811" spans="1:15" ht="18" customHeight="1">
      <c r="A811" s="80" t="s">
        <v>192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193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C15:C26 C2:C13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D15:D26 D2:D13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2026-07-01T15:08:21Z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