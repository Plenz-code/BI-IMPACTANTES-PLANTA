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47" documentId="13_ncr:1_{0A10D8D4-8450-4366-8075-B53B08E6B7EA}" xr6:coauthVersionLast="47" xr6:coauthVersionMax="47" xr10:uidLastSave="{0BA283B0-AC33-4D8E-9846-CEE6F30F3641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7" i="6" l="1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<sst xmlns="http://schemas.openxmlformats.org/spreadsheetml/2006/main" count="7908" uniqueCount="374">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</sst>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39" activePane="bottomLeft" state="frozen"/>
      <selection pane="bottomLeft" activeCell="F462" sqref="F46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50</v>
      </c>
      <c r="G473" s="36">
        <f>SUM(G461:G472)</f>
        <v>250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50</v>
      </c>
      <c r="G487" s="40">
        <f>G473+G486</f>
        <v>250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61" sqref="G461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0.21432893518067431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0.3532178240695632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0.43794004629178551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/>
      <c r="H461" s="140" t="str">
        <f>IFERROR(IF($G461="","",$G461*$S$473/$G$473/Cadastro!$E$33),"")</f>
        <v/>
      </c>
      <c r="I461" s="141">
        <f>IFERROR(IF($D461="","",VLOOKUP($D461,Cadastro!$C$4:$G$7,5,FALSE)),"")</f>
        <v>0.6</v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2.0833333333333315E-2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2.0833333333333315E-2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61" sqref="G46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/>
      <c r="H461" s="140" t="str">
        <f>IFERROR(IF($G461="","",$G461*$S$473/$G$473/Cadastro!$E$33),"")</f>
        <v/>
      </c>
      <c r="I461" s="141">
        <f>IFERROR(IF($D461="","",VLOOKUP($D461,Cadastro!$C$4:$G$7,5,FALSE)),"")</f>
        <v>0.6</v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61" sqref="G46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/>
      <c r="H461" s="140" t="str">
        <f>IFERROR(IF($G461="","",$G461*$S$473/$G$473/Cadastro!$E$33),"")</f>
        <v/>
      </c>
      <c r="I461" s="141">
        <f>IFERROR(IF($D461="","",VLOOKUP($D461,Cadastro!$C$4:$G$7,5,FALSE)),"")</f>
        <v>0.6</v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/>
      <c r="Q461" s="35">
        <f t="shared" ref="Q461:Q472" ca="1" si="116">IFERROR(IF(O461="","",IF(P461="",MOD(NOW()-O461,1),IF(P461&gt;=O461,P461-O461,P461+1-O461))),"")</f>
        <v>3.7245601852191612E-2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3.7245601852191612E-2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3.7245601852191612E-2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2026-08-18T12:04:12Z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