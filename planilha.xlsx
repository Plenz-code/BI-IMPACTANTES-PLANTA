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58" documentId="8_{AF585B22-221D-4780-BB9C-493D365A6A02}" xr6:coauthVersionLast="47" xr6:coauthVersionMax="47" xr10:uidLastSave="{F65E49A0-C42F-4135-898F-AE98A2ED8094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<sst xmlns="http://schemas.openxmlformats.org/spreadsheetml/2006/main" count="6152" uniqueCount="315">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</sst>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6" sqref="F3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156</v>
      </c>
      <c r="G378" s="36">
        <f>SUM(G366:G377)</f>
        <v>780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431</v>
      </c>
      <c r="G379" s="40">
        <f>G365+G378</f>
        <v>2155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57" activePane="bottomLeft" state="frozen"/>
      <selection pane="bottomLeft" activeCell="L376" sqref="L3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/>
      <c r="M376" s="30">
        <f t="shared" ca="1" si="82"/>
        <v>1.5626157401129603E-3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0.13767372685122409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0.24739594907344625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1" zoomScale="50" zoomScaleNormal="50" workbookViewId="0">
      <selection activeCell="F376" sqref="F3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81</v>
      </c>
      <c r="K367" s="29">
        <v>0.2076388888888889</v>
      </c>
      <c r="L367" s="29"/>
      <c r="M367" s="35">
        <f t="shared" ca="1" si="82"/>
        <v>9.8959490715060383E-3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104</v>
      </c>
      <c r="G378" s="36">
        <f>SUM(G366:G377)</f>
        <v>436.80000000000007</v>
      </c>
      <c r="H378" s="37"/>
      <c r="I378" s="37"/>
      <c r="J378" s="37"/>
      <c r="K378" s="37"/>
      <c r="L378" s="37"/>
      <c r="M378" s="38">
        <f ca="1">IFERROR(SUM(M366:M377),"")</f>
        <v>2.2395949071505994E-2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113</v>
      </c>
      <c r="G379" s="40">
        <f>G365+G378</f>
        <v>474.60000000000008</v>
      </c>
      <c r="H379" s="41"/>
      <c r="I379" s="41"/>
      <c r="J379" s="41"/>
      <c r="K379" s="41"/>
      <c r="L379" s="41"/>
      <c r="M379" s="42">
        <f ca="1">IFERROR(M365+M378,"")</f>
        <v>0.45364594907150596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8" activePane="bottomLeft" state="frozen"/>
      <selection pane="bottomLeft" activeCell="F376" sqref="F3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0.96822928240726469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1.1675348379628203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1.5348959490739313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>
        <v>0.20347222222222222</v>
      </c>
      <c r="L377" s="29"/>
      <c r="M377" s="35">
        <f t="shared" ca="1" si="82"/>
        <v>1.4062615737202577E-2</v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151</v>
      </c>
      <c r="G378" s="36">
        <f>SUM(G366:G377)</f>
        <v>634.19999999999993</v>
      </c>
      <c r="H378" s="37"/>
      <c r="I378" s="37"/>
      <c r="J378" s="37"/>
      <c r="K378" s="61"/>
      <c r="L378" s="61"/>
      <c r="M378" s="38">
        <f ca="1">IFERROR(SUM(M366:M377),"")</f>
        <v>0.10086817129275823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276</v>
      </c>
      <c r="G379" s="40">
        <f>G365+G378</f>
        <v>1159.1999999999998</v>
      </c>
      <c r="H379" s="41"/>
      <c r="I379" s="41"/>
      <c r="J379" s="41"/>
      <c r="K379" s="63"/>
      <c r="L379" s="63"/>
      <c r="M379" s="42">
        <f ca="1">IFERROR(M365+M378,"")</f>
        <v>0.2057292824038694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2026-07-15T09:13:49Z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