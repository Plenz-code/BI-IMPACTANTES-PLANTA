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81" documentId="13_ncr:1_{A6DBCFB4-28D9-4249-9038-216934055CA6}" xr6:coauthVersionLast="47" xr6:coauthVersionMax="47" xr10:uidLastSave="{3395A61C-5F03-40B1-BAD8-D57F51776183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<sst xmlns="http://schemas.openxmlformats.org/spreadsheetml/2006/main" count="10635" uniqueCount="434">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</sst>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S26" sqref="S26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2774540</v>
      </c>
      <c r="D27" s="26">
        <f>IFERROR('Linha 1'!S649,"")</f>
        <v>631780</v>
      </c>
      <c r="E27" s="26">
        <f>IFERROR('Linha 2'!S649,"")</f>
        <v>290880</v>
      </c>
      <c r="F27" s="26">
        <f>IFERROR('Linha 3'!S649,"")</f>
        <v>1044100</v>
      </c>
      <c r="G27" s="27">
        <f t="shared" si="0"/>
        <v>1966760</v>
      </c>
      <c r="H27" s="21">
        <f>IFERROR('Linha 1'!T649+'Linha 2'!T649+'Linha 3'!T649,0)</f>
        <v>413.01960000000003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86096650</v>
      </c>
      <c r="D35" s="30">
        <f t="shared" si="2"/>
        <v>27232230</v>
      </c>
      <c r="E35" s="30">
        <f t="shared" si="2"/>
        <v>15615500</v>
      </c>
      <c r="F35" s="30">
        <f t="shared" si="2"/>
        <v>36884050</v>
      </c>
      <c r="G35" s="30">
        <f t="shared" si="2"/>
        <v>79731780</v>
      </c>
      <c r="H35" s="31">
        <f t="shared" si="2"/>
        <v>8322.4582946384144</v>
      </c>
      <c r="I35" s="31">
        <f t="shared" si="2"/>
        <v>4967.05</v>
      </c>
      <c r="J35" s="32">
        <f>I35/H35</f>
        <v>0.59682485921256312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/>
    </row>
    <row r="61" spans="1:18" ht="15" customHeight="1">
      <c r="M61" s="165"/>
      <c r="N61" s="40"/>
      <c r="O61" s="40"/>
      <c r="P61" s="40" t="s">
        <v>226</v>
      </c>
      <c r="Q61" s="40"/>
      <c r="R61" s="40"/>
    </row>
    <row r="62" spans="1:18" ht="15" customHeight="1">
      <c r="M62" s="165"/>
      <c r="N62" s="37"/>
      <c r="O62" s="37"/>
      <c r="P62" s="37" t="s">
        <v>227</v>
      </c>
      <c r="Q62" s="37"/>
      <c r="R62" s="37"/>
    </row>
    <row r="63" spans="1:18" ht="15" customHeight="1">
      <c r="M63" s="165"/>
      <c r="N63" s="40"/>
      <c r="O63" s="40"/>
      <c r="P63" s="40" t="s">
        <v>228</v>
      </c>
      <c r="Q63" s="40"/>
      <c r="R63" s="40"/>
    </row>
    <row r="64" spans="1:18" ht="15" customHeight="1">
      <c r="M64" s="165"/>
      <c r="N64" s="37"/>
      <c r="O64" s="37"/>
      <c r="P64" s="37" t="s">
        <v>229</v>
      </c>
      <c r="Q64" s="37"/>
      <c r="R64" s="37"/>
    </row>
    <row r="65" spans="13:18" ht="15" customHeight="1">
      <c r="M65" s="165"/>
      <c r="N65" s="40"/>
      <c r="O65" s="40"/>
      <c r="P65" s="40" t="s">
        <v>230</v>
      </c>
      <c r="Q65" s="40"/>
      <c r="R65" s="40"/>
    </row>
    <row r="66" spans="13:18" ht="15" customHeight="1">
      <c r="M66" s="165"/>
      <c r="N66" s="37"/>
      <c r="O66" s="37"/>
      <c r="P66" s="37" t="s">
        <v>231</v>
      </c>
      <c r="Q66" s="37"/>
      <c r="R66" s="37"/>
    </row>
    <row r="67" spans="13:18" ht="15" customHeight="1">
      <c r="M67" s="165"/>
      <c r="N67" s="40"/>
      <c r="O67" s="40"/>
      <c r="P67" s="40" t="s">
        <v>232</v>
      </c>
      <c r="Q67" s="40"/>
      <c r="R67" s="40"/>
    </row>
    <row r="68" spans="13:18" ht="15" customHeight="1">
      <c r="M68" s="165"/>
      <c r="N68" s="37"/>
      <c r="O68" s="37"/>
      <c r="P68" s="37" t="s">
        <v>233</v>
      </c>
      <c r="Q68" s="37"/>
      <c r="R68" s="37"/>
    </row>
    <row r="69" spans="13:18" ht="15" customHeight="1">
      <c r="M69" s="165"/>
      <c r="N69" s="40"/>
      <c r="O69" s="40"/>
      <c r="P69" s="40" t="s">
        <v>234</v>
      </c>
      <c r="Q69" s="40"/>
      <c r="R69" s="40"/>
    </row>
    <row r="70" spans="13:18" ht="15" customHeight="1">
      <c r="M70" s="165"/>
      <c r="N70" s="37"/>
      <c r="O70" s="37"/>
      <c r="P70" s="37" t="s">
        <v>235</v>
      </c>
      <c r="Q70" s="37"/>
      <c r="R70" s="37"/>
    </row>
    <row r="71" spans="13:18" ht="15" customHeight="1">
      <c r="M71" s="165"/>
      <c r="N71" s="40"/>
      <c r="O71" s="40"/>
      <c r="P71" s="40" t="s">
        <v>236</v>
      </c>
      <c r="Q71" s="40"/>
      <c r="R71" s="40"/>
    </row>
    <row r="72" spans="13:18" ht="15" customHeight="1">
      <c r="M72" s="165"/>
      <c r="N72" s="37"/>
      <c r="O72" s="37"/>
      <c r="P72" s="37" t="s">
        <v>237</v>
      </c>
      <c r="Q72" s="37"/>
      <c r="R72" s="37"/>
    </row>
    <row r="73" spans="13:18" ht="15" customHeight="1">
      <c r="M73" s="165"/>
      <c r="N73" s="40"/>
      <c r="O73" s="40"/>
      <c r="P73" s="40" t="s">
        <v>238</v>
      </c>
      <c r="Q73" s="40"/>
      <c r="R73" s="40"/>
    </row>
    <row r="74" spans="13:18" ht="15" customHeight="1">
      <c r="M74" s="165"/>
      <c r="N74" s="37"/>
      <c r="O74" s="37"/>
      <c r="P74" s="37" t="s">
        <v>239</v>
      </c>
      <c r="Q74" s="37"/>
      <c r="R74" s="37"/>
    </row>
    <row r="75" spans="13:18" ht="15" customHeight="1">
      <c r="M75" s="165"/>
      <c r="N75" s="40"/>
      <c r="O75" s="40"/>
      <c r="P75" s="40" t="s">
        <v>240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241</v>
      </c>
      <c r="C1" s="138" t="s">
        <v>242</v>
      </c>
      <c r="D1" s="138" t="s">
        <v>19</v>
      </c>
      <c r="E1" s="138" t="s">
        <v>243</v>
      </c>
      <c r="F1" s="138" t="s">
        <v>244</v>
      </c>
      <c r="G1" s="138" t="s">
        <v>245</v>
      </c>
      <c r="H1" s="138" t="s">
        <v>246</v>
      </c>
      <c r="I1" s="138" t="s">
        <v>247</v>
      </c>
      <c r="J1" s="138" t="s">
        <v>248</v>
      </c>
      <c r="K1" s="138" t="s">
        <v>249</v>
      </c>
    </row>
    <row r="2" spans="1:11" ht="15.75" customHeight="1">
      <c r="A2" s="139">
        <v>46235</v>
      </c>
      <c r="B2" s="140" t="s">
        <v>250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251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252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250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251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252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250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251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252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250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251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252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250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251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252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250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251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252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250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251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252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250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251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252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250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251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252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250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251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252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250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251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252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250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251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252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250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251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252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250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251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252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250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251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252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250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251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252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250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251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252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250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251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252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250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251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252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250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251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252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250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251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252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250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251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252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250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251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252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250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251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252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250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251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252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250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251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252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250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251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252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250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251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252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250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251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252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250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251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252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250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251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252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12" activePane="bottomLeft" state="frozen"/>
      <selection pane="bottomLeft" activeCell="F639" sqref="F639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57" t="s">
        <v>255</v>
      </c>
      <c r="G1" s="57" t="s">
        <v>256</v>
      </c>
      <c r="H1" s="57" t="s">
        <v>23</v>
      </c>
      <c r="I1" s="57" t="s">
        <v>24</v>
      </c>
      <c r="J1" s="57" t="s">
        <v>257</v>
      </c>
      <c r="K1" s="57" t="s">
        <v>258</v>
      </c>
      <c r="L1" s="57" t="s">
        <v>259</v>
      </c>
      <c r="M1" s="58" t="s">
        <v>260</v>
      </c>
      <c r="N1" s="57" t="s">
        <v>249</v>
      </c>
      <c r="O1" s="57" t="s">
        <v>261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262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262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262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262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262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262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262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262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262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262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262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262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263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264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262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262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262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265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262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262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262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262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262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262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262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262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262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266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264</v>
      </c>
      <c r="O27" s="74">
        <v>997910</v>
      </c>
    </row>
    <row r="28" spans="1:15" ht="18" customHeight="1">
      <c r="A28" s="169" t="s">
        <v>252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267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262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262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268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262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265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262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262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262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262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262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262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262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262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262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263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264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262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269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262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262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262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262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262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262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262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262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262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262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266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264</v>
      </c>
      <c r="O54" s="74">
        <v>981310</v>
      </c>
    </row>
    <row r="55" spans="1:15" ht="18" customHeight="1">
      <c r="A55" s="169" t="s">
        <v>252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267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262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262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262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262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262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262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262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262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262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262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262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262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263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264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262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262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270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262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262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262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262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262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262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262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262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262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262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266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264</v>
      </c>
      <c r="O81" s="74">
        <v>1547910</v>
      </c>
    </row>
    <row r="82" spans="1:15" ht="18" customHeight="1">
      <c r="A82" s="169" t="s">
        <v>252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267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262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262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262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271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262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262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262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262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262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262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262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262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262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263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264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262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262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262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262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262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262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272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262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262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262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262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262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262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266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264</v>
      </c>
      <c r="O108" s="74">
        <v>3156240</v>
      </c>
    </row>
    <row r="109" spans="1:15" ht="18" customHeight="1">
      <c r="A109" s="169" t="s">
        <v>252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267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262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262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262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262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262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262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262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262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262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262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262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262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263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264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262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262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262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262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262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262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262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262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262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262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262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262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266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264</v>
      </c>
      <c r="O135" s="74">
        <v>2875180</v>
      </c>
    </row>
    <row r="136" spans="1:15" ht="18" customHeight="1">
      <c r="A136" s="169" t="s">
        <v>252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267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262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273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262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262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262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262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262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262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262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262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262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262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262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263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264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262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262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274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262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262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262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262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262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262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262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262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262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262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266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264</v>
      </c>
      <c r="O162" s="79">
        <v>842000</v>
      </c>
    </row>
    <row r="163" spans="1:15" ht="18" customHeight="1">
      <c r="A163" s="169" t="s">
        <v>252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267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262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239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275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262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262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262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262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262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262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262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262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262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262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262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263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264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262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276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262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262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262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262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262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262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262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277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262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262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262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266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264</v>
      </c>
      <c r="O189" s="74">
        <v>1901630</v>
      </c>
    </row>
    <row r="190" spans="1:15" ht="18" customHeight="1">
      <c r="A190" s="169" t="s">
        <v>252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267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262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262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262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278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262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262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262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262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262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262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262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262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262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263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264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262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262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262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262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262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262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262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262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262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262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262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262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266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264</v>
      </c>
      <c r="O216" s="74">
        <v>1852295</v>
      </c>
    </row>
    <row r="217" spans="1:15" ht="18" customHeight="1">
      <c r="A217" s="169" t="s">
        <v>252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267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262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262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262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279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262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262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262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262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262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262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262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262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262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263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264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262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262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262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280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280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280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280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280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280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280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280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280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266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264</v>
      </c>
      <c r="O243" s="74">
        <v>991010</v>
      </c>
    </row>
    <row r="244" spans="1:15" ht="18" customHeight="1">
      <c r="A244" s="169" t="s">
        <v>252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267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262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262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262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262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262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281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262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262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262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262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262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262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262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263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264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282</v>
      </c>
      <c r="E258" s="75" t="s">
        <v>262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282</v>
      </c>
      <c r="E259" s="75" t="s">
        <v>262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282</v>
      </c>
      <c r="E260" s="75" t="s">
        <v>262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282</v>
      </c>
      <c r="E261" s="75" t="s">
        <v>262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282</v>
      </c>
      <c r="E262" s="75" t="s">
        <v>262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282</v>
      </c>
      <c r="E263" s="75" t="s">
        <v>262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282</v>
      </c>
      <c r="E264" s="75" t="s">
        <v>262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282</v>
      </c>
      <c r="E265" s="75" t="s">
        <v>262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282</v>
      </c>
      <c r="E266" s="75" t="s">
        <v>262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282</v>
      </c>
      <c r="E267" s="75" t="s">
        <v>262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282</v>
      </c>
      <c r="E268" s="75" t="s">
        <v>262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282</v>
      </c>
      <c r="E269" s="75" t="s">
        <v>262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266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264</v>
      </c>
      <c r="O270" s="74">
        <v>1544700</v>
      </c>
    </row>
    <row r="271" spans="1:15" ht="18" customHeight="1">
      <c r="A271" s="169" t="s">
        <v>252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267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282</v>
      </c>
      <c r="E272" s="62" t="s">
        <v>262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282</v>
      </c>
      <c r="E273" s="62" t="s">
        <v>262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282</v>
      </c>
      <c r="E274" s="62" t="s">
        <v>262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282</v>
      </c>
      <c r="E275" s="62" t="s">
        <v>262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282</v>
      </c>
      <c r="E276" s="62" t="s">
        <v>262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282</v>
      </c>
      <c r="E277" s="62" t="s">
        <v>262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283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282</v>
      </c>
      <c r="E278" s="62" t="s">
        <v>262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282</v>
      </c>
      <c r="E279" s="62" t="s">
        <v>262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282</v>
      </c>
      <c r="E280" s="62" t="s">
        <v>262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282</v>
      </c>
      <c r="E281" s="62" t="s">
        <v>262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282</v>
      </c>
      <c r="E282" s="62" t="s">
        <v>262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282</v>
      </c>
      <c r="E283" s="62" t="s">
        <v>262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263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264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282</v>
      </c>
      <c r="E285" s="75" t="s">
        <v>277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282</v>
      </c>
      <c r="E286" s="75" t="s">
        <v>277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282</v>
      </c>
      <c r="E287" s="75" t="s">
        <v>277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282</v>
      </c>
      <c r="E288" s="75" t="s">
        <v>277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282</v>
      </c>
      <c r="E289" s="75" t="s">
        <v>277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282</v>
      </c>
      <c r="E290" s="75" t="s">
        <v>277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282</v>
      </c>
      <c r="E291" s="75" t="s">
        <v>277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282</v>
      </c>
      <c r="E292" s="75" t="s">
        <v>277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282</v>
      </c>
      <c r="E293" s="75" t="s">
        <v>277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282</v>
      </c>
      <c r="E294" s="75" t="s">
        <v>277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282</v>
      </c>
      <c r="E295" s="75" t="s">
        <v>277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282</v>
      </c>
      <c r="E296" s="75" t="s">
        <v>277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266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264</v>
      </c>
      <c r="O297" s="74">
        <v>1715230</v>
      </c>
    </row>
    <row r="298" spans="1:15" ht="18" customHeight="1">
      <c r="A298" s="169" t="s">
        <v>252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267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262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239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262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262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262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284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262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262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262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262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262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262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262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262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263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264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262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262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262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262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262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262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262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262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262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262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262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262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266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264</v>
      </c>
      <c r="O324" s="74">
        <v>2216340</v>
      </c>
    </row>
    <row r="325" spans="1:15" ht="18" customHeight="1">
      <c r="A325" s="169" t="s">
        <v>252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267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285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262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262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262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286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262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262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262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262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263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264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262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262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262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262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262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262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262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262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262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262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262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262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266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264</v>
      </c>
      <c r="O351" s="74">
        <v>2154990</v>
      </c>
    </row>
    <row r="352" spans="1:15" ht="18" customHeight="1">
      <c r="A352" s="169" t="s">
        <v>252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267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262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262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262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262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262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262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277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262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262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262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262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262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263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264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262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262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262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262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262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262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262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262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262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262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262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262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266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264</v>
      </c>
      <c r="O378" s="74">
        <v>2614830</v>
      </c>
    </row>
    <row r="379" spans="1:15" ht="18" customHeight="1">
      <c r="A379" s="169" t="s">
        <v>252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267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262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262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262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262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262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262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262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262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262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262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262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262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263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264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262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287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262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262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262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262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262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262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262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262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262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262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262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266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264</v>
      </c>
      <c r="O405" s="74">
        <v>2612000</v>
      </c>
    </row>
    <row r="406" spans="1:15" ht="18" customHeight="1">
      <c r="A406" s="169" t="s">
        <v>252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267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262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262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262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262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262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262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262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262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262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262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262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262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263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264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262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233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262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288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262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288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262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262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262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262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262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262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262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262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262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266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264</v>
      </c>
      <c r="O432" s="74">
        <v>2266710</v>
      </c>
    </row>
    <row r="433" spans="1:15" ht="18" customHeight="1">
      <c r="A433" s="169" t="s">
        <v>252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267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262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262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262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262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262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262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262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262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262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262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262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262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263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264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262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289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262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290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262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262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262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262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291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262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292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262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293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262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262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262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262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266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264</v>
      </c>
      <c r="O459" s="74">
        <v>2361680</v>
      </c>
    </row>
    <row r="460" spans="1:15" ht="18" customHeight="1">
      <c r="A460" s="169" t="s">
        <v>252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267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262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294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262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262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262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262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262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262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262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262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262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262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262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263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264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262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262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262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295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262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262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262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262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262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262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262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262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262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266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264</v>
      </c>
      <c r="O486" s="74">
        <v>1798670</v>
      </c>
    </row>
    <row r="487" spans="1:15" ht="18" customHeight="1">
      <c r="A487" s="169" t="s">
        <v>252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267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262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262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296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262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262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262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262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262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262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262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262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262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262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263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264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262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262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297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262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262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262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262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262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262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262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262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262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277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266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264</v>
      </c>
      <c r="O513" s="74">
        <v>2435830</v>
      </c>
    </row>
    <row r="514" spans="1:15" ht="18" customHeight="1">
      <c r="A514" s="169" t="s">
        <v>252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267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262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262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262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262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262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277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277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277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277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277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277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277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263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264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262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298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262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262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262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262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262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262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262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262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262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262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262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266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264</v>
      </c>
      <c r="O540" s="74">
        <v>667100</v>
      </c>
    </row>
    <row r="541" spans="1:15" ht="18" customHeight="1">
      <c r="A541" s="169" t="s">
        <v>252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267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299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263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264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262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299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262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265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262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300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262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262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301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262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262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302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262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262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262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262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262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266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264</v>
      </c>
      <c r="O567" s="74">
        <v>1031030</v>
      </c>
    </row>
    <row r="568" spans="1:15" ht="18" customHeight="1">
      <c r="A568" s="169" t="s">
        <v>252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267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262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262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262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303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262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262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262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262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262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262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262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262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262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263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264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262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304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262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305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262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262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262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262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262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262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262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262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262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262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266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264</v>
      </c>
      <c r="O594" s="74">
        <v>2100270</v>
      </c>
    </row>
    <row r="595" spans="1:15" ht="18" customHeight="1">
      <c r="A595" s="169" t="s">
        <v>252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267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262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262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262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262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262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262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262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262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262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262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262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262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263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264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262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262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306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262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262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262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262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262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262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262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262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262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262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266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264</v>
      </c>
      <c r="O621" s="74">
        <v>2354670</v>
      </c>
    </row>
    <row r="622" spans="1:15" ht="18" customHeight="1">
      <c r="A622" s="169" t="s">
        <v>252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267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262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262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262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262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262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262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262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262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262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262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262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262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263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264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262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262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262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262</v>
      </c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262</v>
      </c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262</v>
      </c>
      <c r="F641" s="63"/>
      <c r="G641" s="69" t="str">
        <f>IF(F641="","",IF(#REF!="PC 17",F641*4.2,IF(#REF!="PC 19",F641*5,IF(#REF!="CB",F641*35,""))))</f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262</v>
      </c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262</v>
      </c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262</v>
      </c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262</v>
      </c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262</v>
      </c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262</v>
      </c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266</v>
      </c>
      <c r="B648" s="168"/>
      <c r="C648" s="168"/>
      <c r="D648" s="168"/>
      <c r="E648" s="168"/>
      <c r="F648" s="2">
        <f>SUM(F636:F647)</f>
        <v>111</v>
      </c>
      <c r="G648" s="2">
        <f>SUM(G636:G647)</f>
        <v>555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264</v>
      </c>
      <c r="O648" s="74"/>
    </row>
    <row r="649" spans="1:15" ht="18" customHeight="1">
      <c r="A649" s="169" t="s">
        <v>252</v>
      </c>
      <c r="B649" s="169"/>
      <c r="C649" s="169"/>
      <c r="D649" s="169"/>
      <c r="E649" s="169"/>
      <c r="F649" s="1">
        <f>F635+F648</f>
        <v>517</v>
      </c>
      <c r="G649" s="1">
        <f>G635+G648</f>
        <v>2585</v>
      </c>
      <c r="H649" s="76"/>
      <c r="I649" s="76"/>
      <c r="J649" s="76"/>
      <c r="K649" s="76"/>
      <c r="L649" s="76"/>
      <c r="M649" s="77">
        <f ca="1">IFERROR(M635+M648,"")</f>
        <v>2.2222222222222199E-2</v>
      </c>
      <c r="N649" s="1" t="s">
        <v>267</v>
      </c>
      <c r="O649" s="82">
        <f>IFERROR(O635+O648,"")</f>
        <v>2774540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263</v>
      </c>
      <c r="B662" s="168"/>
      <c r="C662" s="168"/>
      <c r="D662" s="168"/>
      <c r="E662" s="16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264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266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264</v>
      </c>
      <c r="O675" s="74"/>
    </row>
    <row r="676" spans="1:15" ht="18" customHeight="1">
      <c r="A676" s="169" t="s">
        <v>252</v>
      </c>
      <c r="B676" s="169"/>
      <c r="C676" s="169"/>
      <c r="D676" s="169"/>
      <c r="E676" s="16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267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263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264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266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264</v>
      </c>
      <c r="O702" s="74"/>
    </row>
    <row r="703" spans="1:15" ht="18" customHeight="1">
      <c r="A703" s="169" t="s">
        <v>252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267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263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264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266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264</v>
      </c>
      <c r="O729" s="74"/>
    </row>
    <row r="730" spans="1:15" ht="18" customHeight="1">
      <c r="A730" s="169" t="s">
        <v>252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267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263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264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266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264</v>
      </c>
      <c r="O756" s="74"/>
    </row>
    <row r="757" spans="1:15" ht="18" customHeight="1">
      <c r="A757" s="169" t="s">
        <v>252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267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263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264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266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264</v>
      </c>
      <c r="O783" s="74"/>
    </row>
    <row r="784" spans="1:15" ht="18" customHeight="1">
      <c r="A784" s="169" t="s">
        <v>252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267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263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264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266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264</v>
      </c>
      <c r="O810" s="74"/>
    </row>
    <row r="811" spans="1:15" ht="18" customHeight="1">
      <c r="A811" s="169" t="s">
        <v>252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267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263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264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266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264</v>
      </c>
      <c r="O837" s="74"/>
    </row>
    <row r="838" spans="1:15" ht="18" customHeight="1">
      <c r="A838" s="169" t="s">
        <v>252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267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08" activePane="bottomLeft" state="frozen"/>
      <selection pane="bottomLeft" activeCell="N637" sqref="N637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309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310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311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264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277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277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277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277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277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313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277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277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277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277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277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277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264</v>
      </c>
      <c r="S27" s="74">
        <v>549860</v>
      </c>
      <c r="T27" s="99"/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267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264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314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315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316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0.80177939814166166</v>
      </c>
      <c r="R53" s="80" t="s">
        <v>317</v>
      </c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0.94066828703054939</v>
      </c>
      <c r="R54" s="2" t="s">
        <v>264</v>
      </c>
      <c r="S54" s="113">
        <v>352430</v>
      </c>
      <c r="T54" s="114"/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1.0253905092527722</v>
      </c>
      <c r="R55" s="1" t="s">
        <v>267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309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264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318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277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264</v>
      </c>
      <c r="S81" s="115">
        <v>634210</v>
      </c>
      <c r="T81" s="116"/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267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277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226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264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319</v>
      </c>
      <c r="Q96" s="66" t="str">
        <f t="shared" ref="Q96:Q107" ca="1" si="22">IFERROR(IF(O96="","",IF(P96="",MOD(NOW()-O96,1),IF(P96&gt;=O96,P96-O96,P96+1-O96))),"")</f>
        <v/>
      </c>
      <c r="R96" s="80" t="s">
        <v>320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321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322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265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264</v>
      </c>
      <c r="S108" s="115">
        <v>456830</v>
      </c>
      <c r="T108" s="116"/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267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323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264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264</v>
      </c>
      <c r="S135" s="115">
        <v>756720</v>
      </c>
      <c r="T135" s="116"/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267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324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325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326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264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264</v>
      </c>
      <c r="S162" s="115">
        <v>501750</v>
      </c>
      <c r="T162" s="116"/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267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277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277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277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277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277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277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277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277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277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277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264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277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277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328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277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329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277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264</v>
      </c>
      <c r="S189" s="74">
        <v>362530</v>
      </c>
      <c r="T189" s="99"/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267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330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323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264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264</v>
      </c>
      <c r="S216" s="74">
        <v>609740</v>
      </c>
      <c r="T216" s="99"/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267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318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265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332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333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264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265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264</v>
      </c>
      <c r="S243" s="74">
        <v>825930</v>
      </c>
      <c r="T243" s="99"/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267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264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277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277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277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277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277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277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277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277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277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277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277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277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732130</v>
      </c>
      <c r="T270" s="99"/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267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277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277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277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277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262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277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262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262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277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277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262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262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262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262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262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990260</v>
      </c>
      <c r="T297" s="99"/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277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277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277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277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277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277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277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277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277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277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277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277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264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277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277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277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277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277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277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277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277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277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277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264</v>
      </c>
      <c r="S324" s="74">
        <v>725030</v>
      </c>
      <c r="T324" s="99">
        <f>IFERROR(J324,"")</f>
        <v>104.40432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267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334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335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336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337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338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264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330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325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264</v>
      </c>
      <c r="S351" s="74">
        <v>712170</v>
      </c>
      <c r="T351" s="99">
        <f>IFERROR(J351,"")</f>
        <v>149.5557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267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318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264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339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264</v>
      </c>
      <c r="S378" s="74">
        <v>806300</v>
      </c>
      <c r="T378" s="99">
        <f>IFERROR(J378,"")</f>
        <v>169.32299999999998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267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277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277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340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264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341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264</v>
      </c>
      <c r="S405" s="74">
        <v>774540</v>
      </c>
      <c r="T405" s="99">
        <f>IFERROR(J405,"")</f>
        <v>156.22852721311477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267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264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342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266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264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252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267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343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277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264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262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264</v>
      </c>
      <c r="S459" s="74">
        <v>738730</v>
      </c>
      <c r="T459" s="99">
        <f>IFERROR(J459,"")</f>
        <v>144.10511642857142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267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264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264</v>
      </c>
      <c r="S486" s="74">
        <v>617620</v>
      </c>
      <c r="T486" s="99">
        <f>IFERROR(J486,"")</f>
        <v>88.937280000000001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267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325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294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264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266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264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252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267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264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264</v>
      </c>
      <c r="S540" s="74">
        <v>399600</v>
      </c>
      <c r="T540" s="99">
        <f>IFERROR(J540,"")</f>
        <v>64.532992771084338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267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264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351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277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264</v>
      </c>
      <c r="S567" s="74">
        <v>0</v>
      </c>
      <c r="T567" s="99">
        <f>IFERROR(J567,"")</f>
        <v>0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267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277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264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352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262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264</v>
      </c>
      <c r="S594" s="74">
        <v>551160</v>
      </c>
      <c r="T594" s="99">
        <f>IFERROR(J594,"")</f>
        <v>115.74359999999999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267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264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353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277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264</v>
      </c>
      <c r="S621" s="74">
        <v>508500</v>
      </c>
      <c r="T621" s="99">
        <f>IFERROR(J621,"")</f>
        <v>106.785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267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325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264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55</v>
      </c>
      <c r="L637" s="70" t="s">
        <v>28</v>
      </c>
      <c r="M637" s="70" t="s">
        <v>171</v>
      </c>
      <c r="N637" s="70" t="s">
        <v>36</v>
      </c>
      <c r="O637" s="65">
        <v>0.92083333333333328</v>
      </c>
      <c r="P637" s="65"/>
      <c r="Q637" s="71">
        <f t="shared" ca="1" si="168"/>
        <v>2.4738425927353092E-3</v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42</v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/>
      <c r="H639" s="88" t="str">
        <f>IFERROR(IF($G639="","",$G639*$S$648/$G$648/Cadastro!$E$33),"")</f>
        <v/>
      </c>
      <c r="I639" s="90">
        <f>IFERROR(IF($D639="","",VLOOKUP($D639,Cadastro!$C$4:$G$7,5,FALSE())),"")</f>
        <v>0.6</v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37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164.2</v>
      </c>
      <c r="L648" s="72"/>
      <c r="M648" s="72"/>
      <c r="N648" s="72"/>
      <c r="O648" s="72"/>
      <c r="P648" s="72"/>
      <c r="Q648" s="73">
        <f ca="1">IFERROR(SUM(Q636:Q647),"")</f>
        <v>2.400162037051301E-2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199</v>
      </c>
      <c r="H649" s="108">
        <f>IFERROR(H635+H648,"")</f>
        <v>631.78000000000009</v>
      </c>
      <c r="I649" s="110"/>
      <c r="J649" s="111">
        <f>IFERROR(J635+J648,"")</f>
        <v>132.6738</v>
      </c>
      <c r="K649" s="1">
        <f>K635+K648</f>
        <v>844.60000000000014</v>
      </c>
      <c r="L649" s="76"/>
      <c r="M649" s="76"/>
      <c r="N649" s="76"/>
      <c r="O649" s="76"/>
      <c r="P649" s="76"/>
      <c r="Q649" s="77">
        <f ca="1">IFERROR(Q635+Q648,"")</f>
        <v>9.4834953703846481E-2</v>
      </c>
      <c r="R649" s="1" t="s">
        <v>267</v>
      </c>
      <c r="S649" s="82">
        <f>S635+S648</f>
        <v>631780</v>
      </c>
      <c r="T649" s="118">
        <f>IFERROR(J649,"")</f>
        <v>132.6738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113"/>
      <c r="T837" s="114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15" activePane="bottomLeft" state="frozen"/>
      <selection pane="bottomLeft" activeCell="G639" sqref="G639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264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312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277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277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264</v>
      </c>
      <c r="S27" s="74">
        <v>358000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267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264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318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264</v>
      </c>
      <c r="S54" s="74">
        <v>279980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267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277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277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277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277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277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277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277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277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277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264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264</v>
      </c>
      <c r="S81" s="74">
        <v>185920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267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264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264</v>
      </c>
      <c r="S108" s="74">
        <v>434370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267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264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264</v>
      </c>
      <c r="S135" s="74">
        <v>416350</v>
      </c>
      <c r="T135" s="99">
        <f>IFERROR(J135,"")</f>
        <v>0</v>
      </c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267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326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264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318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264</v>
      </c>
      <c r="S162" s="74">
        <v>169760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267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264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329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264</v>
      </c>
      <c r="S189" s="74">
        <v>72220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267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264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264</v>
      </c>
      <c r="S216" s="74">
        <v>148720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267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367</v>
      </c>
      <c r="Q222" s="66" t="str">
        <f t="shared" ca="1" si="49"/>
        <v/>
      </c>
      <c r="R222" s="63" t="s">
        <v>368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264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264</v>
      </c>
      <c r="S243" s="74">
        <v>352720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267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262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262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264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277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277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277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277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277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277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277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277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277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277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277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277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327900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267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262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462190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264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264</v>
      </c>
      <c r="S324" s="74">
        <v>289490</v>
      </c>
      <c r="T324" s="99">
        <f>IFERROR(J324,"")</f>
        <v>41.68656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267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336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337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277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264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264</v>
      </c>
      <c r="S351" s="74">
        <v>256170</v>
      </c>
      <c r="T351" s="99">
        <f>IFERROR(J351,"")</f>
        <v>53.795699999999997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267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318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264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264</v>
      </c>
      <c r="S378" s="74">
        <v>360560</v>
      </c>
      <c r="T378" s="99">
        <f>IFERROR(J378,"")</f>
        <v>75.71759999999999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267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340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264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264</v>
      </c>
      <c r="S405" s="74">
        <v>489360</v>
      </c>
      <c r="T405" s="99">
        <f>IFERROR(J405,"")</f>
        <v>99.305125714285708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267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264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264</v>
      </c>
      <c r="S432" s="74">
        <v>180150</v>
      </c>
      <c r="T432" s="99">
        <f>IFERROR(J432,"")</f>
        <v>25.941599999999998</v>
      </c>
    </row>
    <row r="433" spans="1:20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267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264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264</v>
      </c>
      <c r="S459" s="74">
        <v>471910</v>
      </c>
      <c r="T459" s="99">
        <f>IFERROR(J459,"")</f>
        <v>92.928007027027007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267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264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318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264</v>
      </c>
      <c r="S486" s="74">
        <v>261400</v>
      </c>
      <c r="T486" s="99">
        <f>IFERROR(J486,"")</f>
        <v>37.641599999999997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267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277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264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264</v>
      </c>
      <c r="S513" s="74">
        <v>357140</v>
      </c>
      <c r="T513" s="99">
        <f>IFERROR(J513,"")</f>
        <v>61.810729999999992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267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264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318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264</v>
      </c>
      <c r="S540" s="74">
        <v>270460</v>
      </c>
      <c r="T540" s="99">
        <f>IFERROR(J540,"")</f>
        <v>46.847219016393439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267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264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318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382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262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354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262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264</v>
      </c>
      <c r="S567" s="74">
        <v>524080</v>
      </c>
      <c r="T567" s="99">
        <f>IFERROR(J567,"")</f>
        <v>75.467519999999979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267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318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264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377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262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264</v>
      </c>
      <c r="S594" s="74">
        <v>456490</v>
      </c>
      <c r="T594" s="99">
        <f>IFERROR(J594,"")</f>
        <v>95.862899999999996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267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318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264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374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383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383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383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264</v>
      </c>
      <c r="S621" s="74">
        <v>399510</v>
      </c>
      <c r="T621" s="99">
        <f>IFERROR(J621,"")</f>
        <v>83.897099999999995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267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359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264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0</v>
      </c>
      <c r="K636" s="64">
        <f t="shared" ref="K636:K647" si="164">IF(G636="","",IF(E636="PC 17",G636*4.2,IF(E636="PC 19",G636*5,IF(E636="CB",G636*24,""))))</f>
        <v>46.2</v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3"/>
        <v>0</v>
      </c>
      <c r="K637" s="69">
        <f t="shared" si="164"/>
        <v>60</v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3"/>
        <v>0</v>
      </c>
      <c r="K638" s="64">
        <f t="shared" si="164"/>
        <v>12.600000000000001</v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/>
      <c r="H639" s="88" t="str">
        <f>IFERROR(IF($G639="","",$G639*$S$648/$G$648/Cadastro!$E$33),"")</f>
        <v/>
      </c>
      <c r="I639" s="90">
        <f>IFERROR(IF($D639="","",VLOOKUP($D639,Cadastro!$C$4:$G$7,5,FALSE())),"")</f>
        <v>0.6</v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26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118.80000000000001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98</v>
      </c>
      <c r="H649" s="108">
        <f>IFERROR(H635+H648,"")</f>
        <v>290.87999999999994</v>
      </c>
      <c r="I649" s="110"/>
      <c r="J649" s="111">
        <f>IFERROR(J635+J648,"")</f>
        <v>61.084799999999987</v>
      </c>
      <c r="K649" s="1">
        <f>K635+K648</f>
        <v>421.20000000000005</v>
      </c>
      <c r="L649" s="76"/>
      <c r="M649" s="76"/>
      <c r="N649" s="76"/>
      <c r="O649" s="76"/>
      <c r="P649" s="76"/>
      <c r="Q649" s="77">
        <f ca="1">IFERROR(Q635+Q648,"")</f>
        <v>5.3472222222222199E-2</v>
      </c>
      <c r="R649" s="1" t="s">
        <v>267</v>
      </c>
      <c r="S649" s="82">
        <f>IFERROR(S635+S648,"")</f>
        <v>290880</v>
      </c>
      <c r="T649" s="118">
        <f>IFERROR(J649,"")</f>
        <v>61.084799999999987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12" activePane="bottomLeft" state="frozen"/>
      <selection pane="bottomLeft" activeCell="G639" sqref="G639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264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277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315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277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277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264</v>
      </c>
      <c r="S27" s="74">
        <v>491520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267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277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277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277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277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277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277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277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277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277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277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277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264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264</v>
      </c>
      <c r="S54" s="74">
        <v>352430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267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264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233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264</v>
      </c>
      <c r="S81" s="74">
        <v>612410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267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264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264</v>
      </c>
      <c r="S108" s="74">
        <v>956070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267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233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238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238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264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318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264</v>
      </c>
      <c r="S135" s="74">
        <v>912240</v>
      </c>
      <c r="T135" s="99">
        <f>IFERROR(J135,"")</f>
        <v>0</v>
      </c>
    </row>
    <row r="136" spans="1:22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267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326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263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264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264</v>
      </c>
      <c r="S162" s="74">
        <v>573230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267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264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264</v>
      </c>
      <c r="S189" s="74">
        <v>692750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267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264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264</v>
      </c>
      <c r="S216" s="74">
        <v>607180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267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264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264</v>
      </c>
      <c r="S243" s="74">
        <v>795250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267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 t="s">
        <v>287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264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277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277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277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277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277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277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277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277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277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277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277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277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264</v>
      </c>
      <c r="S270" s="74">
        <v>683360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267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277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264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264</v>
      </c>
      <c r="S297" s="74">
        <v>904710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267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264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264</v>
      </c>
      <c r="S324" s="74">
        <v>1049720</v>
      </c>
      <c r="T324" s="99">
        <f>IFERROR(J324,"")</f>
        <v>151.15967999999998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267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277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264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264</v>
      </c>
      <c r="S351" s="74">
        <v>1058130</v>
      </c>
      <c r="T351" s="99">
        <f>IFERROR(J351,"")</f>
        <v>222.20729999999995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267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263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264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264</v>
      </c>
      <c r="S378" s="74">
        <v>1137080</v>
      </c>
      <c r="T378" s="99">
        <f>IFERROR(J378,"")</f>
        <v>238.78679999999994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267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277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340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264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233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264</v>
      </c>
      <c r="S405" s="74">
        <v>989450</v>
      </c>
      <c r="T405" s="99">
        <f>IFERROR(J405,"")</f>
        <v>195.72390675675675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267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240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264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264</v>
      </c>
      <c r="S432" s="74">
        <v>766030</v>
      </c>
      <c r="T432" s="99">
        <f>IFERROR(J432,"")</f>
        <v>110.30832000000001</v>
      </c>
    </row>
    <row r="433" spans="1:21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267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277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264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264</v>
      </c>
      <c r="S459" s="74">
        <v>1024280</v>
      </c>
      <c r="T459" s="99">
        <f>IFERROR(J459,"")</f>
        <v>202.88866044052861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267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264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264</v>
      </c>
      <c r="S486" s="74">
        <v>616050</v>
      </c>
      <c r="T486" s="99">
        <f>IFERROR(J486,"")</f>
        <v>88.711199999999977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267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264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277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264</v>
      </c>
      <c r="S513" s="74">
        <v>727700</v>
      </c>
      <c r="T513" s="99">
        <f>IFERROR(J513,"")</f>
        <v>123.69990375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267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264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262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277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264</v>
      </c>
      <c r="S540" s="74">
        <v>746110</v>
      </c>
      <c r="T540" s="99">
        <f>IFERROR(J540,"")</f>
        <v>126.60637832335328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267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420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421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264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422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423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424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425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426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427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410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264</v>
      </c>
      <c r="S567" s="74">
        <v>486090</v>
      </c>
      <c r="T567" s="99">
        <f>IFERROR(J567,"")</f>
        <v>69.996959999999987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267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411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428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264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429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430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376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264</v>
      </c>
      <c r="S594" s="74">
        <v>985680</v>
      </c>
      <c r="T594" s="99">
        <f>IFERROR(J594,"")</f>
        <v>206.99279999999996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267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431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264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376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410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432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427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264</v>
      </c>
      <c r="S621" s="74">
        <v>715660</v>
      </c>
      <c r="T621" s="99">
        <f>IFERROR(J621,"")</f>
        <v>143.63866194690266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267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433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264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75</v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75.600000000000009</v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/>
      <c r="H639" s="88" t="str">
        <f>IFERROR(IF($G639="","",$G639*$S$648/$G$648/Cadastro!$E$33),"")</f>
        <v/>
      </c>
      <c r="I639" s="90">
        <f>IFERROR(IF($D639="","",VLOOKUP($D639,Cadastro!$C$4:$G$7,5,FALSE())),"")</f>
        <v>0.6</v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46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205.2</v>
      </c>
      <c r="L648" s="72"/>
      <c r="M648" s="72"/>
      <c r="N648" s="72"/>
      <c r="O648" s="134"/>
      <c r="P648" s="134"/>
      <c r="Q648" s="73">
        <f ca="1">IFERROR(SUM(Q636:Q647),"")</f>
        <v>2.3611111111111138E-2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287</v>
      </c>
      <c r="H649" s="108">
        <f>IFERROR(H635+H648,"")</f>
        <v>1044.0999999999999</v>
      </c>
      <c r="I649" s="110"/>
      <c r="J649" s="111">
        <f>IFERROR(J635+J648,"")</f>
        <v>219.26100000000002</v>
      </c>
      <c r="K649" s="1">
        <f>K635+K648</f>
        <v>1217.4000000000001</v>
      </c>
      <c r="L649" s="76"/>
      <c r="M649" s="76"/>
      <c r="N649" s="76"/>
      <c r="O649" s="135"/>
      <c r="P649" s="135"/>
      <c r="Q649" s="77">
        <f ca="1">IFERROR(Q635+Q648,"")</f>
        <v>9.3055555555555558E-2</v>
      </c>
      <c r="R649" s="1" t="s">
        <v>267</v>
      </c>
      <c r="S649" s="82">
        <f>IFERROR(S635+S648,"")</f>
        <v>1044100</v>
      </c>
      <c r="T649" s="118">
        <f>IFERROR(J649,"")</f>
        <v>219.26100000000002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267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2026-08-25T02:11:26Z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