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27" documentId="8_{AF585B22-221D-4780-BB9C-493D365A6A02}" xr6:coauthVersionLast="47" xr6:coauthVersionMax="47" xr10:uidLastSave="{FD501E2C-680F-42DA-9E42-9E85E64DBF7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<sst xmlns="http://schemas.openxmlformats.org/spreadsheetml/2006/main" count="12350" uniqueCount="439">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</sst>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F819" sqref="F8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34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4" sqref="F8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0.18027083333436167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0.33790972222325055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0.44763194444547272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0.1587430555591709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0.32957638889250429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0.47471527778139316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41</v>
      </c>
      <c r="G824" s="109">
        <f>SUM(G812:G823)</f>
        <v>172.2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41</v>
      </c>
      <c r="G838" s="111">
        <f>G824+G837</f>
        <v>172.2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4" sqref="F8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22</v>
      </c>
      <c r="G824" s="109">
        <f>SUM(G812:G823)</f>
        <v>92.4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22</v>
      </c>
      <c r="G838" s="111">
        <f>G824+G837</f>
        <v>92.4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4" sqref="F8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0.1705486111168284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0.36985416667238402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0.73721527778349505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0</v>
      </c>
      <c r="G813" s="104">
        <f>IF(F813="","",IF(E813="PC 17",F813*4.2,IF(E813="PC 19",F813*5,"")))</f>
        <v>0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10</v>
      </c>
      <c r="G824" s="109">
        <f>SUM(G812:G823)</f>
        <v>42</v>
      </c>
      <c r="H824" s="37"/>
      <c r="I824" s="37"/>
      <c r="J824" s="37"/>
      <c r="K824" s="37"/>
      <c r="L824" s="37"/>
      <c r="M824" s="110">
        <f ca="1">IFERROR(SUM(M812:M823),"")</f>
        <v>6.5277777777777768E-2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10</v>
      </c>
      <c r="G838" s="111">
        <f>G824+G837</f>
        <v>42</v>
      </c>
      <c r="H838" s="41"/>
      <c r="I838" s="41"/>
      <c r="J838" s="41"/>
      <c r="K838" s="41"/>
      <c r="L838" s="41"/>
      <c r="M838" s="112">
        <f ca="1">IFERROR(M824+M837,"")</f>
        <v>6.5277777777777768E-2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2026-07-31T14:05:07Z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