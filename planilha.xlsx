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036" documentId="8_{AF585B22-221D-4780-BB9C-493D365A6A02}" xr6:coauthVersionLast="47" xr6:coauthVersionMax="47" xr10:uidLastSave="{5C0ABB79-DCC6-48F2-A894-0E88B1D859FA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<sst xmlns="http://schemas.openxmlformats.org/spreadsheetml/2006/main" count="2280" uniqueCount="228">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</sst>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1704450</v>
      </c>
      <c r="D7" s="11">
        <f>IFERROR('Linha 1'!O109,"")</f>
        <v>577610</v>
      </c>
      <c r="E7" s="11">
        <f>IFERROR('Linha 2'!O109,"")</f>
        <v>536290</v>
      </c>
      <c r="F7" s="11">
        <f>IFERROR('Linha 3'!O109,"")</f>
        <v>776910</v>
      </c>
      <c r="G7" s="12">
        <f t="shared" si="0"/>
        <v>1890810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8276020</v>
      </c>
      <c r="D35" s="13">
        <f>IFERROR(SUM(D4:D34),"")</f>
        <v>3014030</v>
      </c>
      <c r="E35" s="13">
        <f>IFERROR(SUM(E4:E34),"")</f>
        <v>2304980</v>
      </c>
      <c r="F35" s="13">
        <f>IFERROR(SUM(F4:F34),"")</f>
        <v>3413600</v>
      </c>
      <c r="G35" s="13">
        <f>IFERROR(SUM(G4:G34),"")</f>
        <v>8732610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7" zoomScale="85" zoomScaleNormal="85" workbookViewId="0">
      <selection activeCell="M48" sqref="M4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177</v>
      </c>
      <c r="L48" s="16"/>
      <c r="M48" s="16"/>
    </row>
    <row r="49" spans="1:13" ht="18" customHeight="1">
      <c r="H49" s="91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180</v>
      </c>
      <c r="L50" s="16"/>
      <c r="M50" s="16"/>
    </row>
    <row r="51" spans="1:13" ht="24" customHeight="1">
      <c r="H51" s="91"/>
      <c r="I51" s="17"/>
      <c r="J51" s="17"/>
      <c r="K51" s="17" t="s">
        <v>181</v>
      </c>
      <c r="L51" s="17"/>
      <c r="M51" s="17"/>
    </row>
    <row r="52" spans="1:13" ht="24" customHeight="1">
      <c r="H52" s="91"/>
      <c r="I52" s="16"/>
      <c r="J52" s="16"/>
      <c r="K52" s="16" t="s">
        <v>182</v>
      </c>
      <c r="L52" s="16"/>
      <c r="M52" s="16"/>
    </row>
    <row r="53" spans="1:13" ht="36" customHeight="1">
      <c r="H53" s="91"/>
      <c r="I53" s="17"/>
      <c r="J53" s="17"/>
      <c r="K53" s="17" t="s">
        <v>183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73" activePane="bottomLeft" state="frozen"/>
      <selection pane="bottomLeft" activeCell="E99" sqref="E9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194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198</v>
      </c>
      <c r="O27" s="39">
        <v>1183060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198</v>
      </c>
      <c r="O54" s="39">
        <v>959290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198</v>
      </c>
      <c r="O81" s="39">
        <v>878050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195</v>
      </c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195</v>
      </c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195</v>
      </c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195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201</v>
      </c>
      <c r="O109" s="43">
        <f>IFERROR(O95+O108,"")</f>
        <v>1704450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44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5" activePane="bottomLeft" state="frozen"/>
      <selection pane="bottomLeft" activeCell="F97" sqref="F9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198</v>
      </c>
      <c r="O27" s="78">
        <v>393200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201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198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205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97">
        <v>276360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201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198</v>
      </c>
      <c r="O81" s="54">
        <v>787860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201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>
        <v>8</v>
      </c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8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54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120</v>
      </c>
      <c r="G109" s="40">
        <f>G95+G108</f>
        <v>519.20000000000005</v>
      </c>
      <c r="H109" s="41"/>
      <c r="I109" s="41"/>
      <c r="J109" s="41"/>
      <c r="K109" s="41"/>
      <c r="L109" s="41"/>
      <c r="M109" s="42">
        <f ca="1">IFERROR(M95+M108,"")</f>
        <v>0.26180555555555557</v>
      </c>
      <c r="N109" s="40" t="s">
        <v>201</v>
      </c>
      <c r="O109" s="95">
        <f>IFERROR(O95+O108,"")</f>
        <v>577610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54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54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78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78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78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78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78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78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78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78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78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78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78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78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78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78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78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78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78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78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78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78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78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6" activePane="bottomLeft" state="frozen"/>
      <selection pane="bottomLeft" activeCell="F97" sqref="F9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198</v>
      </c>
      <c r="O27" s="39">
        <v>308500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39">
        <v>124290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198</v>
      </c>
      <c r="O81" s="39">
        <v>396340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216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>
        <v>3</v>
      </c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3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92</v>
      </c>
      <c r="G109" s="40">
        <f>G95+G108</f>
        <v>445</v>
      </c>
      <c r="H109" s="41"/>
      <c r="I109" s="41"/>
      <c r="J109" s="41"/>
      <c r="K109" s="41"/>
      <c r="L109" s="41"/>
      <c r="M109" s="42">
        <f ca="1">IFERROR(M95+M108,"")</f>
        <v>0.2013888888888889</v>
      </c>
      <c r="N109" s="40" t="s">
        <v>201</v>
      </c>
      <c r="O109" s="43">
        <f>IFERROR(O95+O108,"")</f>
        <v>536290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39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73" activePane="bottomLeft" state="frozen"/>
      <selection pane="bottomLeft" activeCell="E98" sqref="E9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198</v>
      </c>
      <c r="O27" s="39">
        <v>202230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198</v>
      </c>
      <c r="O54" s="39">
        <v>473910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221</v>
      </c>
      <c r="L58" s="29">
        <v>0.54097222222222219</v>
      </c>
      <c r="M58" s="30" t="str">
        <f t="shared" ca="1" si="13"/>
        <v/>
      </c>
      <c r="N58" s="27" t="s">
        <v>222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198</v>
      </c>
      <c r="O81" s="39">
        <v>565120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198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205</v>
      </c>
      <c r="F96" s="27">
        <v>21</v>
      </c>
      <c r="G96" s="34">
        <f t="shared" ref="G96:G107" si="21">IF(F96="","",IF(E96="PC 17",F96*4.2,IF(E96="PC 19",F96*5,"")))</f>
        <v>88.2</v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205</v>
      </c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205</v>
      </c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21</v>
      </c>
      <c r="G108" s="36">
        <f>SUM(G96:G107)</f>
        <v>88.2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164</v>
      </c>
      <c r="G109" s="40">
        <f>G95+G108</f>
        <v>791.2</v>
      </c>
      <c r="H109" s="41"/>
      <c r="I109" s="41"/>
      <c r="J109" s="41"/>
      <c r="K109" s="63"/>
      <c r="L109" s="63"/>
      <c r="M109" s="42">
        <f ca="1">IFERROR(M95+M108,"")</f>
        <v>0.1881944444444445</v>
      </c>
      <c r="N109" s="40" t="s">
        <v>201</v>
      </c>
      <c r="O109" s="48">
        <f>IFERROR(O95+O108,"")</f>
        <v>776910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201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198</v>
      </c>
      <c r="O432" s="39"/>
    </row>
    <row r="433" spans="1:17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2026-07-05T00:29:25Z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