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033" documentId="13_ncr:1_{0A10D8D4-8450-4366-8075-B53B08E6B7EA}" xr6:coauthVersionLast="47" xr6:coauthVersionMax="47" xr10:uidLastSave="{7CC02911-EDF6-4CC8-9B33-3303A32E7C8A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3" i="6" l="1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<sst xmlns="http://schemas.openxmlformats.org/spreadsheetml/2006/main" count="7035" uniqueCount="353">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</sst>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pane="bottomLeft" activeCell="F407" sqref="F40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244</v>
      </c>
      <c r="O405" s="39">
        <v>2612000</v>
      </c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248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242</v>
      </c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242</v>
      </c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242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242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242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242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242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242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242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242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242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242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2" activePane="bottomLeft" state="frozen"/>
      <selection pane="bottomLeft" activeCell="G407" sqref="G40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0.17424687499442371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0.3131357638833126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0.39785798610553491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244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248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258</v>
      </c>
      <c r="F407" s="140">
        <f>IFERROR(IF($D407="","",VLOOKUP($D407,Cadastro!$C$4:$E$7,3,FALSE)),"")</f>
        <v>0.35</v>
      </c>
      <c r="G407" s="105"/>
      <c r="H407" s="140" t="str">
        <f>IFERROR(IF($G407="","",$G407*$S$419/$G$419/Cadastro!$E$33),"")</f>
        <v/>
      </c>
      <c r="I407" s="141">
        <f>IFERROR(IF($D407="","",VLOOKUP($D407,Cadastro!$C$4:$G$7,5,FALSE)),"")</f>
        <v>0.6</v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29</v>
      </c>
      <c r="E408" s="109" t="s">
        <v>258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29</v>
      </c>
      <c r="E409" s="109" t="s">
        <v>258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29</v>
      </c>
      <c r="E410" s="109" t="s">
        <v>258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29</v>
      </c>
      <c r="E411" s="109" t="s">
        <v>258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29</v>
      </c>
      <c r="E412" s="109" t="s">
        <v>258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29</v>
      </c>
      <c r="E413" s="109" t="s">
        <v>258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29</v>
      </c>
      <c r="E414" s="109" t="s">
        <v>258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29</v>
      </c>
      <c r="E415" s="109" t="s">
        <v>258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29</v>
      </c>
      <c r="E416" s="109" t="s">
        <v>258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29</v>
      </c>
      <c r="E417" s="109" t="s">
        <v>258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29</v>
      </c>
      <c r="E418" s="109" t="s">
        <v>258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92" activePane="bottomLeft" state="frozen"/>
      <selection pane="bottomLeft" activeCell="C407" sqref="C407:C41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244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248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2" activePane="bottomLeft" state="frozen"/>
      <selection pane="bottomLeft" activeCell="M436" sqref="M43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0.66799664351856336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0.73257997685189657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244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0.79230219907411881</v>
      </c>
      <c r="R406" s="40" t="s">
        <v>248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2026-08-16T11:05:55Z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