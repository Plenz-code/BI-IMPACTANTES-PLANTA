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98" documentId="8_{AF585B22-221D-4780-BB9C-493D365A6A02}" xr6:coauthVersionLast="47" xr6:coauthVersionMax="47" xr10:uidLastSave="{9B54BA00-265E-42B8-9EDB-C3CF1936D67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<sst xmlns="http://schemas.openxmlformats.org/spreadsheetml/2006/main" count="12374" uniqueCount="442">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</sst>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F820" sqref="F82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0.14634328703687061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0.14634328703687061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0.14634328703687061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784" activePane="bottomLeft" state="frozen"/>
      <selection pane="bottomLeft" activeCell="J814" sqref="J8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0.40675995370111195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0.56439884259000084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0.674121064812223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0.38523217592592118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0.55606550925925458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0.7012043981481435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/>
      <c r="M814" s="78">
        <f ca="1">IFERROR(IF(K814="","",IF(L814="",MOD(NOW()-K814,1),IF(L814&gt;=K814,L814-K814,L814+1-K814))),"")</f>
        <v>5.0995370111195371E-4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131</v>
      </c>
      <c r="G824" s="109">
        <f>SUM(G812:G823)</f>
        <v>550.20000000000005</v>
      </c>
      <c r="H824" s="37"/>
      <c r="I824" s="37"/>
      <c r="J824" s="37"/>
      <c r="K824" s="37"/>
      <c r="L824" s="37"/>
      <c r="M824" s="110">
        <f ca="1">IFERROR(SUM(M812:M823),"")</f>
        <v>6.023217592333413E-2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131</v>
      </c>
      <c r="G838" s="111">
        <f>G824+G837</f>
        <v>550.20000000000005</v>
      </c>
      <c r="H838" s="41"/>
      <c r="I838" s="41"/>
      <c r="J838" s="41"/>
      <c r="K838" s="41"/>
      <c r="L838" s="41"/>
      <c r="M838" s="112">
        <f ca="1">IFERROR(M824+M837,"")</f>
        <v>6.023217592333413E-2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20" sqref="F8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78</v>
      </c>
      <c r="G824" s="109">
        <f>SUM(G812:G823)</f>
        <v>327.59999999999997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78</v>
      </c>
      <c r="G838" s="111">
        <f>G824+G837</f>
        <v>327.59999999999997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789" activePane="bottomLeft" state="frozen"/>
      <selection pane="bottomLeft" activeCell="F820" sqref="F82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0.39703773148357868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0.59634328703913431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0.96370439815024533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80</v>
      </c>
      <c r="G824" s="109">
        <f>SUM(G812:G823)</f>
        <v>336.00000000000006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80</v>
      </c>
      <c r="G838" s="111">
        <f>G824+G837</f>
        <v>336.00000000000006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2026-07-31T19:32:31Z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