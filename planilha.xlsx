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09" documentId="8_{AF585B22-221D-4780-BB9C-493D365A6A02}" xr6:coauthVersionLast="47" xr6:coauthVersionMax="47" xr10:uidLastSave="{F923C04D-7842-4F32-B924-E43E99F5FC1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<sst xmlns="http://schemas.openxmlformats.org/spreadsheetml/2006/main" count="2367" uniqueCount="229">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</sst>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9" activePane="bottomLeft" state="frozen"/>
      <selection pane="bottomLeft" activeCell="F100" sqref="F1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55</v>
      </c>
      <c r="G108" s="36">
        <f>SUM(G96:G107)</f>
        <v>231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167</v>
      </c>
      <c r="G109" s="40">
        <f>G95+G108</f>
        <v>750.2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0" sqref="F1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9.7352777775085997E-2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9.7352777775085997E-2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0.29874166666397489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L98" sqref="L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222</v>
      </c>
      <c r="L58" s="29">
        <v>0.54097222222222219</v>
      </c>
      <c r="M58" s="30" t="str">
        <f t="shared" ca="1" si="13"/>
        <v/>
      </c>
      <c r="N58" s="27" t="s">
        <v>223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0.86458333333333337</v>
      </c>
      <c r="M96" s="35">
        <f t="shared" ref="M96:M107" ca="1" si="22">IFERROR(IF(K96="","",IF(L96="",MOD(NOW()-K96,1),IF(L96&gt;=K96,L96-K96,L96+1-K96))),"")</f>
        <v>1.3888888888888951E-2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63</v>
      </c>
      <c r="G108" s="36">
        <f>SUM(G96:G107)</f>
        <v>264.60000000000002</v>
      </c>
      <c r="H108" s="37"/>
      <c r="I108" s="37"/>
      <c r="J108" s="37"/>
      <c r="K108" s="61"/>
      <c r="L108" s="61"/>
      <c r="M108" s="38">
        <f ca="1">IFERROR(SUM(M96:M107),"")</f>
        <v>3.3333333333333437E-2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206</v>
      </c>
      <c r="G109" s="40">
        <f>G95+G108</f>
        <v>967.6</v>
      </c>
      <c r="H109" s="41"/>
      <c r="I109" s="41"/>
      <c r="J109" s="41"/>
      <c r="K109" s="63"/>
      <c r="L109" s="63"/>
      <c r="M109" s="42">
        <f ca="1">IFERROR(M95+M108,"")</f>
        <v>0.22152777777777793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2026-07-05T03:21:44Z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