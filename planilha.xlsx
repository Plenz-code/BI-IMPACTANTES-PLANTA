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40" documentId="8_{AF585B22-221D-4780-BB9C-493D365A6A02}" xr6:coauthVersionLast="47" xr6:coauthVersionMax="47" xr10:uidLastSave="{03D2FFCD-90A5-4721-BE03-320A523CD9A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<sst xmlns="http://schemas.openxmlformats.org/spreadsheetml/2006/main" count="2145" uniqueCount="224">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</sst>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5" sqref="F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/>
      <c r="M84" s="30">
        <f t="shared" ca="1" si="19"/>
        <v>1.5411574073368683E-2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250</v>
      </c>
      <c r="H95" s="37"/>
      <c r="I95" s="37"/>
      <c r="J95" s="37"/>
      <c r="K95" s="37"/>
      <c r="L95" s="37"/>
      <c r="M95" s="38">
        <f ca="1">IFERROR(SUM(M83:M94),"")</f>
        <v>3.1383796295590904E-2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250</v>
      </c>
      <c r="H109" s="41"/>
      <c r="I109" s="41"/>
      <c r="J109" s="41"/>
      <c r="K109" s="41"/>
      <c r="L109" s="41"/>
      <c r="M109" s="42">
        <f ca="1">IFERROR(M95+M108,"")</f>
        <v>3.1383796295590904E-2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>
        <v>0.38819444444444445</v>
      </c>
      <c r="L83" s="29"/>
      <c r="M83" s="35">
        <f t="shared" ref="M83:M94" ca="1" si="19">IFERROR(IF(K83="","",IF(L83="",MOD(NOW()-K83,1),IF(L83&gt;=K83,L83-K83,L83+1-K83))),"")</f>
        <v>1.3379629672272131E-4</v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40</v>
      </c>
      <c r="G95" s="36">
        <f>SUM(G83:G94)</f>
        <v>168</v>
      </c>
      <c r="H95" s="37"/>
      <c r="I95" s="37"/>
      <c r="J95" s="37"/>
      <c r="K95" s="37"/>
      <c r="L95" s="37"/>
      <c r="M95" s="38">
        <f ca="1">IFERROR(SUM(M83:M94),"")</f>
        <v>1.3379629672272131E-4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40</v>
      </c>
      <c r="G109" s="40">
        <f>G95+G108</f>
        <v>168</v>
      </c>
      <c r="H109" s="41"/>
      <c r="I109" s="41"/>
      <c r="J109" s="41"/>
      <c r="K109" s="41"/>
      <c r="L109" s="41"/>
      <c r="M109" s="42">
        <f ca="1">IFERROR(M95+M108,"")</f>
        <v>1.3379629672272131E-4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9.6661574076279067E-2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9.6661574076279067E-2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9.6661574076279067E-2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9.6661574076279067E-2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9.6661574076279067E-2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9.6661574076279067E-2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2026-07-04T13:19:18Z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