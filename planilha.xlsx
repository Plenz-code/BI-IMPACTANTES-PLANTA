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138" documentId="8_{AF585B22-221D-4780-BB9C-493D365A6A02}" xr6:coauthVersionLast="47" xr6:coauthVersionMax="47" xr10:uidLastSave="{99083588-3671-433B-BF18-7494F15D747B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<sst xmlns="http://schemas.openxmlformats.org/spreadsheetml/2006/main" count="4730" uniqueCount="289">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</sst>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82" sqref="F282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251</v>
      </c>
      <c r="G284" s="36">
        <f>SUM(G272:G283)</f>
        <v>1255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251</v>
      </c>
      <c r="G298" s="40">
        <f>G284+G297</f>
        <v>1255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49" activePane="bottomLeft" state="frozen"/>
      <selection pane="bottomLeft" activeCell="N274" sqref="N27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250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151</v>
      </c>
      <c r="G284" s="36">
        <f>SUM(G272:G283)</f>
        <v>634.19999999999993</v>
      </c>
      <c r="H284" s="37"/>
      <c r="I284" s="37"/>
      <c r="J284" s="37"/>
      <c r="K284" s="37"/>
      <c r="L284" s="37"/>
      <c r="M284" s="38">
        <f ca="1">IFERROR(SUM(M272:M283),"")</f>
        <v>0.1555555555555555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151</v>
      </c>
      <c r="G298" s="40">
        <f>G284+G297</f>
        <v>634.19999999999993</v>
      </c>
      <c r="H298" s="41"/>
      <c r="I298" s="41"/>
      <c r="J298" s="41"/>
      <c r="K298" s="41"/>
      <c r="L298" s="41"/>
      <c r="M298" s="42">
        <f ca="1">IFERROR(M284+M297,"")</f>
        <v>0.1555555555555555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B242" zoomScale="50" zoomScaleNormal="50" workbookViewId="0">
      <selection activeCell="J278" sqref="J2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251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252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253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254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255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257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259</v>
      </c>
      <c r="N166" s="27" t="s">
        <v>260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261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262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263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/>
      <c r="M278" s="30">
        <f t="shared" ca="1" si="61"/>
        <v>5.7499999820720404E-4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61</v>
      </c>
      <c r="G284" s="36">
        <f>SUM(G272:G283)</f>
        <v>256.2</v>
      </c>
      <c r="H284" s="37"/>
      <c r="I284" s="37"/>
      <c r="J284" s="37"/>
      <c r="K284" s="37"/>
      <c r="L284" s="37"/>
      <c r="M284" s="38">
        <f ca="1">IFERROR(SUM(M272:M283),"")</f>
        <v>5.4047222220429403E-2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61</v>
      </c>
      <c r="G298" s="40">
        <f>G284+G297</f>
        <v>256.2</v>
      </c>
      <c r="H298" s="41"/>
      <c r="I298" s="41"/>
      <c r="J298" s="41"/>
      <c r="K298" s="41"/>
      <c r="L298" s="41"/>
      <c r="M298" s="42">
        <f ca="1">IFERROR(M284+M297,"")</f>
        <v>5.4047222220429403E-2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82" sqref="F28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255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268</v>
      </c>
      <c r="L58" s="29">
        <v>0.54097222222222219</v>
      </c>
      <c r="M58" s="30" t="str">
        <f t="shared" ca="1" si="13"/>
        <v/>
      </c>
      <c r="N58" s="27" t="s">
        <v>269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251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270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0.49224166666681413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0.69154722222236975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1.0589083333334808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280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281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282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283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284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285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287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288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 t="s">
        <v>20</v>
      </c>
      <c r="I273" s="33" t="s">
        <v>153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164</v>
      </c>
      <c r="G284" s="36">
        <f>SUM(G272:G283)</f>
        <v>688.80000000000007</v>
      </c>
      <c r="H284" s="37"/>
      <c r="I284" s="37"/>
      <c r="J284" s="37"/>
      <c r="K284" s="61"/>
      <c r="L284" s="61"/>
      <c r="M284" s="38">
        <f ca="1">IFERROR(SUM(M272:M283),"")</f>
        <v>1.8749999999999989E-2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164</v>
      </c>
      <c r="G298" s="40">
        <f>G284+G297</f>
        <v>688.80000000000007</v>
      </c>
      <c r="H298" s="41"/>
      <c r="I298" s="41"/>
      <c r="J298" s="41"/>
      <c r="K298" s="63"/>
      <c r="L298" s="63"/>
      <c r="M298" s="42">
        <f ca="1">IFERROR(M284+M297,"")</f>
        <v>1.8749999999999989E-2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2026-07-11T21:48:11Z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