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5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8312" documentId="8_{AF585B22-221D-4780-BB9C-493D365A6A02}" xr6:coauthVersionLast="47" xr6:coauthVersionMax="47" xr10:uidLastSave="{16067324-C7AD-4155-AA91-55846696152D}"/>
  <bookViews>
    <workbookView xWindow="-110" yWindow="-110" windowWidth="25820" windowHeight="15500" tabRatio="500" firstSheet="5" activeTab="4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412" i="4" l="1"/>
  <c r="G413" i="4"/>
  <c r="G414" i="4"/>
  <c r="F405" i="3"/>
  <c r="G313" i="3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G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<sst xmlns="http://schemas.openxmlformats.org/spreadsheetml/2006/main" count="7275" uniqueCount="344">
  <si>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</si>
  <si>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</si>
  <si>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</si>
  <si>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</si>
  <si>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</si>
  <si>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</si>
  <si>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</si>
  <si>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</si>
  <si>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</si>
  <si>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</si>
  <si>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</si>
  <si>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</si>
  <si>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</si>
  <si>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</si>
  <si>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</si>
  <si>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</si>
  <si>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</si>
  <si>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</si>
  <si>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</si>
  <si>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</si>
  <si>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</si>
  <si>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</si>
  <si>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</si>
  <si>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</si>
  <si>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</si>
  <si>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</si>
  <si>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</si>
  <si>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</si>
  <si>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</si>
  <si>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</si>
  <si>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</si>
  <si>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</si>
  <si>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</si>
  <si>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</si>
  <si>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</si>
  <si>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</si>
  <si>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</si>
  <si>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</si>
  <si>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</si>
  <si>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</si>
  <si>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</si>
  <si>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</si>
  <si>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</si>
  <si>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</si>
  <si>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</si>
  <si>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</si>
  <si>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</si>
  <si>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</si>
  <si>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</si>
  <si>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</si>
  <si>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</si>
  <si>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</si>
  <si>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</si>
  <si>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</si>
  <si>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</si>
  <si>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</si>
  <si>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</si>
  <si>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</si>
  <si>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</si>
  <si>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</si>
  <si>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</si>
  <si>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</si>
  <si>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</si>
  <si>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</si>
  <si>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</si>
  <si>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</si>
  <si>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</si>
  <si>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</si>
  <si>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</si>
  <si>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</si>
  <si>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</si>
  <si>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</si>
  <si>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</si>
  <si>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</si>
  <si>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</si>
  <si>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</si>
  <si>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</si>
  <si>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</si>
  <si>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</si>
  <si>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</si>
  <si>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</si>
  <si>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</si>
  <si>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</si>
  <si>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</si>
  <si>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</si>
  <si>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</si>
  <si>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</si>
  <si>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</si>
  <si>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</si>
  <si>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</si>
  <si>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</si>
  <si>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</si>
  <si>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</si>
  <si>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</si>
  <si>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</si>
  <si>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</si>
  <si>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</si>
  <si>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</si>
  <si>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</si>
  <si>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</si>
  <si>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</si>
  <si>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</si>
  <si>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</si>
  <si>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</si>
  <si>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</si>
  <si>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</si>
  <si>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</si>
  <si>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</si>
  <si>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</si>
  <si>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</si>
  <si>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</si>
  <si>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</si>
  <si>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</si>
  <si>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</si>
  <si>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</si>
  <si>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</si>
  <si>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</si>
  <si>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</si>
  <si>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</si>
  <si>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</si>
  <si>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</si>
  <si>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</si>
  <si>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</si>
  <si>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</si>
  <si>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</si>
  <si>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</si>
  <si>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</si>
  <si>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</si>
  <si>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</si>
  <si>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</si>
  <si>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</si>
  <si>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</si>
  <si>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</si>
  <si>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</si>
  <si>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</si>
  <si>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</si>
  <si>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</si>
  <si>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</si>
  <si>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</si>
  <si>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</si>
  <si>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</si>
  <si>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</si>
  <si>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</si>
  <si>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</si>
  <si>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</si>
  <si>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</si>
  <si>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</si>
  <si>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</si>
  <si>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</si>
  <si>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</si>
  <si>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</si>
  <si>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</si>
  <si>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</si>
  <si>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</si>
  <si>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</si>
  <si>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</si>
  <si>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</si>
  <si>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</si>
  <si>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</si>
  <si>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</si>
  <si>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</si>
  <si>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</si>
  <si>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</si>
  <si>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</si>
  <si>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</si>
  <si>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</si>
  <si>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</si>
  <si>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</si>
  <si>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</si>
  <si>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</si>
  <si>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</si>
  <si>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</si>
  <si>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</si>
  <si>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</si>
  <si>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</si>
  <si>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</si>
  <si>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</si>
  <si>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</si>
  <si>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</si>
  <si>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</si>
  <si>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</si>
  <si>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</si>
  <si>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</si>
  <si>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</si>
  <si>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</si>
  <si>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</si>
  <si>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</si>
  <si>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</si>
  <si>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</si>
  <si>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</si>
  <si>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</si>
  <si>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</si>
  <si>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</si>
  <si>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</si>
  <si>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</si>
  <si>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</si>
  <si>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</si>
  <si>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</si>
  <si>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</si>
  <si>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</si>
  <si>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</si>
  <si>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Recolocação de parafuso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</si>
  <si>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</si>
  <si>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</si>
  <si>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</si>
  <si>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</si>
  <si>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</si>
  <si>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</si>
  <si>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</si>
  <si>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</si>
  <si>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</si>
  <si>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</si>
  <si>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</si>
  <si>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</si>
  <si>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</si>
  <si>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</si>
  <si>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</si>
  <si>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</si>
  <si>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</si>
  <si>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</si>
  <si>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</si>
  <si>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</si>
  <si>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</si>
  <si>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</si>
  <si>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</si>
  <si>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</si>
  <si>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</si>
  <si>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</si>
  <si>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</si>
  <si>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</si>
  <si>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</si>
  <si>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</si>
  <si>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</si>
  <si>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</si>
  <si>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</si>
  <si>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</si>
  <si>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</si>
  <si>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</si>
  <si>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</si>
  <si>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</si>
  <si>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</si>
  <si>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</si>
  <si>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</si>
  <si>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</si>
  <si>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</si>
  <si>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</si>
  <si>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desobstrução do britador</t>
  </si>
  <si>
    <t>5;26</t>
  </si>
  <si>
    <t>obstrucao na tc 3</t>
  </si>
  <si>
    <t>troca de pino</t>
  </si>
  <si>
    <t>jogado 4 caminhões basculantes</t>
  </si>
  <si>
    <t>inspeção nos mancais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</si>
  <si>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</si>
  <si>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</si>
  <si>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</si>
  <si>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</si>
  <si>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</si>
  <si>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</si>
  <si>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</si>
  <si>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</si>
  <si>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</si>
  <si>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</si>
  <si>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</si>
  <si>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</si>
  <si>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</si>
  <si>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</si>
  <si>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</si>
  <si>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</si>
  <si>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</si>
  <si>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</si>
  <si>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</si>
  <si>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</si>
  <si>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</si>
  <si>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</si>
  <si>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</si>
  <si>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</si>
  <si>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</si>
  <si>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</si>
  <si>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</si>
  <si>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</si>
  <si>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</si>
  <si>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</si>
  <si>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</si>
  <si>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</si>
  <si>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bica, sendo colocado passarela</t>
  </si>
  <si>
    <t>instalação de passarela</t>
  </si>
  <si>
    <t xml:space="preserve">A obstrução foi devido a falha na bomba d'agua </t>
  </si>
  <si>
    <t>deso</t>
  </si>
  <si>
    <t>obstrução no moinho 2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</si>
  <si>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</si>
  <si>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</si>
  <si>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</si>
  <si>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</si>
  <si>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troca de martelo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</si>
  <si>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</si>
  <si>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</si>
  <si>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</si>
  <si>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</si>
  <si>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</si>
  <si>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</si>
  <si>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</si>
  <si>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</si>
  <si>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</si>
  <si>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</si>
  <si>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</si>
  <si>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</si>
  <si>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</si>
  <si>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</si>
  <si>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</si>
  <si>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troca de martelo, troca de motor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</si>
  <si>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</si>
  <si>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</si>
  <si>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</si>
  <si>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</si>
  <si>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</si>
  <si>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</si>
  <si>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</si>
  <si>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</si>
  <si>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</si>
  <si>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</si>
  <si>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</si>
  <si>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</si>
  <si>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</si>
  <si>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</si>
  <si>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</si>
  <si>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</si>
  <si>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</si>
  <si>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</si>
  <si>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</si>
  <si>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</si>
  <si>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</si>
  <si>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</si>
  <si>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</si>
  <si>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</si>
  <si>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</si>
  <si>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</si>
  <si>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</si>
  <si>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</si>
  <si>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</si>
  <si>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</si>
  <si>
    <t>tensionamento da correia</t>
  </si>
  <si>
    <t>reparo na bica</t>
  </si>
  <si>
    <t>adicionado 5 grelhas</t>
  </si>
  <si>
    <t>pc19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</si>
</sst>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1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L28" sqref="L28"/>
    </sheetView>
  </sheetViews>
  <sheetFormatPr defaultColWidth="8.5703125" defaultRowHeight="14.45"/>
  <cols>
    <col min="1" max="1" width="17.5703125" customWidth="1"/>
    <col min="2" max="2" width="21" style="71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5" t="s">
        <v>0</v>
      </c>
      <c r="B1" s="105"/>
      <c r="C1" s="105"/>
      <c r="D1" s="105"/>
      <c r="E1" s="105"/>
      <c r="F1" s="105"/>
      <c r="G1" s="105"/>
    </row>
    <row r="2" spans="1:7" ht="24.75" customHeight="1">
      <c r="A2" s="106"/>
      <c r="B2" s="106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4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3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4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3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4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3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4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3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4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3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4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3">
        <v>46218</v>
      </c>
      <c r="C18" s="8">
        <f>IFERROR(Britador!O406,"")</f>
        <v>2778340</v>
      </c>
      <c r="D18" s="8">
        <f>IFERROR('Linha 1'!O406,"")</f>
        <v>834390</v>
      </c>
      <c r="E18" s="8">
        <f>IFERROR('Linha 2'!O406,"")</f>
        <v>907390</v>
      </c>
      <c r="F18" s="8">
        <f>IFERROR('Linha 3'!O406,"")</f>
        <v>1523700</v>
      </c>
      <c r="G18" s="9">
        <f t="shared" si="0"/>
        <v>3265480</v>
      </c>
    </row>
    <row r="19" spans="1:7" ht="15.75" customHeight="1">
      <c r="A19" s="10">
        <v>16</v>
      </c>
      <c r="B19" s="74">
        <v>46219</v>
      </c>
      <c r="C19" s="11">
        <f>IFERROR(Britador!O433,"")</f>
        <v>3402600</v>
      </c>
      <c r="D19" s="11">
        <f>IFERROR('Linha 1'!O433,"")</f>
        <v>1184540</v>
      </c>
      <c r="E19" s="11">
        <f>IFERROR('Linha 2'!O433,"")</f>
        <v>438150</v>
      </c>
      <c r="F19" s="11">
        <f>IFERROR('Linha 3'!O433,"")</f>
        <v>1096740</v>
      </c>
      <c r="G19" s="12">
        <f t="shared" si="0"/>
        <v>2719430</v>
      </c>
    </row>
    <row r="20" spans="1:7" ht="15.75" customHeight="1">
      <c r="A20" s="7">
        <v>17</v>
      </c>
      <c r="B20" s="73">
        <v>46220</v>
      </c>
      <c r="C20" s="8">
        <f>IFERROR(Britador!O460,"")</f>
        <v>1241480</v>
      </c>
      <c r="D20" s="8">
        <f>IFERROR('Linha 1'!O460,"")</f>
        <v>739430</v>
      </c>
      <c r="E20" s="8">
        <f>IFERROR('Linha 2'!O460,"")</f>
        <v>141330</v>
      </c>
      <c r="F20" s="8">
        <f>IFERROR('Linha 3'!O460,"")</f>
        <v>738370</v>
      </c>
      <c r="G20" s="9">
        <f t="shared" si="0"/>
        <v>1619130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7" t="s">
        <v>9</v>
      </c>
      <c r="B35" s="107"/>
      <c r="C35" s="13">
        <f>IFERROR(SUM(C4:C34),"")</f>
        <v>49565442</v>
      </c>
      <c r="D35" s="13">
        <f>IFERROR(SUM(D4:D34),"")</f>
        <v>18504560</v>
      </c>
      <c r="E35" s="13">
        <f>IFERROR(SUM(E4:E34),"")</f>
        <v>11786760</v>
      </c>
      <c r="F35" s="13">
        <f>IFERROR(SUM(F4:F34),"")</f>
        <v>22776130</v>
      </c>
      <c r="G35" s="13">
        <f>IFERROR(SUM(G4:G34),"")</f>
        <v>53067450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42" zoomScale="85" zoomScaleNormal="85" workbookViewId="0">
      <selection activeCell="K71" sqref="K71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8" t="s">
        <v>10</v>
      </c>
      <c r="B1" s="108"/>
      <c r="C1" s="108"/>
      <c r="D1" s="108"/>
      <c r="E1" s="108"/>
      <c r="F1" s="108"/>
      <c r="G1" s="108"/>
      <c r="H1" s="109"/>
      <c r="I1" s="110" t="s">
        <v>11</v>
      </c>
      <c r="J1" s="110"/>
      <c r="K1" s="110"/>
      <c r="L1" s="110"/>
      <c r="M1" s="110"/>
    </row>
    <row r="2" spans="1:13" ht="4.5" customHeight="1">
      <c r="H2" s="109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9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9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9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9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9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9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9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9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9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9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9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09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09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09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09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9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09"/>
      <c r="I19" s="17"/>
      <c r="J19" s="17"/>
      <c r="K19" s="17" t="s">
        <v>115</v>
      </c>
      <c r="L19" s="17"/>
      <c r="M19" s="17" t="s">
        <v>116</v>
      </c>
    </row>
    <row r="20" spans="1:13" ht="15.75" customHeight="1">
      <c r="A20" s="16"/>
      <c r="C20" s="16"/>
      <c r="E20" s="16"/>
      <c r="G20" s="16" t="s">
        <v>117</v>
      </c>
      <c r="H20" s="109"/>
      <c r="I20" s="16"/>
      <c r="J20" s="16"/>
      <c r="K20" s="16" t="s">
        <v>118</v>
      </c>
      <c r="L20" s="16"/>
      <c r="M20" s="16" t="s">
        <v>119</v>
      </c>
    </row>
    <row r="21" spans="1:13" ht="15.75" customHeight="1">
      <c r="A21" s="17"/>
      <c r="C21" s="17"/>
      <c r="E21" s="17"/>
      <c r="G21" s="17" t="s">
        <v>120</v>
      </c>
      <c r="H21" s="109"/>
      <c r="I21" s="17"/>
      <c r="J21" s="17"/>
      <c r="K21" s="17" t="s">
        <v>121</v>
      </c>
      <c r="L21" s="17"/>
      <c r="M21" s="17" t="s">
        <v>122</v>
      </c>
    </row>
    <row r="22" spans="1:13" ht="15.75" customHeight="1">
      <c r="A22" s="16"/>
      <c r="C22" s="16"/>
      <c r="E22" s="16"/>
      <c r="G22" s="16" t="s">
        <v>123</v>
      </c>
      <c r="H22" s="109"/>
      <c r="I22" s="16"/>
      <c r="J22" s="16"/>
      <c r="K22" s="16" t="s">
        <v>124</v>
      </c>
      <c r="L22" s="16"/>
      <c r="M22" s="16" t="s">
        <v>125</v>
      </c>
    </row>
    <row r="23" spans="1:13" ht="15.75" customHeight="1">
      <c r="A23" s="17"/>
      <c r="C23" s="17"/>
      <c r="E23" s="17"/>
      <c r="G23" s="17" t="s">
        <v>126</v>
      </c>
      <c r="H23" s="109"/>
      <c r="I23" s="17"/>
      <c r="J23" s="17"/>
      <c r="K23" s="17" t="s">
        <v>127</v>
      </c>
      <c r="L23" s="17"/>
      <c r="M23" s="17" t="s">
        <v>128</v>
      </c>
    </row>
    <row r="24" spans="1:13" ht="15.75" customHeight="1">
      <c r="A24" s="16"/>
      <c r="C24" s="16"/>
      <c r="E24" s="16"/>
      <c r="G24" s="16" t="s">
        <v>129</v>
      </c>
      <c r="H24" s="109"/>
      <c r="I24" s="16"/>
      <c r="J24" s="16"/>
      <c r="K24" s="16" t="s">
        <v>130</v>
      </c>
      <c r="L24" s="16"/>
      <c r="M24" s="16" t="s">
        <v>131</v>
      </c>
    </row>
    <row r="25" spans="1:13" ht="15.75" customHeight="1">
      <c r="A25" s="17"/>
      <c r="C25" s="17"/>
      <c r="E25" s="17"/>
      <c r="G25" s="17" t="s">
        <v>132</v>
      </c>
      <c r="H25" s="109"/>
      <c r="I25" s="17"/>
      <c r="J25" s="17"/>
      <c r="K25" s="17" t="s">
        <v>133</v>
      </c>
      <c r="L25" s="17"/>
      <c r="M25" s="17" t="s">
        <v>134</v>
      </c>
    </row>
    <row r="26" spans="1:13" ht="15.75" customHeight="1">
      <c r="A26" s="16"/>
      <c r="C26" s="16"/>
      <c r="E26" s="16"/>
      <c r="G26" s="16" t="s">
        <v>135</v>
      </c>
      <c r="H26" s="109"/>
      <c r="I26" s="16"/>
      <c r="J26" s="16"/>
      <c r="K26" s="16" t="s">
        <v>136</v>
      </c>
      <c r="L26" s="16"/>
      <c r="M26" s="16"/>
    </row>
    <row r="27" spans="1:13" ht="15.75" customHeight="1">
      <c r="A27" s="17"/>
      <c r="C27" s="17"/>
      <c r="E27" s="17"/>
      <c r="G27" s="17" t="s">
        <v>137</v>
      </c>
      <c r="H27" s="109"/>
      <c r="I27" s="17"/>
      <c r="J27" s="17"/>
      <c r="K27" s="17" t="s">
        <v>128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138</v>
      </c>
      <c r="H28" s="109"/>
      <c r="I28" s="16"/>
      <c r="J28" s="16"/>
      <c r="K28" s="16" t="s">
        <v>131</v>
      </c>
      <c r="L28" s="16"/>
      <c r="M28" s="16" t="s">
        <v>139</v>
      </c>
    </row>
    <row r="29" spans="1:13" ht="15.75" customHeight="1">
      <c r="A29" s="17"/>
      <c r="C29" s="17"/>
      <c r="E29" s="17"/>
      <c r="G29" s="17" t="s">
        <v>140</v>
      </c>
      <c r="H29" s="109"/>
      <c r="I29" s="17"/>
      <c r="J29" s="17"/>
      <c r="K29" s="17" t="s">
        <v>141</v>
      </c>
      <c r="L29" s="17"/>
      <c r="M29" s="17" t="s">
        <v>142</v>
      </c>
    </row>
    <row r="30" spans="1:13" ht="15.75" customHeight="1">
      <c r="A30" s="16"/>
      <c r="C30" s="16"/>
      <c r="E30" s="16"/>
      <c r="G30" s="16" t="s">
        <v>143</v>
      </c>
      <c r="H30" s="109"/>
      <c r="I30" s="16"/>
      <c r="J30" s="16"/>
      <c r="K30" s="16" t="s">
        <v>144</v>
      </c>
      <c r="L30" s="16"/>
      <c r="M30" s="16" t="s">
        <v>145</v>
      </c>
    </row>
    <row r="31" spans="1:13" ht="15.75" customHeight="1">
      <c r="A31" s="17"/>
      <c r="C31" s="17"/>
      <c r="E31" s="17"/>
      <c r="G31" s="17" t="s">
        <v>146</v>
      </c>
      <c r="H31" s="109"/>
      <c r="I31" s="17"/>
      <c r="J31" s="17"/>
      <c r="K31" s="18" t="s">
        <v>147</v>
      </c>
      <c r="L31" s="17"/>
      <c r="M31" s="17" t="s">
        <v>148</v>
      </c>
    </row>
    <row r="32" spans="1:13" ht="15.75" customHeight="1">
      <c r="A32" s="16"/>
      <c r="C32" s="16"/>
      <c r="E32" s="16"/>
      <c r="G32" s="16" t="s">
        <v>149</v>
      </c>
      <c r="H32" s="109"/>
      <c r="I32" s="16"/>
      <c r="J32" s="16"/>
      <c r="K32" s="16" t="s">
        <v>150</v>
      </c>
      <c r="L32" s="16"/>
      <c r="M32" t="s">
        <v>151</v>
      </c>
    </row>
    <row r="33" spans="1:13" ht="15.75" customHeight="1">
      <c r="A33" s="17"/>
      <c r="C33" s="17"/>
      <c r="E33" s="17"/>
      <c r="G33" s="17" t="s">
        <v>152</v>
      </c>
      <c r="H33" s="109"/>
      <c r="I33" s="17"/>
      <c r="J33" s="17"/>
      <c r="K33" s="18" t="s">
        <v>153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154</v>
      </c>
      <c r="H34" s="109"/>
      <c r="I34" s="16"/>
      <c r="J34" s="16"/>
      <c r="K34" s="16" t="s">
        <v>79</v>
      </c>
      <c r="L34" s="16"/>
      <c r="M34" s="16" t="s">
        <v>155</v>
      </c>
    </row>
    <row r="35" spans="1:13" ht="15.75" customHeight="1">
      <c r="A35" s="17"/>
      <c r="C35" s="17"/>
      <c r="E35" s="17"/>
      <c r="G35" s="17" t="s">
        <v>156</v>
      </c>
      <c r="H35" s="109"/>
      <c r="I35" s="17"/>
      <c r="J35" s="17"/>
      <c r="K35" s="17" t="s">
        <v>157</v>
      </c>
      <c r="L35" s="17"/>
      <c r="M35" s="17" t="s">
        <v>158</v>
      </c>
    </row>
    <row r="36" spans="1:13" ht="15.75" customHeight="1">
      <c r="A36" s="16"/>
      <c r="C36" s="16"/>
      <c r="E36" s="16"/>
      <c r="G36" s="16" t="s">
        <v>159</v>
      </c>
      <c r="H36" s="109"/>
      <c r="I36" s="16"/>
      <c r="J36" s="16"/>
      <c r="K36" s="16" t="s">
        <v>160</v>
      </c>
      <c r="L36" s="16"/>
      <c r="M36" s="16" t="s">
        <v>161</v>
      </c>
    </row>
    <row r="37" spans="1:13" ht="15.75" customHeight="1">
      <c r="A37" s="17"/>
      <c r="C37" s="17"/>
      <c r="E37" s="17"/>
      <c r="G37" s="17" t="s">
        <v>162</v>
      </c>
      <c r="H37" s="109"/>
      <c r="I37" s="17"/>
      <c r="J37" s="17"/>
      <c r="K37" s="17" t="s">
        <v>163</v>
      </c>
      <c r="L37" s="17"/>
      <c r="M37" s="17" t="s">
        <v>164</v>
      </c>
    </row>
    <row r="38" spans="1:13" ht="15.75" customHeight="1">
      <c r="A38" s="16"/>
      <c r="C38" s="16"/>
      <c r="E38" s="16"/>
      <c r="G38" s="16" t="s">
        <v>165</v>
      </c>
      <c r="H38" s="109"/>
      <c r="I38" s="16"/>
      <c r="J38" s="16"/>
      <c r="K38" s="16" t="s">
        <v>166</v>
      </c>
      <c r="L38" s="16"/>
      <c r="M38" s="16" t="s">
        <v>167</v>
      </c>
    </row>
    <row r="39" spans="1:13" ht="15.75" customHeight="1">
      <c r="A39" s="17"/>
      <c r="C39" s="17"/>
      <c r="E39" s="17"/>
      <c r="G39" s="17"/>
      <c r="H39" s="109"/>
      <c r="I39" s="17"/>
      <c r="J39" s="17"/>
      <c r="K39" s="17" t="s">
        <v>168</v>
      </c>
      <c r="L39" s="17"/>
      <c r="M39" s="17" t="s">
        <v>169</v>
      </c>
    </row>
    <row r="40" spans="1:13" ht="15.75" customHeight="1">
      <c r="A40" s="16"/>
      <c r="C40" s="16"/>
      <c r="E40" s="16"/>
      <c r="G40" s="16"/>
      <c r="H40" s="109"/>
      <c r="I40" s="16"/>
      <c r="J40" s="16"/>
      <c r="K40" s="16" t="s">
        <v>170</v>
      </c>
      <c r="L40" s="16"/>
      <c r="M40" s="16" t="s">
        <v>171</v>
      </c>
    </row>
    <row r="41" spans="1:13" ht="15.75" customHeight="1">
      <c r="A41" s="17"/>
      <c r="C41" s="17"/>
      <c r="E41" s="17"/>
      <c r="G41" s="17"/>
      <c r="H41" s="109"/>
      <c r="I41" s="17"/>
      <c r="J41" s="17"/>
      <c r="K41" s="17" t="s">
        <v>172</v>
      </c>
      <c r="L41" s="17"/>
      <c r="M41" s="17" t="s">
        <v>173</v>
      </c>
    </row>
    <row r="42" spans="1:13" ht="15.75" customHeight="1">
      <c r="A42" s="16"/>
      <c r="C42" s="16"/>
      <c r="E42" s="16"/>
      <c r="G42" s="16"/>
      <c r="H42" s="109"/>
      <c r="I42" s="16"/>
      <c r="J42" s="16"/>
      <c r="K42" s="16" t="s">
        <v>174</v>
      </c>
      <c r="L42" s="16"/>
      <c r="M42" s="16" t="s">
        <v>175</v>
      </c>
    </row>
    <row r="43" spans="1:13" ht="15.75" customHeight="1">
      <c r="A43" s="17"/>
      <c r="C43" s="17"/>
      <c r="E43" s="17"/>
      <c r="G43" s="17"/>
      <c r="H43" s="109"/>
      <c r="I43" s="17"/>
      <c r="J43" s="17"/>
      <c r="K43" s="17" t="s">
        <v>176</v>
      </c>
      <c r="L43" s="17"/>
      <c r="M43" s="17" t="s">
        <v>177</v>
      </c>
    </row>
    <row r="44" spans="1:13" ht="15.75" customHeight="1">
      <c r="A44" s="16"/>
      <c r="C44" s="16"/>
      <c r="E44" s="16"/>
      <c r="G44" s="16"/>
      <c r="H44" s="109"/>
      <c r="I44" s="16"/>
      <c r="J44" s="16"/>
      <c r="K44" s="16" t="s">
        <v>178</v>
      </c>
      <c r="L44" s="16"/>
      <c r="M44" s="16" t="s">
        <v>179</v>
      </c>
    </row>
    <row r="45" spans="1:13" ht="15.75" customHeight="1">
      <c r="A45" s="17"/>
      <c r="C45" s="17"/>
      <c r="E45" s="17"/>
      <c r="G45" s="17"/>
      <c r="H45" s="109"/>
      <c r="I45" s="17"/>
      <c r="J45" s="17"/>
      <c r="K45" s="17"/>
      <c r="L45" s="17"/>
      <c r="M45" s="17" t="s">
        <v>180</v>
      </c>
    </row>
    <row r="46" spans="1:13" ht="15.75" customHeight="1">
      <c r="A46" s="16"/>
      <c r="C46" s="16"/>
      <c r="E46" s="16"/>
      <c r="G46" s="16"/>
      <c r="H46" s="109"/>
      <c r="I46" s="16"/>
      <c r="J46" s="16"/>
      <c r="K46" s="16" t="s">
        <v>181</v>
      </c>
      <c r="L46" s="16"/>
      <c r="M46" s="16" t="s">
        <v>182</v>
      </c>
    </row>
    <row r="47" spans="1:13" ht="15.75" customHeight="1">
      <c r="A47" s="17"/>
      <c r="C47" s="17"/>
      <c r="E47" s="17"/>
      <c r="G47" s="17"/>
      <c r="H47" s="109"/>
      <c r="I47" s="17"/>
      <c r="J47" s="17"/>
      <c r="K47" s="17" t="s">
        <v>183</v>
      </c>
      <c r="L47" s="17"/>
      <c r="M47" s="17" t="s">
        <v>184</v>
      </c>
    </row>
    <row r="48" spans="1:13" ht="15.75" customHeight="1">
      <c r="A48" s="16"/>
      <c r="C48" s="16"/>
      <c r="E48" s="16"/>
      <c r="G48" s="16"/>
      <c r="H48" s="109"/>
      <c r="I48" s="16"/>
      <c r="J48" s="16"/>
      <c r="K48" s="16" t="s">
        <v>185</v>
      </c>
      <c r="L48" s="16"/>
      <c r="M48" s="16" t="s">
        <v>186</v>
      </c>
    </row>
    <row r="49" spans="1:13" ht="18" customHeight="1">
      <c r="H49" s="109"/>
      <c r="I49" s="17"/>
      <c r="J49" s="17"/>
      <c r="K49" s="17" t="s">
        <v>187</v>
      </c>
      <c r="L49" s="17"/>
      <c r="M49" s="17" t="s">
        <v>188</v>
      </c>
    </row>
    <row r="50" spans="1:13" ht="21" customHeight="1">
      <c r="A50" s="19" t="s">
        <v>189</v>
      </c>
      <c r="B50" s="19"/>
      <c r="C50" s="19"/>
      <c r="D50" s="19"/>
      <c r="E50" s="19"/>
      <c r="F50" s="19"/>
      <c r="G50" s="19"/>
      <c r="H50" s="109"/>
      <c r="I50" s="16"/>
      <c r="J50" s="16"/>
      <c r="K50" s="16" t="s">
        <v>190</v>
      </c>
      <c r="L50" s="16"/>
      <c r="M50" s="16" t="s">
        <v>191</v>
      </c>
    </row>
    <row r="51" spans="1:13" ht="24" customHeight="1">
      <c r="H51" s="109"/>
      <c r="I51" s="17"/>
      <c r="J51" s="17"/>
      <c r="K51" s="17" t="s">
        <v>192</v>
      </c>
      <c r="L51" s="17"/>
      <c r="M51" s="17" t="s">
        <v>193</v>
      </c>
    </row>
    <row r="52" spans="1:13" ht="24" customHeight="1">
      <c r="H52" s="109"/>
      <c r="I52" s="16"/>
      <c r="J52" s="16"/>
      <c r="K52" s="16" t="s">
        <v>194</v>
      </c>
      <c r="L52" s="16"/>
      <c r="M52" s="16" t="s">
        <v>195</v>
      </c>
    </row>
    <row r="53" spans="1:13" ht="36" customHeight="1">
      <c r="H53" s="109"/>
      <c r="I53" s="17"/>
      <c r="J53" s="17"/>
      <c r="K53" s="17" t="s">
        <v>196</v>
      </c>
      <c r="L53" s="17"/>
      <c r="M53" s="17" t="s">
        <v>197</v>
      </c>
    </row>
    <row r="54" spans="1:13" ht="15" customHeight="1">
      <c r="H54" s="109"/>
      <c r="I54" s="16"/>
      <c r="J54" s="16"/>
      <c r="K54" s="16" t="s">
        <v>198</v>
      </c>
      <c r="L54" s="16"/>
      <c r="M54" s="16" t="s">
        <v>199</v>
      </c>
    </row>
    <row r="55" spans="1:13" ht="15" customHeight="1">
      <c r="H55" s="109"/>
      <c r="I55" s="17"/>
      <c r="J55" s="17"/>
      <c r="K55" s="17" t="s">
        <v>200</v>
      </c>
      <c r="L55" s="17"/>
      <c r="M55" s="17"/>
    </row>
    <row r="56" spans="1:13" ht="15" customHeight="1">
      <c r="H56" s="109"/>
      <c r="I56" s="16"/>
      <c r="J56" s="16"/>
      <c r="K56" s="16" t="s">
        <v>201</v>
      </c>
      <c r="L56" s="16"/>
      <c r="M56" s="16"/>
    </row>
    <row r="57" spans="1:13" ht="15" customHeight="1">
      <c r="H57" s="109"/>
      <c r="I57" s="17"/>
      <c r="J57" s="17"/>
      <c r="K57" s="17" t="s">
        <v>50</v>
      </c>
      <c r="L57" s="17"/>
      <c r="M57" s="17"/>
    </row>
    <row r="58" spans="1:13" ht="15" customHeight="1">
      <c r="H58" s="109"/>
      <c r="I58" s="16"/>
      <c r="J58" s="16"/>
      <c r="K58" s="16" t="s">
        <v>202</v>
      </c>
      <c r="L58" s="16"/>
      <c r="M58" s="16"/>
    </row>
    <row r="59" spans="1:13" ht="15" customHeight="1">
      <c r="H59" s="109"/>
      <c r="I59" s="17"/>
      <c r="J59" s="17"/>
      <c r="K59" s="17" t="s">
        <v>203</v>
      </c>
      <c r="L59" s="17"/>
      <c r="M59" s="17"/>
    </row>
    <row r="60" spans="1:13" ht="15" customHeight="1">
      <c r="H60" s="109"/>
      <c r="I60" s="16"/>
      <c r="J60" s="16"/>
      <c r="K60" s="87" t="s">
        <v>105</v>
      </c>
      <c r="L60" s="16"/>
      <c r="M60" s="16"/>
    </row>
    <row r="61" spans="1:13" ht="15" customHeight="1">
      <c r="H61" s="109"/>
      <c r="I61" s="17"/>
      <c r="J61" s="17"/>
      <c r="K61" s="17" t="s">
        <v>204</v>
      </c>
      <c r="L61" s="17"/>
      <c r="M61" s="17"/>
    </row>
    <row r="62" spans="1:13" ht="15" customHeight="1">
      <c r="H62" s="109"/>
      <c r="I62" s="16"/>
      <c r="J62" s="16"/>
      <c r="K62" s="16" t="s">
        <v>205</v>
      </c>
      <c r="L62" s="16"/>
      <c r="M62" s="16"/>
    </row>
    <row r="63" spans="1:13" ht="15" customHeight="1">
      <c r="H63" s="109"/>
      <c r="I63" s="17"/>
      <c r="J63" s="17"/>
      <c r="K63" s="17" t="s">
        <v>206</v>
      </c>
      <c r="L63" s="17"/>
      <c r="M63" s="17"/>
    </row>
    <row r="64" spans="1:13" ht="15" customHeight="1">
      <c r="H64" s="109"/>
      <c r="I64" s="16"/>
      <c r="J64" s="16"/>
      <c r="K64" s="16" t="s">
        <v>207</v>
      </c>
      <c r="L64" s="16"/>
      <c r="M64" s="16"/>
    </row>
    <row r="65" spans="8:13" ht="15" customHeight="1">
      <c r="H65" s="109"/>
      <c r="I65" s="17"/>
      <c r="J65" s="17"/>
      <c r="K65" s="17" t="s">
        <v>208</v>
      </c>
      <c r="L65" s="17"/>
      <c r="M65" s="17"/>
    </row>
    <row r="66" spans="8:13" ht="15" customHeight="1">
      <c r="H66" s="109"/>
      <c r="I66" s="16"/>
      <c r="J66" s="16"/>
      <c r="K66" s="16" t="s">
        <v>209</v>
      </c>
      <c r="L66" s="16"/>
      <c r="M66" s="16"/>
    </row>
    <row r="67" spans="8:13" ht="15" customHeight="1">
      <c r="H67" s="109"/>
      <c r="I67" s="17"/>
      <c r="J67" s="17"/>
      <c r="K67" s="17" t="s">
        <v>210</v>
      </c>
      <c r="L67" s="17"/>
      <c r="M67" s="17"/>
    </row>
    <row r="68" spans="8:13" ht="15" customHeight="1">
      <c r="H68" s="109"/>
      <c r="I68" s="16"/>
      <c r="J68" s="16"/>
      <c r="K68" s="16" t="s">
        <v>211</v>
      </c>
      <c r="L68" s="16"/>
      <c r="M68" s="16"/>
    </row>
    <row r="69" spans="8:13" ht="15" customHeight="1">
      <c r="H69" s="109"/>
      <c r="I69" s="17"/>
      <c r="J69" s="17"/>
      <c r="K69" s="17" t="s">
        <v>212</v>
      </c>
      <c r="L69" s="17"/>
      <c r="M69" s="17"/>
    </row>
    <row r="70" spans="8:13" ht="15" customHeight="1">
      <c r="H70" s="109"/>
      <c r="I70" s="16"/>
      <c r="J70" s="16"/>
      <c r="K70" s="16" t="s">
        <v>213</v>
      </c>
      <c r="L70" s="16"/>
      <c r="M70" s="16"/>
    </row>
    <row r="71" spans="8:13" ht="15" customHeight="1">
      <c r="H71" s="109"/>
      <c r="I71" s="17"/>
      <c r="J71" s="17"/>
      <c r="K71" s="17"/>
      <c r="L71" s="17"/>
      <c r="M71" s="17"/>
    </row>
    <row r="72" spans="8:13" ht="15" customHeight="1">
      <c r="H72" s="109"/>
      <c r="I72" s="16"/>
      <c r="J72" s="16"/>
      <c r="K72" s="16"/>
      <c r="L72" s="16"/>
      <c r="M72" s="16"/>
    </row>
    <row r="73" spans="8:13" ht="15" customHeight="1">
      <c r="H73" s="109"/>
      <c r="I73" s="17"/>
      <c r="J73" s="17"/>
      <c r="K73" s="17"/>
      <c r="L73" s="17"/>
      <c r="M73" s="17"/>
    </row>
    <row r="74" spans="8:13" ht="15" customHeight="1">
      <c r="H74" s="109"/>
      <c r="I74" s="16"/>
      <c r="J74" s="16"/>
      <c r="K74" s="16"/>
      <c r="L74" s="16"/>
      <c r="M74" s="16"/>
    </row>
    <row r="75" spans="8:13" ht="15" customHeight="1">
      <c r="H75" s="109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2"/>
  <sheetViews>
    <sheetView showGridLines="0" zoomScale="60" zoomScaleNormal="60" workbookViewId="0">
      <pane ySplit="1" topLeftCell="A434" activePane="bottomLeft" state="frozen"/>
      <selection pane="bottomLeft" activeCell="F449" sqref="F449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46" style="20" customWidth="1"/>
    <col min="15" max="15" width="14" customWidth="1"/>
  </cols>
  <sheetData>
    <row r="1" spans="1:15" ht="37.5" customHeight="1">
      <c r="A1" s="68" t="s">
        <v>7</v>
      </c>
      <c r="B1" s="23" t="s">
        <v>214</v>
      </c>
      <c r="C1" s="23" t="s">
        <v>12</v>
      </c>
      <c r="D1" s="22" t="s">
        <v>13</v>
      </c>
      <c r="E1" s="22" t="s">
        <v>215</v>
      </c>
      <c r="F1" s="23" t="s">
        <v>216</v>
      </c>
      <c r="G1" s="23" t="s">
        <v>217</v>
      </c>
      <c r="H1" s="23" t="s">
        <v>14</v>
      </c>
      <c r="I1" s="23" t="s">
        <v>15</v>
      </c>
      <c r="J1" s="23" t="s">
        <v>218</v>
      </c>
      <c r="K1" s="23" t="s">
        <v>219</v>
      </c>
      <c r="L1" s="23" t="s">
        <v>220</v>
      </c>
      <c r="M1" s="24" t="s">
        <v>221</v>
      </c>
      <c r="N1" s="23" t="s">
        <v>222</v>
      </c>
      <c r="O1" s="23" t="s">
        <v>223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224</v>
      </c>
      <c r="E2" s="59" t="s">
        <v>225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226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225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142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225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225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225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225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225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225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225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225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225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225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9" t="s">
        <v>227</v>
      </c>
      <c r="B14" s="100"/>
      <c r="C14" s="100"/>
      <c r="D14" s="100"/>
      <c r="E14" s="101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228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225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225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225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225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225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225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225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225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225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225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225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225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9" t="s">
        <v>229</v>
      </c>
      <c r="B27" s="100"/>
      <c r="C27" s="100"/>
      <c r="D27" s="100"/>
      <c r="E27" s="101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228</v>
      </c>
      <c r="O27" s="39">
        <v>1183060</v>
      </c>
    </row>
    <row r="28" spans="1:15" ht="18" customHeight="1">
      <c r="A28" s="102" t="s">
        <v>230</v>
      </c>
      <c r="B28" s="103"/>
      <c r="C28" s="103"/>
      <c r="D28" s="103"/>
      <c r="E28" s="104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231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225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225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183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232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225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225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225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225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225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225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225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225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225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225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9" t="s">
        <v>227</v>
      </c>
      <c r="B41" s="100"/>
      <c r="C41" s="100"/>
      <c r="D41" s="100"/>
      <c r="E41" s="101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228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225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225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225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225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225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225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225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225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225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225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225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225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9" t="s">
        <v>229</v>
      </c>
      <c r="B54" s="100"/>
      <c r="C54" s="100"/>
      <c r="D54" s="100"/>
      <c r="E54" s="101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228</v>
      </c>
      <c r="O54" s="39">
        <v>959290</v>
      </c>
    </row>
    <row r="55" spans="1:15" ht="18" customHeight="1">
      <c r="A55" s="102" t="s">
        <v>230</v>
      </c>
      <c r="B55" s="103"/>
      <c r="C55" s="103"/>
      <c r="D55" s="103"/>
      <c r="E55" s="104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231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225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225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225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225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225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225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225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225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225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225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225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225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9" t="s">
        <v>227</v>
      </c>
      <c r="B68" s="100"/>
      <c r="C68" s="100"/>
      <c r="D68" s="100"/>
      <c r="E68" s="101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228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225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180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225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131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233</v>
      </c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225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225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225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225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225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225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225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225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225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225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9" t="s">
        <v>229</v>
      </c>
      <c r="B81" s="100"/>
      <c r="C81" s="100"/>
      <c r="D81" s="100"/>
      <c r="E81" s="101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228</v>
      </c>
      <c r="O81" s="39">
        <v>878050</v>
      </c>
    </row>
    <row r="82" spans="1:15" ht="18" customHeight="1">
      <c r="A82" s="102" t="s">
        <v>230</v>
      </c>
      <c r="B82" s="103"/>
      <c r="C82" s="103"/>
      <c r="D82" s="103"/>
      <c r="E82" s="104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231</v>
      </c>
      <c r="O82" s="43">
        <f>IFERROR(O68+O81,"")</f>
        <v>2831180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225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166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234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225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225</v>
      </c>
      <c r="F85" s="27">
        <v>0</v>
      </c>
      <c r="G85" s="28">
        <f t="shared" si="18"/>
        <v>0</v>
      </c>
      <c r="H85" s="33" t="s">
        <v>20</v>
      </c>
      <c r="I85" s="33" t="s">
        <v>143</v>
      </c>
      <c r="J85" s="33" t="s">
        <v>128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225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192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225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225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225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225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225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225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225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225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9" t="s">
        <v>227</v>
      </c>
      <c r="B95" s="100"/>
      <c r="C95" s="100"/>
      <c r="D95" s="100"/>
      <c r="E95" s="101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228</v>
      </c>
      <c r="O95" s="39">
        <v>1704450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235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9" t="s">
        <v>229</v>
      </c>
      <c r="B108" s="100"/>
      <c r="C108" s="100"/>
      <c r="D108" s="100"/>
      <c r="E108" s="101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228</v>
      </c>
      <c r="O108" s="39">
        <v>1700000</v>
      </c>
    </row>
    <row r="109" spans="1:15" ht="18" customHeight="1">
      <c r="A109" s="102" t="s">
        <v>230</v>
      </c>
      <c r="B109" s="103"/>
      <c r="C109" s="103"/>
      <c r="D109" s="103"/>
      <c r="E109" s="104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231</v>
      </c>
      <c r="O109" s="43">
        <f>IFERROR(O95+O108,"")</f>
        <v>3404450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225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200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225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225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225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225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225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225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225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225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225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225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225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9" t="s">
        <v>227</v>
      </c>
      <c r="B122" s="100"/>
      <c r="C122" s="100"/>
      <c r="D122" s="100"/>
      <c r="E122" s="101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228</v>
      </c>
      <c r="O122" s="39">
        <v>1625420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186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225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188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9" t="s">
        <v>229</v>
      </c>
      <c r="B135" s="100"/>
      <c r="C135" s="100"/>
      <c r="D135" s="100"/>
      <c r="E135" s="101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228</v>
      </c>
      <c r="O135" s="39">
        <v>862330</v>
      </c>
    </row>
    <row r="136" spans="1:15" ht="18" customHeight="1">
      <c r="A136" s="102" t="s">
        <v>230</v>
      </c>
      <c r="B136" s="103"/>
      <c r="C136" s="103"/>
      <c r="D136" s="103"/>
      <c r="E136" s="104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231</v>
      </c>
      <c r="O136" s="43">
        <f>IFERROR(O122+O135,"")</f>
        <v>2487750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225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186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225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225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225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225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225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225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225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225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225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225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225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227</v>
      </c>
      <c r="B149" s="100"/>
      <c r="C149" s="100"/>
      <c r="D149" s="100"/>
      <c r="E149" s="101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228</v>
      </c>
      <c r="O149" s="44">
        <v>1121220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225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163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225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142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225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225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225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225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225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225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225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225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225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225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229</v>
      </c>
      <c r="B162" s="100"/>
      <c r="C162" s="100"/>
      <c r="D162" s="100"/>
      <c r="E162" s="101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228</v>
      </c>
      <c r="O162" s="44">
        <v>1546080</v>
      </c>
    </row>
    <row r="163" spans="1:15" ht="18" customHeight="1">
      <c r="A163" s="102" t="s">
        <v>230</v>
      </c>
      <c r="B163" s="103"/>
      <c r="C163" s="103"/>
      <c r="D163" s="103"/>
      <c r="E163" s="104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231</v>
      </c>
      <c r="O163" s="43">
        <f>IFERROR(O149+O162,"")</f>
        <v>2667300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225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127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225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225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225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225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225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225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225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225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225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225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225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227</v>
      </c>
      <c r="B176" s="100"/>
      <c r="C176" s="100"/>
      <c r="D176" s="100"/>
      <c r="E176" s="101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228</v>
      </c>
      <c r="O176" s="39">
        <v>1946430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225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225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225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225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225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225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225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225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225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225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225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225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229</v>
      </c>
      <c r="B189" s="100"/>
      <c r="C189" s="100"/>
      <c r="D189" s="100"/>
      <c r="E189" s="101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228</v>
      </c>
      <c r="O189" s="39">
        <v>2355810</v>
      </c>
    </row>
    <row r="190" spans="1:15" ht="18" customHeight="1">
      <c r="A190" s="102" t="s">
        <v>230</v>
      </c>
      <c r="B190" s="103"/>
      <c r="C190" s="103"/>
      <c r="D190" s="103"/>
      <c r="E190" s="104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231</v>
      </c>
      <c r="O190" s="43">
        <f>IFERROR(O176+O189,"")</f>
        <v>4302240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30</v>
      </c>
      <c r="E191" s="62" t="s">
        <v>225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225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225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225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225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225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225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225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225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225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225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225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227</v>
      </c>
      <c r="B203" s="100"/>
      <c r="C203" s="100"/>
      <c r="D203" s="100"/>
      <c r="E203" s="101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228</v>
      </c>
      <c r="O203" s="45">
        <v>1895110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225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225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153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225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225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225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225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225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225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225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225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225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225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9" t="s">
        <v>229</v>
      </c>
      <c r="B216" s="100"/>
      <c r="C216" s="100"/>
      <c r="D216" s="100"/>
      <c r="E216" s="101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228</v>
      </c>
      <c r="O216" s="45">
        <v>2013260</v>
      </c>
    </row>
    <row r="217" spans="1:15" ht="18" customHeight="1">
      <c r="A217" s="102" t="s">
        <v>230</v>
      </c>
      <c r="B217" s="103"/>
      <c r="C217" s="103"/>
      <c r="D217" s="103"/>
      <c r="E217" s="104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231</v>
      </c>
      <c r="O217" s="48">
        <f>IFERROR(O203+O216,"")</f>
        <v>3908370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225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236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225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225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225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225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225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225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225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225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225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225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225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9" t="s">
        <v>227</v>
      </c>
      <c r="B230" s="100"/>
      <c r="C230" s="100"/>
      <c r="D230" s="100"/>
      <c r="E230" s="101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228</v>
      </c>
      <c r="O230" s="39">
        <v>1436170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225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186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225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225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225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225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225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225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225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225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225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225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225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9" t="s">
        <v>229</v>
      </c>
      <c r="B243" s="100"/>
      <c r="C243" s="100"/>
      <c r="D243" s="100"/>
      <c r="E243" s="101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228</v>
      </c>
      <c r="O243" s="39">
        <v>1545480</v>
      </c>
    </row>
    <row r="244" spans="1:15" ht="18" customHeight="1">
      <c r="A244" s="102" t="s">
        <v>230</v>
      </c>
      <c r="B244" s="103"/>
      <c r="C244" s="103"/>
      <c r="D244" s="103"/>
      <c r="E244" s="104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231</v>
      </c>
      <c r="O244" s="48">
        <f>IFERROR(O230+O243,"")</f>
        <v>2981650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225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163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237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225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225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225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225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225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225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225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225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225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225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225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9" t="s">
        <v>227</v>
      </c>
      <c r="B257" s="100"/>
      <c r="C257" s="100"/>
      <c r="D257" s="100"/>
      <c r="E257" s="101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228</v>
      </c>
      <c r="O257" s="39">
        <v>2070060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225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225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225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225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225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225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225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225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225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225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225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225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9" t="s">
        <v>229</v>
      </c>
      <c r="B270" s="100"/>
      <c r="C270" s="100"/>
      <c r="D270" s="100"/>
      <c r="E270" s="101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228</v>
      </c>
      <c r="O270" s="39">
        <v>1182690</v>
      </c>
    </row>
    <row r="271" spans="1:15" ht="18" customHeight="1">
      <c r="A271" s="102" t="s">
        <v>230</v>
      </c>
      <c r="B271" s="103"/>
      <c r="C271" s="103"/>
      <c r="D271" s="103"/>
      <c r="E271" s="104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231</v>
      </c>
      <c r="O271" s="48">
        <f>IFERROR(O257+O270,"")</f>
        <v>3252750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225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225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225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225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225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225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225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225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225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225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225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225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9" t="s">
        <v>227</v>
      </c>
      <c r="B284" s="100"/>
      <c r="C284" s="100"/>
      <c r="D284" s="100"/>
      <c r="E284" s="101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228</v>
      </c>
      <c r="O284" s="39">
        <v>2448000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225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238</v>
      </c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225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225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225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225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239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225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239</v>
      </c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225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239</v>
      </c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225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239</v>
      </c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225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239</v>
      </c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225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239</v>
      </c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225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239</v>
      </c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225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239</v>
      </c>
      <c r="O296" s="47"/>
    </row>
    <row r="297" spans="1:15" ht="15.75" customHeight="1">
      <c r="A297" s="99" t="s">
        <v>229</v>
      </c>
      <c r="B297" s="100"/>
      <c r="C297" s="100"/>
      <c r="D297" s="100"/>
      <c r="E297" s="101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228</v>
      </c>
      <c r="O297" s="39">
        <v>1843460</v>
      </c>
    </row>
    <row r="298" spans="1:15" ht="18" customHeight="1">
      <c r="A298" s="102" t="s">
        <v>230</v>
      </c>
      <c r="B298" s="103"/>
      <c r="C298" s="103"/>
      <c r="D298" s="103"/>
      <c r="E298" s="104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231</v>
      </c>
      <c r="O298" s="48">
        <f>IFERROR(O284+O297,"")</f>
        <v>4291460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225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127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240</v>
      </c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225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112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225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131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241</v>
      </c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225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225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225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225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225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225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225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225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225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9" t="s">
        <v>227</v>
      </c>
      <c r="B311" s="100"/>
      <c r="C311" s="100"/>
      <c r="D311" s="100"/>
      <c r="E311" s="101">
        <f>SUM(E299:E310)</f>
        <v>0</v>
      </c>
      <c r="F311" s="36">
        <f>SUM(F299:F310)</f>
        <v>217</v>
      </c>
      <c r="G311" s="91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228</v>
      </c>
      <c r="O311" s="39">
        <v>955688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225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242</v>
      </c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242</v>
      </c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225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242</v>
      </c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242</v>
      </c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242</v>
      </c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225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242</v>
      </c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9" t="s">
        <v>229</v>
      </c>
      <c r="B324" s="100"/>
      <c r="C324" s="100"/>
      <c r="D324" s="100"/>
      <c r="E324" s="101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228</v>
      </c>
      <c r="O324" s="39">
        <v>1940000</v>
      </c>
    </row>
    <row r="325" spans="1:15" ht="18" customHeight="1">
      <c r="A325" s="102" t="s">
        <v>230</v>
      </c>
      <c r="B325" s="103"/>
      <c r="C325" s="103"/>
      <c r="D325" s="103"/>
      <c r="E325" s="104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231</v>
      </c>
      <c r="O325" s="48">
        <f>IFERROR(O311+O324,"")</f>
        <v>2895688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9" t="s">
        <v>225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131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243</v>
      </c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225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225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225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225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225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225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225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225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225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225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225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9" t="s">
        <v>227</v>
      </c>
      <c r="B338" s="100"/>
      <c r="C338" s="100"/>
      <c r="D338" s="100"/>
      <c r="E338" s="101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228</v>
      </c>
      <c r="O338" s="39">
        <v>1525000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225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225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225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176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225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176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225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225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225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225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225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225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225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225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9" t="s">
        <v>229</v>
      </c>
      <c r="B351" s="100"/>
      <c r="C351" s="100"/>
      <c r="D351" s="100"/>
      <c r="E351" s="101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228</v>
      </c>
      <c r="O351" s="39">
        <v>701874</v>
      </c>
    </row>
    <row r="352" spans="1:15" ht="18" customHeight="1">
      <c r="A352" s="102" t="s">
        <v>230</v>
      </c>
      <c r="B352" s="103"/>
      <c r="C352" s="103"/>
      <c r="D352" s="103"/>
      <c r="E352" s="104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231</v>
      </c>
      <c r="O352" s="48">
        <f>IFERROR(O338+O351,"")</f>
        <v>2226874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225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180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244</v>
      </c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225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186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225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225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225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225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225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225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225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225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225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225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9" t="s">
        <v>227</v>
      </c>
      <c r="B365" s="100"/>
      <c r="C365" s="100"/>
      <c r="D365" s="100"/>
      <c r="E365" s="101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228</v>
      </c>
      <c r="O365" s="39">
        <v>2064210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30</v>
      </c>
      <c r="E366" s="59" t="s">
        <v>225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186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225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186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225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225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225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225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225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225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225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225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225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225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9" t="s">
        <v>229</v>
      </c>
      <c r="B378" s="100"/>
      <c r="C378" s="100"/>
      <c r="D378" s="100"/>
      <c r="E378" s="101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228</v>
      </c>
      <c r="O378" s="39">
        <v>1088710</v>
      </c>
    </row>
    <row r="379" spans="1:15" ht="18" customHeight="1">
      <c r="A379" s="102" t="s">
        <v>230</v>
      </c>
      <c r="B379" s="103"/>
      <c r="C379" s="103"/>
      <c r="D379" s="103"/>
      <c r="E379" s="104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231</v>
      </c>
      <c r="O379" s="48">
        <f>IFERROR(O365+O378,"")</f>
        <v>3152920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30</v>
      </c>
      <c r="E380" s="59" t="s">
        <v>225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208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225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245</v>
      </c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225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>
        <v>0.62361111111111112</v>
      </c>
      <c r="M382" s="30">
        <f t="shared" ca="1" si="85"/>
        <v>7.986111111111116E-2</v>
      </c>
      <c r="N382" s="46" t="s">
        <v>246</v>
      </c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225</v>
      </c>
      <c r="F383" s="27">
        <v>20</v>
      </c>
      <c r="G383" s="34">
        <f t="shared" si="84"/>
        <v>100</v>
      </c>
      <c r="H383" s="33" t="s">
        <v>17</v>
      </c>
      <c r="I383" s="33" t="s">
        <v>23</v>
      </c>
      <c r="J383" s="33" t="s">
        <v>110</v>
      </c>
      <c r="K383" s="29">
        <v>0.74652777777777779</v>
      </c>
      <c r="L383" s="29">
        <v>0.75347222222222221</v>
      </c>
      <c r="M383" s="35">
        <f t="shared" ca="1" si="85"/>
        <v>6.9444444444444198E-3</v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225</v>
      </c>
      <c r="F384" s="27">
        <v>47</v>
      </c>
      <c r="G384" s="28">
        <f t="shared" si="84"/>
        <v>235</v>
      </c>
      <c r="H384" s="26" t="s">
        <v>20</v>
      </c>
      <c r="I384" s="26" t="s">
        <v>23</v>
      </c>
      <c r="J384" s="26" t="s">
        <v>199</v>
      </c>
      <c r="K384" s="29">
        <v>0.75416666666666665</v>
      </c>
      <c r="L384" s="29">
        <v>0.76180555555555551</v>
      </c>
      <c r="M384" s="30">
        <f t="shared" ca="1" si="85"/>
        <v>7.6388888888888618E-3</v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225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225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225</v>
      </c>
      <c r="F387" s="27">
        <v>5</v>
      </c>
      <c r="G387" s="34">
        <f t="shared" si="84"/>
        <v>25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225</v>
      </c>
      <c r="F388" s="27">
        <v>20</v>
      </c>
      <c r="G388" s="28">
        <f t="shared" si="84"/>
        <v>100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225</v>
      </c>
      <c r="F389" s="27">
        <v>25</v>
      </c>
      <c r="G389" s="34">
        <f t="shared" si="84"/>
        <v>125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225</v>
      </c>
      <c r="F390" s="27">
        <v>16</v>
      </c>
      <c r="G390" s="28">
        <f t="shared" si="84"/>
        <v>80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225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9" t="s">
        <v>227</v>
      </c>
      <c r="B392" s="100"/>
      <c r="C392" s="100"/>
      <c r="D392" s="100"/>
      <c r="E392" s="101">
        <f>SUM(E380:E391)</f>
        <v>0</v>
      </c>
      <c r="F392" s="36">
        <f>SUM(F380:F391)</f>
        <v>260</v>
      </c>
      <c r="G392" s="36">
        <f>SUM(G380:G391)</f>
        <v>1300</v>
      </c>
      <c r="H392" s="37"/>
      <c r="I392" s="37"/>
      <c r="J392" s="37"/>
      <c r="K392" s="37"/>
      <c r="L392" s="37"/>
      <c r="M392" s="38">
        <f ca="1">IFERROR(SUM(M380:M391),"")</f>
        <v>0.11527777777777776</v>
      </c>
      <c r="N392" s="36" t="s">
        <v>228</v>
      </c>
      <c r="O392" s="39">
        <v>1576070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225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18</v>
      </c>
      <c r="I393" s="33" t="s">
        <v>23</v>
      </c>
      <c r="J393" s="33" t="s">
        <v>163</v>
      </c>
      <c r="K393" s="29">
        <v>0.90972222222222221</v>
      </c>
      <c r="L393" s="29">
        <v>0.91805555555555551</v>
      </c>
      <c r="M393" s="35">
        <f t="shared" ref="M393:M404" ca="1" si="88">IFERROR(IF(K393="","",IF(L393="",MOD(NOW()-K393,1),IF(L393&gt;=K393,L393-K393,L393+1-K393))),"")</f>
        <v>8.3333333333333037E-3</v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225</v>
      </c>
      <c r="F394" s="27">
        <v>16</v>
      </c>
      <c r="G394" s="28">
        <f t="shared" si="87"/>
        <v>80</v>
      </c>
      <c r="H394" s="26" t="s">
        <v>16</v>
      </c>
      <c r="I394" s="26" t="s">
        <v>23</v>
      </c>
      <c r="J394" s="26" t="s">
        <v>40</v>
      </c>
      <c r="K394" s="29">
        <v>0.12847222222222221</v>
      </c>
      <c r="L394" s="29">
        <v>0.14791666666666667</v>
      </c>
      <c r="M394" s="30">
        <f t="shared" ca="1" si="88"/>
        <v>1.9444444444444459E-2</v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225</v>
      </c>
      <c r="F395" s="27">
        <v>11</v>
      </c>
      <c r="G395" s="34">
        <f t="shared" si="87"/>
        <v>55</v>
      </c>
      <c r="H395" s="33" t="s">
        <v>20</v>
      </c>
      <c r="I395" s="33" t="s">
        <v>23</v>
      </c>
      <c r="J395" s="33" t="s">
        <v>131</v>
      </c>
      <c r="K395" s="29">
        <v>0.21180555555555555</v>
      </c>
      <c r="L395" s="29" t="s">
        <v>247</v>
      </c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225</v>
      </c>
      <c r="F396" s="27">
        <v>40</v>
      </c>
      <c r="G396" s="28">
        <f t="shared" si="87"/>
        <v>200</v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225</v>
      </c>
      <c r="F397" s="27">
        <v>42</v>
      </c>
      <c r="G397" s="34">
        <f t="shared" si="87"/>
        <v>210</v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225</v>
      </c>
      <c r="F398" s="27">
        <v>42</v>
      </c>
      <c r="G398" s="28">
        <f t="shared" si="87"/>
        <v>210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225</v>
      </c>
      <c r="F399" s="27">
        <v>32</v>
      </c>
      <c r="G399" s="34">
        <f t="shared" si="87"/>
        <v>160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225</v>
      </c>
      <c r="F400" s="27">
        <v>40</v>
      </c>
      <c r="G400" s="28">
        <f t="shared" si="87"/>
        <v>200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225</v>
      </c>
      <c r="F401" s="27">
        <v>25</v>
      </c>
      <c r="G401" s="34">
        <f t="shared" si="87"/>
        <v>125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225</v>
      </c>
      <c r="F402" s="27">
        <v>35</v>
      </c>
      <c r="G402" s="28">
        <f t="shared" si="87"/>
        <v>175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225</v>
      </c>
      <c r="F403" s="27">
        <v>24</v>
      </c>
      <c r="G403" s="34">
        <f t="shared" si="87"/>
        <v>120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225</v>
      </c>
      <c r="F404" s="27">
        <v>16</v>
      </c>
      <c r="G404" s="28">
        <f t="shared" si="87"/>
        <v>80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9" t="s">
        <v>229</v>
      </c>
      <c r="B405" s="100"/>
      <c r="C405" s="100"/>
      <c r="D405" s="100"/>
      <c r="E405" s="101">
        <f>SUM(E393:E404)</f>
        <v>0</v>
      </c>
      <c r="F405" s="36">
        <f>SUM(F393:F404)</f>
        <v>348</v>
      </c>
      <c r="G405" s="36">
        <f>SUM(G393:G404)</f>
        <v>1740</v>
      </c>
      <c r="H405" s="37"/>
      <c r="I405" s="37"/>
      <c r="J405" s="37"/>
      <c r="K405" s="37"/>
      <c r="L405" s="37"/>
      <c r="M405" s="38">
        <f ca="1">IFERROR(SUM(M393:M404),"")</f>
        <v>2.7777777777777762E-2</v>
      </c>
      <c r="N405" s="36" t="s">
        <v>228</v>
      </c>
      <c r="O405" s="39">
        <v>1202270</v>
      </c>
    </row>
    <row r="406" spans="1:15" ht="18" customHeight="1">
      <c r="A406" s="102" t="s">
        <v>230</v>
      </c>
      <c r="B406" s="103"/>
      <c r="C406" s="103"/>
      <c r="D406" s="103"/>
      <c r="E406" s="104">
        <f>E392+E405</f>
        <v>0</v>
      </c>
      <c r="F406" s="40">
        <f>F392+F405</f>
        <v>608</v>
      </c>
      <c r="G406" s="40">
        <f>G392+G405</f>
        <v>3040</v>
      </c>
      <c r="H406" s="41"/>
      <c r="I406" s="41"/>
      <c r="J406" s="41"/>
      <c r="K406" s="41"/>
      <c r="L406" s="41"/>
      <c r="M406" s="42">
        <f ca="1">IFERROR(M392+M405,"")</f>
        <v>0.14305555555555552</v>
      </c>
      <c r="N406" s="40" t="s">
        <v>231</v>
      </c>
      <c r="O406" s="48">
        <f>IFERROR(O392+O405,"")</f>
        <v>2778340</v>
      </c>
    </row>
    <row r="407" spans="1:15" ht="15" customHeight="1">
      <c r="A407" s="70">
        <v>46219</v>
      </c>
      <c r="B407" s="32">
        <v>0.33333333333333298</v>
      </c>
      <c r="C407" s="33" t="s">
        <v>45</v>
      </c>
      <c r="D407" s="62" t="s">
        <v>30</v>
      </c>
      <c r="E407" s="62" t="s">
        <v>225</v>
      </c>
      <c r="F407" s="27">
        <v>28</v>
      </c>
      <c r="G407" s="34">
        <f t="shared" ref="G407:G418" si="90">IF(F407="","",IF(E407="PC 17",F407*4.2,IF(E407="PC 19",F407*5,"")))</f>
        <v>140</v>
      </c>
      <c r="H407" s="33" t="s">
        <v>17</v>
      </c>
      <c r="I407" s="33" t="s">
        <v>23</v>
      </c>
      <c r="J407" s="33" t="s">
        <v>25</v>
      </c>
      <c r="K407" s="29">
        <v>0.47569444444444442</v>
      </c>
      <c r="L407" s="29">
        <v>0.48819444444444443</v>
      </c>
      <c r="M407" s="35">
        <f t="shared" ref="M407:M418" ca="1" si="91">IFERROR(IF(K407="","",IF(L407="",MOD(NOW()-K407,1),IF(L407&gt;=K407,L407-K407,L407+1-K407))),"")</f>
        <v>1.2500000000000011E-2</v>
      </c>
      <c r="N407" s="46" t="s">
        <v>248</v>
      </c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225</v>
      </c>
      <c r="F408" s="27">
        <v>25</v>
      </c>
      <c r="G408" s="28">
        <f t="shared" si="90"/>
        <v>125</v>
      </c>
      <c r="H408" s="26" t="s">
        <v>18</v>
      </c>
      <c r="I408" s="26" t="s">
        <v>23</v>
      </c>
      <c r="J408" s="26" t="s">
        <v>163</v>
      </c>
      <c r="K408" s="29">
        <v>0.65972222222222221</v>
      </c>
      <c r="L408" s="29">
        <v>0.66736111111111107</v>
      </c>
      <c r="M408" s="30">
        <f t="shared" ca="1" si="91"/>
        <v>7.6388888888888618E-3</v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225</v>
      </c>
      <c r="F409" s="27">
        <v>35</v>
      </c>
      <c r="G409" s="34">
        <f t="shared" si="90"/>
        <v>175</v>
      </c>
      <c r="H409" s="33" t="s">
        <v>20</v>
      </c>
      <c r="I409" s="33" t="s">
        <v>23</v>
      </c>
      <c r="J409" s="33" t="s">
        <v>131</v>
      </c>
      <c r="K409" s="29">
        <v>0.72013888888888888</v>
      </c>
      <c r="L409" s="29">
        <v>0.75902777777777775</v>
      </c>
      <c r="M409" s="35">
        <f t="shared" ca="1" si="91"/>
        <v>3.8888888888888862E-2</v>
      </c>
      <c r="N409" s="46" t="s">
        <v>249</v>
      </c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225</v>
      </c>
      <c r="F410" s="27">
        <v>35</v>
      </c>
      <c r="G410" s="28">
        <f t="shared" si="90"/>
        <v>175</v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225</v>
      </c>
      <c r="F411" s="27">
        <v>12</v>
      </c>
      <c r="G411" s="34">
        <f t="shared" si="90"/>
        <v>60</v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225</v>
      </c>
      <c r="F412" s="27">
        <v>30</v>
      </c>
      <c r="G412" s="28">
        <f t="shared" si="90"/>
        <v>150</v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225</v>
      </c>
      <c r="F413" s="27">
        <v>27</v>
      </c>
      <c r="G413" s="34">
        <f t="shared" si="90"/>
        <v>135</v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225</v>
      </c>
      <c r="F414" s="27">
        <v>15</v>
      </c>
      <c r="G414" s="28">
        <f t="shared" si="90"/>
        <v>75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225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46" t="s">
        <v>250</v>
      </c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225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46" t="s">
        <v>250</v>
      </c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225</v>
      </c>
      <c r="F417" s="27">
        <v>14</v>
      </c>
      <c r="G417" s="34">
        <f t="shared" si="90"/>
        <v>70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225</v>
      </c>
      <c r="F418" s="27">
        <v>0</v>
      </c>
      <c r="G418" s="28">
        <f t="shared" si="90"/>
        <v>0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9" t="s">
        <v>227</v>
      </c>
      <c r="B419" s="100"/>
      <c r="C419" s="100"/>
      <c r="D419" s="100"/>
      <c r="E419" s="101">
        <f>SUM(E407:E418)</f>
        <v>0</v>
      </c>
      <c r="F419" s="36">
        <f>SUM(F407:F418)</f>
        <v>221</v>
      </c>
      <c r="G419" s="36">
        <f>SUM(G407:G418)</f>
        <v>1105</v>
      </c>
      <c r="H419" s="37"/>
      <c r="I419" s="37"/>
      <c r="J419" s="37"/>
      <c r="K419" s="37"/>
      <c r="L419" s="37"/>
      <c r="M419" s="38">
        <f ca="1">IFERROR(SUM(M407:M418),"")</f>
        <v>5.9027777777777735E-2</v>
      </c>
      <c r="N419" s="36" t="s">
        <v>228</v>
      </c>
      <c r="O419" s="39">
        <v>1600690</v>
      </c>
    </row>
    <row r="420" spans="1:15" ht="15" customHeight="1">
      <c r="A420" s="69">
        <v>46219</v>
      </c>
      <c r="B420" s="25">
        <v>0.83333333333333304</v>
      </c>
      <c r="C420" s="26" t="s">
        <v>29</v>
      </c>
      <c r="D420" s="59" t="s">
        <v>30</v>
      </c>
      <c r="E420" s="59" t="s">
        <v>225</v>
      </c>
      <c r="F420" s="27">
        <v>20</v>
      </c>
      <c r="G420" s="28">
        <f t="shared" ref="G420:G431" si="93">IF(F420="","",IF(E420="PC 17",F420*4.2,IF(E420="PC 19",F420*5,"")))</f>
        <v>100</v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225</v>
      </c>
      <c r="F421" s="27">
        <v>27</v>
      </c>
      <c r="G421" s="34">
        <f t="shared" si="93"/>
        <v>135</v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225</v>
      </c>
      <c r="F422" s="27">
        <v>46</v>
      </c>
      <c r="G422" s="28">
        <f t="shared" si="93"/>
        <v>230</v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225</v>
      </c>
      <c r="F423" s="27">
        <v>42</v>
      </c>
      <c r="G423" s="34">
        <f t="shared" si="93"/>
        <v>210</v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225</v>
      </c>
      <c r="F424" s="27">
        <v>24</v>
      </c>
      <c r="G424" s="28">
        <f t="shared" si="93"/>
        <v>120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225</v>
      </c>
      <c r="F425" s="27">
        <v>17</v>
      </c>
      <c r="G425" s="34">
        <f t="shared" si="93"/>
        <v>85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225</v>
      </c>
      <c r="F426" s="27">
        <v>30</v>
      </c>
      <c r="G426" s="28">
        <f t="shared" si="93"/>
        <v>150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225</v>
      </c>
      <c r="F427" s="27">
        <v>33</v>
      </c>
      <c r="G427" s="34">
        <f t="shared" si="93"/>
        <v>165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225</v>
      </c>
      <c r="F428" s="27">
        <v>20</v>
      </c>
      <c r="G428" s="28">
        <f t="shared" si="93"/>
        <v>100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225</v>
      </c>
      <c r="F429" s="27">
        <v>32</v>
      </c>
      <c r="G429" s="34">
        <f t="shared" si="93"/>
        <v>160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225</v>
      </c>
      <c r="F430" s="27">
        <v>26</v>
      </c>
      <c r="G430" s="28">
        <f t="shared" si="93"/>
        <v>130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225</v>
      </c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9" t="s">
        <v>229</v>
      </c>
      <c r="B432" s="100"/>
      <c r="C432" s="100"/>
      <c r="D432" s="100"/>
      <c r="E432" s="101">
        <f>SUM(E420:E431)</f>
        <v>0</v>
      </c>
      <c r="F432" s="36">
        <f>SUM(F420:F431)</f>
        <v>317</v>
      </c>
      <c r="G432" s="36">
        <f>SUM(G420:G431)</f>
        <v>1585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228</v>
      </c>
      <c r="O432" s="39">
        <v>1801910</v>
      </c>
    </row>
    <row r="433" spans="1:15" ht="18" customHeight="1">
      <c r="A433" s="102" t="s">
        <v>230</v>
      </c>
      <c r="B433" s="103"/>
      <c r="C433" s="103"/>
      <c r="D433" s="103"/>
      <c r="E433" s="104">
        <f>E419+E432</f>
        <v>0</v>
      </c>
      <c r="F433" s="40">
        <f>F419+F432</f>
        <v>538</v>
      </c>
      <c r="G433" s="40">
        <f>G419+G432</f>
        <v>2690</v>
      </c>
      <c r="H433" s="41"/>
      <c r="I433" s="41"/>
      <c r="J433" s="41"/>
      <c r="K433" s="41"/>
      <c r="L433" s="41"/>
      <c r="M433" s="42">
        <f ca="1">IFERROR(M419+M432,"")</f>
        <v>5.9027777777777735E-2</v>
      </c>
      <c r="N433" s="40" t="s">
        <v>231</v>
      </c>
      <c r="O433" s="48">
        <f>IFERROR(O419+O432,"")</f>
        <v>3402600</v>
      </c>
    </row>
    <row r="434" spans="1:15" ht="15" customHeight="1">
      <c r="A434" s="69">
        <v>46220</v>
      </c>
      <c r="B434" s="25">
        <v>0.33333333333333298</v>
      </c>
      <c r="C434" s="26" t="s">
        <v>21</v>
      </c>
      <c r="D434" s="59" t="s">
        <v>30</v>
      </c>
      <c r="E434" s="59" t="s">
        <v>225</v>
      </c>
      <c r="F434" s="27">
        <v>7</v>
      </c>
      <c r="G434" s="28">
        <f t="shared" ref="G434:G445" si="96">IF(F434="","",IF(E434="PC 17",F434*4.2,IF(E434="PC 19",F434*5,"")))</f>
        <v>35</v>
      </c>
      <c r="H434" s="26" t="s">
        <v>18</v>
      </c>
      <c r="I434" s="26" t="s">
        <v>23</v>
      </c>
      <c r="J434" s="26" t="s">
        <v>212</v>
      </c>
      <c r="K434" s="29">
        <v>0.31805555555555554</v>
      </c>
      <c r="L434" s="29">
        <v>0.36805555555555558</v>
      </c>
      <c r="M434" s="30">
        <f t="shared" ref="M434:M445" ca="1" si="97">IFERROR(IF(K434="","",IF(L434="",MOD(NOW()-K434,1),IF(L434&gt;=K434,L434-K434,L434+1-K434))),"")</f>
        <v>5.0000000000000044E-2</v>
      </c>
      <c r="N434" s="46" t="s">
        <v>251</v>
      </c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225</v>
      </c>
      <c r="F435" s="27">
        <v>0</v>
      </c>
      <c r="G435" s="28">
        <f t="shared" si="96"/>
        <v>0</v>
      </c>
      <c r="H435" s="33" t="s">
        <v>16</v>
      </c>
      <c r="I435" s="33"/>
      <c r="J435" s="33" t="s">
        <v>86</v>
      </c>
      <c r="K435" s="29">
        <v>0.58333333333333337</v>
      </c>
      <c r="L435" s="29">
        <v>0.77083333333333337</v>
      </c>
      <c r="M435" s="35">
        <f t="shared" ca="1" si="97"/>
        <v>0.1875</v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225</v>
      </c>
      <c r="F436" s="27">
        <v>40</v>
      </c>
      <c r="G436" s="28">
        <f t="shared" si="96"/>
        <v>200</v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225</v>
      </c>
      <c r="F437" s="27">
        <v>34</v>
      </c>
      <c r="G437" s="34">
        <f t="shared" si="96"/>
        <v>170</v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225</v>
      </c>
      <c r="F438" s="27">
        <v>30</v>
      </c>
      <c r="G438" s="28">
        <f t="shared" si="96"/>
        <v>150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225</v>
      </c>
      <c r="F439" s="27">
        <v>40</v>
      </c>
      <c r="G439" s="34">
        <f t="shared" si="96"/>
        <v>200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225</v>
      </c>
      <c r="F440" s="27">
        <v>28</v>
      </c>
      <c r="G440" s="28">
        <f t="shared" si="96"/>
        <v>140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225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225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 t="s">
        <v>21</v>
      </c>
      <c r="D443" s="59" t="s">
        <v>30</v>
      </c>
      <c r="E443" s="59" t="s">
        <v>225</v>
      </c>
      <c r="F443" s="27">
        <v>0</v>
      </c>
      <c r="G443" s="34">
        <f t="shared" si="96"/>
        <v>0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 t="s">
        <v>21</v>
      </c>
      <c r="D444" s="59" t="s">
        <v>30</v>
      </c>
      <c r="E444" s="59" t="s">
        <v>225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 t="s">
        <v>21</v>
      </c>
      <c r="D445" s="59" t="s">
        <v>30</v>
      </c>
      <c r="E445" s="59" t="s">
        <v>225</v>
      </c>
      <c r="F445" s="27">
        <v>0</v>
      </c>
      <c r="G445" s="34">
        <f t="shared" si="96"/>
        <v>0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9" t="s">
        <v>227</v>
      </c>
      <c r="B446" s="100"/>
      <c r="C446" s="100"/>
      <c r="D446" s="100"/>
      <c r="E446" s="101">
        <f>SUM(E434:E445)</f>
        <v>0</v>
      </c>
      <c r="F446" s="36">
        <f>SUM(F434:F445)</f>
        <v>179</v>
      </c>
      <c r="G446" s="36">
        <f>SUM(G434:G445)</f>
        <v>895</v>
      </c>
      <c r="H446" s="37"/>
      <c r="I446" s="37"/>
      <c r="J446" s="37"/>
      <c r="K446" s="37"/>
      <c r="L446" s="37"/>
      <c r="M446" s="38">
        <f ca="1">IFERROR(SUM(M434:M445),"")</f>
        <v>0.23750000000000004</v>
      </c>
      <c r="N446" s="36" t="s">
        <v>228</v>
      </c>
      <c r="O446" s="39">
        <v>1241480</v>
      </c>
    </row>
    <row r="447" spans="1:15" ht="15" customHeight="1">
      <c r="A447" s="70">
        <v>46220</v>
      </c>
      <c r="B447" s="32">
        <v>0.83333333333333304</v>
      </c>
      <c r="C447" s="33" t="s">
        <v>45</v>
      </c>
      <c r="D447" s="62" t="s">
        <v>30</v>
      </c>
      <c r="E447" s="62" t="s">
        <v>252</v>
      </c>
      <c r="F447" s="27">
        <v>25</v>
      </c>
      <c r="G447" s="34">
        <f t="shared" ref="G447:G458" si="99">IF(F447="","",IF(E447="PC 17",F447*4.2,IF(E447="PC 19",F447*5,"")))</f>
        <v>105</v>
      </c>
      <c r="H447" s="33" t="s">
        <v>18</v>
      </c>
      <c r="I447" s="33" t="s">
        <v>23</v>
      </c>
      <c r="J447" s="33" t="s">
        <v>213</v>
      </c>
      <c r="K447" s="29">
        <v>0.82638888888888884</v>
      </c>
      <c r="L447" s="29">
        <v>0.8930555555555556</v>
      </c>
      <c r="M447" s="35">
        <f t="shared" ref="M447:M458" ca="1" si="100">IFERROR(IF(K447="","",IF(L447="",MOD(NOW()-K447,1),IF(L447&gt;=K447,L447-K447,L447+1-K447))),"")</f>
        <v>6.6666666666666763E-2</v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252</v>
      </c>
      <c r="F448" s="27">
        <v>0</v>
      </c>
      <c r="G448" s="28">
        <f t="shared" si="99"/>
        <v>0</v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252</v>
      </c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252</v>
      </c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252</v>
      </c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252</v>
      </c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20" t="s">
        <v>252</v>
      </c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252</v>
      </c>
      <c r="F454" s="27"/>
      <c r="G454" s="28" t="str">
        <f>IF(F454="","",IF(#REF!="PC 17",F454*4.2,IF(#REF!="PC 19",F454*5,"")))</f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252</v>
      </c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252</v>
      </c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252</v>
      </c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252</v>
      </c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9" t="s">
        <v>229</v>
      </c>
      <c r="B459" s="100"/>
      <c r="C459" s="100"/>
      <c r="D459" s="100"/>
      <c r="E459" s="101">
        <f>SUM(E447:E458)</f>
        <v>0</v>
      </c>
      <c r="F459" s="36">
        <f>SUM(F447:F458)</f>
        <v>25</v>
      </c>
      <c r="G459" s="36">
        <f>SUM(G447:G458)</f>
        <v>105</v>
      </c>
      <c r="H459" s="37"/>
      <c r="I459" s="37"/>
      <c r="J459" s="37"/>
      <c r="K459" s="37"/>
      <c r="L459" s="37"/>
      <c r="M459" s="38">
        <f ca="1">IFERROR(SUM(M447:M458),"")</f>
        <v>6.6666666666666763E-2</v>
      </c>
      <c r="N459" s="36" t="s">
        <v>228</v>
      </c>
      <c r="O459" s="39"/>
    </row>
    <row r="460" spans="1:15" ht="18" customHeight="1">
      <c r="A460" s="102" t="s">
        <v>230</v>
      </c>
      <c r="B460" s="103"/>
      <c r="C460" s="103"/>
      <c r="D460" s="103"/>
      <c r="E460" s="104">
        <f>E446+E459</f>
        <v>0</v>
      </c>
      <c r="F460" s="40">
        <f>F446+F459</f>
        <v>204</v>
      </c>
      <c r="G460" s="40">
        <f>G446+G459</f>
        <v>1000</v>
      </c>
      <c r="H460" s="41"/>
      <c r="I460" s="41"/>
      <c r="J460" s="41"/>
      <c r="K460" s="41"/>
      <c r="L460" s="41"/>
      <c r="M460" s="42">
        <f ca="1">IFERROR(M446+M459,"")</f>
        <v>0.30416666666666681</v>
      </c>
      <c r="N460" s="40" t="s">
        <v>231</v>
      </c>
      <c r="O460" s="48">
        <f>IFERROR(O446+O459,"")</f>
        <v>1241480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9" t="s">
        <v>227</v>
      </c>
      <c r="B473" s="100"/>
      <c r="C473" s="100"/>
      <c r="D473" s="100"/>
      <c r="E473" s="101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228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9" t="s">
        <v>229</v>
      </c>
      <c r="B486" s="100"/>
      <c r="C486" s="100"/>
      <c r="D486" s="100"/>
      <c r="E486" s="101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228</v>
      </c>
      <c r="O486" s="39"/>
    </row>
    <row r="487" spans="1:15" ht="18" customHeight="1">
      <c r="A487" s="102" t="s">
        <v>230</v>
      </c>
      <c r="B487" s="103"/>
      <c r="C487" s="103"/>
      <c r="D487" s="103"/>
      <c r="E487" s="104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231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9" t="s">
        <v>227</v>
      </c>
      <c r="B500" s="100"/>
      <c r="C500" s="100"/>
      <c r="D500" s="100"/>
      <c r="E500" s="101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228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9" t="s">
        <v>229</v>
      </c>
      <c r="B513" s="100"/>
      <c r="C513" s="100"/>
      <c r="D513" s="100"/>
      <c r="E513" s="101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228</v>
      </c>
      <c r="O513" s="39"/>
    </row>
    <row r="514" spans="1:15" ht="18" customHeight="1">
      <c r="A514" s="102" t="s">
        <v>230</v>
      </c>
      <c r="B514" s="103"/>
      <c r="C514" s="103"/>
      <c r="D514" s="103"/>
      <c r="E514" s="104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231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9" t="s">
        <v>227</v>
      </c>
      <c r="B527" s="100"/>
      <c r="C527" s="100"/>
      <c r="D527" s="100"/>
      <c r="E527" s="101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228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9" t="s">
        <v>229</v>
      </c>
      <c r="B540" s="100"/>
      <c r="C540" s="100"/>
      <c r="D540" s="100"/>
      <c r="E540" s="101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228</v>
      </c>
      <c r="O540" s="39"/>
    </row>
    <row r="541" spans="1:15" ht="18" customHeight="1">
      <c r="A541" s="102" t="s">
        <v>230</v>
      </c>
      <c r="B541" s="103"/>
      <c r="C541" s="103"/>
      <c r="D541" s="103"/>
      <c r="E541" s="104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231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9" t="s">
        <v>227</v>
      </c>
      <c r="B554" s="100"/>
      <c r="C554" s="100"/>
      <c r="D554" s="100"/>
      <c r="E554" s="101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228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9" t="s">
        <v>229</v>
      </c>
      <c r="B567" s="100"/>
      <c r="C567" s="100"/>
      <c r="D567" s="100"/>
      <c r="E567" s="101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228</v>
      </c>
      <c r="O567" s="39"/>
    </row>
    <row r="568" spans="1:15" ht="18" customHeight="1">
      <c r="A568" s="102" t="s">
        <v>230</v>
      </c>
      <c r="B568" s="103"/>
      <c r="C568" s="103"/>
      <c r="D568" s="103"/>
      <c r="E568" s="104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231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9" t="s">
        <v>227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228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9" t="s">
        <v>229</v>
      </c>
      <c r="B594" s="100"/>
      <c r="C594" s="100"/>
      <c r="D594" s="100"/>
      <c r="E594" s="10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228</v>
      </c>
      <c r="O594" s="39"/>
    </row>
    <row r="595" spans="1:15" ht="18" customHeight="1">
      <c r="A595" s="102" t="s">
        <v>230</v>
      </c>
      <c r="B595" s="103"/>
      <c r="C595" s="103"/>
      <c r="D595" s="103"/>
      <c r="E595" s="10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231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9" t="s">
        <v>227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228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9" t="s">
        <v>229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228</v>
      </c>
      <c r="O621" s="39"/>
    </row>
    <row r="622" spans="1:15" ht="18" customHeight="1">
      <c r="A622" s="102" t="s">
        <v>230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231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9" t="s">
        <v>227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228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9" t="s">
        <v>229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228</v>
      </c>
      <c r="O648" s="39"/>
    </row>
    <row r="649" spans="1:15" ht="18" customHeight="1">
      <c r="A649" s="102" t="s">
        <v>230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231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9" t="s">
        <v>227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228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9" t="s">
        <v>229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228</v>
      </c>
      <c r="O675" s="39"/>
    </row>
    <row r="676" spans="1:15" ht="18" customHeight="1">
      <c r="A676" s="102" t="s">
        <v>230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231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9" t="s">
        <v>227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228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9" t="s">
        <v>229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228</v>
      </c>
      <c r="O702" s="39"/>
    </row>
    <row r="703" spans="1:15" ht="18" customHeight="1">
      <c r="A703" s="102" t="s">
        <v>230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231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9" t="s">
        <v>227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228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9" t="s">
        <v>229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228</v>
      </c>
      <c r="O729" s="39"/>
    </row>
    <row r="730" spans="1:15" ht="18" customHeight="1">
      <c r="A730" s="102" t="s">
        <v>230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231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9" t="s">
        <v>227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228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9" t="s">
        <v>229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228</v>
      </c>
      <c r="O756" s="39"/>
    </row>
    <row r="757" spans="1:15" ht="18" customHeight="1">
      <c r="A757" s="102" t="s">
        <v>230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231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9" t="s">
        <v>227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228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9" t="s">
        <v>229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228</v>
      </c>
      <c r="O783" s="39"/>
    </row>
    <row r="784" spans="1:15" ht="18" customHeight="1">
      <c r="A784" s="102" t="s">
        <v>230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231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9" t="s">
        <v>227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228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9" t="s">
        <v>229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228</v>
      </c>
      <c r="O810" s="39"/>
    </row>
    <row r="811" spans="1:15" ht="18" customHeight="1">
      <c r="A811" s="59" t="s">
        <v>225</v>
      </c>
      <c r="B811" s="92"/>
      <c r="C811" s="92"/>
      <c r="D811" s="92"/>
      <c r="E811" s="93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231</v>
      </c>
      <c r="O811" s="43">
        <f>IFERROR(O797+O810,"")</f>
        <v>0</v>
      </c>
    </row>
    <row r="812" spans="1:15" ht="15"/>
  </sheetData>
  <mergeCells count="89"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A811 E29:E452 E454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426" activePane="bottomLeft" state="frozen"/>
      <selection pane="bottomLeft" activeCell="F449" sqref="F449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64.5703125" style="20" customWidth="1"/>
    <col min="15" max="15" width="20" customWidth="1"/>
    <col min="16" max="16" width="20.140625" customWidth="1"/>
  </cols>
  <sheetData>
    <row r="1" spans="1:15" ht="37.5" customHeight="1">
      <c r="A1" s="68" t="s">
        <v>7</v>
      </c>
      <c r="B1" s="23" t="s">
        <v>214</v>
      </c>
      <c r="C1" s="23" t="s">
        <v>12</v>
      </c>
      <c r="D1" s="22" t="s">
        <v>13</v>
      </c>
      <c r="E1" s="22" t="s">
        <v>215</v>
      </c>
      <c r="F1" s="23" t="s">
        <v>216</v>
      </c>
      <c r="G1" s="23" t="s">
        <v>217</v>
      </c>
      <c r="H1" s="23" t="s">
        <v>14</v>
      </c>
      <c r="I1" s="23" t="s">
        <v>15</v>
      </c>
      <c r="J1" s="23" t="s">
        <v>218</v>
      </c>
      <c r="K1" s="23" t="s">
        <v>219</v>
      </c>
      <c r="L1" s="23" t="s">
        <v>220</v>
      </c>
      <c r="M1" s="24" t="s">
        <v>221</v>
      </c>
      <c r="N1" s="23" t="s">
        <v>222</v>
      </c>
      <c r="O1" s="23" t="s">
        <v>223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252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252</v>
      </c>
      <c r="F3" s="27">
        <v>10</v>
      </c>
      <c r="G3" s="34">
        <f t="shared" si="0"/>
        <v>42</v>
      </c>
      <c r="H3" s="33" t="s">
        <v>19</v>
      </c>
      <c r="I3" s="33" t="s">
        <v>156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252</v>
      </c>
      <c r="F4" s="27">
        <v>8</v>
      </c>
      <c r="G4" s="28">
        <f t="shared" si="0"/>
        <v>33.6</v>
      </c>
      <c r="H4" s="26" t="s">
        <v>19</v>
      </c>
      <c r="I4" s="26" t="s">
        <v>156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252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252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252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252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252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252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252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252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252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9" t="s">
        <v>227</v>
      </c>
      <c r="B14" s="100"/>
      <c r="C14" s="100"/>
      <c r="D14" s="100"/>
      <c r="E14" s="101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228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252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156</v>
      </c>
      <c r="J15" s="33" t="s">
        <v>163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252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252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252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252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252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252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252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252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252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252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252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9" t="s">
        <v>229</v>
      </c>
      <c r="B27" s="100"/>
      <c r="C27" s="100"/>
      <c r="D27" s="100"/>
      <c r="E27" s="101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228</v>
      </c>
      <c r="O27" s="78">
        <v>393200</v>
      </c>
    </row>
    <row r="28" spans="1:15" ht="18" customHeight="1">
      <c r="A28" s="102" t="s">
        <v>230</v>
      </c>
      <c r="B28" s="103"/>
      <c r="C28" s="103"/>
      <c r="D28" s="103"/>
      <c r="E28" s="104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231</v>
      </c>
      <c r="O28" s="8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252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0">
        <f t="shared" ref="M29:M40" ca="1" si="7">IFERROR(IF(K29="","",IF(L29="",MOD(NOW()-K29,1),IF(L29&gt;=K29,L29-K29,L29+1-K29))),"")</f>
        <v>7.1527777777777746E-2</v>
      </c>
      <c r="N29" s="46" t="s">
        <v>253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252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192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252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164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252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252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252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252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252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252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252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252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252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9" t="s">
        <v>227</v>
      </c>
      <c r="B41" s="100"/>
      <c r="C41" s="100"/>
      <c r="D41" s="100"/>
      <c r="E41" s="101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228</v>
      </c>
      <c r="O41" s="85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252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252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252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254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252</v>
      </c>
      <c r="F45" s="27">
        <v>0</v>
      </c>
      <c r="G45" s="28">
        <f t="shared" si="9"/>
        <v>0</v>
      </c>
      <c r="H45" s="33" t="s">
        <v>20</v>
      </c>
      <c r="I45" s="33" t="s">
        <v>156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252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252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252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252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252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252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252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252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9" t="s">
        <v>229</v>
      </c>
      <c r="B54" s="100"/>
      <c r="C54" s="100"/>
      <c r="D54" s="100"/>
      <c r="E54" s="101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228</v>
      </c>
      <c r="O54" s="85">
        <v>276360</v>
      </c>
    </row>
    <row r="55" spans="1:15" ht="18" customHeight="1">
      <c r="A55" s="102" t="s">
        <v>230</v>
      </c>
      <c r="B55" s="103"/>
      <c r="C55" s="103"/>
      <c r="D55" s="103"/>
      <c r="E55" s="104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231</v>
      </c>
      <c r="O55" s="8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2"/>
      <c r="K57" s="29"/>
      <c r="L57" s="29"/>
      <c r="M57" s="30"/>
      <c r="N57" s="46" t="s">
        <v>255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1"/>
      <c r="J58" s="26"/>
      <c r="K58" s="29"/>
      <c r="L58" s="29"/>
      <c r="M58" s="35"/>
      <c r="N58" s="46" t="s">
        <v>256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9" t="s">
        <v>227</v>
      </c>
      <c r="B68" s="100"/>
      <c r="C68" s="100"/>
      <c r="D68" s="100"/>
      <c r="E68" s="101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228</v>
      </c>
      <c r="O68" s="54">
        <v>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252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252</v>
      </c>
      <c r="F70" s="27">
        <v>18</v>
      </c>
      <c r="G70" s="28">
        <f t="shared" si="15"/>
        <v>75.600000000000009</v>
      </c>
      <c r="H70" s="26" t="s">
        <v>19</v>
      </c>
      <c r="I70" s="26" t="s">
        <v>156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252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252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252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252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252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252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252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252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252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252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9" t="s">
        <v>229</v>
      </c>
      <c r="B81" s="100"/>
      <c r="C81" s="100"/>
      <c r="D81" s="100"/>
      <c r="E81" s="101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228</v>
      </c>
      <c r="O81" s="54">
        <v>787860</v>
      </c>
    </row>
    <row r="82" spans="1:15" ht="18" customHeight="1">
      <c r="A82" s="102" t="s">
        <v>230</v>
      </c>
      <c r="B82" s="103"/>
      <c r="C82" s="103"/>
      <c r="D82" s="103"/>
      <c r="E82" s="104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231</v>
      </c>
      <c r="O82" s="83">
        <f>IFERROR(O68+O81,"")</f>
        <v>787860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20" t="s">
        <v>22</v>
      </c>
      <c r="E83" s="59" t="s">
        <v>252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257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252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184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252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252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252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225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225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225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225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225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225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225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9" t="s">
        <v>227</v>
      </c>
      <c r="B95" s="100"/>
      <c r="C95" s="100"/>
      <c r="D95" s="100"/>
      <c r="E95" s="101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228</v>
      </c>
      <c r="O95" s="54">
        <v>577610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252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144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258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252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259</v>
      </c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252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153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260</v>
      </c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252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252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252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252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252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252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252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252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252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9" t="s">
        <v>229</v>
      </c>
      <c r="B108" s="100"/>
      <c r="C108" s="100"/>
      <c r="D108" s="100"/>
      <c r="E108" s="101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228</v>
      </c>
      <c r="O108" s="54">
        <v>1087080</v>
      </c>
    </row>
    <row r="109" spans="1:15" ht="18" customHeight="1">
      <c r="A109" s="102" t="s">
        <v>230</v>
      </c>
      <c r="B109" s="103"/>
      <c r="C109" s="103"/>
      <c r="D109" s="103"/>
      <c r="E109" s="104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231</v>
      </c>
      <c r="O109" s="83">
        <f>IFERROR(O95+O108,"")</f>
        <v>1664690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252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252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164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261</v>
      </c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252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252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252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252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252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252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252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252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252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252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9" t="s">
        <v>227</v>
      </c>
      <c r="B122" s="100"/>
      <c r="C122" s="100"/>
      <c r="D122" s="100"/>
      <c r="E122" s="101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228</v>
      </c>
      <c r="O122" s="54">
        <v>869260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225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163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262</v>
      </c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225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225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153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243</v>
      </c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225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153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263</v>
      </c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225</v>
      </c>
      <c r="F127" s="27">
        <v>4</v>
      </c>
      <c r="G127" s="34">
        <f t="shared" si="27"/>
        <v>20</v>
      </c>
      <c r="H127" s="33" t="s">
        <v>18</v>
      </c>
      <c r="I127" s="33" t="s">
        <v>156</v>
      </c>
      <c r="J127" s="33" t="s">
        <v>163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225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191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225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198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264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225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198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225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225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225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225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9" t="s">
        <v>229</v>
      </c>
      <c r="B135" s="100"/>
      <c r="C135" s="100"/>
      <c r="D135" s="100"/>
      <c r="E135" s="101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228</v>
      </c>
      <c r="O135" s="54">
        <v>794480</v>
      </c>
    </row>
    <row r="136" spans="1:15" ht="18" customHeight="1">
      <c r="A136" s="102" t="s">
        <v>230</v>
      </c>
      <c r="B136" s="103"/>
      <c r="C136" s="103"/>
      <c r="D136" s="103"/>
      <c r="E136" s="104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231</v>
      </c>
      <c r="O136" s="83">
        <f>IFERROR(O122+O135,"")</f>
        <v>1663740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225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198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225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225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265</v>
      </c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225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266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225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225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225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225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225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225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225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225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9" t="s">
        <v>227</v>
      </c>
      <c r="B149" s="100"/>
      <c r="C149" s="100"/>
      <c r="D149" s="100"/>
      <c r="E149" s="101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228</v>
      </c>
      <c r="O149" s="54">
        <v>591800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225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267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225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203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252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268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252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252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252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252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252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252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252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252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252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9" t="s">
        <v>229</v>
      </c>
      <c r="B162" s="100"/>
      <c r="C162" s="100"/>
      <c r="D162" s="100"/>
      <c r="E162" s="101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228</v>
      </c>
      <c r="O162" s="54">
        <v>882280</v>
      </c>
    </row>
    <row r="163" spans="1:15" ht="18" customHeight="1">
      <c r="A163" s="102" t="s">
        <v>230</v>
      </c>
      <c r="B163" s="103"/>
      <c r="C163" s="103"/>
      <c r="D163" s="103"/>
      <c r="E163" s="104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231</v>
      </c>
      <c r="O163" s="83">
        <f>IFERROR(O149+O162,"")</f>
        <v>1474080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252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252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252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252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252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252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252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252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252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252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252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252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9" t="s">
        <v>227</v>
      </c>
      <c r="B176" s="100"/>
      <c r="C176" s="100"/>
      <c r="D176" s="100"/>
      <c r="E176" s="101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228</v>
      </c>
      <c r="O176" s="78"/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9" t="s">
        <v>229</v>
      </c>
      <c r="B189" s="100"/>
      <c r="C189" s="100"/>
      <c r="D189" s="100"/>
      <c r="E189" s="101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228</v>
      </c>
      <c r="O189" s="78"/>
    </row>
    <row r="190" spans="1:15" ht="18" customHeight="1">
      <c r="A190" s="102" t="s">
        <v>230</v>
      </c>
      <c r="B190" s="103"/>
      <c r="C190" s="103"/>
      <c r="D190" s="103"/>
      <c r="E190" s="104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231</v>
      </c>
      <c r="O190" s="8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9" t="s">
        <v>227</v>
      </c>
      <c r="B203" s="100"/>
      <c r="C203" s="100"/>
      <c r="D203" s="100"/>
      <c r="E203" s="101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228</v>
      </c>
      <c r="O203" s="78"/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252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225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153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252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144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269</v>
      </c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252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270</v>
      </c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252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252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252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252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252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252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252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252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9" t="s">
        <v>229</v>
      </c>
      <c r="B216" s="100"/>
      <c r="C216" s="100"/>
      <c r="D216" s="100"/>
      <c r="E216" s="101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228</v>
      </c>
      <c r="O216" s="78">
        <v>648410</v>
      </c>
    </row>
    <row r="217" spans="1:15" ht="18" customHeight="1">
      <c r="A217" s="102" t="s">
        <v>230</v>
      </c>
      <c r="B217" s="103"/>
      <c r="C217" s="103"/>
      <c r="D217" s="103"/>
      <c r="E217" s="104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231</v>
      </c>
      <c r="O217" s="84">
        <f>IFERROR(O203+O216,"")</f>
        <v>648410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252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271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252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127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272</v>
      </c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252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252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252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252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252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252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252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252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252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252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8" t="s">
        <v>227</v>
      </c>
      <c r="B230" s="89"/>
      <c r="C230" s="89"/>
      <c r="D230" s="59"/>
      <c r="E230" s="90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228</v>
      </c>
      <c r="O230" s="78">
        <v>482110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252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203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225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273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252</v>
      </c>
      <c r="F233" s="27">
        <v>15</v>
      </c>
      <c r="G233" s="34">
        <f t="shared" si="51"/>
        <v>63</v>
      </c>
      <c r="H233" s="33" t="s">
        <v>20</v>
      </c>
      <c r="I233" s="33" t="s">
        <v>146</v>
      </c>
      <c r="J233" s="33" t="s">
        <v>179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252</v>
      </c>
      <c r="F234" s="27">
        <v>8</v>
      </c>
      <c r="G234" s="28">
        <f t="shared" si="51"/>
        <v>33.6</v>
      </c>
      <c r="H234" s="26" t="s">
        <v>20</v>
      </c>
      <c r="I234" s="26" t="s">
        <v>146</v>
      </c>
      <c r="J234" s="26" t="s">
        <v>179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267</v>
      </c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252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138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252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252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252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252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252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252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252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9" t="s">
        <v>229</v>
      </c>
      <c r="B243" s="100"/>
      <c r="C243" s="100"/>
      <c r="D243" s="100"/>
      <c r="E243" s="101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228</v>
      </c>
      <c r="O243" s="78">
        <v>849060</v>
      </c>
    </row>
    <row r="244" spans="1:15" ht="18" customHeight="1">
      <c r="A244" s="102" t="s">
        <v>230</v>
      </c>
      <c r="B244" s="103"/>
      <c r="C244" s="103"/>
      <c r="D244" s="103"/>
      <c r="E244" s="104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231</v>
      </c>
      <c r="O244" s="84">
        <f>IFERROR(O230+O243,"")</f>
        <v>1331170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252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274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252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252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252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252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252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252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252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252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252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252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252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9" t="s">
        <v>227</v>
      </c>
      <c r="B257" s="100"/>
      <c r="C257" s="100"/>
      <c r="D257" s="100"/>
      <c r="E257" s="101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228</v>
      </c>
      <c r="O257" s="78">
        <v>631580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225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124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252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252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252</v>
      </c>
      <c r="F261" s="27">
        <v>3</v>
      </c>
      <c r="G261" s="28">
        <f t="shared" si="57"/>
        <v>12.600000000000001</v>
      </c>
      <c r="H261" s="33" t="s">
        <v>19</v>
      </c>
      <c r="I261" s="33" t="s">
        <v>156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252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153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252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252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252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252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252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252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252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9" t="s">
        <v>229</v>
      </c>
      <c r="B270" s="100"/>
      <c r="C270" s="100"/>
      <c r="D270" s="100"/>
      <c r="E270" s="101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228</v>
      </c>
      <c r="O270" s="78">
        <v>625070</v>
      </c>
    </row>
    <row r="271" spans="1:15" ht="18" customHeight="1">
      <c r="A271" s="102" t="s">
        <v>230</v>
      </c>
      <c r="B271" s="103"/>
      <c r="C271" s="103"/>
      <c r="D271" s="103"/>
      <c r="E271" s="104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231</v>
      </c>
      <c r="O271" s="84">
        <f>IFERROR(O257+O270,"")</f>
        <v>1256650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252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275</v>
      </c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252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276</v>
      </c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252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252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252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252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252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252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252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252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252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252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9" t="s">
        <v>227</v>
      </c>
      <c r="B284" s="100"/>
      <c r="C284" s="100"/>
      <c r="D284" s="100"/>
      <c r="E284" s="101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228</v>
      </c>
      <c r="O284" s="78">
        <v>623460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252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252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127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277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252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252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225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252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153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252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252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252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252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252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252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9" t="s">
        <v>229</v>
      </c>
      <c r="B297" s="100"/>
      <c r="C297" s="100"/>
      <c r="D297" s="100"/>
      <c r="E297" s="101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228</v>
      </c>
      <c r="O297" s="78">
        <v>761660</v>
      </c>
    </row>
    <row r="298" spans="1:15" ht="18" customHeight="1">
      <c r="A298" s="102" t="s">
        <v>230</v>
      </c>
      <c r="B298" s="103"/>
      <c r="C298" s="103"/>
      <c r="D298" s="103"/>
      <c r="E298" s="104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231</v>
      </c>
      <c r="O298" s="84">
        <f>IFERROR(O284+O297,"")</f>
        <v>1385120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252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252</v>
      </c>
      <c r="F300" s="27">
        <v>6</v>
      </c>
      <c r="G300" s="28">
        <f t="shared" si="66"/>
        <v>25.200000000000003</v>
      </c>
      <c r="H300" s="26" t="s">
        <v>17</v>
      </c>
      <c r="I300" s="26" t="s">
        <v>135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252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252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278</v>
      </c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252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278</v>
      </c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252</v>
      </c>
      <c r="F304" s="27">
        <v>8</v>
      </c>
      <c r="G304" s="28">
        <f t="shared" si="66"/>
        <v>33.6</v>
      </c>
      <c r="H304" s="26" t="s">
        <v>19</v>
      </c>
      <c r="I304" s="26" t="s">
        <v>156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252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252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252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252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252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252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9" t="s">
        <v>227</v>
      </c>
      <c r="B311" s="100"/>
      <c r="C311" s="100"/>
      <c r="D311" s="100"/>
      <c r="E311" s="101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228</v>
      </c>
      <c r="O311" s="78">
        <v>605560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252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154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252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279</v>
      </c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252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111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280</v>
      </c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252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252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252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252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252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252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252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252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225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9" t="s">
        <v>229</v>
      </c>
      <c r="B324" s="100"/>
      <c r="C324" s="100"/>
      <c r="D324" s="100"/>
      <c r="E324" s="101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228</v>
      </c>
      <c r="O324" s="78">
        <v>524410</v>
      </c>
    </row>
    <row r="325" spans="1:15" ht="18" customHeight="1">
      <c r="A325" s="102" t="s">
        <v>230</v>
      </c>
      <c r="B325" s="103"/>
      <c r="C325" s="103"/>
      <c r="D325" s="103"/>
      <c r="E325" s="104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231</v>
      </c>
      <c r="O325" s="84">
        <f>IFERROR(O311+O324,"")</f>
        <v>1129970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9" t="s">
        <v>252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156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252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252</v>
      </c>
      <c r="F328" s="27">
        <v>10</v>
      </c>
      <c r="G328" s="28">
        <f t="shared" si="72"/>
        <v>42</v>
      </c>
      <c r="H328" s="26" t="s">
        <v>20</v>
      </c>
      <c r="I328" s="26" t="s">
        <v>120</v>
      </c>
      <c r="J328" s="26" t="s">
        <v>113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252</v>
      </c>
      <c r="F329" s="27">
        <v>20</v>
      </c>
      <c r="G329" s="34">
        <f t="shared" si="72"/>
        <v>84</v>
      </c>
      <c r="H329" s="33" t="s">
        <v>17</v>
      </c>
      <c r="I329" s="33" t="s">
        <v>114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281</v>
      </c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225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252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252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252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252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252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252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252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9" t="s">
        <v>227</v>
      </c>
      <c r="B338" s="100"/>
      <c r="C338" s="100"/>
      <c r="D338" s="100"/>
      <c r="E338" s="101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228</v>
      </c>
      <c r="O338" s="78">
        <v>837000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252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120</v>
      </c>
      <c r="J339" s="33" t="s">
        <v>113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252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282</v>
      </c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252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252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283</v>
      </c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252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252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252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252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252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252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252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252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9" t="s">
        <v>229</v>
      </c>
      <c r="B351" s="100"/>
      <c r="C351" s="100"/>
      <c r="D351" s="100"/>
      <c r="E351" s="101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228</v>
      </c>
      <c r="O351" s="78">
        <v>598420</v>
      </c>
    </row>
    <row r="352" spans="1:15" ht="18" customHeight="1">
      <c r="A352" s="102" t="s">
        <v>230</v>
      </c>
      <c r="B352" s="103"/>
      <c r="C352" s="103"/>
      <c r="D352" s="103"/>
      <c r="E352" s="104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231</v>
      </c>
      <c r="O352" s="84">
        <f>IFERROR(O338+O351,"")</f>
        <v>1435420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252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156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252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252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156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252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128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252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252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252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252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252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252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252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252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9" t="s">
        <v>227</v>
      </c>
      <c r="B365" s="100"/>
      <c r="C365" s="100"/>
      <c r="D365" s="100"/>
      <c r="E365" s="101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228</v>
      </c>
      <c r="O365" s="78">
        <v>808550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30</v>
      </c>
      <c r="E366" s="59" t="s">
        <v>252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128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252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128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252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252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252</v>
      </c>
      <c r="F370" s="27">
        <v>20</v>
      </c>
      <c r="G370" s="28">
        <f t="shared" si="81"/>
        <v>84</v>
      </c>
      <c r="H370" s="26" t="s">
        <v>20</v>
      </c>
      <c r="I370" s="26" t="s">
        <v>154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252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128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252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252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131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128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128</v>
      </c>
      <c r="K377" s="29">
        <v>0.23958333333333334</v>
      </c>
      <c r="L377" s="29"/>
      <c r="M377" s="35">
        <f t="shared" ca="1" si="82"/>
        <v>0.65550358795735519</v>
      </c>
      <c r="N377" s="46"/>
      <c r="O377" s="47"/>
    </row>
    <row r="378" spans="1:15" ht="15.75" customHeight="1">
      <c r="A378" s="99" t="s">
        <v>229</v>
      </c>
      <c r="B378" s="100"/>
      <c r="C378" s="100"/>
      <c r="D378" s="100"/>
      <c r="E378" s="101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0.81314247684624408</v>
      </c>
      <c r="N378" s="36" t="s">
        <v>228</v>
      </c>
      <c r="O378" s="78">
        <v>511980</v>
      </c>
    </row>
    <row r="379" spans="1:15" ht="18" customHeight="1">
      <c r="A379" s="102" t="s">
        <v>230</v>
      </c>
      <c r="B379" s="103"/>
      <c r="C379" s="103"/>
      <c r="D379" s="103"/>
      <c r="E379" s="104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0.92286469906846624</v>
      </c>
      <c r="N379" s="40" t="s">
        <v>231</v>
      </c>
      <c r="O379" s="84">
        <f>IFERROR(O365+O378,"")</f>
        <v>1320530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30</v>
      </c>
      <c r="E380" s="59" t="s">
        <v>252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156</v>
      </c>
      <c r="J380" s="26" t="s">
        <v>118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252</v>
      </c>
      <c r="F381" s="27">
        <v>15</v>
      </c>
      <c r="G381" s="34">
        <f t="shared" si="84"/>
        <v>63</v>
      </c>
      <c r="H381" s="33" t="s">
        <v>18</v>
      </c>
      <c r="I381" s="33" t="s">
        <v>117</v>
      </c>
      <c r="J381" s="33" t="s">
        <v>209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252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193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252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267</v>
      </c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252</v>
      </c>
      <c r="F384" s="27">
        <v>0</v>
      </c>
      <c r="G384" s="28">
        <f t="shared" si="84"/>
        <v>0</v>
      </c>
      <c r="H384" s="26" t="s">
        <v>16</v>
      </c>
      <c r="I384" s="26" t="s">
        <v>156</v>
      </c>
      <c r="J384" s="26" t="s">
        <v>86</v>
      </c>
      <c r="K384" s="29">
        <v>0.56944444444444442</v>
      </c>
      <c r="L384" s="29">
        <v>0.79166666666666663</v>
      </c>
      <c r="M384" s="30">
        <f t="shared" ca="1" si="85"/>
        <v>0.22222222222222221</v>
      </c>
      <c r="N384" s="46" t="s">
        <v>284</v>
      </c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252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252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252</v>
      </c>
      <c r="F387" s="27">
        <v>0</v>
      </c>
      <c r="G387" s="34">
        <f t="shared" si="84"/>
        <v>0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252</v>
      </c>
      <c r="F388" s="27">
        <v>0</v>
      </c>
      <c r="G388" s="28">
        <f t="shared" si="84"/>
        <v>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252</v>
      </c>
      <c r="F389" s="27">
        <v>0</v>
      </c>
      <c r="G389" s="34">
        <f t="shared" si="84"/>
        <v>0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252</v>
      </c>
      <c r="F390" s="27">
        <v>0</v>
      </c>
      <c r="G390" s="28">
        <f t="shared" si="84"/>
        <v>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252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9" t="s">
        <v>227</v>
      </c>
      <c r="B392" s="100"/>
      <c r="C392" s="100"/>
      <c r="D392" s="100"/>
      <c r="E392" s="101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0.34027777777777773</v>
      </c>
      <c r="N392" s="36" t="s">
        <v>228</v>
      </c>
      <c r="O392" s="78">
        <v>281950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252</v>
      </c>
      <c r="F393" s="27">
        <v>0</v>
      </c>
      <c r="G393" s="34">
        <f t="shared" ref="G393:G404" si="87">IF(F393="","",IF(E393="PC 17",F393*4.2,IF(E393="PC 19",F393*5,"")))</f>
        <v>0</v>
      </c>
      <c r="H393" s="33" t="s">
        <v>16</v>
      </c>
      <c r="I393" s="33" t="s">
        <v>156</v>
      </c>
      <c r="J393" s="33" t="s">
        <v>86</v>
      </c>
      <c r="K393" s="29">
        <v>0.79166666666666663</v>
      </c>
      <c r="L393" s="29">
        <v>0.85138888888888886</v>
      </c>
      <c r="M393" s="35">
        <f t="shared" ref="M393:M404" ca="1" si="88">IFERROR(IF(K393="","",IF(L393="",MOD(NOW()-K393,1),IF(L393&gt;=K393,L393-K393,L393+1-K393))),"")</f>
        <v>5.9722222222222232E-2</v>
      </c>
      <c r="N393" s="46" t="s">
        <v>285</v>
      </c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252</v>
      </c>
      <c r="F394" s="27">
        <v>7</v>
      </c>
      <c r="G394" s="28">
        <f t="shared" si="87"/>
        <v>29.400000000000002</v>
      </c>
      <c r="H394" s="26" t="s">
        <v>20</v>
      </c>
      <c r="I394" s="26" t="s">
        <v>31</v>
      </c>
      <c r="J394" s="26" t="s">
        <v>36</v>
      </c>
      <c r="K394" s="29">
        <v>0.87222222222222223</v>
      </c>
      <c r="L394" s="29">
        <v>0.93263888888888891</v>
      </c>
      <c r="M394" s="30">
        <f t="shared" ca="1" si="88"/>
        <v>6.0416666666666674E-2</v>
      </c>
      <c r="N394" s="46" t="s">
        <v>243</v>
      </c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252</v>
      </c>
      <c r="F395" s="27">
        <v>10</v>
      </c>
      <c r="G395" s="34">
        <f t="shared" si="87"/>
        <v>42</v>
      </c>
      <c r="H395" s="33" t="s">
        <v>18</v>
      </c>
      <c r="I395" s="33" t="s">
        <v>63</v>
      </c>
      <c r="J395" s="33" t="s">
        <v>198</v>
      </c>
      <c r="K395" s="29">
        <v>4.1666666666666666E-3</v>
      </c>
      <c r="L395" s="29">
        <v>1.8749999999999999E-2</v>
      </c>
      <c r="M395" s="35">
        <f t="shared" ca="1" si="88"/>
        <v>1.4583333333333334E-2</v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252</v>
      </c>
      <c r="F396" s="27">
        <v>40</v>
      </c>
      <c r="G396" s="28">
        <f t="shared" si="87"/>
        <v>168</v>
      </c>
      <c r="H396" s="26" t="s">
        <v>17</v>
      </c>
      <c r="I396" s="26"/>
      <c r="J396" s="26" t="s">
        <v>25</v>
      </c>
      <c r="K396" s="29">
        <v>3.6805555555555557E-2</v>
      </c>
      <c r="L396" s="29">
        <v>4.9305555555555554E-2</v>
      </c>
      <c r="M396" s="30">
        <f t="shared" ca="1" si="88"/>
        <v>1.2499999999999997E-2</v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252</v>
      </c>
      <c r="F397" s="27">
        <v>10</v>
      </c>
      <c r="G397" s="34">
        <f t="shared" si="87"/>
        <v>42</v>
      </c>
      <c r="H397" s="33" t="s">
        <v>19</v>
      </c>
      <c r="I397" s="33" t="s">
        <v>39</v>
      </c>
      <c r="J397" s="33" t="s">
        <v>27</v>
      </c>
      <c r="K397" s="29">
        <v>0.24652777777777779</v>
      </c>
      <c r="L397" s="29">
        <v>0.25763888888888886</v>
      </c>
      <c r="M397" s="35">
        <f t="shared" ca="1" si="88"/>
        <v>1.1111111111111072E-2</v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252</v>
      </c>
      <c r="F398" s="27">
        <v>8</v>
      </c>
      <c r="G398" s="28">
        <f t="shared" si="87"/>
        <v>33.6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252</v>
      </c>
      <c r="F399" s="27">
        <v>11</v>
      </c>
      <c r="G399" s="34">
        <f t="shared" si="87"/>
        <v>46.2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252</v>
      </c>
      <c r="F400" s="27">
        <v>7</v>
      </c>
      <c r="G400" s="28">
        <f t="shared" si="87"/>
        <v>29.400000000000002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252</v>
      </c>
      <c r="F401" s="27">
        <v>10</v>
      </c>
      <c r="G401" s="34">
        <f t="shared" si="87"/>
        <v>42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252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252</v>
      </c>
      <c r="F403" s="27">
        <v>9</v>
      </c>
      <c r="G403" s="34">
        <f t="shared" si="87"/>
        <v>37.800000000000004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252</v>
      </c>
      <c r="F404" s="27">
        <v>1</v>
      </c>
      <c r="G404" s="28">
        <f t="shared" si="87"/>
        <v>4.2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9" t="s">
        <v>229</v>
      </c>
      <c r="B405" s="100"/>
      <c r="C405" s="100"/>
      <c r="D405" s="100"/>
      <c r="E405" s="101">
        <f>SUM(E393:E404)</f>
        <v>0</v>
      </c>
      <c r="F405" s="36">
        <f>SUM(F393:F404)</f>
        <v>117</v>
      </c>
      <c r="G405" s="36">
        <f>SUM(G393:G404)</f>
        <v>491.4</v>
      </c>
      <c r="H405" s="37"/>
      <c r="I405" s="37"/>
      <c r="J405" s="37"/>
      <c r="K405" s="37"/>
      <c r="L405" s="37"/>
      <c r="M405" s="38">
        <f ca="1">IFERROR(SUM(M393:M404),"")</f>
        <v>0.15833333333333333</v>
      </c>
      <c r="N405" s="36" t="s">
        <v>228</v>
      </c>
      <c r="O405" s="78">
        <v>552440</v>
      </c>
    </row>
    <row r="406" spans="1:15" ht="18" customHeight="1">
      <c r="A406" s="102" t="s">
        <v>230</v>
      </c>
      <c r="B406" s="103"/>
      <c r="C406" s="103"/>
      <c r="D406" s="103"/>
      <c r="E406" s="104">
        <f>E392+E405</f>
        <v>0</v>
      </c>
      <c r="F406" s="40">
        <f>F392+F405</f>
        <v>191</v>
      </c>
      <c r="G406" s="40">
        <f>G392+G405</f>
        <v>802.2</v>
      </c>
      <c r="H406" s="41"/>
      <c r="I406" s="41"/>
      <c r="J406" s="41"/>
      <c r="K406" s="41"/>
      <c r="L406" s="41"/>
      <c r="M406" s="42">
        <f ca="1">IFERROR(M392+M405,"")</f>
        <v>0.49861111111111106</v>
      </c>
      <c r="N406" s="40" t="s">
        <v>231</v>
      </c>
      <c r="O406" s="84">
        <f>IFERROR(O392+O405,"")</f>
        <v>834390</v>
      </c>
    </row>
    <row r="407" spans="1:15" ht="15" customHeight="1">
      <c r="A407" s="70">
        <v>46219</v>
      </c>
      <c r="B407" s="32">
        <v>0.33333333333333298</v>
      </c>
      <c r="C407" s="33" t="s">
        <v>45</v>
      </c>
      <c r="D407" s="62" t="s">
        <v>30</v>
      </c>
      <c r="E407" s="62" t="s">
        <v>252</v>
      </c>
      <c r="F407" s="27">
        <v>5</v>
      </c>
      <c r="G407" s="34">
        <f t="shared" ref="G407:G418" si="90">IF(F407="","",IF(E407="PC 17",F407*4.2,IF(E407="PC 19",F407*5,"")))</f>
        <v>21</v>
      </c>
      <c r="H407" s="26" t="s">
        <v>19</v>
      </c>
      <c r="I407" s="33" t="s">
        <v>31</v>
      </c>
      <c r="J407" s="33" t="s">
        <v>27</v>
      </c>
      <c r="K407" s="29">
        <v>0.29166666666666669</v>
      </c>
      <c r="L407" s="29">
        <v>0.3125</v>
      </c>
      <c r="M407" s="35">
        <f t="shared" ref="M407:M418" ca="1" si="91">IFERROR(IF(K407="","",IF(L407="",MOD(NOW()-K407,1),IF(L407&gt;=K407,L407-K407,L407+1-K407))),"")</f>
        <v>2.0833333333333315E-2</v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252</v>
      </c>
      <c r="F408" s="27">
        <v>22</v>
      </c>
      <c r="G408" s="28">
        <f t="shared" si="90"/>
        <v>92.4</v>
      </c>
      <c r="H408" s="26" t="s">
        <v>20</v>
      </c>
      <c r="I408" s="26" t="s">
        <v>39</v>
      </c>
      <c r="J408" s="26" t="s">
        <v>51</v>
      </c>
      <c r="K408" s="29">
        <v>0.32500000000000001</v>
      </c>
      <c r="L408" s="29">
        <v>0.32708333333333334</v>
      </c>
      <c r="M408" s="30">
        <f t="shared" ca="1" si="91"/>
        <v>2.0833333333333259E-3</v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252</v>
      </c>
      <c r="F409" s="27">
        <v>15</v>
      </c>
      <c r="G409" s="34">
        <f t="shared" si="90"/>
        <v>63</v>
      </c>
      <c r="H409" s="33" t="s">
        <v>20</v>
      </c>
      <c r="I409" s="33" t="s">
        <v>39</v>
      </c>
      <c r="J409" s="33" t="s">
        <v>36</v>
      </c>
      <c r="K409" s="29">
        <v>0.44791666666666669</v>
      </c>
      <c r="L409" s="29">
        <v>0.45833333333333331</v>
      </c>
      <c r="M409" s="35">
        <f t="shared" ca="1" si="91"/>
        <v>1.041666666666663E-2</v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252</v>
      </c>
      <c r="F410" s="27">
        <v>12</v>
      </c>
      <c r="G410" s="28">
        <f t="shared" si="90"/>
        <v>50.400000000000006</v>
      </c>
      <c r="H410" s="26" t="s">
        <v>17</v>
      </c>
      <c r="I410" s="26"/>
      <c r="J410" s="26" t="s">
        <v>25</v>
      </c>
      <c r="K410" s="29">
        <v>0.47569444444444442</v>
      </c>
      <c r="L410" s="29">
        <v>0.5</v>
      </c>
      <c r="M410" s="30">
        <f t="shared" ca="1" si="91"/>
        <v>2.430555555555558E-2</v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252</v>
      </c>
      <c r="F411" s="27">
        <v>9</v>
      </c>
      <c r="G411" s="34">
        <f t="shared" si="90"/>
        <v>37.800000000000004</v>
      </c>
      <c r="H411" s="33" t="s">
        <v>17</v>
      </c>
      <c r="I411" s="33" t="s">
        <v>135</v>
      </c>
      <c r="J411" s="33" t="s">
        <v>49</v>
      </c>
      <c r="K411" s="29">
        <v>0.5</v>
      </c>
      <c r="L411" s="29">
        <v>0.54027777777777775</v>
      </c>
      <c r="M411" s="35">
        <f t="shared" ca="1" si="91"/>
        <v>4.0277777777777746E-2</v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252</v>
      </c>
      <c r="F412" s="27">
        <v>0</v>
      </c>
      <c r="G412" s="34">
        <f t="shared" si="90"/>
        <v>0</v>
      </c>
      <c r="H412" s="26" t="s">
        <v>17</v>
      </c>
      <c r="I412" s="26"/>
      <c r="J412" s="26" t="s">
        <v>25</v>
      </c>
      <c r="K412" s="29">
        <v>0.65694444444444444</v>
      </c>
      <c r="L412" s="29">
        <v>0.68055555555555558</v>
      </c>
      <c r="M412" s="30">
        <f t="shared" ca="1" si="91"/>
        <v>2.3611111111111138E-2</v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252</v>
      </c>
      <c r="F413" s="27">
        <v>15</v>
      </c>
      <c r="G413" s="34">
        <f t="shared" si="90"/>
        <v>63</v>
      </c>
      <c r="H413" s="33" t="s">
        <v>19</v>
      </c>
      <c r="I413" s="33" t="s">
        <v>39</v>
      </c>
      <c r="J413" s="33" t="s">
        <v>27</v>
      </c>
      <c r="K413" s="29">
        <v>0.65694444444444444</v>
      </c>
      <c r="L413" s="29">
        <v>0.68055555555555558</v>
      </c>
      <c r="M413" s="35">
        <f t="shared" ca="1" si="91"/>
        <v>2.3611111111111138E-2</v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252</v>
      </c>
      <c r="F414" s="27">
        <v>10</v>
      </c>
      <c r="G414" s="34">
        <f t="shared" si="90"/>
        <v>42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225</v>
      </c>
      <c r="F415" s="27">
        <v>12</v>
      </c>
      <c r="G415" s="34">
        <f t="shared" si="90"/>
        <v>60</v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225</v>
      </c>
      <c r="F416" s="27">
        <v>4</v>
      </c>
      <c r="G416" s="28">
        <f t="shared" si="90"/>
        <v>20</v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252</v>
      </c>
      <c r="F417" s="27">
        <v>24</v>
      </c>
      <c r="G417" s="34">
        <f t="shared" si="90"/>
        <v>100.80000000000001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252</v>
      </c>
      <c r="F418" s="27">
        <v>11</v>
      </c>
      <c r="G418" s="28">
        <f t="shared" si="90"/>
        <v>46.2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9" t="s">
        <v>227</v>
      </c>
      <c r="B419" s="100"/>
      <c r="C419" s="100"/>
      <c r="D419" s="100"/>
      <c r="E419" s="101">
        <f>SUM(E407:E418)</f>
        <v>0</v>
      </c>
      <c r="F419" s="36">
        <f>SUM(F407:F418)</f>
        <v>139</v>
      </c>
      <c r="G419" s="36">
        <f>SUM(G407:G418)</f>
        <v>596.60000000000014</v>
      </c>
      <c r="H419" s="37"/>
      <c r="I419" s="37"/>
      <c r="J419" s="37"/>
      <c r="K419" s="37"/>
      <c r="L419" s="37"/>
      <c r="M419" s="38">
        <f ca="1">IFERROR(SUM(M407:M418),"")</f>
        <v>0.14513888888888887</v>
      </c>
      <c r="N419" s="36" t="s">
        <v>228</v>
      </c>
      <c r="O419" s="78">
        <v>700000</v>
      </c>
    </row>
    <row r="420" spans="1:15" ht="15" customHeight="1">
      <c r="A420" s="69">
        <v>46219</v>
      </c>
      <c r="B420" s="25">
        <v>0.83333333333333304</v>
      </c>
      <c r="C420" s="26" t="s">
        <v>29</v>
      </c>
      <c r="D420" s="59" t="s">
        <v>30</v>
      </c>
      <c r="E420" s="59" t="s">
        <v>252</v>
      </c>
      <c r="F420" s="27">
        <v>4</v>
      </c>
      <c r="G420" s="28">
        <f t="shared" ref="G420:G431" si="93">IF(F420="","",IF(E420="PC 17",F420*4.2,IF(E420="PC 19",F420*5,"")))</f>
        <v>16.8</v>
      </c>
      <c r="H420" s="26" t="s">
        <v>18</v>
      </c>
      <c r="I420" s="26" t="s">
        <v>165</v>
      </c>
      <c r="J420" s="26" t="s">
        <v>210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252</v>
      </c>
      <c r="F421" s="27">
        <v>0</v>
      </c>
      <c r="G421" s="34">
        <f t="shared" si="93"/>
        <v>0</v>
      </c>
      <c r="H421" s="33" t="s">
        <v>20</v>
      </c>
      <c r="I421" s="33" t="s">
        <v>39</v>
      </c>
      <c r="J421" s="33" t="s">
        <v>36</v>
      </c>
      <c r="K421" s="29">
        <v>0.95138888888888884</v>
      </c>
      <c r="L421" s="29">
        <v>0.96736111111111112</v>
      </c>
      <c r="M421" s="35">
        <f t="shared" ca="1" si="94"/>
        <v>1.5972222222222276E-2</v>
      </c>
      <c r="N421" s="46" t="s">
        <v>286</v>
      </c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252</v>
      </c>
      <c r="F422" s="27">
        <v>0</v>
      </c>
      <c r="G422" s="28">
        <f t="shared" si="93"/>
        <v>0</v>
      </c>
      <c r="H422" s="26" t="s">
        <v>19</v>
      </c>
      <c r="I422" s="26" t="s">
        <v>31</v>
      </c>
      <c r="J422" s="26" t="s">
        <v>27</v>
      </c>
      <c r="K422" s="29">
        <v>0.14930555555555555</v>
      </c>
      <c r="L422" s="29">
        <v>0.16944444444444445</v>
      </c>
      <c r="M422" s="30">
        <f t="shared" ca="1" si="94"/>
        <v>2.0138888888888901E-2</v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252</v>
      </c>
      <c r="F423" s="27">
        <v>0</v>
      </c>
      <c r="G423" s="34">
        <f t="shared" si="93"/>
        <v>0</v>
      </c>
      <c r="H423" s="33" t="s">
        <v>20</v>
      </c>
      <c r="I423" s="33" t="s">
        <v>39</v>
      </c>
      <c r="J423" s="33" t="s">
        <v>28</v>
      </c>
      <c r="K423" s="29">
        <v>0.26111111111111113</v>
      </c>
      <c r="L423" s="29"/>
      <c r="M423" s="35">
        <f t="shared" ca="1" si="94"/>
        <v>0.63397581018216442</v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252</v>
      </c>
      <c r="F424" s="27">
        <v>20</v>
      </c>
      <c r="G424" s="28">
        <f t="shared" si="93"/>
        <v>84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252</v>
      </c>
      <c r="F425" s="27">
        <v>16</v>
      </c>
      <c r="G425" s="34">
        <f t="shared" si="93"/>
        <v>67.2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252</v>
      </c>
      <c r="F426" s="27">
        <v>14</v>
      </c>
      <c r="G426" s="28">
        <f t="shared" si="93"/>
        <v>58.800000000000004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252</v>
      </c>
      <c r="F427" s="27">
        <v>20</v>
      </c>
      <c r="G427" s="34">
        <f t="shared" si="93"/>
        <v>84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252</v>
      </c>
      <c r="F428" s="27">
        <v>11</v>
      </c>
      <c r="G428" s="28">
        <f t="shared" si="93"/>
        <v>46.2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252</v>
      </c>
      <c r="F429" s="27">
        <v>12</v>
      </c>
      <c r="G429" s="34">
        <f t="shared" si="93"/>
        <v>50.400000000000006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252</v>
      </c>
      <c r="F430" s="27">
        <v>20</v>
      </c>
      <c r="G430" s="28">
        <f t="shared" si="93"/>
        <v>84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252</v>
      </c>
      <c r="F431" s="27">
        <v>6</v>
      </c>
      <c r="G431" s="34">
        <f t="shared" si="93"/>
        <v>25.200000000000003</v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8" t="s">
        <v>229</v>
      </c>
      <c r="B432" s="89"/>
      <c r="C432" s="89"/>
      <c r="D432" s="89"/>
      <c r="E432" s="89"/>
      <c r="F432" s="36">
        <f>SUM(F420:F431)</f>
        <v>123</v>
      </c>
      <c r="G432" s="36">
        <f>SUM(G420:G431)</f>
        <v>516.6</v>
      </c>
      <c r="H432" s="37"/>
      <c r="I432" s="37"/>
      <c r="J432" s="37"/>
      <c r="K432" s="37"/>
      <c r="L432" s="37"/>
      <c r="M432" s="38">
        <f ca="1">IFERROR(SUM(M420:M431),"")</f>
        <v>0.80480914351549782</v>
      </c>
      <c r="N432" s="36" t="s">
        <v>228</v>
      </c>
      <c r="O432" s="78">
        <v>484540</v>
      </c>
    </row>
    <row r="433" spans="1:15" ht="18" customHeight="1">
      <c r="A433" s="94" t="s">
        <v>230</v>
      </c>
      <c r="B433" s="92"/>
      <c r="C433" s="92"/>
      <c r="D433" s="92"/>
      <c r="E433" s="92"/>
      <c r="F433" s="40">
        <f>F419+F432</f>
        <v>262</v>
      </c>
      <c r="G433" s="40">
        <f>G419+G432</f>
        <v>1113.2000000000003</v>
      </c>
      <c r="H433" s="41"/>
      <c r="I433" s="41"/>
      <c r="J433" s="41"/>
      <c r="K433" s="41"/>
      <c r="L433" s="41"/>
      <c r="M433" s="42">
        <f ca="1">IFERROR(M419+M432,"")</f>
        <v>0.94994803240438674</v>
      </c>
      <c r="N433" s="40" t="s">
        <v>231</v>
      </c>
      <c r="O433" s="84">
        <f>IFERROR(O419+O432,"")</f>
        <v>1184540</v>
      </c>
    </row>
    <row r="434" spans="1:15" ht="15" customHeight="1">
      <c r="A434" s="69">
        <v>46220</v>
      </c>
      <c r="B434" s="25">
        <v>0.33333333333333298</v>
      </c>
      <c r="C434" s="26" t="s">
        <v>21</v>
      </c>
      <c r="D434" s="59" t="s">
        <v>30</v>
      </c>
      <c r="E434" s="59" t="s">
        <v>252</v>
      </c>
      <c r="F434" s="27">
        <v>16</v>
      </c>
      <c r="G434" s="28">
        <f t="shared" ref="G434:G445" si="96">IF(F434="","",IF(E434="PC 17",F434*4.2,IF(E434="PC 19",F434*5,"")))</f>
        <v>67.2</v>
      </c>
      <c r="H434" s="26" t="s">
        <v>19</v>
      </c>
      <c r="I434" s="26" t="s">
        <v>39</v>
      </c>
      <c r="J434" s="26" t="s">
        <v>50</v>
      </c>
      <c r="K434" s="29">
        <v>0.29166666666666669</v>
      </c>
      <c r="L434" s="29">
        <v>0.30902777777777779</v>
      </c>
      <c r="M434" s="30">
        <f t="shared" ref="M434:M445" ca="1" si="97">IFERROR(IF(K434="","",IF(L434="",MOD(NOW()-K434,1),IF(L434&gt;=K434,L434-K434,L434+1-K434))),"")</f>
        <v>1.7361111111111105E-2</v>
      </c>
      <c r="N434" s="46" t="s">
        <v>287</v>
      </c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252</v>
      </c>
      <c r="F435" s="27">
        <v>24</v>
      </c>
      <c r="G435" s="28">
        <f t="shared" si="96"/>
        <v>100.80000000000001</v>
      </c>
      <c r="H435" s="33" t="s">
        <v>18</v>
      </c>
      <c r="I435" s="33" t="s">
        <v>31</v>
      </c>
      <c r="J435" s="33" t="s">
        <v>153</v>
      </c>
      <c r="K435" s="29">
        <v>0.47222222222222221</v>
      </c>
      <c r="L435" s="29">
        <v>0.49305555555555558</v>
      </c>
      <c r="M435" s="35">
        <f t="shared" ca="1" si="97"/>
        <v>2.083333333333337E-2</v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252</v>
      </c>
      <c r="F436" s="27">
        <v>20</v>
      </c>
      <c r="G436" s="28">
        <f t="shared" si="96"/>
        <v>84</v>
      </c>
      <c r="H436" s="26" t="s">
        <v>19</v>
      </c>
      <c r="I436" s="26" t="s">
        <v>156</v>
      </c>
      <c r="J436" s="26" t="s">
        <v>27</v>
      </c>
      <c r="K436" s="29">
        <v>0.53125</v>
      </c>
      <c r="L436" s="29">
        <v>0.54513888888888884</v>
      </c>
      <c r="M436" s="30">
        <f t="shared" ca="1" si="97"/>
        <v>1.388888888888884E-2</v>
      </c>
      <c r="N436" s="46" t="s">
        <v>288</v>
      </c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252</v>
      </c>
      <c r="F437" s="27">
        <v>18</v>
      </c>
      <c r="G437" s="34">
        <f t="shared" si="96"/>
        <v>75.600000000000009</v>
      </c>
      <c r="H437" s="33" t="s">
        <v>20</v>
      </c>
      <c r="I437" s="33" t="s">
        <v>39</v>
      </c>
      <c r="J437" s="33" t="s">
        <v>51</v>
      </c>
      <c r="K437" s="29">
        <v>0.75</v>
      </c>
      <c r="L437" s="29">
        <v>0.76736111111111116</v>
      </c>
      <c r="M437" s="35">
        <f t="shared" ca="1" si="97"/>
        <v>1.736111111111116E-2</v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252</v>
      </c>
      <c r="F438" s="27">
        <v>5</v>
      </c>
      <c r="G438" s="28">
        <f t="shared" si="96"/>
        <v>21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252</v>
      </c>
      <c r="F439" s="27">
        <v>14</v>
      </c>
      <c r="G439" s="34">
        <f t="shared" si="96"/>
        <v>58.800000000000004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252</v>
      </c>
      <c r="F440" s="27">
        <v>16</v>
      </c>
      <c r="G440" s="28">
        <f t="shared" si="96"/>
        <v>67.2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252</v>
      </c>
      <c r="F441" s="27">
        <v>21</v>
      </c>
      <c r="G441" s="34">
        <f t="shared" si="96"/>
        <v>88.2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252</v>
      </c>
      <c r="F442" s="27">
        <v>29</v>
      </c>
      <c r="G442" s="28">
        <f t="shared" si="96"/>
        <v>121.80000000000001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252</v>
      </c>
      <c r="F443" s="27">
        <v>24</v>
      </c>
      <c r="G443" s="34">
        <f t="shared" si="96"/>
        <v>100.80000000000001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252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252</v>
      </c>
      <c r="F445" s="27">
        <v>3</v>
      </c>
      <c r="G445" s="34">
        <f t="shared" si="96"/>
        <v>12.600000000000001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9" t="s">
        <v>227</v>
      </c>
      <c r="B446" s="100"/>
      <c r="C446" s="100"/>
      <c r="D446" s="100"/>
      <c r="E446" s="101">
        <f>SUM(E434:E445)</f>
        <v>0</v>
      </c>
      <c r="F446" s="36">
        <f>SUM(F434:F445)</f>
        <v>198</v>
      </c>
      <c r="G446" s="36">
        <f>SUM(G434:G445)</f>
        <v>831.60000000000014</v>
      </c>
      <c r="H446" s="37"/>
      <c r="I446" s="37"/>
      <c r="J446" s="37"/>
      <c r="K446" s="37"/>
      <c r="L446" s="37"/>
      <c r="M446" s="38">
        <f ca="1">IFERROR(SUM(M434:M445),"")</f>
        <v>6.9444444444444475E-2</v>
      </c>
      <c r="N446" s="36" t="s">
        <v>228</v>
      </c>
      <c r="O446" s="78">
        <v>739430</v>
      </c>
    </row>
    <row r="447" spans="1:15" ht="15" customHeight="1">
      <c r="A447" s="70">
        <v>46220</v>
      </c>
      <c r="B447" s="32">
        <v>0.83333333333333304</v>
      </c>
      <c r="C447" s="33" t="s">
        <v>45</v>
      </c>
      <c r="D447" s="62" t="s">
        <v>30</v>
      </c>
      <c r="E447" s="62" t="s">
        <v>225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0.82291666666666663</v>
      </c>
      <c r="L447" s="29">
        <v>0.85833333333333328</v>
      </c>
      <c r="M447" s="35">
        <f t="shared" ref="M447:M458" ca="1" si="100">IFERROR(IF(K447="","",IF(L447="",MOD(NOW()-K447,1),IF(L447&gt;=K447,L447-K447,L447+1-K447))),"")</f>
        <v>3.5416666666666652E-2</v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225</v>
      </c>
      <c r="F448" s="27">
        <v>5</v>
      </c>
      <c r="G448" s="28">
        <f t="shared" si="99"/>
        <v>25</v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 t="s">
        <v>45</v>
      </c>
      <c r="D449" s="62"/>
      <c r="E449" s="62" t="s">
        <v>225</v>
      </c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 t="s">
        <v>45</v>
      </c>
      <c r="D450" s="62"/>
      <c r="E450" s="62" t="s">
        <v>225</v>
      </c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 t="s">
        <v>45</v>
      </c>
      <c r="D451" s="62"/>
      <c r="E451" s="62" t="s">
        <v>225</v>
      </c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 t="s">
        <v>45</v>
      </c>
      <c r="D452" s="62"/>
      <c r="E452" s="62" t="s">
        <v>225</v>
      </c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 t="s">
        <v>45</v>
      </c>
      <c r="D453" s="62"/>
      <c r="E453" s="62" t="s">
        <v>225</v>
      </c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 t="s">
        <v>45</v>
      </c>
      <c r="D454" s="62"/>
      <c r="E454" s="62" t="s">
        <v>225</v>
      </c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 t="s">
        <v>45</v>
      </c>
      <c r="D455" s="62"/>
      <c r="E455" s="62" t="s">
        <v>225</v>
      </c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 t="s">
        <v>45</v>
      </c>
      <c r="D456" s="62"/>
      <c r="E456" s="62" t="s">
        <v>225</v>
      </c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 t="s">
        <v>45</v>
      </c>
      <c r="D457" s="62"/>
      <c r="E457" s="62" t="s">
        <v>225</v>
      </c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 t="s">
        <v>45</v>
      </c>
      <c r="D458" s="62"/>
      <c r="E458" s="62" t="s">
        <v>225</v>
      </c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9" t="s">
        <v>229</v>
      </c>
      <c r="B459" s="100"/>
      <c r="C459" s="100"/>
      <c r="D459" s="100"/>
      <c r="E459" s="101">
        <f>SUM(E447:E458)</f>
        <v>0</v>
      </c>
      <c r="F459" s="36">
        <f>SUM(F447:F458)</f>
        <v>5</v>
      </c>
      <c r="G459" s="36">
        <f>SUM(G447:G458)</f>
        <v>25</v>
      </c>
      <c r="H459" s="37"/>
      <c r="I459" s="37"/>
      <c r="J459" s="37"/>
      <c r="K459" s="37"/>
      <c r="L459" s="37"/>
      <c r="M459" s="38">
        <f ca="1">IFERROR(SUM(M447:M458),"")</f>
        <v>3.5416666666666652E-2</v>
      </c>
      <c r="N459" s="36" t="s">
        <v>228</v>
      </c>
      <c r="O459" s="78"/>
    </row>
    <row r="460" spans="1:15" ht="18" customHeight="1">
      <c r="A460" s="102" t="s">
        <v>230</v>
      </c>
      <c r="B460" s="103"/>
      <c r="C460" s="103"/>
      <c r="D460" s="103"/>
      <c r="E460" s="104">
        <f>E446+E459</f>
        <v>0</v>
      </c>
      <c r="F460" s="40">
        <f>F446+F459</f>
        <v>203</v>
      </c>
      <c r="G460" s="40">
        <f>G446+G459</f>
        <v>856.60000000000014</v>
      </c>
      <c r="H460" s="41"/>
      <c r="I460" s="41"/>
      <c r="J460" s="41"/>
      <c r="K460" s="41"/>
      <c r="L460" s="41"/>
      <c r="M460" s="42">
        <f ca="1">IFERROR(M446+M459,"")</f>
        <v>0.10486111111111113</v>
      </c>
      <c r="N460" s="40" t="s">
        <v>231</v>
      </c>
      <c r="O460" s="84">
        <f>IFERROR(O446+O459,"")</f>
        <v>739430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9" t="s">
        <v>227</v>
      </c>
      <c r="B473" s="100"/>
      <c r="C473" s="100"/>
      <c r="D473" s="100"/>
      <c r="E473" s="101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228</v>
      </c>
      <c r="O473" s="78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9" t="s">
        <v>229</v>
      </c>
      <c r="B486" s="100"/>
      <c r="C486" s="100"/>
      <c r="D486" s="100"/>
      <c r="E486" s="101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228</v>
      </c>
      <c r="O486" s="78"/>
    </row>
    <row r="487" spans="1:15" ht="18" customHeight="1">
      <c r="A487" s="102" t="s">
        <v>230</v>
      </c>
      <c r="B487" s="103"/>
      <c r="C487" s="103"/>
      <c r="D487" s="103"/>
      <c r="E487" s="104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231</v>
      </c>
      <c r="O487" s="84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9" t="s">
        <v>227</v>
      </c>
      <c r="B500" s="100"/>
      <c r="C500" s="100"/>
      <c r="D500" s="100"/>
      <c r="E500" s="101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228</v>
      </c>
      <c r="O500" s="78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9" t="s">
        <v>229</v>
      </c>
      <c r="B513" s="100"/>
      <c r="C513" s="100"/>
      <c r="D513" s="100"/>
      <c r="E513" s="101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228</v>
      </c>
      <c r="O513" s="78"/>
    </row>
    <row r="514" spans="1:15" ht="18" customHeight="1">
      <c r="A514" s="102" t="s">
        <v>230</v>
      </c>
      <c r="B514" s="103"/>
      <c r="C514" s="103"/>
      <c r="D514" s="103"/>
      <c r="E514" s="104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231</v>
      </c>
      <c r="O514" s="84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9" t="s">
        <v>227</v>
      </c>
      <c r="B527" s="100"/>
      <c r="C527" s="100"/>
      <c r="D527" s="100"/>
      <c r="E527" s="101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228</v>
      </c>
      <c r="O527" s="78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9" t="s">
        <v>229</v>
      </c>
      <c r="B540" s="100"/>
      <c r="C540" s="100"/>
      <c r="D540" s="100"/>
      <c r="E540" s="101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228</v>
      </c>
      <c r="O540" s="78"/>
    </row>
    <row r="541" spans="1:15" ht="18" customHeight="1">
      <c r="A541" s="102" t="s">
        <v>230</v>
      </c>
      <c r="B541" s="103"/>
      <c r="C541" s="103"/>
      <c r="D541" s="103"/>
      <c r="E541" s="104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231</v>
      </c>
      <c r="O541" s="84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9" t="s">
        <v>227</v>
      </c>
      <c r="B554" s="100"/>
      <c r="C554" s="100"/>
      <c r="D554" s="100"/>
      <c r="E554" s="101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228</v>
      </c>
      <c r="O554" s="78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9" t="s">
        <v>229</v>
      </c>
      <c r="B567" s="100"/>
      <c r="C567" s="100"/>
      <c r="D567" s="100"/>
      <c r="E567" s="101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228</v>
      </c>
      <c r="O567" s="78"/>
    </row>
    <row r="568" spans="1:15" ht="18" customHeight="1">
      <c r="A568" s="102" t="s">
        <v>230</v>
      </c>
      <c r="B568" s="103"/>
      <c r="C568" s="103"/>
      <c r="D568" s="103"/>
      <c r="E568" s="104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231</v>
      </c>
      <c r="O568" s="84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9" t="s">
        <v>227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228</v>
      </c>
      <c r="O581" s="78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9" t="s">
        <v>229</v>
      </c>
      <c r="B594" s="100"/>
      <c r="C594" s="100"/>
      <c r="D594" s="100"/>
      <c r="E594" s="10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228</v>
      </c>
      <c r="O594" s="78"/>
    </row>
    <row r="595" spans="1:15" ht="18" customHeight="1">
      <c r="A595" s="102" t="s">
        <v>230</v>
      </c>
      <c r="B595" s="103"/>
      <c r="C595" s="103"/>
      <c r="D595" s="103"/>
      <c r="E595" s="10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231</v>
      </c>
      <c r="O595" s="84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9" t="s">
        <v>227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228</v>
      </c>
      <c r="O608" s="78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9" t="s">
        <v>229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228</v>
      </c>
      <c r="O621" s="78"/>
    </row>
    <row r="622" spans="1:15" ht="18" customHeight="1">
      <c r="A622" s="102" t="s">
        <v>230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231</v>
      </c>
      <c r="O622" s="84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9" t="s">
        <v>227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228</v>
      </c>
      <c r="O635" s="78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9" t="s">
        <v>229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228</v>
      </c>
      <c r="O648" s="78"/>
    </row>
    <row r="649" spans="1:15" ht="18" customHeight="1">
      <c r="A649" s="102" t="s">
        <v>230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231</v>
      </c>
      <c r="O649" s="84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9" t="s">
        <v>227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228</v>
      </c>
      <c r="O662" s="78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9" t="s">
        <v>229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228</v>
      </c>
      <c r="O675" s="78"/>
    </row>
    <row r="676" spans="1:15" ht="18" customHeight="1">
      <c r="A676" s="102" t="s">
        <v>230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231</v>
      </c>
      <c r="O676" s="84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9" t="s">
        <v>227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228</v>
      </c>
      <c r="O689" s="78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9" t="s">
        <v>229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228</v>
      </c>
      <c r="O702" s="78"/>
    </row>
    <row r="703" spans="1:15" ht="18" customHeight="1">
      <c r="A703" s="102" t="s">
        <v>230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231</v>
      </c>
      <c r="O703" s="84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9" t="s">
        <v>227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228</v>
      </c>
      <c r="O716" s="78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9" t="s">
        <v>229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228</v>
      </c>
      <c r="O729" s="78"/>
    </row>
    <row r="730" spans="1:15" ht="18" customHeight="1">
      <c r="A730" s="102" t="s">
        <v>230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231</v>
      </c>
      <c r="O730" s="84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9" t="s">
        <v>227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228</v>
      </c>
      <c r="O743" s="78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9" t="s">
        <v>229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228</v>
      </c>
      <c r="O756" s="39"/>
    </row>
    <row r="757" spans="1:15" ht="18" customHeight="1">
      <c r="A757" s="102" t="s">
        <v>230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231</v>
      </c>
      <c r="O757" s="84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9" t="s">
        <v>227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228</v>
      </c>
      <c r="O770" s="78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9" t="s">
        <v>229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228</v>
      </c>
      <c r="O783" s="39"/>
    </row>
    <row r="784" spans="1:15" ht="18" customHeight="1">
      <c r="A784" s="102" t="s">
        <v>230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231</v>
      </c>
      <c r="O784" s="84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9" t="s">
        <v>227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228</v>
      </c>
      <c r="O797" s="78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9" t="s">
        <v>229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228</v>
      </c>
      <c r="O810" s="39"/>
    </row>
    <row r="811" spans="1:15" ht="18" customHeight="1">
      <c r="A811" s="102" t="s">
        <v>230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231</v>
      </c>
      <c r="O811" s="83">
        <f>IFERROR(O797+O810,"")</f>
        <v>0</v>
      </c>
    </row>
  </sheetData>
  <mergeCells count="87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22:E622"/>
    <mergeCell ref="A635:E635"/>
    <mergeCell ref="A554:E554"/>
    <mergeCell ref="A567:E567"/>
    <mergeCell ref="A568:E568"/>
    <mergeCell ref="A581:E581"/>
    <mergeCell ref="A594:E594"/>
    <mergeCell ref="A527:E527"/>
    <mergeCell ref="A540:E540"/>
    <mergeCell ref="A541:E541"/>
    <mergeCell ref="A608:E608"/>
    <mergeCell ref="A621:E621"/>
    <mergeCell ref="A486:E486"/>
    <mergeCell ref="A487:E487"/>
    <mergeCell ref="A500:E500"/>
    <mergeCell ref="A513:E513"/>
    <mergeCell ref="A514:E514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allowBlank="1" showErrorMessage="1" errorTitle="Valor inválido" error="Selecione PC 17 ou PC 19 da lista." sqref="E2:E13 E15:E26 E29:E431 E434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E432:E433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 H406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abSelected="1" topLeftCell="A426" zoomScale="50" zoomScaleNormal="50" workbookViewId="0">
      <selection activeCell="J449" sqref="J449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45.5703125" style="20" customWidth="1"/>
    <col min="15" max="15" width="14" customWidth="1"/>
  </cols>
  <sheetData>
    <row r="1" spans="1:15" ht="37.5" customHeight="1">
      <c r="A1" s="68" t="s">
        <v>7</v>
      </c>
      <c r="B1" s="23" t="s">
        <v>214</v>
      </c>
      <c r="C1" s="23" t="s">
        <v>12</v>
      </c>
      <c r="D1" s="22" t="s">
        <v>13</v>
      </c>
      <c r="E1" s="22" t="s">
        <v>215</v>
      </c>
      <c r="F1" s="23" t="s">
        <v>216</v>
      </c>
      <c r="G1" s="23" t="s">
        <v>217</v>
      </c>
      <c r="H1" s="23" t="s">
        <v>14</v>
      </c>
      <c r="I1" s="23" t="s">
        <v>15</v>
      </c>
      <c r="J1" s="23" t="s">
        <v>218</v>
      </c>
      <c r="K1" s="23" t="s">
        <v>219</v>
      </c>
      <c r="L1" s="23" t="s">
        <v>220</v>
      </c>
      <c r="M1" s="24" t="s">
        <v>221</v>
      </c>
      <c r="N1" s="23" t="s">
        <v>222</v>
      </c>
      <c r="O1" s="23" t="s">
        <v>223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252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252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252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289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252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252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290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252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163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252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252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252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252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252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252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9" t="s">
        <v>227</v>
      </c>
      <c r="B14" s="100"/>
      <c r="C14" s="100"/>
      <c r="D14" s="100"/>
      <c r="E14" s="101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228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252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252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252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252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252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252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252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252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252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252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252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252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9" t="s">
        <v>229</v>
      </c>
      <c r="B27" s="100"/>
      <c r="C27" s="100"/>
      <c r="D27" s="100"/>
      <c r="E27" s="101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228</v>
      </c>
      <c r="O27" s="39">
        <v>308500</v>
      </c>
    </row>
    <row r="28" spans="1:15" ht="18" customHeight="1">
      <c r="A28" s="102" t="s">
        <v>230</v>
      </c>
      <c r="B28" s="103"/>
      <c r="C28" s="103"/>
      <c r="D28" s="103"/>
      <c r="E28" s="104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231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252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164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291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252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252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252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252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252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252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252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252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252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252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252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9" t="s">
        <v>227</v>
      </c>
      <c r="B41" s="100"/>
      <c r="C41" s="100"/>
      <c r="D41" s="100"/>
      <c r="E41" s="101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228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252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252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252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252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252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252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252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252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252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252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252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252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9" t="s">
        <v>229</v>
      </c>
      <c r="B54" s="100"/>
      <c r="C54" s="100"/>
      <c r="D54" s="100"/>
      <c r="E54" s="101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228</v>
      </c>
      <c r="O54" s="39">
        <v>124290</v>
      </c>
    </row>
    <row r="55" spans="1:15" ht="18" customHeight="1">
      <c r="A55" s="102" t="s">
        <v>230</v>
      </c>
      <c r="B55" s="103"/>
      <c r="C55" s="103"/>
      <c r="D55" s="103"/>
      <c r="E55" s="104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231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252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252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252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252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292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252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252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252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252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252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252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252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252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9" t="s">
        <v>227</v>
      </c>
      <c r="B68" s="100"/>
      <c r="C68" s="100"/>
      <c r="D68" s="100"/>
      <c r="E68" s="101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228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252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164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293</v>
      </c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252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252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252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252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252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252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252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252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252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252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252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9" t="s">
        <v>229</v>
      </c>
      <c r="B81" s="100"/>
      <c r="C81" s="100"/>
      <c r="D81" s="100"/>
      <c r="E81" s="101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228</v>
      </c>
      <c r="O81" s="39">
        <v>396340</v>
      </c>
    </row>
    <row r="82" spans="1:15" ht="18" customHeight="1">
      <c r="A82" s="102" t="s">
        <v>230</v>
      </c>
      <c r="B82" s="103"/>
      <c r="C82" s="103"/>
      <c r="D82" s="103"/>
      <c r="E82" s="104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231</v>
      </c>
      <c r="O82" s="43">
        <f>IFERROR(O68+O81,"")</f>
        <v>837780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225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225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225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225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225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225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294</v>
      </c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225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225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225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225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225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225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9" t="s">
        <v>227</v>
      </c>
      <c r="B95" s="100"/>
      <c r="C95" s="100"/>
      <c r="D95" s="100"/>
      <c r="E95" s="101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228</v>
      </c>
      <c r="O95" s="39">
        <v>536290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252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252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252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252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252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252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252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252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252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252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252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252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9" t="s">
        <v>229</v>
      </c>
      <c r="B108" s="100"/>
      <c r="C108" s="100"/>
      <c r="D108" s="100"/>
      <c r="E108" s="101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228</v>
      </c>
      <c r="O108" s="39">
        <v>41230</v>
      </c>
    </row>
    <row r="109" spans="1:15" ht="18" customHeight="1">
      <c r="A109" s="102" t="s">
        <v>230</v>
      </c>
      <c r="B109" s="103"/>
      <c r="C109" s="103"/>
      <c r="D109" s="103"/>
      <c r="E109" s="104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231</v>
      </c>
      <c r="O109" s="43">
        <f>IFERROR(O95+O108,"")</f>
        <v>577520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252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252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252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252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252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252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252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252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252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252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252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252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9" t="s">
        <v>227</v>
      </c>
      <c r="B122" s="100"/>
      <c r="C122" s="100"/>
      <c r="D122" s="100"/>
      <c r="E122" s="101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228</v>
      </c>
      <c r="O122" s="39">
        <v>51130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225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225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191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225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225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225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225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225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264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225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225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225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225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225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9" t="s">
        <v>229</v>
      </c>
      <c r="B135" s="100"/>
      <c r="C135" s="100"/>
      <c r="D135" s="100"/>
      <c r="E135" s="101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228</v>
      </c>
      <c r="O135" s="39">
        <v>381250</v>
      </c>
    </row>
    <row r="136" spans="1:15" ht="18" customHeight="1">
      <c r="A136" s="102" t="s">
        <v>230</v>
      </c>
      <c r="B136" s="103"/>
      <c r="C136" s="103"/>
      <c r="D136" s="103"/>
      <c r="E136" s="104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231</v>
      </c>
      <c r="O136" s="43">
        <f>IFERROR(O122+O135,"")</f>
        <v>432380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225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225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295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225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225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225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266</v>
      </c>
      <c r="K141" s="29">
        <v>0.71597222222222223</v>
      </c>
      <c r="L141" s="29" t="s">
        <v>296</v>
      </c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225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225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225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225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225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225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225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227</v>
      </c>
      <c r="B149" s="100"/>
      <c r="C149" s="100"/>
      <c r="D149" s="100"/>
      <c r="E149" s="101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228</v>
      </c>
      <c r="O149" s="39">
        <v>584680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225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297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225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252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268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252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252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252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252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252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252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252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252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252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229</v>
      </c>
      <c r="B162" s="100"/>
      <c r="C162" s="100"/>
      <c r="D162" s="100"/>
      <c r="E162" s="101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228</v>
      </c>
      <c r="O162" s="39">
        <v>337120</v>
      </c>
    </row>
    <row r="163" spans="1:15" ht="18" customHeight="1">
      <c r="A163" s="102" t="s">
        <v>230</v>
      </c>
      <c r="B163" s="103"/>
      <c r="C163" s="103"/>
      <c r="D163" s="103"/>
      <c r="E163" s="104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231</v>
      </c>
      <c r="O163" s="43">
        <f>IFERROR(O149+O162,"")</f>
        <v>921800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225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252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252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127</v>
      </c>
      <c r="K166" s="29">
        <v>0.45694444444444443</v>
      </c>
      <c r="L166" s="29">
        <v>0.47222222222222221</v>
      </c>
      <c r="M166" s="30" t="s">
        <v>298</v>
      </c>
      <c r="N166" s="27" t="s">
        <v>299</v>
      </c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252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252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252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252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252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252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252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252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252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227</v>
      </c>
      <c r="B176" s="100"/>
      <c r="C176" s="100"/>
      <c r="D176" s="100"/>
      <c r="E176" s="101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228</v>
      </c>
      <c r="O176" s="39">
        <v>190950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252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252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252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252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252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252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252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252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252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252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252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252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229</v>
      </c>
      <c r="B189" s="100"/>
      <c r="C189" s="100"/>
      <c r="D189" s="100"/>
      <c r="E189" s="101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228</v>
      </c>
      <c r="O189" s="39">
        <v>747210</v>
      </c>
    </row>
    <row r="190" spans="1:15" ht="18" customHeight="1">
      <c r="A190" s="102" t="s">
        <v>230</v>
      </c>
      <c r="B190" s="103"/>
      <c r="C190" s="103"/>
      <c r="D190" s="103"/>
      <c r="E190" s="104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231</v>
      </c>
      <c r="O190" s="43">
        <f>IFERROR(O176+O189,"")</f>
        <v>938160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252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135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252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169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300</v>
      </c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252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252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161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252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252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252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252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252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252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252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252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227</v>
      </c>
      <c r="B203" s="100"/>
      <c r="C203" s="100"/>
      <c r="D203" s="100"/>
      <c r="E203" s="101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228</v>
      </c>
      <c r="O203" s="39">
        <v>324840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252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225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252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252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252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252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252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252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252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252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252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252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9" t="s">
        <v>229</v>
      </c>
      <c r="B216" s="100"/>
      <c r="C216" s="100"/>
      <c r="D216" s="100"/>
      <c r="E216" s="101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228</v>
      </c>
      <c r="O216" s="39">
        <v>468430</v>
      </c>
    </row>
    <row r="217" spans="1:15" ht="18" customHeight="1">
      <c r="A217" s="102" t="s">
        <v>230</v>
      </c>
      <c r="B217" s="103"/>
      <c r="C217" s="103"/>
      <c r="D217" s="103"/>
      <c r="E217" s="104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231</v>
      </c>
      <c r="O217" s="48">
        <f>IFERROR(O203+O216,"")</f>
        <v>793270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252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252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252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252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252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252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252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252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252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252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252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252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9" t="s">
        <v>227</v>
      </c>
      <c r="B230" s="100"/>
      <c r="C230" s="100"/>
      <c r="D230" s="100"/>
      <c r="E230" s="101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228</v>
      </c>
      <c r="O230" s="39">
        <v>469520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252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146</v>
      </c>
      <c r="J231" s="33" t="s">
        <v>179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225</v>
      </c>
      <c r="F232" s="27">
        <v>7</v>
      </c>
      <c r="G232" s="28">
        <f t="shared" si="51"/>
        <v>35</v>
      </c>
      <c r="H232" s="26" t="s">
        <v>20</v>
      </c>
      <c r="I232" s="26" t="s">
        <v>146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252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138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252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252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252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252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252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252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252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225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252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9" t="s">
        <v>229</v>
      </c>
      <c r="B243" s="100"/>
      <c r="C243" s="100"/>
      <c r="D243" s="100"/>
      <c r="E243" s="101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228</v>
      </c>
      <c r="O243" s="39">
        <v>575930</v>
      </c>
    </row>
    <row r="244" spans="1:15" ht="18" customHeight="1">
      <c r="A244" s="102" t="s">
        <v>230</v>
      </c>
      <c r="B244" s="103"/>
      <c r="C244" s="103"/>
      <c r="D244" s="103"/>
      <c r="E244" s="104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231</v>
      </c>
      <c r="O244" s="48">
        <f>IFERROR(O230+O243,"")</f>
        <v>1045450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252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205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252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252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252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252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252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252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252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252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252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252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252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9" t="s">
        <v>227</v>
      </c>
      <c r="B257" s="100"/>
      <c r="C257" s="100"/>
      <c r="D257" s="100"/>
      <c r="E257" s="101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228</v>
      </c>
      <c r="O257" s="39">
        <v>456270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252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252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195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301</v>
      </c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252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252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252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121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252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302</v>
      </c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252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252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252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252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252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252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9" t="s">
        <v>229</v>
      </c>
      <c r="B270" s="100"/>
      <c r="C270" s="100"/>
      <c r="D270" s="100"/>
      <c r="E270" s="101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228</v>
      </c>
      <c r="O270" s="39">
        <v>483510</v>
      </c>
    </row>
    <row r="271" spans="1:15" ht="18" customHeight="1">
      <c r="A271" s="102" t="s">
        <v>230</v>
      </c>
      <c r="B271" s="103"/>
      <c r="C271" s="103"/>
      <c r="D271" s="103"/>
      <c r="E271" s="104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231</v>
      </c>
      <c r="O271" s="48">
        <f>IFERROR(O257+O270,"")</f>
        <v>939780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252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252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252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252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252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252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252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252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252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252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252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252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9" t="s">
        <v>227</v>
      </c>
      <c r="B284" s="100"/>
      <c r="C284" s="100"/>
      <c r="D284" s="100"/>
      <c r="E284" s="101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228</v>
      </c>
      <c r="O284" s="39">
        <v>303720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252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252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127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303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252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252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252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304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252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252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113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252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252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252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252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252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9" t="s">
        <v>229</v>
      </c>
      <c r="B297" s="100"/>
      <c r="C297" s="100"/>
      <c r="D297" s="100"/>
      <c r="E297" s="101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228</v>
      </c>
      <c r="O297" s="39">
        <v>487980</v>
      </c>
    </row>
    <row r="298" spans="1:15" ht="18" customHeight="1">
      <c r="A298" s="102" t="s">
        <v>230</v>
      </c>
      <c r="B298" s="103"/>
      <c r="C298" s="103"/>
      <c r="D298" s="103"/>
      <c r="E298" s="104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231</v>
      </c>
      <c r="O298" s="48">
        <f>IFERROR(O284+O297,"")</f>
        <v>791700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252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252</v>
      </c>
      <c r="F300" s="27">
        <v>7</v>
      </c>
      <c r="G300" s="28">
        <f t="shared" si="66"/>
        <v>29.400000000000002</v>
      </c>
      <c r="H300" s="26" t="s">
        <v>20</v>
      </c>
      <c r="I300" s="26" t="s">
        <v>132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252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252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305</v>
      </c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252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252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252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252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252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252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252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225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9" t="s">
        <v>227</v>
      </c>
      <c r="B311" s="100"/>
      <c r="C311" s="100"/>
      <c r="D311" s="100"/>
      <c r="E311" s="101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228</v>
      </c>
      <c r="O311" s="39">
        <v>373300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252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306</v>
      </c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252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252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252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307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252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252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252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252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252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252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252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225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9" t="s">
        <v>229</v>
      </c>
      <c r="B324" s="100"/>
      <c r="C324" s="100"/>
      <c r="D324" s="100"/>
      <c r="E324" s="101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228</v>
      </c>
      <c r="O324" s="39">
        <v>609460</v>
      </c>
    </row>
    <row r="325" spans="1:15" ht="18" customHeight="1">
      <c r="A325" s="102" t="s">
        <v>230</v>
      </c>
      <c r="B325" s="103"/>
      <c r="C325" s="103"/>
      <c r="D325" s="103"/>
      <c r="E325" s="104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231</v>
      </c>
      <c r="O325" s="48">
        <f>IFERROR(O311+O324,"")</f>
        <v>982760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38</v>
      </c>
      <c r="E326" s="59" t="s">
        <v>252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308</v>
      </c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252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252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252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197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293</v>
      </c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225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252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295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252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127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252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252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252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252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252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9" t="s">
        <v>227</v>
      </c>
      <c r="B338" s="100"/>
      <c r="C338" s="100"/>
      <c r="D338" s="100"/>
      <c r="E338" s="101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228</v>
      </c>
      <c r="O338" s="39">
        <v>168000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252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252</v>
      </c>
      <c r="F340" s="27">
        <v>8</v>
      </c>
      <c r="G340" s="28">
        <f t="shared" si="75"/>
        <v>33.6</v>
      </c>
      <c r="H340" s="26" t="s">
        <v>20</v>
      </c>
      <c r="I340" s="26" t="s">
        <v>120</v>
      </c>
      <c r="J340" s="26" t="s">
        <v>113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252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252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252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252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252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252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252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252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252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252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9" t="s">
        <v>229</v>
      </c>
      <c r="B351" s="100"/>
      <c r="C351" s="100"/>
      <c r="D351" s="100"/>
      <c r="E351" s="101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228</v>
      </c>
      <c r="O351" s="39">
        <v>437940</v>
      </c>
    </row>
    <row r="352" spans="1:15" ht="18" customHeight="1">
      <c r="A352" s="102" t="s">
        <v>230</v>
      </c>
      <c r="B352" s="103"/>
      <c r="C352" s="103"/>
      <c r="D352" s="103"/>
      <c r="E352" s="104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231</v>
      </c>
      <c r="O352" s="48">
        <f>IFERROR(O338+O351,"")</f>
        <v>605940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252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252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252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252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252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252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252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252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252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252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252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252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9" t="s">
        <v>227</v>
      </c>
      <c r="B365" s="100"/>
      <c r="C365" s="100"/>
      <c r="D365" s="100"/>
      <c r="E365" s="101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228</v>
      </c>
      <c r="O365" s="39">
        <v>29130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30</v>
      </c>
      <c r="E366" s="59" t="s">
        <v>252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252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252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252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252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252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252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252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252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252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252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252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9" t="s">
        <v>229</v>
      </c>
      <c r="B378" s="100"/>
      <c r="C378" s="100"/>
      <c r="D378" s="100"/>
      <c r="E378" s="101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228</v>
      </c>
      <c r="O378" s="39">
        <v>473310</v>
      </c>
    </row>
    <row r="379" spans="1:15" ht="18" customHeight="1">
      <c r="A379" s="102" t="s">
        <v>230</v>
      </c>
      <c r="B379" s="103"/>
      <c r="C379" s="103"/>
      <c r="D379" s="103"/>
      <c r="E379" s="104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231</v>
      </c>
      <c r="O379" s="48">
        <f>IFERROR(O365+O378,"")</f>
        <v>502440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46</v>
      </c>
      <c r="E380" s="59" t="s">
        <v>252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252</v>
      </c>
      <c r="F381" s="27">
        <v>6</v>
      </c>
      <c r="G381" s="34">
        <f>IF(F381="","",IF(E382="PC 17",F381*4.2,IF(E382="PC 19",F381*5,"")))</f>
        <v>25.200000000000003</v>
      </c>
      <c r="H381" s="33" t="s">
        <v>19</v>
      </c>
      <c r="I381" s="33" t="s">
        <v>47</v>
      </c>
      <c r="J381" s="33" t="s">
        <v>27</v>
      </c>
      <c r="K381" s="29">
        <v>0.64930555555555558</v>
      </c>
      <c r="L381" s="29">
        <v>0.66666666666666663</v>
      </c>
      <c r="M381" s="35">
        <f t="shared" ca="1" si="85"/>
        <v>1.7361111111111049E-2</v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252</v>
      </c>
      <c r="F382" s="27">
        <v>15</v>
      </c>
      <c r="G382" s="28">
        <v>63</v>
      </c>
      <c r="H382" s="26" t="s">
        <v>20</v>
      </c>
      <c r="I382" s="26" t="s">
        <v>47</v>
      </c>
      <c r="J382" s="33" t="s">
        <v>51</v>
      </c>
      <c r="K382" s="29">
        <v>0.69027777777777777</v>
      </c>
      <c r="L382" s="29">
        <v>0.69513888888888886</v>
      </c>
      <c r="M382" s="30">
        <f t="shared" ca="1" si="85"/>
        <v>4.8611111111110938E-3</v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252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252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252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252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252</v>
      </c>
      <c r="F387" s="27">
        <v>7</v>
      </c>
      <c r="G387" s="34">
        <f t="shared" si="84"/>
        <v>29.400000000000002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252</v>
      </c>
      <c r="F388" s="27">
        <v>13</v>
      </c>
      <c r="G388" s="28">
        <f t="shared" si="84"/>
        <v>54.6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252</v>
      </c>
      <c r="F389" s="27">
        <v>4</v>
      </c>
      <c r="G389" s="34">
        <f t="shared" si="84"/>
        <v>16.8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252</v>
      </c>
      <c r="F390" s="27">
        <v>11</v>
      </c>
      <c r="G390" s="28">
        <f t="shared" si="84"/>
        <v>46.2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252</v>
      </c>
      <c r="F391" s="27">
        <v>3</v>
      </c>
      <c r="G391" s="34">
        <f t="shared" si="84"/>
        <v>12.600000000000001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9" t="s">
        <v>227</v>
      </c>
      <c r="B392" s="100"/>
      <c r="C392" s="100"/>
      <c r="D392" s="100"/>
      <c r="E392" s="101">
        <f>SUM(E380:E391)</f>
        <v>0</v>
      </c>
      <c r="F392" s="36">
        <f>SUM(F380:F391)</f>
        <v>95</v>
      </c>
      <c r="G392" s="36">
        <f>SUM(G380:G391)</f>
        <v>399.00000000000006</v>
      </c>
      <c r="H392" s="37"/>
      <c r="I392" s="37"/>
      <c r="J392" s="37"/>
      <c r="K392" s="37"/>
      <c r="L392" s="37"/>
      <c r="M392" s="38">
        <f ca="1">IFERROR(SUM(M380:M391),"")</f>
        <v>2.9861111111111061E-2</v>
      </c>
      <c r="N392" s="36" t="s">
        <v>228</v>
      </c>
      <c r="O392" s="39">
        <v>399940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225</v>
      </c>
      <c r="F393" s="27">
        <v>12</v>
      </c>
      <c r="G393" s="34">
        <f t="shared" ref="G393:G404" si="87">IF(F393="","",IF(E393="PC 17",F393*4.2,IF(E393="PC 19",F393*5,"")))</f>
        <v>60</v>
      </c>
      <c r="H393" s="33" t="s">
        <v>17</v>
      </c>
      <c r="I393" s="33"/>
      <c r="J393" s="33" t="s">
        <v>25</v>
      </c>
      <c r="K393" s="29">
        <v>3.6805555555555557E-2</v>
      </c>
      <c r="L393" s="29">
        <v>4.9305555555555554E-2</v>
      </c>
      <c r="M393" s="35">
        <f t="shared" ref="M393:M404" ca="1" si="88">IFERROR(IF(K393="","",IF(L393="",MOD(NOW()-K393,1),IF(L393&gt;=K393,L393-K393,L393+1-K393))),"")</f>
        <v>1.2499999999999997E-2</v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252</v>
      </c>
      <c r="F394" s="27">
        <v>10</v>
      </c>
      <c r="G394" s="28">
        <f t="shared" si="87"/>
        <v>42</v>
      </c>
      <c r="H394" s="26"/>
      <c r="I394" s="26"/>
      <c r="J394" s="26" t="s">
        <v>40</v>
      </c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252</v>
      </c>
      <c r="F395" s="27">
        <v>4</v>
      </c>
      <c r="G395" s="34">
        <f t="shared" si="87"/>
        <v>16.8</v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252</v>
      </c>
      <c r="F396" s="27">
        <v>9</v>
      </c>
      <c r="G396" s="28">
        <f t="shared" si="87"/>
        <v>37.800000000000004</v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252</v>
      </c>
      <c r="F397" s="27">
        <v>4</v>
      </c>
      <c r="G397" s="34">
        <f t="shared" si="87"/>
        <v>16.8</v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252</v>
      </c>
      <c r="F398" s="27">
        <v>6</v>
      </c>
      <c r="G398" s="28">
        <f t="shared" si="87"/>
        <v>25.200000000000003</v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252</v>
      </c>
      <c r="F399" s="27">
        <v>13</v>
      </c>
      <c r="G399" s="34">
        <f t="shared" si="87"/>
        <v>54.6</v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252</v>
      </c>
      <c r="F400" s="27">
        <v>5</v>
      </c>
      <c r="G400" s="28">
        <f t="shared" si="87"/>
        <v>21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252</v>
      </c>
      <c r="F401" s="27">
        <v>2</v>
      </c>
      <c r="G401" s="34">
        <f t="shared" si="87"/>
        <v>8.4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252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252</v>
      </c>
      <c r="F403" s="27">
        <v>5</v>
      </c>
      <c r="G403" s="34">
        <f t="shared" si="87"/>
        <v>21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252</v>
      </c>
      <c r="F404" s="27">
        <v>3</v>
      </c>
      <c r="G404" s="28">
        <f t="shared" si="87"/>
        <v>12.600000000000001</v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9" t="s">
        <v>229</v>
      </c>
      <c r="B405" s="100"/>
      <c r="C405" s="100"/>
      <c r="D405" s="100"/>
      <c r="E405" s="101">
        <f>SUM(E393:E404)</f>
        <v>0</v>
      </c>
      <c r="F405" s="36">
        <f>SUM(F393:F404)</f>
        <v>77</v>
      </c>
      <c r="G405" s="36">
        <f>SUM(G393:G404)</f>
        <v>333.00000000000006</v>
      </c>
      <c r="H405" s="37"/>
      <c r="I405" s="37"/>
      <c r="J405" s="37"/>
      <c r="K405" s="37"/>
      <c r="L405" s="37"/>
      <c r="M405" s="38">
        <f ca="1">IFERROR(SUM(M393:M404),"")</f>
        <v>1.2499999999999997E-2</v>
      </c>
      <c r="N405" s="36" t="s">
        <v>228</v>
      </c>
      <c r="O405" s="39">
        <v>507450</v>
      </c>
    </row>
    <row r="406" spans="1:15" ht="18" customHeight="1">
      <c r="A406" s="102" t="s">
        <v>230</v>
      </c>
      <c r="B406" s="103"/>
      <c r="C406" s="103"/>
      <c r="D406" s="103"/>
      <c r="E406" s="104">
        <f>E392+E405</f>
        <v>0</v>
      </c>
      <c r="F406" s="40">
        <f>F392+F405</f>
        <v>172</v>
      </c>
      <c r="G406" s="40">
        <f>G392+G405</f>
        <v>732.00000000000011</v>
      </c>
      <c r="H406" s="41"/>
      <c r="I406" s="41"/>
      <c r="J406" s="41"/>
      <c r="K406" s="41"/>
      <c r="L406" s="41"/>
      <c r="M406" s="42">
        <f ca="1">IFERROR(M392+M405,"")</f>
        <v>4.2361111111111058E-2</v>
      </c>
      <c r="N406" s="40" t="s">
        <v>231</v>
      </c>
      <c r="O406" s="48">
        <f>IFERROR(O392+O405,"")</f>
        <v>907390</v>
      </c>
    </row>
    <row r="407" spans="1:15" ht="15" customHeight="1">
      <c r="A407" s="70">
        <v>46219</v>
      </c>
      <c r="B407" s="32">
        <v>0.33333333333333298</v>
      </c>
      <c r="C407" s="33" t="s">
        <v>45</v>
      </c>
      <c r="D407" s="62" t="s">
        <v>46</v>
      </c>
      <c r="E407" s="62" t="s">
        <v>252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/>
      <c r="J407" s="33" t="s">
        <v>25</v>
      </c>
      <c r="K407" s="29">
        <v>0.47569444444444442</v>
      </c>
      <c r="L407" s="29">
        <v>0.5</v>
      </c>
      <c r="M407" s="35">
        <f t="shared" ref="M407:M418" ca="1" si="91">IFERROR(IF(K407="","",IF(L407="",MOD(NOW()-K407,1),IF(L407&gt;=K407,L407-K407,L407+1-K407))),"")</f>
        <v>2.430555555555558E-2</v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 t="s">
        <v>45</v>
      </c>
      <c r="D408" s="62" t="s">
        <v>46</v>
      </c>
      <c r="E408" s="62" t="s">
        <v>252</v>
      </c>
      <c r="F408" s="27">
        <v>5</v>
      </c>
      <c r="G408" s="28">
        <f t="shared" si="90"/>
        <v>21</v>
      </c>
      <c r="H408" s="26" t="s">
        <v>17</v>
      </c>
      <c r="I408" s="26" t="s">
        <v>135</v>
      </c>
      <c r="J408" s="26" t="s">
        <v>49</v>
      </c>
      <c r="K408" s="29">
        <v>0.5</v>
      </c>
      <c r="L408" s="29">
        <v>0.54027777777777775</v>
      </c>
      <c r="M408" s="30">
        <f t="shared" ca="1" si="91"/>
        <v>4.0277777777777746E-2</v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 t="s">
        <v>45</v>
      </c>
      <c r="D409" s="62" t="s">
        <v>46</v>
      </c>
      <c r="E409" s="62" t="s">
        <v>252</v>
      </c>
      <c r="F409" s="27">
        <v>3</v>
      </c>
      <c r="G409" s="34">
        <f t="shared" si="90"/>
        <v>12.600000000000001</v>
      </c>
      <c r="H409" s="33" t="s">
        <v>20</v>
      </c>
      <c r="I409" s="33" t="s">
        <v>47</v>
      </c>
      <c r="J409" s="33" t="s">
        <v>28</v>
      </c>
      <c r="K409" s="29">
        <v>0.5854166666666667</v>
      </c>
      <c r="L409" s="29">
        <v>0.58888888888888891</v>
      </c>
      <c r="M409" s="35">
        <f t="shared" ca="1" si="91"/>
        <v>3.4722222222222099E-3</v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 t="s">
        <v>45</v>
      </c>
      <c r="D410" s="62" t="s">
        <v>46</v>
      </c>
      <c r="E410" s="62" t="s">
        <v>252</v>
      </c>
      <c r="F410" s="27">
        <v>6</v>
      </c>
      <c r="G410" s="28">
        <f t="shared" si="90"/>
        <v>25.200000000000003</v>
      </c>
      <c r="H410" s="26" t="s">
        <v>17</v>
      </c>
      <c r="I410" s="26"/>
      <c r="J410" s="26" t="s">
        <v>25</v>
      </c>
      <c r="K410" s="29">
        <v>0.65694444444444444</v>
      </c>
      <c r="L410" s="29">
        <v>0.68055555555555558</v>
      </c>
      <c r="M410" s="30">
        <f t="shared" ca="1" si="91"/>
        <v>2.3611111111111138E-2</v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 t="s">
        <v>45</v>
      </c>
      <c r="D411" s="62" t="s">
        <v>46</v>
      </c>
      <c r="E411" s="62" t="s">
        <v>252</v>
      </c>
      <c r="F411" s="27">
        <v>5</v>
      </c>
      <c r="G411" s="34">
        <f t="shared" si="90"/>
        <v>21</v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 t="s">
        <v>45</v>
      </c>
      <c r="D412" s="62" t="s">
        <v>46</v>
      </c>
      <c r="E412" s="62" t="s">
        <v>252</v>
      </c>
      <c r="F412" s="27">
        <v>3</v>
      </c>
      <c r="G412" s="28">
        <f t="shared" si="90"/>
        <v>12.600000000000001</v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 t="s">
        <v>45</v>
      </c>
      <c r="D413" s="62" t="s">
        <v>46</v>
      </c>
      <c r="E413" s="62" t="s">
        <v>252</v>
      </c>
      <c r="F413" s="27">
        <v>0</v>
      </c>
      <c r="G413" s="34">
        <f t="shared" si="90"/>
        <v>0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 t="s">
        <v>45</v>
      </c>
      <c r="D414" s="62" t="s">
        <v>46</v>
      </c>
      <c r="E414" s="62" t="s">
        <v>252</v>
      </c>
      <c r="F414" s="27">
        <v>18</v>
      </c>
      <c r="G414" s="28">
        <f t="shared" si="90"/>
        <v>75.600000000000009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 t="s">
        <v>45</v>
      </c>
      <c r="D415" s="62" t="s">
        <v>46</v>
      </c>
      <c r="E415" s="62" t="s">
        <v>225</v>
      </c>
      <c r="F415" s="27">
        <v>3</v>
      </c>
      <c r="G415" s="34">
        <f t="shared" si="90"/>
        <v>15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 t="s">
        <v>45</v>
      </c>
      <c r="D416" s="62" t="s">
        <v>46</v>
      </c>
      <c r="E416" s="62" t="s">
        <v>225</v>
      </c>
      <c r="F416" s="27">
        <v>2</v>
      </c>
      <c r="G416" s="28">
        <f t="shared" si="90"/>
        <v>10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 t="s">
        <v>45</v>
      </c>
      <c r="D417" s="62" t="s">
        <v>46</v>
      </c>
      <c r="E417" s="62" t="s">
        <v>252</v>
      </c>
      <c r="F417" s="27">
        <v>6</v>
      </c>
      <c r="G417" s="34">
        <f t="shared" si="90"/>
        <v>25.200000000000003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 t="s">
        <v>45</v>
      </c>
      <c r="D418" s="62" t="s">
        <v>46</v>
      </c>
      <c r="E418" s="62" t="s">
        <v>252</v>
      </c>
      <c r="F418" s="27">
        <v>5</v>
      </c>
      <c r="G418" s="28">
        <f t="shared" si="90"/>
        <v>21</v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99" t="s">
        <v>227</v>
      </c>
      <c r="B419" s="100"/>
      <c r="C419" s="100"/>
      <c r="D419" s="100"/>
      <c r="E419" s="101">
        <f>SUM(E407:E418)</f>
        <v>0</v>
      </c>
      <c r="F419" s="36">
        <f>SUM(F407:F418)</f>
        <v>61</v>
      </c>
      <c r="G419" s="36">
        <f>SUM(G407:G418)</f>
        <v>260.2</v>
      </c>
      <c r="H419" s="37"/>
      <c r="I419" s="37"/>
      <c r="J419" s="37"/>
      <c r="K419" s="37"/>
      <c r="L419" s="37"/>
      <c r="M419" s="38">
        <f ca="1">IFERROR(SUM(M407:M418),"")</f>
        <v>9.1666666666666674E-2</v>
      </c>
      <c r="N419" s="36" t="s">
        <v>228</v>
      </c>
      <c r="O419" s="39">
        <v>209000</v>
      </c>
    </row>
    <row r="420" spans="1:15" ht="15" customHeight="1">
      <c r="A420" s="69">
        <v>46219</v>
      </c>
      <c r="B420" s="25">
        <v>0.83333333333333304</v>
      </c>
      <c r="C420" s="26" t="s">
        <v>29</v>
      </c>
      <c r="D420" s="59" t="s">
        <v>30</v>
      </c>
      <c r="E420" s="59" t="s">
        <v>225</v>
      </c>
      <c r="F420" s="27">
        <v>3</v>
      </c>
      <c r="G420" s="28">
        <f t="shared" ref="G420:G431" si="93">IF(F420="","",IF(E420="PC 17",F420*4.2,IF(E420="PC 19",F420*5,"")))</f>
        <v>15</v>
      </c>
      <c r="H420" s="26" t="s">
        <v>18</v>
      </c>
      <c r="I420" s="26" t="s">
        <v>165</v>
      </c>
      <c r="J420" s="26" t="s">
        <v>115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9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252</v>
      </c>
      <c r="F421" s="27">
        <v>0</v>
      </c>
      <c r="G421" s="34">
        <f t="shared" si="93"/>
        <v>0</v>
      </c>
      <c r="H421" s="33" t="s">
        <v>20</v>
      </c>
      <c r="I421" s="33" t="s">
        <v>47</v>
      </c>
      <c r="J421" s="33" t="s">
        <v>36</v>
      </c>
      <c r="K421" s="29">
        <v>0.95138888888888884</v>
      </c>
      <c r="L421" s="29">
        <v>0.96736111111111112</v>
      </c>
      <c r="M421" s="96">
        <f t="shared" ca="1" si="94"/>
        <v>1.5972222222222276E-2</v>
      </c>
      <c r="N421" s="98" t="s">
        <v>286</v>
      </c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252</v>
      </c>
      <c r="F422" s="27">
        <v>0</v>
      </c>
      <c r="G422" s="28">
        <f t="shared" si="93"/>
        <v>0</v>
      </c>
      <c r="H422" s="26"/>
      <c r="I422" s="26"/>
      <c r="J422" s="26"/>
      <c r="K422" s="29"/>
      <c r="L422" s="29"/>
      <c r="M422" s="30" t="str">
        <f t="shared" ca="1" si="94"/>
        <v/>
      </c>
      <c r="N422" s="95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252</v>
      </c>
      <c r="F423" s="27">
        <v>10</v>
      </c>
      <c r="G423" s="34">
        <f t="shared" si="93"/>
        <v>42</v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252</v>
      </c>
      <c r="F424" s="27">
        <v>7</v>
      </c>
      <c r="G424" s="28">
        <f t="shared" si="93"/>
        <v>29.400000000000002</v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252</v>
      </c>
      <c r="F425" s="27">
        <v>1</v>
      </c>
      <c r="G425" s="34">
        <f t="shared" si="93"/>
        <v>4.2</v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252</v>
      </c>
      <c r="F426" s="27">
        <v>3</v>
      </c>
      <c r="G426" s="28">
        <f t="shared" si="93"/>
        <v>12.600000000000001</v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252</v>
      </c>
      <c r="F427" s="27">
        <v>3</v>
      </c>
      <c r="G427" s="34">
        <f t="shared" si="93"/>
        <v>12.600000000000001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252</v>
      </c>
      <c r="F428" s="27">
        <v>12</v>
      </c>
      <c r="G428" s="28">
        <f t="shared" si="93"/>
        <v>50.400000000000006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252</v>
      </c>
      <c r="F429" s="27">
        <v>4</v>
      </c>
      <c r="G429" s="34">
        <f t="shared" si="93"/>
        <v>16.8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252</v>
      </c>
      <c r="F430" s="27">
        <v>11</v>
      </c>
      <c r="G430" s="28">
        <f t="shared" si="93"/>
        <v>46.2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252</v>
      </c>
      <c r="F431" s="27">
        <v>0</v>
      </c>
      <c r="G431" s="34">
        <f t="shared" si="93"/>
        <v>0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9" t="s">
        <v>229</v>
      </c>
      <c r="B432" s="100"/>
      <c r="C432" s="100"/>
      <c r="D432" s="100"/>
      <c r="E432" s="101">
        <f>SUM(E420:E431)</f>
        <v>0</v>
      </c>
      <c r="F432" s="36">
        <f>SUM(F420:F431)</f>
        <v>54</v>
      </c>
      <c r="G432" s="36">
        <f>SUM(G420:G431)</f>
        <v>229.20000000000005</v>
      </c>
      <c r="H432" s="37"/>
      <c r="I432" s="37"/>
      <c r="J432" s="37"/>
      <c r="K432" s="37"/>
      <c r="L432" s="37"/>
      <c r="M432" s="38">
        <f ca="1">IFERROR(SUM(M420:M431),"")</f>
        <v>0.15069444444444446</v>
      </c>
      <c r="N432" s="36" t="s">
        <v>228</v>
      </c>
      <c r="O432" s="39">
        <v>229150</v>
      </c>
    </row>
    <row r="433" spans="1:15" ht="18" customHeight="1">
      <c r="A433" s="102" t="s">
        <v>230</v>
      </c>
      <c r="B433" s="103"/>
      <c r="C433" s="103"/>
      <c r="D433" s="103"/>
      <c r="E433" s="104">
        <f>E419+E432</f>
        <v>0</v>
      </c>
      <c r="F433" s="40">
        <f>F419+F432</f>
        <v>115</v>
      </c>
      <c r="G433" s="40">
        <f>G419+G432</f>
        <v>489.40000000000003</v>
      </c>
      <c r="H433" s="41"/>
      <c r="I433" s="41"/>
      <c r="J433" s="41"/>
      <c r="K433" s="41"/>
      <c r="L433" s="41"/>
      <c r="M433" s="42">
        <f ca="1">IFERROR(M419+M432,"")</f>
        <v>0.24236111111111114</v>
      </c>
      <c r="N433" s="40" t="s">
        <v>231</v>
      </c>
      <c r="O433" s="48">
        <f>IFERROR(O419+O432,"")</f>
        <v>438150</v>
      </c>
    </row>
    <row r="434" spans="1:15" ht="15" customHeight="1">
      <c r="A434" s="69">
        <v>46220</v>
      </c>
      <c r="B434" s="25">
        <v>0.33333333333333298</v>
      </c>
      <c r="C434" s="26" t="s">
        <v>21</v>
      </c>
      <c r="D434" s="59" t="s">
        <v>30</v>
      </c>
      <c r="E434" s="59" t="s">
        <v>252</v>
      </c>
      <c r="F434" s="27">
        <v>9</v>
      </c>
      <c r="G434" s="28">
        <f t="shared" ref="G434:G445" si="96">IF(F434="","",IF(E434="PC 17",F434*4.2,IF(E434="PC 19",F434*5,"")))</f>
        <v>37.800000000000004</v>
      </c>
      <c r="H434" s="26" t="s">
        <v>17</v>
      </c>
      <c r="I434" s="26" t="s">
        <v>47</v>
      </c>
      <c r="J434" s="26" t="s">
        <v>87</v>
      </c>
      <c r="K434" s="29">
        <v>0.54166666666666663</v>
      </c>
      <c r="L434" s="29">
        <v>0.73958333333333337</v>
      </c>
      <c r="M434" s="30">
        <f t="shared" ref="M434:M445" ca="1" si="97">IFERROR(IF(K434="","",IF(L434="",MOD(NOW()-K434,1),IF(L434&gt;=K434,L434-K434,L434+1-K434))),"")</f>
        <v>0.19791666666666674</v>
      </c>
      <c r="N434" s="27" t="s">
        <v>309</v>
      </c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252</v>
      </c>
      <c r="F435" s="27">
        <v>6</v>
      </c>
      <c r="G435" s="28">
        <f t="shared" si="96"/>
        <v>25.200000000000003</v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252</v>
      </c>
      <c r="F436" s="27">
        <v>6</v>
      </c>
      <c r="G436" s="28">
        <f t="shared" si="96"/>
        <v>25.200000000000003</v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252</v>
      </c>
      <c r="F437" s="27">
        <v>6</v>
      </c>
      <c r="G437" s="34">
        <f t="shared" si="96"/>
        <v>25.200000000000003</v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252</v>
      </c>
      <c r="F438" s="27">
        <v>3</v>
      </c>
      <c r="G438" s="28">
        <f t="shared" si="96"/>
        <v>12.600000000000001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252</v>
      </c>
      <c r="F439" s="27">
        <v>2</v>
      </c>
      <c r="G439" s="34">
        <f t="shared" si="96"/>
        <v>8.4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252</v>
      </c>
      <c r="F440" s="27">
        <v>0</v>
      </c>
      <c r="G440" s="28">
        <f t="shared" si="96"/>
        <v>0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252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252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252</v>
      </c>
      <c r="F443" s="27">
        <v>1</v>
      </c>
      <c r="G443" s="34">
        <f t="shared" si="96"/>
        <v>4.2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252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252</v>
      </c>
      <c r="F445" s="27">
        <v>2</v>
      </c>
      <c r="G445" s="34">
        <f t="shared" si="96"/>
        <v>8.4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9" t="s">
        <v>227</v>
      </c>
      <c r="B446" s="100"/>
      <c r="C446" s="100"/>
      <c r="D446" s="100"/>
      <c r="E446" s="101">
        <f>SUM(E434:E445)</f>
        <v>0</v>
      </c>
      <c r="F446" s="36">
        <f>SUM(F434:F445)</f>
        <v>35</v>
      </c>
      <c r="G446" s="36">
        <f>SUM(G434:G445)</f>
        <v>147.00000000000003</v>
      </c>
      <c r="H446" s="37"/>
      <c r="I446" s="37"/>
      <c r="J446" s="37"/>
      <c r="K446" s="37"/>
      <c r="L446" s="37"/>
      <c r="M446" s="38">
        <f ca="1">IFERROR(SUM(M434:M445),"")</f>
        <v>0.19791666666666674</v>
      </c>
      <c r="N446" s="36" t="s">
        <v>228</v>
      </c>
      <c r="O446" s="39">
        <v>141330</v>
      </c>
    </row>
    <row r="447" spans="1:15" ht="15" customHeight="1">
      <c r="A447" s="70">
        <v>46220</v>
      </c>
      <c r="B447" s="32">
        <v>0.83333333333333304</v>
      </c>
      <c r="C447" s="33" t="s">
        <v>45</v>
      </c>
      <c r="D447" s="62" t="s">
        <v>30</v>
      </c>
      <c r="E447" s="62" t="s">
        <v>225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0.82638888888888884</v>
      </c>
      <c r="L447" s="29">
        <v>0.82847222222222228</v>
      </c>
      <c r="M447" s="35">
        <f t="shared" ref="M447:M458" ca="1" si="100">IFERROR(IF(K447="","",IF(L447="",MOD(NOW()-K447,1),IF(L447&gt;=K447,L447-K447,L447+1-K447))),"")</f>
        <v>2.083333333333437E-3</v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225</v>
      </c>
      <c r="F448" s="27">
        <v>6</v>
      </c>
      <c r="G448" s="28">
        <f t="shared" si="99"/>
        <v>30</v>
      </c>
      <c r="H448" s="26" t="s">
        <v>20</v>
      </c>
      <c r="I448" s="26" t="s">
        <v>47</v>
      </c>
      <c r="J448" s="26" t="s">
        <v>51</v>
      </c>
      <c r="K448" s="29">
        <v>0.85833333333333328</v>
      </c>
      <c r="L448" s="29">
        <v>0.86319444444444449</v>
      </c>
      <c r="M448" s="30">
        <f t="shared" ca="1" si="100"/>
        <v>4.8611111111112049E-3</v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 t="s">
        <v>45</v>
      </c>
      <c r="D449" s="62"/>
      <c r="E449" s="62" t="s">
        <v>225</v>
      </c>
      <c r="F449" s="27"/>
      <c r="G449" s="34" t="str">
        <f t="shared" si="99"/>
        <v/>
      </c>
      <c r="H449" s="33" t="s">
        <v>20</v>
      </c>
      <c r="I449" s="33" t="s">
        <v>47</v>
      </c>
      <c r="J449" s="33" t="s">
        <v>51</v>
      </c>
      <c r="K449" s="29">
        <v>0.89444444444444449</v>
      </c>
      <c r="L449" s="29"/>
      <c r="M449" s="35">
        <f t="shared" ca="1" si="100"/>
        <v>6.424768507713452E-4</v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 t="s">
        <v>45</v>
      </c>
      <c r="D450" s="62"/>
      <c r="E450" s="62" t="s">
        <v>225</v>
      </c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 t="s">
        <v>45</v>
      </c>
      <c r="D451" s="62"/>
      <c r="E451" s="62" t="s">
        <v>225</v>
      </c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 t="s">
        <v>45</v>
      </c>
      <c r="D452" s="62"/>
      <c r="E452" s="62" t="s">
        <v>225</v>
      </c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 t="s">
        <v>45</v>
      </c>
      <c r="D453" s="62"/>
      <c r="E453" s="62" t="s">
        <v>225</v>
      </c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 t="s">
        <v>45</v>
      </c>
      <c r="D454" s="62"/>
      <c r="E454" s="62" t="s">
        <v>225</v>
      </c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 t="s">
        <v>45</v>
      </c>
      <c r="D455" s="62"/>
      <c r="E455" s="62" t="s">
        <v>225</v>
      </c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 t="s">
        <v>45</v>
      </c>
      <c r="D456" s="62"/>
      <c r="E456" s="62" t="s">
        <v>225</v>
      </c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 t="s">
        <v>45</v>
      </c>
      <c r="D457" s="62"/>
      <c r="E457" s="62" t="s">
        <v>225</v>
      </c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 t="s">
        <v>45</v>
      </c>
      <c r="D458" s="62"/>
      <c r="E458" s="62" t="s">
        <v>225</v>
      </c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9" t="s">
        <v>229</v>
      </c>
      <c r="B459" s="100"/>
      <c r="C459" s="100"/>
      <c r="D459" s="100"/>
      <c r="E459" s="101">
        <f>SUM(E447:E458)</f>
        <v>0</v>
      </c>
      <c r="F459" s="36">
        <f>SUM(F447:F458)</f>
        <v>6</v>
      </c>
      <c r="G459" s="36">
        <f>SUM(G447:G458)</f>
        <v>30</v>
      </c>
      <c r="H459" s="37"/>
      <c r="I459" s="37"/>
      <c r="J459" s="37"/>
      <c r="K459" s="37"/>
      <c r="L459" s="37"/>
      <c r="M459" s="38">
        <f ca="1">IFERROR(SUM(M447:M458),"")</f>
        <v>7.586921295215987E-3</v>
      </c>
      <c r="N459" s="36" t="s">
        <v>228</v>
      </c>
      <c r="O459" s="39"/>
    </row>
    <row r="460" spans="1:15" ht="18" customHeight="1">
      <c r="A460" s="102" t="s">
        <v>230</v>
      </c>
      <c r="B460" s="103"/>
      <c r="C460" s="103"/>
      <c r="D460" s="103"/>
      <c r="E460" s="104">
        <f>E446+E459</f>
        <v>0</v>
      </c>
      <c r="F460" s="40">
        <f>F446+F459</f>
        <v>41</v>
      </c>
      <c r="G460" s="40">
        <f>G446+G459</f>
        <v>177.00000000000003</v>
      </c>
      <c r="H460" s="41"/>
      <c r="I460" s="41"/>
      <c r="J460" s="41"/>
      <c r="K460" s="41"/>
      <c r="L460" s="41"/>
      <c r="M460" s="42">
        <f ca="1">IFERROR(M446+M459,"")</f>
        <v>0.20550358796188273</v>
      </c>
      <c r="N460" s="40" t="s">
        <v>231</v>
      </c>
      <c r="O460" s="48">
        <f>IFERROR(O446+O459,"")</f>
        <v>141330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9" t="s">
        <v>227</v>
      </c>
      <c r="B473" s="100"/>
      <c r="C473" s="100"/>
      <c r="D473" s="100"/>
      <c r="E473" s="101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228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9" t="s">
        <v>229</v>
      </c>
      <c r="B486" s="100"/>
      <c r="C486" s="100"/>
      <c r="D486" s="100"/>
      <c r="E486" s="101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228</v>
      </c>
      <c r="O486" s="39"/>
    </row>
    <row r="487" spans="1:15" ht="18" customHeight="1">
      <c r="A487" s="102" t="s">
        <v>230</v>
      </c>
      <c r="B487" s="103"/>
      <c r="C487" s="103"/>
      <c r="D487" s="103"/>
      <c r="E487" s="104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231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9" t="s">
        <v>227</v>
      </c>
      <c r="B500" s="100"/>
      <c r="C500" s="100"/>
      <c r="D500" s="100"/>
      <c r="E500" s="101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228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9" t="s">
        <v>229</v>
      </c>
      <c r="B513" s="100"/>
      <c r="C513" s="100"/>
      <c r="D513" s="100"/>
      <c r="E513" s="101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228</v>
      </c>
      <c r="O513" s="39"/>
    </row>
    <row r="514" spans="1:15" ht="18" customHeight="1">
      <c r="A514" s="102" t="s">
        <v>230</v>
      </c>
      <c r="B514" s="103"/>
      <c r="C514" s="103"/>
      <c r="D514" s="103"/>
      <c r="E514" s="104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231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9" t="s">
        <v>227</v>
      </c>
      <c r="B527" s="100"/>
      <c r="C527" s="100"/>
      <c r="D527" s="100"/>
      <c r="E527" s="101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228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9" t="s">
        <v>229</v>
      </c>
      <c r="B540" s="100"/>
      <c r="C540" s="100"/>
      <c r="D540" s="100"/>
      <c r="E540" s="101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228</v>
      </c>
      <c r="O540" s="39"/>
    </row>
    <row r="541" spans="1:15" ht="18" customHeight="1">
      <c r="A541" s="102" t="s">
        <v>230</v>
      </c>
      <c r="B541" s="103"/>
      <c r="C541" s="103"/>
      <c r="D541" s="103"/>
      <c r="E541" s="104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231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9" t="s">
        <v>227</v>
      </c>
      <c r="B554" s="100"/>
      <c r="C554" s="100"/>
      <c r="D554" s="100"/>
      <c r="E554" s="101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228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9" t="s">
        <v>229</v>
      </c>
      <c r="B567" s="100"/>
      <c r="C567" s="100"/>
      <c r="D567" s="100"/>
      <c r="E567" s="101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228</v>
      </c>
      <c r="O567" s="39"/>
    </row>
    <row r="568" spans="1:15" ht="18" customHeight="1">
      <c r="A568" s="102" t="s">
        <v>230</v>
      </c>
      <c r="B568" s="103"/>
      <c r="C568" s="103"/>
      <c r="D568" s="103"/>
      <c r="E568" s="104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231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9" t="s">
        <v>227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228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9" t="s">
        <v>229</v>
      </c>
      <c r="B594" s="100"/>
      <c r="C594" s="100"/>
      <c r="D594" s="100"/>
      <c r="E594" s="10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228</v>
      </c>
      <c r="O594" s="39"/>
    </row>
    <row r="595" spans="1:15" ht="18" customHeight="1">
      <c r="A595" s="102" t="s">
        <v>230</v>
      </c>
      <c r="B595" s="103"/>
      <c r="C595" s="103"/>
      <c r="D595" s="103"/>
      <c r="E595" s="10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231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9" t="s">
        <v>227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228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9" t="s">
        <v>229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228</v>
      </c>
      <c r="O621" s="39"/>
    </row>
    <row r="622" spans="1:15" ht="18" customHeight="1">
      <c r="A622" s="102" t="s">
        <v>230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231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9" t="s">
        <v>227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228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9" t="s">
        <v>229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228</v>
      </c>
      <c r="O648" s="39"/>
    </row>
    <row r="649" spans="1:15" ht="18" customHeight="1">
      <c r="A649" s="102" t="s">
        <v>230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231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9" t="s">
        <v>227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228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9" t="s">
        <v>229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228</v>
      </c>
      <c r="O675" s="39"/>
    </row>
    <row r="676" spans="1:15" ht="18" customHeight="1">
      <c r="A676" s="102" t="s">
        <v>230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231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9" t="s">
        <v>227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228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9" t="s">
        <v>229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228</v>
      </c>
      <c r="O702" s="39"/>
    </row>
    <row r="703" spans="1:15" ht="18" customHeight="1">
      <c r="A703" s="102" t="s">
        <v>230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231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9" t="s">
        <v>227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228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9" t="s">
        <v>229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228</v>
      </c>
      <c r="O729" s="39"/>
    </row>
    <row r="730" spans="1:15" ht="18" customHeight="1">
      <c r="A730" s="102" t="s">
        <v>230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231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9" t="s">
        <v>227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228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9" t="s">
        <v>229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228</v>
      </c>
      <c r="O756" s="39"/>
    </row>
    <row r="757" spans="1:15" ht="18" customHeight="1">
      <c r="A757" s="102" t="s">
        <v>230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231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9" t="s">
        <v>227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228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9" t="s">
        <v>229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228</v>
      </c>
      <c r="O783" s="39"/>
    </row>
    <row r="784" spans="1:15" ht="18" customHeight="1">
      <c r="A784" s="102" t="s">
        <v>230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231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9" t="s">
        <v>227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228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9" t="s">
        <v>229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228</v>
      </c>
      <c r="O810" s="39"/>
    </row>
    <row r="811" spans="1:15" ht="18" customHeight="1">
      <c r="A811" s="102" t="s">
        <v>230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231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2">
    <dataValidation type="list" allowBlank="1" showErrorMessage="1" errorTitle="Valor inválido" error="Selecione PC 17 ou PC 19 da lista." sqref="E15:E26 E2:E13 E29:E380 E382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433" activePane="bottomLeft" state="frozen"/>
      <selection pane="bottomLeft" activeCell="D448" sqref="D448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65.42578125" style="57" customWidth="1"/>
    <col min="15" max="15" width="14" customWidth="1"/>
    <col min="16" max="16" width="9.42578125" bestFit="1" customWidth="1"/>
  </cols>
  <sheetData>
    <row r="1" spans="1:15" ht="37.5" customHeight="1">
      <c r="A1" s="68" t="s">
        <v>7</v>
      </c>
      <c r="B1" s="23" t="s">
        <v>214</v>
      </c>
      <c r="C1" s="23" t="s">
        <v>12</v>
      </c>
      <c r="D1" s="22" t="s">
        <v>13</v>
      </c>
      <c r="E1" s="22" t="s">
        <v>215</v>
      </c>
      <c r="F1" s="23" t="s">
        <v>216</v>
      </c>
      <c r="G1" s="23" t="s">
        <v>217</v>
      </c>
      <c r="H1" s="23" t="s">
        <v>14</v>
      </c>
      <c r="I1" s="23" t="s">
        <v>15</v>
      </c>
      <c r="J1" s="23" t="s">
        <v>218</v>
      </c>
      <c r="K1" s="23" t="s">
        <v>219</v>
      </c>
      <c r="L1" s="23" t="s">
        <v>220</v>
      </c>
      <c r="M1" s="24" t="s">
        <v>221</v>
      </c>
      <c r="N1" s="23" t="s">
        <v>222</v>
      </c>
      <c r="O1" s="23" t="s">
        <v>223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252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138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310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252</v>
      </c>
      <c r="F3" s="27">
        <v>0</v>
      </c>
      <c r="G3" s="34">
        <f t="shared" si="0"/>
        <v>0</v>
      </c>
      <c r="H3" s="33" t="s">
        <v>18</v>
      </c>
      <c r="I3" s="33" t="s">
        <v>159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293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252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190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252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252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252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252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252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252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252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252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252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9" t="s">
        <v>227</v>
      </c>
      <c r="B14" s="100"/>
      <c r="C14" s="100"/>
      <c r="D14" s="100"/>
      <c r="E14" s="101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228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252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252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311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252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252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252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252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252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252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252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252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252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252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9" t="s">
        <v>229</v>
      </c>
      <c r="B27" s="100"/>
      <c r="C27" s="100"/>
      <c r="D27" s="100"/>
      <c r="E27" s="101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228</v>
      </c>
      <c r="O27" s="39">
        <v>202230</v>
      </c>
    </row>
    <row r="28" spans="1:15" ht="18" customHeight="1">
      <c r="A28" s="102" t="s">
        <v>230</v>
      </c>
      <c r="B28" s="103"/>
      <c r="C28" s="103"/>
      <c r="D28" s="103"/>
      <c r="E28" s="104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231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252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126</v>
      </c>
      <c r="J29" s="33" t="s">
        <v>194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312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252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252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252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252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252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313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252</v>
      </c>
      <c r="F35" s="27">
        <v>0</v>
      </c>
      <c r="G35" s="28">
        <f t="shared" si="6"/>
        <v>0</v>
      </c>
      <c r="H35" s="33" t="s">
        <v>20</v>
      </c>
      <c r="I35" s="33" t="s">
        <v>149</v>
      </c>
      <c r="J35" s="33" t="s">
        <v>179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252</v>
      </c>
      <c r="F36" s="27">
        <v>0</v>
      </c>
      <c r="G36" s="34">
        <f t="shared" si="6"/>
        <v>0</v>
      </c>
      <c r="H36" s="26" t="s">
        <v>20</v>
      </c>
      <c r="I36" s="26" t="s">
        <v>149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252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252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252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252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9" t="s">
        <v>227</v>
      </c>
      <c r="B41" s="100"/>
      <c r="C41" s="100"/>
      <c r="D41" s="100"/>
      <c r="E41" s="101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228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252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252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252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252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252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252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252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252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252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252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252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252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9" t="s">
        <v>229</v>
      </c>
      <c r="B54" s="100"/>
      <c r="C54" s="100"/>
      <c r="D54" s="100"/>
      <c r="E54" s="101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228</v>
      </c>
      <c r="O54" s="39">
        <v>473910</v>
      </c>
    </row>
    <row r="55" spans="1:15" ht="18" customHeight="1">
      <c r="A55" s="102" t="s">
        <v>230</v>
      </c>
      <c r="B55" s="103"/>
      <c r="C55" s="103"/>
      <c r="D55" s="103"/>
      <c r="E55" s="104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231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252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252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252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314</v>
      </c>
      <c r="L58" s="29">
        <v>0.54097222222222219</v>
      </c>
      <c r="M58" s="30" t="str">
        <f t="shared" ca="1" si="13"/>
        <v/>
      </c>
      <c r="N58" s="27" t="s">
        <v>315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252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252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252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252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252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252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252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252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252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9" t="s">
        <v>227</v>
      </c>
      <c r="B68" s="100"/>
      <c r="C68" s="100"/>
      <c r="D68" s="100"/>
      <c r="E68" s="101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228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252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252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289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252</v>
      </c>
      <c r="F71" s="27">
        <v>12</v>
      </c>
      <c r="G71" s="34">
        <f t="shared" si="15"/>
        <v>50.400000000000006</v>
      </c>
      <c r="H71" s="33" t="s">
        <v>18</v>
      </c>
      <c r="I71" s="33" t="s">
        <v>126</v>
      </c>
      <c r="J71" s="33" t="s">
        <v>196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252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164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316</v>
      </c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252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164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317</v>
      </c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252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318</v>
      </c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252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164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319</v>
      </c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252</v>
      </c>
      <c r="F76" s="27">
        <v>1</v>
      </c>
      <c r="G76" s="28">
        <f t="shared" si="15"/>
        <v>4.2</v>
      </c>
      <c r="H76" s="26" t="s">
        <v>20</v>
      </c>
      <c r="I76" s="26" t="s">
        <v>149</v>
      </c>
      <c r="J76" s="26" t="s">
        <v>182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252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252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252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252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9" t="s">
        <v>229</v>
      </c>
      <c r="B81" s="100"/>
      <c r="C81" s="100"/>
      <c r="D81" s="100"/>
      <c r="E81" s="101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228</v>
      </c>
      <c r="O81" s="39">
        <v>565120</v>
      </c>
    </row>
    <row r="82" spans="1:15" ht="18" customHeight="1">
      <c r="A82" s="102" t="s">
        <v>230</v>
      </c>
      <c r="B82" s="103"/>
      <c r="C82" s="103"/>
      <c r="D82" s="103"/>
      <c r="E82" s="104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231</v>
      </c>
      <c r="O82" s="48">
        <f>IFERROR(O68+O81,"")</f>
        <v>1328490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252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320</v>
      </c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252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252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252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252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225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225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225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225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225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225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225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9" t="s">
        <v>227</v>
      </c>
      <c r="B95" s="100"/>
      <c r="C95" s="100"/>
      <c r="D95" s="100"/>
      <c r="E95" s="101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228</v>
      </c>
      <c r="O95" s="39">
        <v>776910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252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159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252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252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198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252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252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252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252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252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252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252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252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252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9" t="s">
        <v>229</v>
      </c>
      <c r="B108" s="100"/>
      <c r="C108" s="100"/>
      <c r="D108" s="100"/>
      <c r="E108" s="101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228</v>
      </c>
      <c r="O108" s="39">
        <v>558590</v>
      </c>
    </row>
    <row r="109" spans="1:15" ht="18" customHeight="1">
      <c r="A109" s="102" t="s">
        <v>230</v>
      </c>
      <c r="B109" s="103"/>
      <c r="C109" s="103"/>
      <c r="D109" s="103"/>
      <c r="E109" s="104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231</v>
      </c>
      <c r="O109" s="48">
        <f>IFERROR(O95+O108,"")</f>
        <v>1335500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252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198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321</v>
      </c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252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252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252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252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252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252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252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252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252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252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252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9" t="s">
        <v>227</v>
      </c>
      <c r="B122" s="100"/>
      <c r="C122" s="100"/>
      <c r="D122" s="100"/>
      <c r="E122" s="101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228</v>
      </c>
      <c r="O122" s="39">
        <v>274450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225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225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322</v>
      </c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225</v>
      </c>
      <c r="F125" s="27">
        <v>20</v>
      </c>
      <c r="G125" s="34">
        <f t="shared" si="27"/>
        <v>100</v>
      </c>
      <c r="H125" s="33" t="s">
        <v>18</v>
      </c>
      <c r="I125" s="33" t="s">
        <v>126</v>
      </c>
      <c r="J125" s="33" t="s">
        <v>201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323</v>
      </c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225</v>
      </c>
      <c r="F126" s="27">
        <v>23</v>
      </c>
      <c r="G126" s="28">
        <f t="shared" si="27"/>
        <v>115</v>
      </c>
      <c r="H126" s="26" t="s">
        <v>19</v>
      </c>
      <c r="I126" s="26" t="s">
        <v>159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225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191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225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0.64578136573982192</v>
      </c>
      <c r="N128" s="27"/>
      <c r="O128" s="60"/>
    </row>
    <row r="129" spans="1:18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225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264</v>
      </c>
      <c r="O129" s="60"/>
    </row>
    <row r="130" spans="1:18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225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225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225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225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225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9" t="s">
        <v>229</v>
      </c>
      <c r="B135" s="100"/>
      <c r="C135" s="100"/>
      <c r="D135" s="100"/>
      <c r="E135" s="101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0.84508692129537755</v>
      </c>
      <c r="N135" s="36" t="s">
        <v>228</v>
      </c>
      <c r="O135" s="39">
        <v>729290</v>
      </c>
    </row>
    <row r="136" spans="1:18" ht="18" customHeight="1">
      <c r="A136" s="102" t="s">
        <v>230</v>
      </c>
      <c r="B136" s="103"/>
      <c r="C136" s="103"/>
      <c r="D136" s="103"/>
      <c r="E136" s="104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1.2124480324064886</v>
      </c>
      <c r="N136" s="40" t="s">
        <v>231</v>
      </c>
      <c r="O136" s="48">
        <f>IFERROR(O122+O135,"")</f>
        <v>1003740</v>
      </c>
    </row>
    <row r="137" spans="1:18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225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225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225</v>
      </c>
      <c r="F139" s="27">
        <v>28</v>
      </c>
      <c r="G139" s="34">
        <f t="shared" si="30"/>
        <v>140</v>
      </c>
      <c r="H139" s="33" t="s">
        <v>19</v>
      </c>
      <c r="I139" s="33" t="s">
        <v>159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324</v>
      </c>
      <c r="O139" s="31"/>
    </row>
    <row r="140" spans="1:18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225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266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225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225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225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225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225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225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225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225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227</v>
      </c>
      <c r="B149" s="100"/>
      <c r="C149" s="100"/>
      <c r="D149" s="100"/>
      <c r="E149" s="101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228</v>
      </c>
      <c r="O149" s="39">
        <v>1058340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225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295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225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252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164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325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252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252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252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252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252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252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252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252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252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229</v>
      </c>
      <c r="B162" s="100"/>
      <c r="C162" s="100"/>
      <c r="D162" s="100"/>
      <c r="E162" s="101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228</v>
      </c>
      <c r="O162" s="39">
        <v>697320</v>
      </c>
    </row>
    <row r="163" spans="1:15" ht="18" customHeight="1">
      <c r="A163" s="102" t="s">
        <v>230</v>
      </c>
      <c r="B163" s="103"/>
      <c r="C163" s="103"/>
      <c r="D163" s="103"/>
      <c r="E163" s="104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231</v>
      </c>
      <c r="O163" s="43">
        <f>IFERROR(O149+O162,"")</f>
        <v>1755660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225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252</v>
      </c>
      <c r="F165" s="27">
        <v>20</v>
      </c>
      <c r="G165" s="34">
        <f t="shared" si="36"/>
        <v>84</v>
      </c>
      <c r="H165" s="33" t="s">
        <v>20</v>
      </c>
      <c r="I165" s="33" t="s">
        <v>138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252</v>
      </c>
      <c r="F166" s="27">
        <v>10</v>
      </c>
      <c r="G166" s="28">
        <f t="shared" si="36"/>
        <v>42</v>
      </c>
      <c r="H166" s="26" t="s">
        <v>19</v>
      </c>
      <c r="I166" s="26" t="s">
        <v>138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252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252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326</v>
      </c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252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252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252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252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252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252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252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227</v>
      </c>
      <c r="B176" s="100"/>
      <c r="C176" s="100"/>
      <c r="D176" s="100"/>
      <c r="E176" s="101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228</v>
      </c>
      <c r="O176" s="39">
        <v>500370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252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159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252</v>
      </c>
      <c r="F178" s="27">
        <v>16</v>
      </c>
      <c r="G178" s="28">
        <f t="shared" si="39"/>
        <v>67.2</v>
      </c>
      <c r="H178" s="26" t="s">
        <v>20</v>
      </c>
      <c r="I178" s="26" t="s">
        <v>138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252</v>
      </c>
      <c r="F179" s="27">
        <v>20</v>
      </c>
      <c r="G179" s="34">
        <f t="shared" si="39"/>
        <v>84</v>
      </c>
      <c r="H179" s="33" t="s">
        <v>20</v>
      </c>
      <c r="I179" s="33" t="s">
        <v>138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252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252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252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252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252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252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252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252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252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229</v>
      </c>
      <c r="B189" s="100"/>
      <c r="C189" s="100"/>
      <c r="D189" s="100"/>
      <c r="E189" s="101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228</v>
      </c>
      <c r="O189" s="39">
        <v>973580</v>
      </c>
    </row>
    <row r="190" spans="1:15" ht="18" customHeight="1">
      <c r="A190" s="102" t="s">
        <v>230</v>
      </c>
      <c r="B190" s="103"/>
      <c r="C190" s="103"/>
      <c r="D190" s="103"/>
      <c r="E190" s="104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231</v>
      </c>
      <c r="O190" s="43">
        <f>IFERROR(O176+O189,"")</f>
        <v>1473950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252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140</v>
      </c>
      <c r="J191" s="33" t="s">
        <v>127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252</v>
      </c>
      <c r="F192" s="27">
        <v>15</v>
      </c>
      <c r="G192" s="28">
        <f t="shared" si="42"/>
        <v>63</v>
      </c>
      <c r="H192" s="26" t="s">
        <v>19</v>
      </c>
      <c r="I192" s="26" t="s">
        <v>159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252</v>
      </c>
      <c r="F193" s="27">
        <v>15</v>
      </c>
      <c r="G193" s="34">
        <f t="shared" si="42"/>
        <v>63</v>
      </c>
      <c r="H193" s="33" t="s">
        <v>18</v>
      </c>
      <c r="I193" s="33" t="s">
        <v>138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327</v>
      </c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252</v>
      </c>
      <c r="F194" s="27">
        <v>15</v>
      </c>
      <c r="G194" s="28">
        <f t="shared" si="42"/>
        <v>63</v>
      </c>
      <c r="H194" s="26" t="s">
        <v>19</v>
      </c>
      <c r="I194" s="26" t="s">
        <v>159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328</v>
      </c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252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252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252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252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252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252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252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252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227</v>
      </c>
      <c r="B203" s="100"/>
      <c r="C203" s="100"/>
      <c r="D203" s="100"/>
      <c r="E203" s="101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228</v>
      </c>
      <c r="O203" s="45">
        <v>674440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252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225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252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163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329</v>
      </c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252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252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252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252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252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252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252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252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252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9" t="s">
        <v>229</v>
      </c>
      <c r="B216" s="100"/>
      <c r="C216" s="100"/>
      <c r="D216" s="100"/>
      <c r="E216" s="101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228</v>
      </c>
      <c r="O216" s="45">
        <v>1060630</v>
      </c>
    </row>
    <row r="217" spans="1:15" ht="18" customHeight="1">
      <c r="A217" s="102" t="s">
        <v>230</v>
      </c>
      <c r="B217" s="103"/>
      <c r="C217" s="103"/>
      <c r="D217" s="103"/>
      <c r="E217" s="104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231</v>
      </c>
      <c r="O217" s="48">
        <f>IFERROR(O203+O216,"")</f>
        <v>1735070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252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330</v>
      </c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252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252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331</v>
      </c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252</v>
      </c>
      <c r="F221" s="27">
        <v>10</v>
      </c>
      <c r="G221" s="34">
        <f t="shared" si="48"/>
        <v>42</v>
      </c>
      <c r="H221" s="33" t="s">
        <v>20</v>
      </c>
      <c r="I221" s="33" t="s">
        <v>138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252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252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252</v>
      </c>
      <c r="F224" s="27">
        <v>30</v>
      </c>
      <c r="G224" s="28">
        <f t="shared" si="48"/>
        <v>126</v>
      </c>
      <c r="H224" s="26" t="s">
        <v>20</v>
      </c>
      <c r="I224" s="26" t="s">
        <v>138</v>
      </c>
      <c r="J224" s="26" t="s">
        <v>182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252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332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252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252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252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252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9" t="s">
        <v>227</v>
      </c>
      <c r="B230" s="100"/>
      <c r="C230" s="100"/>
      <c r="D230" s="100"/>
      <c r="E230" s="101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228</v>
      </c>
      <c r="O230" s="39">
        <v>587230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252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225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333</v>
      </c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252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153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252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252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252</v>
      </c>
      <c r="F236" s="27">
        <v>27</v>
      </c>
      <c r="G236" s="28">
        <f t="shared" si="51"/>
        <v>113.4</v>
      </c>
      <c r="H236" s="50" t="s">
        <v>20</v>
      </c>
      <c r="I236" s="50" t="s">
        <v>138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252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252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225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252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225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252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9" t="s">
        <v>229</v>
      </c>
      <c r="B243" s="100"/>
      <c r="C243" s="100"/>
      <c r="D243" s="100"/>
      <c r="E243" s="101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228</v>
      </c>
      <c r="O243" s="39">
        <v>982340</v>
      </c>
    </row>
    <row r="244" spans="1:15" ht="18" customHeight="1">
      <c r="A244" s="102" t="s">
        <v>230</v>
      </c>
      <c r="B244" s="103"/>
      <c r="C244" s="103"/>
      <c r="D244" s="103"/>
      <c r="E244" s="104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231</v>
      </c>
      <c r="O244" s="48">
        <f>IFERROR(O230+O243,"")</f>
        <v>1569570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252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159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334</v>
      </c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252</v>
      </c>
      <c r="F246" s="27">
        <v>20</v>
      </c>
      <c r="G246" s="34">
        <f t="shared" si="54"/>
        <v>84</v>
      </c>
      <c r="H246" s="33" t="s">
        <v>18</v>
      </c>
      <c r="I246" s="26" t="s">
        <v>137</v>
      </c>
      <c r="J246" s="33" t="s">
        <v>204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252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252</v>
      </c>
      <c r="F248" s="27">
        <v>5</v>
      </c>
      <c r="G248" s="34">
        <f t="shared" si="54"/>
        <v>21</v>
      </c>
      <c r="H248" s="26" t="s">
        <v>20</v>
      </c>
      <c r="I248" s="26" t="s">
        <v>154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252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252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252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252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252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252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252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252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9" t="s">
        <v>227</v>
      </c>
      <c r="B257" s="100"/>
      <c r="C257" s="100"/>
      <c r="D257" s="100"/>
      <c r="E257" s="101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228</v>
      </c>
      <c r="O257" s="39">
        <v>874480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252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154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252</v>
      </c>
      <c r="F259" s="27">
        <v>19</v>
      </c>
      <c r="G259" s="28">
        <f t="shared" si="57"/>
        <v>79.8</v>
      </c>
      <c r="H259" s="50" t="s">
        <v>19</v>
      </c>
      <c r="I259" s="50" t="s">
        <v>159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252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252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252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252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252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252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252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252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252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252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9" t="s">
        <v>229</v>
      </c>
      <c r="B270" s="100"/>
      <c r="C270" s="100"/>
      <c r="D270" s="100"/>
      <c r="E270" s="101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228</v>
      </c>
      <c r="O270" s="39">
        <v>1208450</v>
      </c>
    </row>
    <row r="271" spans="1:15" ht="18" customHeight="1">
      <c r="A271" s="102" t="s">
        <v>230</v>
      </c>
      <c r="B271" s="103"/>
      <c r="C271" s="103"/>
      <c r="D271" s="103"/>
      <c r="E271" s="104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231</v>
      </c>
      <c r="O271" s="48">
        <f>IFERROR(O257+O270,"")</f>
        <v>2082930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252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159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252</v>
      </c>
      <c r="F273" s="27">
        <v>25</v>
      </c>
      <c r="G273" s="34">
        <f t="shared" si="60"/>
        <v>105</v>
      </c>
      <c r="H273" s="33" t="s">
        <v>20</v>
      </c>
      <c r="I273" s="33" t="s">
        <v>154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252</v>
      </c>
      <c r="F274" s="27">
        <v>12</v>
      </c>
      <c r="G274" s="28">
        <f t="shared" si="60"/>
        <v>50.400000000000006</v>
      </c>
      <c r="H274" s="26" t="s">
        <v>19</v>
      </c>
      <c r="I274" s="26" t="s">
        <v>159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252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252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252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252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252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252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252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252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252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9" t="s">
        <v>227</v>
      </c>
      <c r="B284" s="100"/>
      <c r="C284" s="100"/>
      <c r="D284" s="100"/>
      <c r="E284" s="101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228</v>
      </c>
      <c r="O284" s="39">
        <v>787000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252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252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252</v>
      </c>
      <c r="F287" s="27">
        <v>40</v>
      </c>
      <c r="G287" s="34">
        <f t="shared" si="63"/>
        <v>168</v>
      </c>
      <c r="H287" s="33" t="s">
        <v>20</v>
      </c>
      <c r="I287" s="33" t="s">
        <v>154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252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225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252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113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252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252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252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252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252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252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9" t="s">
        <v>229</v>
      </c>
      <c r="B297" s="100"/>
      <c r="C297" s="100"/>
      <c r="D297" s="100"/>
      <c r="E297" s="101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228</v>
      </c>
      <c r="O297" s="39">
        <v>1049090</v>
      </c>
    </row>
    <row r="298" spans="1:15" ht="18" customHeight="1">
      <c r="A298" s="102" t="s">
        <v>230</v>
      </c>
      <c r="B298" s="103"/>
      <c r="C298" s="103"/>
      <c r="D298" s="103"/>
      <c r="E298" s="104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231</v>
      </c>
      <c r="O298" s="48">
        <f>IFERROR(O284+O297,"")</f>
        <v>1836090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252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335</v>
      </c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252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206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252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207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252</v>
      </c>
      <c r="F302" s="27">
        <v>0</v>
      </c>
      <c r="G302" s="28">
        <f t="shared" si="66"/>
        <v>0</v>
      </c>
      <c r="H302" s="26" t="s">
        <v>18</v>
      </c>
      <c r="I302" s="26" t="s">
        <v>137</v>
      </c>
      <c r="J302" s="26" t="s">
        <v>127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252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252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252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252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252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252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252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252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9" t="s">
        <v>227</v>
      </c>
      <c r="B311" s="100"/>
      <c r="C311" s="100"/>
      <c r="D311" s="100"/>
      <c r="E311" s="101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228</v>
      </c>
      <c r="O311" s="39">
        <v>145580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225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137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252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169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252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113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252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113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252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113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252</v>
      </c>
      <c r="F317" s="27">
        <v>20</v>
      </c>
      <c r="G317" s="34">
        <f t="shared" si="69"/>
        <v>84</v>
      </c>
      <c r="H317" s="33" t="s">
        <v>20</v>
      </c>
      <c r="I317" s="33" t="s">
        <v>129</v>
      </c>
      <c r="J317" s="33" t="s">
        <v>113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252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261</v>
      </c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252</v>
      </c>
      <c r="F319" s="27">
        <v>26</v>
      </c>
      <c r="G319" s="34">
        <f t="shared" si="69"/>
        <v>109.2</v>
      </c>
      <c r="H319" s="33" t="s">
        <v>20</v>
      </c>
      <c r="I319" s="33" t="s">
        <v>154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252</v>
      </c>
      <c r="F320" s="27">
        <v>30</v>
      </c>
      <c r="G320" s="28">
        <f t="shared" si="69"/>
        <v>126</v>
      </c>
      <c r="H320" s="26" t="s">
        <v>19</v>
      </c>
      <c r="I320" s="26" t="s">
        <v>159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252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252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225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9" t="s">
        <v>229</v>
      </c>
      <c r="B324" s="100"/>
      <c r="C324" s="100"/>
      <c r="D324" s="100"/>
      <c r="E324" s="101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228</v>
      </c>
      <c r="O324" s="39">
        <v>1063720</v>
      </c>
    </row>
    <row r="325" spans="1:15" ht="18" customHeight="1">
      <c r="A325" s="102" t="s">
        <v>230</v>
      </c>
      <c r="B325" s="103"/>
      <c r="C325" s="103"/>
      <c r="D325" s="103"/>
      <c r="E325" s="104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231</v>
      </c>
      <c r="O325" s="48">
        <f>IFERROR(O311+O324,"")</f>
        <v>1209300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7" t="s">
        <v>252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70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252</v>
      </c>
      <c r="F327" s="27">
        <v>20</v>
      </c>
      <c r="G327" s="34">
        <v>84</v>
      </c>
      <c r="H327" s="33" t="s">
        <v>18</v>
      </c>
      <c r="I327" s="33" t="s">
        <v>159</v>
      </c>
      <c r="J327" s="33" t="s">
        <v>118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293</v>
      </c>
      <c r="O327" s="60"/>
    </row>
    <row r="328" spans="1:15" ht="15" customHeight="1">
      <c r="A328" s="69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252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129</v>
      </c>
      <c r="J328" s="26" t="s">
        <v>113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70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252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9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225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70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252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9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252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70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252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9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252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70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252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9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252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70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252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99" t="s">
        <v>227</v>
      </c>
      <c r="B338" s="100"/>
      <c r="C338" s="100"/>
      <c r="D338" s="100"/>
      <c r="E338" s="101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228</v>
      </c>
      <c r="O338" s="39">
        <v>780000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252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252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252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252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252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252</v>
      </c>
      <c r="F344" s="27">
        <v>20</v>
      </c>
      <c r="G344" s="28">
        <f t="shared" si="75"/>
        <v>84</v>
      </c>
      <c r="H344" s="26" t="s">
        <v>20</v>
      </c>
      <c r="I344" s="26" t="s">
        <v>154</v>
      </c>
      <c r="J344" s="26" t="s">
        <v>74</v>
      </c>
      <c r="K344" s="29" t="s">
        <v>336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252</v>
      </c>
      <c r="F345" s="27">
        <v>5</v>
      </c>
      <c r="G345" s="34">
        <f t="shared" si="75"/>
        <v>21</v>
      </c>
      <c r="H345" s="33" t="s">
        <v>20</v>
      </c>
      <c r="I345" s="33" t="s">
        <v>154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252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252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337</v>
      </c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252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252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252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9" t="s">
        <v>229</v>
      </c>
      <c r="B351" s="100"/>
      <c r="C351" s="100"/>
      <c r="D351" s="100"/>
      <c r="E351" s="101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228</v>
      </c>
      <c r="O351" s="39">
        <v>696140</v>
      </c>
    </row>
    <row r="352" spans="1:15" ht="18" customHeight="1">
      <c r="A352" s="102" t="s">
        <v>230</v>
      </c>
      <c r="B352" s="103"/>
      <c r="C352" s="103"/>
      <c r="D352" s="103"/>
      <c r="E352" s="104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231</v>
      </c>
      <c r="O352" s="48">
        <f>IFERROR(O338+O351,"")</f>
        <v>1476140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252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252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252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295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252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252</v>
      </c>
      <c r="F357" s="27">
        <v>10</v>
      </c>
      <c r="G357" s="34">
        <f t="shared" si="78"/>
        <v>42</v>
      </c>
      <c r="H357" s="33" t="s">
        <v>18</v>
      </c>
      <c r="I357" s="33" t="s">
        <v>137</v>
      </c>
      <c r="J357" s="33" t="s">
        <v>127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252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252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252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252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252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252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252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8" t="s">
        <v>227</v>
      </c>
      <c r="B365" s="89"/>
      <c r="C365" s="89"/>
      <c r="D365" s="89"/>
      <c r="E365" s="90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228</v>
      </c>
      <c r="O365" s="39">
        <v>597930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46</v>
      </c>
      <c r="E366" s="59" t="s">
        <v>252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252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252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338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252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252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252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252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252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252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252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118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252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252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99" t="s">
        <v>229</v>
      </c>
      <c r="B378" s="100"/>
      <c r="C378" s="100"/>
      <c r="D378" s="100"/>
      <c r="E378" s="101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228</v>
      </c>
      <c r="O378" s="39">
        <v>704750</v>
      </c>
    </row>
    <row r="379" spans="1:15" ht="18" customHeight="1">
      <c r="A379" s="102" t="s">
        <v>230</v>
      </c>
      <c r="B379" s="103"/>
      <c r="C379" s="103"/>
      <c r="D379" s="103"/>
      <c r="E379" s="104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231</v>
      </c>
      <c r="O379" s="48">
        <f>IFERROR(O365+O378,"")</f>
        <v>1302680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30</v>
      </c>
      <c r="E380" s="59" t="s">
        <v>252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339</v>
      </c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252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252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326</v>
      </c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252</v>
      </c>
      <c r="F383" s="27">
        <v>0</v>
      </c>
      <c r="G383" s="34">
        <f t="shared" si="84"/>
        <v>0</v>
      </c>
      <c r="H383" s="33" t="s">
        <v>18</v>
      </c>
      <c r="I383" s="33" t="s">
        <v>137</v>
      </c>
      <c r="J383" s="33" t="s">
        <v>127</v>
      </c>
      <c r="K383" s="29">
        <v>0.66249999999999998</v>
      </c>
      <c r="L383" s="29">
        <v>0.70347222222222228</v>
      </c>
      <c r="M383" s="35">
        <f t="shared" ca="1" si="85"/>
        <v>4.0972222222222299E-2</v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252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252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252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252</v>
      </c>
      <c r="F387" s="27">
        <v>23</v>
      </c>
      <c r="G387" s="34">
        <f t="shared" si="84"/>
        <v>96.600000000000009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252</v>
      </c>
      <c r="F388" s="27">
        <v>17</v>
      </c>
      <c r="G388" s="28">
        <f t="shared" si="84"/>
        <v>71.400000000000006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252</v>
      </c>
      <c r="F389" s="27">
        <v>1</v>
      </c>
      <c r="G389" s="34">
        <f t="shared" si="84"/>
        <v>4.2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252</v>
      </c>
      <c r="F390" s="27">
        <v>17</v>
      </c>
      <c r="G390" s="28">
        <f t="shared" si="84"/>
        <v>71.400000000000006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252</v>
      </c>
      <c r="F391" s="27">
        <v>7</v>
      </c>
      <c r="G391" s="34">
        <f t="shared" si="84"/>
        <v>29.400000000000002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9" t="s">
        <v>227</v>
      </c>
      <c r="B392" s="100"/>
      <c r="C392" s="100"/>
      <c r="D392" s="100"/>
      <c r="E392" s="101">
        <f>SUM(E380:E391)</f>
        <v>0</v>
      </c>
      <c r="F392" s="36">
        <f>SUM(F380:F391)</f>
        <v>143</v>
      </c>
      <c r="G392" s="36">
        <f>SUM(G380:G391)</f>
        <v>600.6</v>
      </c>
      <c r="H392" s="37"/>
      <c r="I392" s="37"/>
      <c r="J392" s="37"/>
      <c r="K392" s="61"/>
      <c r="L392" s="61"/>
      <c r="M392" s="38">
        <f ca="1">IFERROR(SUM(M380:M391),"")</f>
        <v>0.18263888888888896</v>
      </c>
      <c r="N392" s="36" t="s">
        <v>228</v>
      </c>
      <c r="O392" s="39">
        <v>565570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225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19</v>
      </c>
      <c r="I393" s="33" t="s">
        <v>159</v>
      </c>
      <c r="J393" s="33" t="s">
        <v>27</v>
      </c>
      <c r="K393" s="29">
        <v>0.85416666666666663</v>
      </c>
      <c r="L393" s="29">
        <v>0.87083333333333335</v>
      </c>
      <c r="M393" s="35">
        <f t="shared" ref="M393:M404" ca="1" si="88">IFERROR(IF(K393="","",IF(L393="",MOD(NOW()-K393,1),IF(L393&gt;=K393,L393-K393,L393+1-K393))),"")</f>
        <v>1.6666666666666718E-2</v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252</v>
      </c>
      <c r="F394" s="27">
        <v>10</v>
      </c>
      <c r="G394" s="28">
        <f t="shared" si="87"/>
        <v>42</v>
      </c>
      <c r="H394" s="26" t="s">
        <v>20</v>
      </c>
      <c r="I394" s="26" t="s">
        <v>137</v>
      </c>
      <c r="J394" s="26" t="s">
        <v>180</v>
      </c>
      <c r="K394" s="29">
        <v>0.9770833333333333</v>
      </c>
      <c r="L394" s="29">
        <v>1.3194444444444444E-2</v>
      </c>
      <c r="M394" s="30">
        <f t="shared" ca="1" si="88"/>
        <v>3.6111111111111205E-2</v>
      </c>
      <c r="N394" s="27" t="s">
        <v>340</v>
      </c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252</v>
      </c>
      <c r="F395" s="27">
        <v>8</v>
      </c>
      <c r="G395" s="34">
        <f t="shared" si="87"/>
        <v>33.6</v>
      </c>
      <c r="H395" s="33" t="s">
        <v>17</v>
      </c>
      <c r="I395" s="33"/>
      <c r="J395" s="33" t="s">
        <v>25</v>
      </c>
      <c r="K395" s="29">
        <v>3.6805555555555557E-2</v>
      </c>
      <c r="L395" s="29">
        <v>4.9305555555555554E-2</v>
      </c>
      <c r="M395" s="35">
        <f t="shared" ca="1" si="88"/>
        <v>1.2499999999999997E-2</v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252</v>
      </c>
      <c r="F396" s="27">
        <v>21</v>
      </c>
      <c r="G396" s="28">
        <f t="shared" si="87"/>
        <v>88.2</v>
      </c>
      <c r="H396" s="26" t="s">
        <v>16</v>
      </c>
      <c r="I396" s="26" t="s">
        <v>159</v>
      </c>
      <c r="J396" s="26" t="s">
        <v>40</v>
      </c>
      <c r="K396" s="29">
        <v>4.9305555555555554E-2</v>
      </c>
      <c r="L396" s="29">
        <v>6.5972222222222224E-2</v>
      </c>
      <c r="M396" s="30">
        <f t="shared" ca="1" si="88"/>
        <v>1.666666666666667E-2</v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252</v>
      </c>
      <c r="F397" s="27">
        <v>11</v>
      </c>
      <c r="G397" s="34">
        <f t="shared" si="87"/>
        <v>46.2</v>
      </c>
      <c r="H397" s="33" t="s">
        <v>19</v>
      </c>
      <c r="I397" s="33" t="s">
        <v>52</v>
      </c>
      <c r="J397" s="33" t="s">
        <v>35</v>
      </c>
      <c r="K397" s="29">
        <v>0.11041666666666666</v>
      </c>
      <c r="L397" s="29">
        <v>0.12013888888888889</v>
      </c>
      <c r="M397" s="35">
        <f t="shared" ca="1" si="88"/>
        <v>9.7222222222222293E-3</v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252</v>
      </c>
      <c r="F398" s="27">
        <v>15</v>
      </c>
      <c r="G398" s="28">
        <f t="shared" si="87"/>
        <v>63</v>
      </c>
      <c r="H398" s="26" t="s">
        <v>19</v>
      </c>
      <c r="I398" s="26" t="s">
        <v>159</v>
      </c>
      <c r="J398" s="26" t="s">
        <v>27</v>
      </c>
      <c r="K398" s="29">
        <v>0.23125000000000001</v>
      </c>
      <c r="L398" s="29">
        <v>0.24791666666666667</v>
      </c>
      <c r="M398" s="30">
        <f t="shared" ca="1" si="88"/>
        <v>1.6666666666666663E-2</v>
      </c>
      <c r="N398" s="27" t="s">
        <v>341</v>
      </c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252</v>
      </c>
      <c r="F399" s="27">
        <v>10</v>
      </c>
      <c r="G399" s="34">
        <f t="shared" si="87"/>
        <v>42</v>
      </c>
      <c r="H399" s="33" t="s">
        <v>16</v>
      </c>
      <c r="I399" s="33" t="s">
        <v>63</v>
      </c>
      <c r="J399" s="33" t="s">
        <v>86</v>
      </c>
      <c r="K399" s="29">
        <v>0.25763888888888886</v>
      </c>
      <c r="L399" s="29">
        <v>0.29166666666666669</v>
      </c>
      <c r="M399" s="35">
        <f t="shared" ca="1" si="88"/>
        <v>3.4027777777777823E-2</v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252</v>
      </c>
      <c r="F400" s="27">
        <v>13</v>
      </c>
      <c r="G400" s="28">
        <f t="shared" si="87"/>
        <v>54.6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252</v>
      </c>
      <c r="F401" s="27">
        <v>11</v>
      </c>
      <c r="G401" s="34">
        <f t="shared" si="87"/>
        <v>46.2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252</v>
      </c>
      <c r="F402" s="27">
        <v>18</v>
      </c>
      <c r="G402" s="28">
        <f t="shared" si="87"/>
        <v>75.600000000000009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252</v>
      </c>
      <c r="F403" s="27">
        <v>0</v>
      </c>
      <c r="G403" s="34">
        <f t="shared" si="87"/>
        <v>0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252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9" t="s">
        <v>229</v>
      </c>
      <c r="B405" s="100"/>
      <c r="C405" s="100"/>
      <c r="D405" s="100"/>
      <c r="E405" s="101">
        <f>SUM(E393:E404)</f>
        <v>0</v>
      </c>
      <c r="F405" s="36">
        <f>SUM(F393:F404)</f>
        <v>142</v>
      </c>
      <c r="G405" s="36">
        <f>SUM(G393:G404)</f>
        <v>616.40000000000009</v>
      </c>
      <c r="H405" s="37"/>
      <c r="I405" s="37"/>
      <c r="J405" s="37"/>
      <c r="K405" s="61"/>
      <c r="L405" s="61"/>
      <c r="M405" s="38">
        <f ca="1">IFERROR(SUM(M393:M404),"")</f>
        <v>0.14236111111111133</v>
      </c>
      <c r="N405" s="36" t="s">
        <v>228</v>
      </c>
      <c r="O405" s="39">
        <v>958130</v>
      </c>
    </row>
    <row r="406" spans="1:15" ht="18" customHeight="1">
      <c r="A406" s="102" t="s">
        <v>230</v>
      </c>
      <c r="B406" s="103"/>
      <c r="C406" s="103"/>
      <c r="D406" s="103"/>
      <c r="E406" s="104">
        <f>E392+E405</f>
        <v>0</v>
      </c>
      <c r="F406" s="40">
        <f>F392+F405</f>
        <v>285</v>
      </c>
      <c r="G406" s="40">
        <f>G392+G405</f>
        <v>1217</v>
      </c>
      <c r="H406" s="41"/>
      <c r="I406" s="41"/>
      <c r="J406" s="41"/>
      <c r="K406" s="63"/>
      <c r="L406" s="63"/>
      <c r="M406" s="42">
        <f ca="1">IFERROR(M392+M405,"")</f>
        <v>0.32500000000000029</v>
      </c>
      <c r="N406" s="40" t="s">
        <v>231</v>
      </c>
      <c r="O406" s="48">
        <f>IFERROR(O392+O405,"")</f>
        <v>1523700</v>
      </c>
    </row>
    <row r="407" spans="1:15" ht="15" customHeight="1">
      <c r="A407" s="70">
        <v>46219</v>
      </c>
      <c r="B407" s="32">
        <v>0.33333333333333298</v>
      </c>
      <c r="C407" s="33" t="s">
        <v>45</v>
      </c>
      <c r="D407" s="62" t="s">
        <v>30</v>
      </c>
      <c r="E407" s="62" t="s">
        <v>252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 t="s">
        <v>75</v>
      </c>
      <c r="J407" s="33" t="s">
        <v>49</v>
      </c>
      <c r="K407" s="29">
        <v>0.29166666666666669</v>
      </c>
      <c r="L407" s="29">
        <v>0.32291666666666669</v>
      </c>
      <c r="M407" s="35">
        <f t="shared" ref="M407:M418" ca="1" si="91">IFERROR(IF(K407="","",IF(L407="",MOD(NOW()-K407,1),IF(L407&gt;=K407,L407-K407,L407+1-K407))),"")</f>
        <v>3.125E-2</v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252</v>
      </c>
      <c r="F408" s="27">
        <v>0</v>
      </c>
      <c r="G408" s="28">
        <f t="shared" si="90"/>
        <v>0</v>
      </c>
      <c r="H408" s="26" t="s">
        <v>18</v>
      </c>
      <c r="I408" s="26" t="s">
        <v>52</v>
      </c>
      <c r="J408" s="26" t="s">
        <v>118</v>
      </c>
      <c r="K408" s="29">
        <v>0.34375</v>
      </c>
      <c r="L408" s="29">
        <v>0.39305555555555555</v>
      </c>
      <c r="M408" s="30">
        <f t="shared" ca="1" si="91"/>
        <v>4.9305555555555547E-2</v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252</v>
      </c>
      <c r="F409" s="27">
        <v>11</v>
      </c>
      <c r="G409" s="34">
        <f t="shared" si="90"/>
        <v>46.2</v>
      </c>
      <c r="H409" s="33" t="s">
        <v>17</v>
      </c>
      <c r="I409" s="33"/>
      <c r="J409" s="33" t="s">
        <v>25</v>
      </c>
      <c r="K409" s="29">
        <v>0.47569444444444442</v>
      </c>
      <c r="L409" s="29">
        <v>0.5</v>
      </c>
      <c r="M409" s="35">
        <f t="shared" ca="1" si="91"/>
        <v>2.430555555555558E-2</v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252</v>
      </c>
      <c r="F410" s="27">
        <v>12</v>
      </c>
      <c r="G410" s="28">
        <f t="shared" si="90"/>
        <v>50.400000000000006</v>
      </c>
      <c r="H410" s="26" t="s">
        <v>18</v>
      </c>
      <c r="I410" s="26" t="s">
        <v>137</v>
      </c>
      <c r="J410" s="26" t="s">
        <v>127</v>
      </c>
      <c r="K410" s="29">
        <v>0.61875000000000002</v>
      </c>
      <c r="L410" s="29">
        <v>0.68055555555555558</v>
      </c>
      <c r="M410" s="30">
        <f t="shared" ca="1" si="91"/>
        <v>6.1805555555555558E-2</v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252</v>
      </c>
      <c r="F411" s="27">
        <v>9</v>
      </c>
      <c r="G411" s="34">
        <f t="shared" si="90"/>
        <v>37.800000000000004</v>
      </c>
      <c r="H411" s="33" t="s">
        <v>17</v>
      </c>
      <c r="I411" s="33"/>
      <c r="J411" s="33" t="s">
        <v>25</v>
      </c>
      <c r="K411" s="29">
        <v>0.65694444444444444</v>
      </c>
      <c r="L411" s="29">
        <v>0.68055555555555558</v>
      </c>
      <c r="M411" s="35">
        <f t="shared" ca="1" si="91"/>
        <v>2.3611111111111138E-2</v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252</v>
      </c>
      <c r="F412" s="27">
        <v>18</v>
      </c>
      <c r="G412" s="28">
        <f t="shared" si="90"/>
        <v>75.600000000000009</v>
      </c>
      <c r="H412" s="26" t="s">
        <v>18</v>
      </c>
      <c r="I412" s="26" t="s">
        <v>57</v>
      </c>
      <c r="J412" s="26" t="s">
        <v>34</v>
      </c>
      <c r="K412" s="29">
        <v>0.65694444444444444</v>
      </c>
      <c r="L412" s="29">
        <v>0.7006944444444444</v>
      </c>
      <c r="M412" s="30">
        <f t="shared" ca="1" si="91"/>
        <v>4.3749999999999956E-2</v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252</v>
      </c>
      <c r="F413" s="27">
        <v>20</v>
      </c>
      <c r="G413" s="34">
        <f t="shared" si="90"/>
        <v>84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252</v>
      </c>
      <c r="F414" s="27">
        <v>19</v>
      </c>
      <c r="G414" s="28">
        <f t="shared" si="90"/>
        <v>79.8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225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252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252</v>
      </c>
      <c r="F417" s="27">
        <v>16</v>
      </c>
      <c r="G417" s="34">
        <f t="shared" si="90"/>
        <v>67.2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225</v>
      </c>
      <c r="F418" s="27">
        <v>4</v>
      </c>
      <c r="G418" s="28">
        <f t="shared" si="90"/>
        <v>20</v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9" t="s">
        <v>227</v>
      </c>
      <c r="B419" s="100"/>
      <c r="C419" s="100"/>
      <c r="D419" s="100"/>
      <c r="E419" s="101">
        <f>SUM(E407:E418)</f>
        <v>0</v>
      </c>
      <c r="F419" s="36">
        <f>SUM(F407:F418)</f>
        <v>114</v>
      </c>
      <c r="G419" s="36">
        <f>SUM(G407:G418)</f>
        <v>482</v>
      </c>
      <c r="H419" s="37"/>
      <c r="I419" s="37"/>
      <c r="J419" s="37"/>
      <c r="K419" s="61"/>
      <c r="L419" s="61"/>
      <c r="M419" s="38">
        <f ca="1">IFERROR(SUM(M407:M418),"")</f>
        <v>0.23402777777777778</v>
      </c>
      <c r="N419" s="36" t="s">
        <v>228</v>
      </c>
      <c r="O419" s="39">
        <v>491520</v>
      </c>
    </row>
    <row r="420" spans="1:15" ht="15" customHeight="1">
      <c r="A420" s="69">
        <v>46219</v>
      </c>
      <c r="B420" s="25">
        <v>0.83333333333333304</v>
      </c>
      <c r="C420" s="26" t="s">
        <v>29</v>
      </c>
      <c r="D420" s="59" t="s">
        <v>30</v>
      </c>
      <c r="E420" s="59" t="s">
        <v>252</v>
      </c>
      <c r="F420" s="27">
        <v>0</v>
      </c>
      <c r="G420" s="28">
        <f t="shared" ref="G420:G431" si="93">IF(F420="","",IF(E420="PC 17",F420*4.2,IF(E420="PC 19",F420*5,"")))</f>
        <v>0</v>
      </c>
      <c r="H420" s="26" t="s">
        <v>18</v>
      </c>
      <c r="I420" s="26" t="s">
        <v>165</v>
      </c>
      <c r="J420" s="26" t="s">
        <v>210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252</v>
      </c>
      <c r="F421" s="27">
        <v>0</v>
      </c>
      <c r="G421" s="34">
        <f t="shared" si="93"/>
        <v>0</v>
      </c>
      <c r="H421" s="33" t="s">
        <v>20</v>
      </c>
      <c r="I421" s="33" t="s">
        <v>154</v>
      </c>
      <c r="J421" s="33" t="s">
        <v>44</v>
      </c>
      <c r="K421" s="29">
        <v>0.97499999999999998</v>
      </c>
      <c r="L421" s="29">
        <v>0.98472222222222228</v>
      </c>
      <c r="M421" s="35">
        <f t="shared" ca="1" si="94"/>
        <v>9.7222222222222987E-3</v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252</v>
      </c>
      <c r="F422" s="27">
        <v>0</v>
      </c>
      <c r="G422" s="28">
        <f t="shared" si="93"/>
        <v>0</v>
      </c>
      <c r="H422" s="26" t="s">
        <v>20</v>
      </c>
      <c r="I422" s="26" t="s">
        <v>138</v>
      </c>
      <c r="J422" s="26" t="s">
        <v>179</v>
      </c>
      <c r="K422" s="29">
        <v>2.0833333333333332E-2</v>
      </c>
      <c r="L422" s="29">
        <v>4.3749999999999997E-2</v>
      </c>
      <c r="M422" s="30">
        <f t="shared" ca="1" si="94"/>
        <v>2.2916666666666665E-2</v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252</v>
      </c>
      <c r="F423" s="27">
        <v>0</v>
      </c>
      <c r="G423" s="34">
        <f t="shared" si="93"/>
        <v>0</v>
      </c>
      <c r="H423" s="33" t="s">
        <v>20</v>
      </c>
      <c r="I423" s="33" t="s">
        <v>154</v>
      </c>
      <c r="J423" s="33" t="s">
        <v>44</v>
      </c>
      <c r="K423" s="29">
        <v>6.7361111111111108E-2</v>
      </c>
      <c r="L423" s="29">
        <v>7.4305555555555555E-2</v>
      </c>
      <c r="M423" s="35">
        <f t="shared" ca="1" si="94"/>
        <v>6.9444444444444475E-3</v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252</v>
      </c>
      <c r="F424" s="27">
        <v>14</v>
      </c>
      <c r="G424" s="28">
        <f t="shared" si="93"/>
        <v>58.800000000000004</v>
      </c>
      <c r="H424" s="26" t="s">
        <v>19</v>
      </c>
      <c r="I424" s="26" t="s">
        <v>52</v>
      </c>
      <c r="J424" s="26" t="s">
        <v>27</v>
      </c>
      <c r="K424" s="29">
        <v>7.4305555555555555E-2</v>
      </c>
      <c r="L424" s="29">
        <v>8.819444444444445E-2</v>
      </c>
      <c r="M424" s="30">
        <f t="shared" ca="1" si="94"/>
        <v>1.3888888888888895E-2</v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252</v>
      </c>
      <c r="F425" s="27">
        <v>21</v>
      </c>
      <c r="G425" s="34">
        <f t="shared" si="93"/>
        <v>88.2</v>
      </c>
      <c r="H425" s="33" t="s">
        <v>20</v>
      </c>
      <c r="I425" s="33" t="s">
        <v>57</v>
      </c>
      <c r="J425" s="33" t="s">
        <v>56</v>
      </c>
      <c r="K425" s="29">
        <v>7.9166666666666663E-2</v>
      </c>
      <c r="L425" s="29">
        <v>9.0972222222222218E-2</v>
      </c>
      <c r="M425" s="35">
        <f t="shared" ca="1" si="94"/>
        <v>1.1805555555555555E-2</v>
      </c>
      <c r="N425" s="27" t="s">
        <v>342</v>
      </c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252</v>
      </c>
      <c r="F426" s="27">
        <v>16</v>
      </c>
      <c r="G426" s="28">
        <f t="shared" si="93"/>
        <v>67.2</v>
      </c>
      <c r="H426" s="26" t="s">
        <v>18</v>
      </c>
      <c r="I426" s="26" t="s">
        <v>57</v>
      </c>
      <c r="J426" s="26" t="s">
        <v>163</v>
      </c>
      <c r="K426" s="29">
        <v>0.21111111111111111</v>
      </c>
      <c r="L426" s="29">
        <v>0.21527777777777779</v>
      </c>
      <c r="M426" s="30">
        <f t="shared" ca="1" si="94"/>
        <v>4.1666666666666796E-3</v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252</v>
      </c>
      <c r="F427" s="27">
        <v>10</v>
      </c>
      <c r="G427" s="34">
        <f t="shared" si="93"/>
        <v>42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252</v>
      </c>
      <c r="F428" s="27">
        <v>26</v>
      </c>
      <c r="G428" s="28">
        <f t="shared" si="93"/>
        <v>109.2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252</v>
      </c>
      <c r="F429" s="27">
        <v>18</v>
      </c>
      <c r="G429" s="34">
        <f t="shared" si="93"/>
        <v>75.600000000000009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252</v>
      </c>
      <c r="F430" s="27">
        <v>16</v>
      </c>
      <c r="G430" s="28">
        <f t="shared" si="93"/>
        <v>67.2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252</v>
      </c>
      <c r="F431" s="27">
        <v>7</v>
      </c>
      <c r="G431" s="34">
        <f t="shared" si="93"/>
        <v>29.400000000000002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9" t="s">
        <v>229</v>
      </c>
      <c r="B432" s="100"/>
      <c r="C432" s="100"/>
      <c r="D432" s="100"/>
      <c r="E432" s="101">
        <f>SUM(E420:E431)</f>
        <v>0</v>
      </c>
      <c r="F432" s="36">
        <f>SUM(F420:F431)</f>
        <v>128</v>
      </c>
      <c r="G432" s="36">
        <f>SUM(G420:G431)</f>
        <v>537.6</v>
      </c>
      <c r="H432" s="37"/>
      <c r="I432" s="37"/>
      <c r="J432" s="37"/>
      <c r="K432" s="61"/>
      <c r="L432" s="61"/>
      <c r="M432" s="38">
        <f ca="1">IFERROR(SUM(M420:M431),"")</f>
        <v>0.20416666666666675</v>
      </c>
      <c r="N432" s="36" t="s">
        <v>228</v>
      </c>
      <c r="O432" s="39">
        <v>605220</v>
      </c>
    </row>
    <row r="433" spans="1:17" ht="18" customHeight="1">
      <c r="A433" s="102" t="s">
        <v>230</v>
      </c>
      <c r="B433" s="103"/>
      <c r="C433" s="103"/>
      <c r="D433" s="103"/>
      <c r="E433" s="104">
        <f>E419+E432</f>
        <v>0</v>
      </c>
      <c r="F433" s="40">
        <f>F419+F432</f>
        <v>242</v>
      </c>
      <c r="G433" s="40">
        <f>G419+G432</f>
        <v>1019.6</v>
      </c>
      <c r="H433" s="41"/>
      <c r="I433" s="41"/>
      <c r="J433" s="41"/>
      <c r="K433" s="63"/>
      <c r="L433" s="63"/>
      <c r="M433" s="42">
        <f ca="1">IFERROR(M419+M432,"")</f>
        <v>0.43819444444444455</v>
      </c>
      <c r="N433" s="40" t="s">
        <v>231</v>
      </c>
      <c r="O433" s="48">
        <f>IFERROR(O419+O432,"")</f>
        <v>1096740</v>
      </c>
    </row>
    <row r="434" spans="1:17" ht="15" customHeight="1">
      <c r="A434" s="69">
        <v>46220</v>
      </c>
      <c r="B434" s="25">
        <v>0.33333333333333298</v>
      </c>
      <c r="C434" s="26" t="s">
        <v>21</v>
      </c>
      <c r="D434" s="59" t="s">
        <v>30</v>
      </c>
      <c r="E434" s="59" t="s">
        <v>252</v>
      </c>
      <c r="F434" s="27">
        <v>28</v>
      </c>
      <c r="G434" s="28">
        <f t="shared" ref="G434:G445" si="96">IF(F434="","",IF(E434="PC 17",F434*4.2,IF(E434="PC 19",F434*5,"")))</f>
        <v>117.60000000000001</v>
      </c>
      <c r="H434" s="26" t="s">
        <v>18</v>
      </c>
      <c r="I434" s="26" t="s">
        <v>57</v>
      </c>
      <c r="J434" s="26" t="s">
        <v>211</v>
      </c>
      <c r="K434" s="29">
        <v>0.33333333333333331</v>
      </c>
      <c r="L434" s="29">
        <v>0.35416666666666669</v>
      </c>
      <c r="M434" s="30">
        <f t="shared" ref="M434:M445" ca="1" si="97">IFERROR(IF(K434="","",IF(L434="",MOD(NOW()-K434,1),IF(L434&gt;=K434,L434-K434,L434+1-K434))),"")</f>
        <v>2.083333333333337E-2</v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252</v>
      </c>
      <c r="F435" s="27">
        <v>6</v>
      </c>
      <c r="G435" s="28">
        <f t="shared" si="96"/>
        <v>25.200000000000003</v>
      </c>
      <c r="H435" s="33" t="s">
        <v>19</v>
      </c>
      <c r="I435" s="33" t="s">
        <v>159</v>
      </c>
      <c r="J435" s="33" t="s">
        <v>27</v>
      </c>
      <c r="K435" s="29">
        <v>0.60416666666666663</v>
      </c>
      <c r="L435" s="29">
        <v>0.6166666666666667</v>
      </c>
      <c r="M435" s="35">
        <f t="shared" ca="1" si="97"/>
        <v>1.2500000000000067E-2</v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252</v>
      </c>
      <c r="F436" s="27">
        <v>23</v>
      </c>
      <c r="G436" s="28">
        <f t="shared" si="96"/>
        <v>96.600000000000009</v>
      </c>
      <c r="H436" s="26" t="s">
        <v>20</v>
      </c>
      <c r="I436" s="26" t="s">
        <v>137</v>
      </c>
      <c r="J436" s="26" t="s">
        <v>74</v>
      </c>
      <c r="K436" s="29">
        <v>0.66319444444444442</v>
      </c>
      <c r="L436" s="29">
        <v>0.67708333333333337</v>
      </c>
      <c r="M436" s="30">
        <f t="shared" ca="1" si="97"/>
        <v>1.3888888888888951E-2</v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252</v>
      </c>
      <c r="F437" s="27">
        <v>17</v>
      </c>
      <c r="G437" s="34">
        <f t="shared" si="96"/>
        <v>71.400000000000006</v>
      </c>
      <c r="H437" s="33" t="s">
        <v>20</v>
      </c>
      <c r="I437" s="33" t="s">
        <v>39</v>
      </c>
      <c r="J437" s="33" t="s">
        <v>51</v>
      </c>
      <c r="K437" s="29">
        <v>0.76875000000000004</v>
      </c>
      <c r="L437" s="29">
        <v>0.77222222222222225</v>
      </c>
      <c r="M437" s="35">
        <f t="shared" ca="1" si="97"/>
        <v>3.4722222222222099E-3</v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252</v>
      </c>
      <c r="F438" s="27">
        <v>21</v>
      </c>
      <c r="G438" s="28">
        <f t="shared" si="96"/>
        <v>88.2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252</v>
      </c>
      <c r="F439" s="27">
        <v>20</v>
      </c>
      <c r="G439" s="34">
        <f t="shared" si="96"/>
        <v>84</v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252</v>
      </c>
      <c r="F440" s="27">
        <v>13</v>
      </c>
      <c r="G440" s="28">
        <f t="shared" si="96"/>
        <v>54.6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252</v>
      </c>
      <c r="F441" s="27">
        <v>14</v>
      </c>
      <c r="G441" s="34">
        <f t="shared" si="96"/>
        <v>58.800000000000004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252</v>
      </c>
      <c r="F442" s="27">
        <v>19</v>
      </c>
      <c r="G442" s="28">
        <f t="shared" si="96"/>
        <v>79.8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252</v>
      </c>
      <c r="F443" s="27">
        <v>21</v>
      </c>
      <c r="G443" s="34">
        <f t="shared" si="96"/>
        <v>88.2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252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252</v>
      </c>
      <c r="F445" s="27">
        <v>5</v>
      </c>
      <c r="G445" s="34">
        <f t="shared" si="96"/>
        <v>21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9" t="s">
        <v>227</v>
      </c>
      <c r="B446" s="100"/>
      <c r="C446" s="100"/>
      <c r="D446" s="100"/>
      <c r="E446" s="101">
        <f>SUM(E434:E445)</f>
        <v>0</v>
      </c>
      <c r="F446" s="36">
        <f>SUM(F434:F445)</f>
        <v>195</v>
      </c>
      <c r="G446" s="36">
        <f>SUM(G434:G445)</f>
        <v>819</v>
      </c>
      <c r="H446" s="37"/>
      <c r="I446" s="37"/>
      <c r="J446" s="37"/>
      <c r="K446" s="61"/>
      <c r="L446" s="61"/>
      <c r="M446" s="38">
        <f ca="1">IFERROR(SUM(M434:M445),"")</f>
        <v>5.0694444444444597E-2</v>
      </c>
      <c r="N446" s="36" t="s">
        <v>228</v>
      </c>
      <c r="O446" s="39">
        <v>738370</v>
      </c>
    </row>
    <row r="447" spans="1:17" ht="15" customHeight="1">
      <c r="A447" s="70">
        <v>46220</v>
      </c>
      <c r="B447" s="32">
        <v>0.83333333333333304</v>
      </c>
      <c r="C447" s="33" t="s">
        <v>45</v>
      </c>
      <c r="D447" s="62" t="s">
        <v>30</v>
      </c>
      <c r="E447" s="62" t="s">
        <v>225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 t="s">
        <v>57</v>
      </c>
      <c r="J447" s="33" t="s">
        <v>51</v>
      </c>
      <c r="K447" s="29">
        <v>0.79166666666666663</v>
      </c>
      <c r="L447" s="29">
        <v>0.80694444444444446</v>
      </c>
      <c r="M447" s="35">
        <f t="shared" ref="M447:M458" ca="1" si="100">IFERROR(IF(K447="","",IF(L447="",MOD(NOW()-K447,1),IF(L447&gt;=K447,L447-K447,L447+1-K447))),"")</f>
        <v>1.5277777777777835E-2</v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225</v>
      </c>
      <c r="F448" s="27">
        <v>4</v>
      </c>
      <c r="G448" s="28">
        <f t="shared" si="99"/>
        <v>20</v>
      </c>
      <c r="H448" s="26" t="s">
        <v>20</v>
      </c>
      <c r="I448" s="26" t="s">
        <v>52</v>
      </c>
      <c r="J448" s="26" t="s">
        <v>51</v>
      </c>
      <c r="K448" s="29">
        <v>0.81458333333333333</v>
      </c>
      <c r="L448" s="29">
        <v>0.81805555555555554</v>
      </c>
      <c r="M448" s="30">
        <f t="shared" ca="1" si="100"/>
        <v>3.4722222222222099E-3</v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 t="s">
        <v>45</v>
      </c>
      <c r="D449" s="62"/>
      <c r="E449" s="62" t="s">
        <v>225</v>
      </c>
      <c r="F449" s="27"/>
      <c r="G449" s="34" t="str">
        <f t="shared" si="99"/>
        <v/>
      </c>
      <c r="H449" s="33" t="s">
        <v>18</v>
      </c>
      <c r="I449" s="33" t="s">
        <v>137</v>
      </c>
      <c r="J449" s="33" t="s">
        <v>127</v>
      </c>
      <c r="K449" s="29">
        <v>0.81944444444444442</v>
      </c>
      <c r="L449" s="29">
        <v>0.86250000000000004</v>
      </c>
      <c r="M449" s="35">
        <f t="shared" ca="1" si="100"/>
        <v>4.3055555555555625E-2</v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 t="s">
        <v>45</v>
      </c>
      <c r="D450" s="62"/>
      <c r="E450" s="57" t="s">
        <v>343</v>
      </c>
      <c r="F450" s="27"/>
      <c r="G450" s="28" t="str">
        <f>IF(F450="","",IF(E451="PC 17",F450*4.2,IF(E451="PC 19",F450*5,"")))</f>
        <v/>
      </c>
      <c r="H450" s="26" t="s">
        <v>20</v>
      </c>
      <c r="I450" s="26" t="s">
        <v>52</v>
      </c>
      <c r="J450" s="26" t="s">
        <v>56</v>
      </c>
      <c r="K450" s="29">
        <v>0.84166666666666667</v>
      </c>
      <c r="L450" s="29">
        <v>0.86805555555555558</v>
      </c>
      <c r="M450" s="30">
        <f t="shared" ca="1" si="100"/>
        <v>2.6388888888888906E-2</v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 t="s">
        <v>45</v>
      </c>
      <c r="D451" s="62"/>
      <c r="E451" s="62" t="s">
        <v>225</v>
      </c>
      <c r="F451" s="27"/>
      <c r="G451" s="34" t="str">
        <f>IF(F451="","",IF(#REF!="PC 17",F451*4.2,IF(#REF!="PC 19",F451*5,"")))</f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 t="s">
        <v>45</v>
      </c>
      <c r="D452" s="62"/>
      <c r="E452" s="62" t="s">
        <v>225</v>
      </c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 t="s">
        <v>45</v>
      </c>
      <c r="D453" s="62"/>
      <c r="E453" s="62" t="s">
        <v>225</v>
      </c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 t="s">
        <v>45</v>
      </c>
      <c r="D454" s="62"/>
      <c r="E454" s="62" t="s">
        <v>225</v>
      </c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 t="s">
        <v>45</v>
      </c>
      <c r="D455" s="62"/>
      <c r="E455" s="62" t="s">
        <v>225</v>
      </c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 t="s">
        <v>45</v>
      </c>
      <c r="D456" s="62"/>
      <c r="E456" s="62" t="s">
        <v>225</v>
      </c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 t="s">
        <v>45</v>
      </c>
      <c r="D457" s="62"/>
      <c r="E457" s="62" t="s">
        <v>225</v>
      </c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 t="s">
        <v>45</v>
      </c>
      <c r="D458" s="62"/>
      <c r="E458" s="62" t="s">
        <v>225</v>
      </c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9" t="s">
        <v>229</v>
      </c>
      <c r="B459" s="100"/>
      <c r="C459" s="100"/>
      <c r="D459" s="100"/>
      <c r="E459" s="101">
        <f>SUM(E447:E458)</f>
        <v>0</v>
      </c>
      <c r="F459" s="36">
        <f>SUM(F447:F458)</f>
        <v>4</v>
      </c>
      <c r="G459" s="36">
        <f>SUM(G447:G458)</f>
        <v>20</v>
      </c>
      <c r="H459" s="37"/>
      <c r="I459" s="37"/>
      <c r="J459" s="37"/>
      <c r="K459" s="61"/>
      <c r="L459" s="61"/>
      <c r="M459" s="38">
        <f ca="1">IFERROR(SUM(M447:M458),"")</f>
        <v>8.8194444444444575E-2</v>
      </c>
      <c r="N459" s="36" t="s">
        <v>228</v>
      </c>
      <c r="O459" s="39"/>
    </row>
    <row r="460" spans="1:15" ht="18" customHeight="1">
      <c r="A460" s="102" t="s">
        <v>230</v>
      </c>
      <c r="B460" s="103"/>
      <c r="C460" s="103"/>
      <c r="D460" s="103"/>
      <c r="E460" s="104">
        <f>E446+E459</f>
        <v>0</v>
      </c>
      <c r="F460" s="40">
        <f>F446+F459</f>
        <v>199</v>
      </c>
      <c r="G460" s="40">
        <f>G446+G459</f>
        <v>839</v>
      </c>
      <c r="H460" s="41"/>
      <c r="I460" s="41"/>
      <c r="J460" s="41"/>
      <c r="K460" s="63"/>
      <c r="L460" s="63"/>
      <c r="M460" s="42">
        <f ca="1">IFERROR(M446+M459,"")</f>
        <v>0.13888888888888917</v>
      </c>
      <c r="N460" s="40" t="s">
        <v>231</v>
      </c>
      <c r="O460" s="48">
        <f>IFERROR(O446+O459,"")</f>
        <v>738370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9" t="s">
        <v>227</v>
      </c>
      <c r="B473" s="100"/>
      <c r="C473" s="100"/>
      <c r="D473" s="100"/>
      <c r="E473" s="101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228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9" t="s">
        <v>229</v>
      </c>
      <c r="B486" s="100"/>
      <c r="C486" s="100"/>
      <c r="D486" s="100"/>
      <c r="E486" s="101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228</v>
      </c>
      <c r="O486" s="39"/>
    </row>
    <row r="487" spans="1:15" ht="18" customHeight="1">
      <c r="A487" s="102" t="s">
        <v>230</v>
      </c>
      <c r="B487" s="103"/>
      <c r="C487" s="103"/>
      <c r="D487" s="103"/>
      <c r="E487" s="104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231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9" t="s">
        <v>227</v>
      </c>
      <c r="B500" s="100"/>
      <c r="C500" s="100"/>
      <c r="D500" s="100"/>
      <c r="E500" s="101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228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9" t="s">
        <v>229</v>
      </c>
      <c r="B513" s="100"/>
      <c r="C513" s="100"/>
      <c r="D513" s="100"/>
      <c r="E513" s="101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228</v>
      </c>
      <c r="O513" s="39"/>
    </row>
    <row r="514" spans="1:15" ht="18" customHeight="1">
      <c r="A514" s="102" t="s">
        <v>230</v>
      </c>
      <c r="B514" s="103"/>
      <c r="C514" s="103"/>
      <c r="D514" s="103"/>
      <c r="E514" s="104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231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9" t="s">
        <v>227</v>
      </c>
      <c r="B527" s="100"/>
      <c r="C527" s="100"/>
      <c r="D527" s="100"/>
      <c r="E527" s="101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228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9" t="s">
        <v>229</v>
      </c>
      <c r="B540" s="100"/>
      <c r="C540" s="100"/>
      <c r="D540" s="100"/>
      <c r="E540" s="101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228</v>
      </c>
      <c r="O540" s="39"/>
    </row>
    <row r="541" spans="1:15" ht="18" customHeight="1">
      <c r="A541" s="102" t="s">
        <v>230</v>
      </c>
      <c r="B541" s="103"/>
      <c r="C541" s="103"/>
      <c r="D541" s="103"/>
      <c r="E541" s="104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231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9" t="s">
        <v>227</v>
      </c>
      <c r="B554" s="100"/>
      <c r="C554" s="100"/>
      <c r="D554" s="100"/>
      <c r="E554" s="101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228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99" t="s">
        <v>229</v>
      </c>
      <c r="B567" s="100"/>
      <c r="C567" s="100"/>
      <c r="D567" s="100"/>
      <c r="E567" s="101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228</v>
      </c>
      <c r="O567" s="39"/>
    </row>
    <row r="568" spans="1:15" ht="18" customHeight="1">
      <c r="A568" s="102" t="s">
        <v>230</v>
      </c>
      <c r="B568" s="103"/>
      <c r="C568" s="103"/>
      <c r="D568" s="103"/>
      <c r="E568" s="104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231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9" t="s">
        <v>227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228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99" t="s">
        <v>229</v>
      </c>
      <c r="B594" s="100"/>
      <c r="C594" s="100"/>
      <c r="D594" s="100"/>
      <c r="E594" s="10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228</v>
      </c>
      <c r="O594" s="39"/>
    </row>
    <row r="595" spans="1:15" ht="18" customHeight="1">
      <c r="A595" s="102" t="s">
        <v>230</v>
      </c>
      <c r="B595" s="103"/>
      <c r="C595" s="103"/>
      <c r="D595" s="103"/>
      <c r="E595" s="10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231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9" t="s">
        <v>227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228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9" t="s">
        <v>229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228</v>
      </c>
      <c r="O621" s="39"/>
    </row>
    <row r="622" spans="1:15" ht="18" customHeight="1">
      <c r="A622" s="102" t="s">
        <v>230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231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9" t="s">
        <v>227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228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9" t="s">
        <v>229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228</v>
      </c>
      <c r="O648" s="39"/>
    </row>
    <row r="649" spans="1:15" ht="18" customHeight="1">
      <c r="A649" s="102" t="s">
        <v>230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231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9" t="s">
        <v>227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228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9" t="s">
        <v>229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228</v>
      </c>
      <c r="O675" s="39"/>
    </row>
    <row r="676" spans="1:15" ht="18" customHeight="1">
      <c r="A676" s="102" t="s">
        <v>230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231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9" t="s">
        <v>227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228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9" t="s">
        <v>229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228</v>
      </c>
      <c r="O702" s="39"/>
    </row>
    <row r="703" spans="1:15" ht="18" customHeight="1">
      <c r="A703" s="102" t="s">
        <v>230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231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9" t="s">
        <v>227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228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9" t="s">
        <v>229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228</v>
      </c>
      <c r="O729" s="39"/>
    </row>
    <row r="730" spans="1:15" ht="18" customHeight="1">
      <c r="A730" s="102" t="s">
        <v>230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231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9" t="s">
        <v>227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228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9" t="s">
        <v>229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228</v>
      </c>
      <c r="O756" s="39"/>
    </row>
    <row r="757" spans="1:15" ht="18" customHeight="1">
      <c r="A757" s="102" t="s">
        <v>230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231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9" t="s">
        <v>227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228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9" t="s">
        <v>229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228</v>
      </c>
      <c r="O783" s="39"/>
    </row>
    <row r="784" spans="1:15" ht="18" customHeight="1">
      <c r="A784" s="102" t="s">
        <v>230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231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9" t="s">
        <v>227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228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9" t="s">
        <v>229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228</v>
      </c>
      <c r="O810" s="39"/>
    </row>
    <row r="811" spans="1:15" ht="18" customHeight="1">
      <c r="A811" s="102" t="s">
        <v>230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231</v>
      </c>
      <c r="O811" s="43">
        <f>IFERROR(O797+O810,"")</f>
        <v>0</v>
      </c>
    </row>
  </sheetData>
  <mergeCells count="89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449 E451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2878EAE7-5404-4D83-90A8-98DF7BC2EF45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2026-07-18T01:29:17Z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