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87" documentId="8_{AF585B22-221D-4780-BB9C-493D365A6A02}" xr6:coauthVersionLast="47" xr6:coauthVersionMax="47" xr10:uidLastSave="{B8012221-E763-40D1-8293-CE95754144F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<sst xmlns="http://schemas.openxmlformats.org/spreadsheetml/2006/main" count="4904" uniqueCount="290">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</sst>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7" sqref="F2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40</v>
      </c>
      <c r="G297" s="36">
        <f>SUM(G285:G296)</f>
        <v>200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356</v>
      </c>
      <c r="G298" s="40">
        <f>G284+G297</f>
        <v>1780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80" activePane="bottomLeft" state="frozen"/>
      <selection pane="bottomLeft" activeCell="F287" sqref="F2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45</v>
      </c>
      <c r="G297" s="36">
        <f>SUM(G285:G296)</f>
        <v>189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228</v>
      </c>
      <c r="G298" s="40">
        <f>G284+G297</f>
        <v>957.59999999999991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9" zoomScale="50" zoomScaleNormal="50" workbookViewId="0">
      <selection activeCell="F287" sqref="F2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 t="s">
        <v>20</v>
      </c>
      <c r="I289" s="33" t="s">
        <v>153</v>
      </c>
      <c r="J289" s="33" t="s">
        <v>74</v>
      </c>
      <c r="K289" s="29">
        <v>0.87013888888888891</v>
      </c>
      <c r="L289" s="29"/>
      <c r="M289" s="35">
        <f t="shared" ca="1" si="64"/>
        <v>5.4758101832703687E-3</v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5</v>
      </c>
      <c r="G297" s="36">
        <f>SUM(G285:G296)</f>
        <v>21</v>
      </c>
      <c r="H297" s="37"/>
      <c r="I297" s="37"/>
      <c r="J297" s="37"/>
      <c r="K297" s="37"/>
      <c r="L297" s="37"/>
      <c r="M297" s="38">
        <f ca="1">IFERROR(SUM(M285:M296),"")</f>
        <v>6.3114699072159275E-2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</v>
      </c>
      <c r="G298" s="40">
        <f>G284+G297</f>
        <v>327.59999999999997</v>
      </c>
      <c r="H298" s="41"/>
      <c r="I298" s="41"/>
      <c r="J298" s="41"/>
      <c r="K298" s="41"/>
      <c r="L298" s="41"/>
      <c r="M298" s="42">
        <f ca="1">IFERROR(M284+M297,"")</f>
        <v>0.1186702546277148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8" activePane="bottomLeft" state="frozen"/>
      <selection pane="bottomLeft" activeCell="F287" sqref="F28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269</v>
      </c>
      <c r="L58" s="29">
        <v>0.54097222222222219</v>
      </c>
      <c r="M58" s="30" t="str">
        <f t="shared" ca="1" si="13"/>
        <v/>
      </c>
      <c r="N58" s="27" t="s">
        <v>270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0.62630914351757383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0.82561469907312945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1.1929758101842405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57</v>
      </c>
      <c r="J285" s="33"/>
      <c r="K285" s="29">
        <v>0.79166666666666663</v>
      </c>
      <c r="L285" s="29">
        <v>0.87152777777777779</v>
      </c>
      <c r="M285" s="35">
        <f t="shared" ref="M285:M296" ca="1" si="64">IFERROR(IF(K285="","",IF(L285="",MOD(NOW()-K285,1),IF(L285&gt;=K285,L285-K285,L285+1-K285))),"")</f>
        <v>7.986111111111116E-2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</v>
      </c>
      <c r="G297" s="36">
        <f>SUM(G285:G296)</f>
        <v>4.2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188</v>
      </c>
      <c r="G298" s="40">
        <f>G284+G297</f>
        <v>789.60000000000014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2026-07-12T01:01:01Z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