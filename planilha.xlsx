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80" documentId="8_{AF585B22-221D-4780-BB9C-493D365A6A02}" xr6:coauthVersionLast="47" xr6:coauthVersionMax="47" xr10:uidLastSave="{8479CD82-8141-417A-850D-E9ED35E94E9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<sst xmlns="http://schemas.openxmlformats.org/spreadsheetml/2006/main" count="5499" uniqueCount="307">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</sst>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9" sqref="F3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18</v>
      </c>
      <c r="G338" s="36">
        <f>SUM(G326:G337)</f>
        <v>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18</v>
      </c>
      <c r="G352" s="40">
        <f>G338+G351</f>
        <v>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01" activePane="bottomLeft" state="frozen"/>
      <selection pane="bottomLeft" activeCell="K326" sqref="K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/>
      <c r="I326" s="26"/>
      <c r="J326" s="26"/>
      <c r="K326" s="29">
        <v>0.36458333333333331</v>
      </c>
      <c r="L326" s="29"/>
      <c r="M326" s="30">
        <f t="shared" ref="M326:M337" ca="1" si="73">IFERROR(IF(K326="","",IF(L326="",MOD(NOW()-K326,1),IF(L326&gt;=K326,L326-K326,L326+1-K326))),"")</f>
        <v>1.7751157356542535E-3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37"/>
      <c r="L338" s="37"/>
      <c r="M338" s="38">
        <f ca="1">IFERROR(SUM(M326:M337),"")</f>
        <v>1.7751157356542535E-3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41"/>
      <c r="L352" s="41"/>
      <c r="M352" s="42">
        <f ca="1">IFERROR(M338+M351,"")</f>
        <v>1.7751157356542535E-3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3" zoomScale="50" zoomScaleNormal="50" workbookViewId="0">
      <selection activeCell="L326" sqref="L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/>
      <c r="M326" s="30">
        <f t="shared" ref="M326:M337" ca="1" si="73">IFERROR(IF(K326="","",IF(L326="",MOD(NOW()-K326,1),IF(L326&gt;=K326,L326-K326,L326+1-K326))),"")</f>
        <v>1.5664004626160022E-2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1.5664004626160022E-2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1.5664004626160022E-2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7" sqref="F3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0.11705289351812098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0.31635844907367661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0.68371956018478763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>IF(F327="","",IF(#REF!="PC 17",F327*4.2,IF(#REF!="PC 19",F327*5,"")))</f>
        <v/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2026-07-13T12:47:34Z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