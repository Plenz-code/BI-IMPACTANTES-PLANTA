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745" documentId="8_{AF585B22-221D-4780-BB9C-493D365A6A02}" xr6:coauthVersionLast="47" xr6:coauthVersionMax="47" xr10:uidLastSave="{FBF024B7-F4AF-4788-9A3D-103D58C0CC7E}"/>
  <bookViews>
    <workbookView xWindow="-110" yWindow="-110" windowWidth="25820" windowHeight="15500" tabRatio="500" firstSheet="4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44" i="4" l="1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5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8" i="4"/>
  <c r="M57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O109" i="3"/>
  <c r="C7" i="1" s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<sst xmlns="http://schemas.openxmlformats.org/spreadsheetml/2006/main" count="2049" uniqueCount="223">
  <si>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</si>
  <si>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</si>
  <si>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</si>
  <si>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</si>
  <si>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</si>
  <si>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</si>
  <si>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</si>
  <si>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</si>
  <si>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</si>
  <si>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</si>
  <si>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</si>
  <si>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</si>
  <si>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</si>
  <si>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</si>
  <si>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</si>
  <si>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</si>
  <si>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</si>
  <si>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</si>
  <si>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</si>
  <si>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</si>
  <si>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</si>
  <si>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</si>
  <si>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</si>
  <si>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</si>
  <si>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</si>
  <si>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</si>
  <si>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</si>
  <si>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</si>
  <si>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</si>
  <si>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</si>
  <si>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</si>
  <si>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</si>
  <si>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</si>
  <si>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</si>
  <si>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</si>
  <si>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</si>
  <si>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</si>
  <si>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</si>
  <si>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</si>
  <si>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</si>
  <si>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</si>
  <si>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</si>
  <si>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</si>
  <si>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</si>
  <si>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</si>
  <si>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</si>
  <si>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</si>
  <si>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</si>
  <si>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</si>
  <si>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</si>
  <si>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</si>
  <si>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</si>
  <si>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</si>
  <si>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</si>
  <si>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</si>
  <si>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</si>
  <si>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</si>
  <si>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</si>
  <si>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</si>
  <si>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</si>
  <si>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</si>
  <si>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</si>
  <si>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</si>
  <si>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</si>
  <si>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</si>
  <si>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</si>
  <si>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</si>
  <si>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</si>
  <si>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</si>
  <si>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</si>
  <si>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</si>
  <si>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</si>
  <si>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</si>
  <si>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</si>
  <si>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</si>
  <si>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</si>
  <si>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</si>
  <si>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</si>
  <si>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</si>
  <si>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</si>
  <si>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</si>
  <si>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</si>
  <si>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</si>
  <si>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</si>
  <si>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</si>
  <si>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</si>
  <si>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</si>
  <si>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</si>
  <si>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</si>
  <si>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</si>
  <si>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</si>
  <si>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</si>
  <si>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</si>
  <si>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</si>
  <si>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</si>
  <si>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</si>
  <si>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</si>
  <si>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</si>
  <si>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</si>
  <si>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</si>
  <si>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</si>
  <si>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</si>
  <si>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</si>
  <si>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</si>
  <si>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</si>
  <si>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</si>
  <si>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</si>
  <si>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</si>
  <si>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</si>
  <si>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</si>
  <si>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</si>
  <si>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</si>
  <si>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</si>
  <si>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</si>
  <si>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</si>
  <si>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</si>
  <si>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</si>
  <si>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</si>
  <si>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</si>
  <si>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</si>
  <si>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</si>
  <si>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</si>
  <si>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</si>
  <si>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</si>
  <si>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</si>
  <si>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</si>
  <si>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</si>
  <si>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</si>
  <si>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</si>
  <si>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</si>
  <si>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</si>
  <si>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</si>
  <si>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</si>
  <si>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</si>
  <si>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</si>
  <si>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</si>
  <si>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</si>
  <si>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</si>
  <si>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</si>
  <si>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</si>
  <si>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</si>
  <si>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</si>
  <si>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</si>
  <si>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</si>
  <si>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</si>
  <si>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</si>
  <si>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</si>
  <si>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</si>
  <si>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</si>
  <si>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</si>
  <si>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</si>
  <si>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</si>
  <si>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</si>
  <si>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</si>
  <si>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</si>
  <si>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</si>
  <si>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</si>
  <si>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</si>
  <si>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</si>
  <si>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</si>
  <si>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</si>
  <si>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</si>
  <si>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</si>
  <si>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</si>
  <si>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</si>
  <si>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</si>
  <si>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</si>
  <si>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</si>
  <si>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</si>
  <si>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</si>
  <si>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</si>
  <si>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</si>
  <si>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</si>
  <si>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</si>
  <si>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</si>
  <si>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</si>
  <si>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reforço de solda nas orelhas dos martelos</t>
  </si>
  <si>
    <t>TC3 travada</t>
  </si>
  <si>
    <t>ℹ  Cada coluna corresponde a um Tipo de Parada. Adicione descrições nas linhas vazias de cada coluna.</t>
  </si>
  <si>
    <t>anel de vedaçao encostando na trampa</t>
  </si>
  <si>
    <t>solda na luva do moinho</t>
  </si>
  <si>
    <t>Acoplamento solto</t>
  </si>
  <si>
    <t>Parafuso do acoplamento solto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</si>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</sst>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2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2"/>
      <color rgb="FF1B3A6B"/>
      <name val="Arial"/>
      <family val="2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4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3" fontId="21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J17" sqref="J17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88" t="s">
        <v>0</v>
      </c>
      <c r="B1" s="88"/>
      <c r="C1" s="88"/>
      <c r="D1" s="88"/>
      <c r="E1" s="88"/>
      <c r="F1" s="88"/>
      <c r="G1" s="88"/>
    </row>
    <row r="2" spans="1:7" ht="24.75" customHeight="1">
      <c r="A2" s="89"/>
      <c r="B2" s="89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1953130</v>
      </c>
      <c r="D6" s="8">
        <f>IFERROR('Linha 1'!O82,"")</f>
        <v>0</v>
      </c>
      <c r="E6" s="8">
        <f>IFERROR('Linha 2'!O82,"")</f>
        <v>441440</v>
      </c>
      <c r="F6" s="8">
        <f>IFERROR('Linha 3'!O82,"")</f>
        <v>763370</v>
      </c>
      <c r="G6" s="9">
        <f t="shared" si="0"/>
        <v>1204810</v>
      </c>
    </row>
    <row r="7" spans="1:7" ht="15.75" customHeight="1">
      <c r="A7" s="10">
        <v>4</v>
      </c>
      <c r="B7" s="74">
        <v>46207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3">
        <v>46208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0" t="s">
        <v>9</v>
      </c>
      <c r="B35" s="90"/>
      <c r="C35" s="13">
        <f>IFERROR(SUM(C4:C34),"")</f>
        <v>5693520</v>
      </c>
      <c r="D35" s="13">
        <f>IFERROR(SUM(D4:D34),"")</f>
        <v>1648560</v>
      </c>
      <c r="E35" s="13">
        <f>IFERROR(SUM(E4:E34),"")</f>
        <v>1372350</v>
      </c>
      <c r="F35" s="13">
        <f>IFERROR(SUM(F4:F34),"")</f>
        <v>2071570</v>
      </c>
      <c r="G35" s="13">
        <f>IFERROR(SUM(G4:G34),"")</f>
        <v>5092480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33" zoomScale="85" zoomScaleNormal="85" workbookViewId="0">
      <selection activeCell="M47" sqref="M4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1" t="s">
        <v>10</v>
      </c>
      <c r="B1" s="91"/>
      <c r="C1" s="91"/>
      <c r="D1" s="91"/>
      <c r="E1" s="91"/>
      <c r="F1" s="91"/>
      <c r="G1" s="91"/>
      <c r="H1" s="92"/>
      <c r="I1" s="93" t="s">
        <v>11</v>
      </c>
      <c r="J1" s="93"/>
      <c r="K1" s="93"/>
      <c r="L1" s="93"/>
      <c r="M1" s="93"/>
    </row>
    <row r="2" spans="1:13" ht="4.5" customHeight="1">
      <c r="H2" s="92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2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2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2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2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2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2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2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2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2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2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2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2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2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2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2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2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2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2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2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2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2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2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2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2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2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2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2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2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2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2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2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2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2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2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2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2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2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2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2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2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2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2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2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2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2"/>
      <c r="I47" s="17"/>
      <c r="J47" s="17"/>
      <c r="K47" s="17" t="s">
        <v>175</v>
      </c>
      <c r="L47" s="17"/>
      <c r="M47" s="17"/>
    </row>
    <row r="48" spans="1:13" ht="15.75" customHeight="1">
      <c r="A48" s="16"/>
      <c r="C48" s="16"/>
      <c r="E48" s="16"/>
      <c r="G48" s="16"/>
      <c r="H48" s="92"/>
      <c r="I48" s="16"/>
      <c r="J48" s="16"/>
      <c r="K48" s="16" t="s">
        <v>176</v>
      </c>
      <c r="L48" s="16"/>
      <c r="M48" s="16"/>
    </row>
    <row r="49" spans="1:13" ht="18" customHeight="1">
      <c r="H49" s="92"/>
      <c r="I49" s="17"/>
      <c r="J49" s="17"/>
      <c r="K49" s="17" t="s">
        <v>177</v>
      </c>
      <c r="L49" s="17"/>
      <c r="M49" s="17"/>
    </row>
    <row r="50" spans="1:13" ht="21" customHeight="1">
      <c r="A50" s="19" t="s">
        <v>178</v>
      </c>
      <c r="B50" s="19"/>
      <c r="C50" s="19"/>
      <c r="D50" s="19"/>
      <c r="E50" s="19"/>
      <c r="F50" s="19"/>
      <c r="G50" s="19"/>
      <c r="H50" s="92"/>
      <c r="I50" s="16"/>
      <c r="J50" s="16"/>
      <c r="K50" s="16" t="s">
        <v>179</v>
      </c>
      <c r="L50" s="16"/>
      <c r="M50" s="16"/>
    </row>
    <row r="51" spans="1:13" ht="24" customHeight="1">
      <c r="H51" s="92"/>
      <c r="I51" s="17"/>
      <c r="J51" s="17"/>
      <c r="K51" s="17" t="s">
        <v>180</v>
      </c>
      <c r="L51" s="17"/>
      <c r="M51" s="17"/>
    </row>
    <row r="52" spans="1:13" ht="24" customHeight="1">
      <c r="H52" s="92"/>
      <c r="I52" s="16"/>
      <c r="J52" s="16"/>
      <c r="K52" s="16" t="s">
        <v>181</v>
      </c>
      <c r="L52" s="16"/>
      <c r="M52" s="16"/>
    </row>
    <row r="53" spans="1:13" ht="36" customHeight="1">
      <c r="H53" s="92"/>
      <c r="I53" s="17"/>
      <c r="J53" s="17"/>
      <c r="K53" s="17" t="s">
        <v>182</v>
      </c>
      <c r="L53" s="17"/>
      <c r="M53" s="17"/>
    </row>
    <row r="54" spans="1:13" ht="15" customHeight="1">
      <c r="H54" s="92"/>
      <c r="I54" s="16"/>
      <c r="J54" s="16"/>
      <c r="K54" s="16"/>
      <c r="L54" s="16"/>
      <c r="M54" s="16"/>
    </row>
    <row r="55" spans="1:13" ht="15" customHeight="1">
      <c r="H55" s="92"/>
      <c r="I55" s="17"/>
      <c r="J55" s="17"/>
      <c r="K55" s="17"/>
      <c r="L55" s="17"/>
      <c r="M55" s="17"/>
    </row>
    <row r="56" spans="1:13" ht="15" customHeight="1">
      <c r="H56" s="92"/>
      <c r="I56" s="16"/>
      <c r="J56" s="16"/>
      <c r="K56" s="16"/>
      <c r="L56" s="16"/>
      <c r="M56" s="16"/>
    </row>
    <row r="57" spans="1:13" ht="15" customHeight="1">
      <c r="H57" s="92"/>
      <c r="I57" s="17"/>
      <c r="J57" s="17"/>
      <c r="K57" s="17"/>
      <c r="L57" s="17"/>
      <c r="M57" s="17"/>
    </row>
    <row r="58" spans="1:13" ht="15" customHeight="1">
      <c r="H58" s="92"/>
      <c r="I58" s="16"/>
      <c r="J58" s="16"/>
      <c r="K58" s="16"/>
      <c r="L58" s="16"/>
      <c r="M58" s="16"/>
    </row>
    <row r="59" spans="1:13" ht="15" customHeight="1">
      <c r="H59" s="92"/>
      <c r="I59" s="17"/>
      <c r="J59" s="17"/>
      <c r="K59" s="17"/>
      <c r="L59" s="17"/>
      <c r="M59" s="17"/>
    </row>
    <row r="60" spans="1:13" ht="15" customHeight="1">
      <c r="H60" s="92"/>
      <c r="I60" s="16"/>
      <c r="J60" s="16"/>
      <c r="K60" s="16"/>
      <c r="L60" s="16"/>
      <c r="M60" s="16"/>
    </row>
    <row r="61" spans="1:13" ht="15" customHeight="1">
      <c r="H61" s="92"/>
      <c r="I61" s="17"/>
      <c r="J61" s="17"/>
      <c r="K61" s="17"/>
      <c r="L61" s="17"/>
      <c r="M61" s="17"/>
    </row>
    <row r="62" spans="1:13" ht="15" customHeight="1">
      <c r="H62" s="92"/>
      <c r="I62" s="16"/>
      <c r="J62" s="16"/>
      <c r="K62" s="16"/>
      <c r="L62" s="16"/>
      <c r="M62" s="16"/>
    </row>
    <row r="63" spans="1:13" ht="15" customHeight="1">
      <c r="H63" s="92"/>
      <c r="I63" s="17"/>
      <c r="J63" s="17"/>
      <c r="K63" s="17"/>
      <c r="L63" s="17"/>
      <c r="M63" s="17"/>
    </row>
    <row r="64" spans="1:13" ht="15" customHeight="1">
      <c r="H64" s="92"/>
      <c r="I64" s="16"/>
      <c r="J64" s="16"/>
      <c r="K64" s="16"/>
      <c r="L64" s="16"/>
      <c r="M64" s="16"/>
    </row>
    <row r="65" spans="8:13" ht="15" customHeight="1">
      <c r="H65" s="92"/>
      <c r="I65" s="17"/>
      <c r="J65" s="17"/>
      <c r="K65" s="17"/>
      <c r="L65" s="17"/>
      <c r="M65" s="17"/>
    </row>
    <row r="66" spans="8:13" ht="15" customHeight="1">
      <c r="H66" s="92"/>
      <c r="I66" s="16"/>
      <c r="J66" s="16"/>
      <c r="K66" s="16"/>
      <c r="L66" s="16"/>
      <c r="M66" s="16"/>
    </row>
    <row r="67" spans="8:13" ht="15" customHeight="1">
      <c r="H67" s="92"/>
      <c r="I67" s="17"/>
      <c r="J67" s="17"/>
      <c r="K67" s="17"/>
      <c r="L67" s="17"/>
      <c r="M67" s="17"/>
    </row>
    <row r="68" spans="8:13" ht="15" customHeight="1">
      <c r="H68" s="92"/>
      <c r="I68" s="16"/>
      <c r="J68" s="16"/>
      <c r="K68" s="16"/>
      <c r="L68" s="16"/>
      <c r="M68" s="16"/>
    </row>
    <row r="69" spans="8:13" ht="15" customHeight="1">
      <c r="H69" s="92"/>
      <c r="I69" s="17"/>
      <c r="J69" s="17"/>
      <c r="K69" s="17"/>
      <c r="L69" s="17"/>
      <c r="M69" s="17"/>
    </row>
    <row r="70" spans="8:13" ht="15" customHeight="1">
      <c r="H70" s="92"/>
      <c r="I70" s="16"/>
      <c r="J70" s="16"/>
      <c r="K70" s="16"/>
      <c r="L70" s="16"/>
      <c r="M70" s="16"/>
    </row>
    <row r="71" spans="8:13" ht="15" customHeight="1">
      <c r="H71" s="92"/>
      <c r="I71" s="17"/>
      <c r="J71" s="17"/>
      <c r="K71" s="17"/>
      <c r="L71" s="17"/>
      <c r="M71" s="17"/>
    </row>
    <row r="72" spans="8:13" ht="15" customHeight="1">
      <c r="H72" s="92"/>
      <c r="I72" s="16"/>
      <c r="J72" s="16"/>
      <c r="K72" s="16"/>
      <c r="L72" s="16"/>
      <c r="M72" s="16"/>
    </row>
    <row r="73" spans="8:13" ht="15" customHeight="1">
      <c r="H73" s="92"/>
      <c r="I73" s="17"/>
      <c r="J73" s="17"/>
      <c r="K73" s="17"/>
      <c r="L73" s="17"/>
      <c r="M73" s="17"/>
    </row>
    <row r="74" spans="8:13" ht="15" customHeight="1">
      <c r="H74" s="92"/>
      <c r="I74" s="16"/>
      <c r="J74" s="16"/>
      <c r="K74" s="16"/>
      <c r="L74" s="16"/>
      <c r="M74" s="16"/>
    </row>
    <row r="75" spans="8:13" ht="15" customHeight="1">
      <c r="H75" s="92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60" activePane="bottomLeft" state="frozen"/>
      <selection pane="bottomLeft" activeCell="F80" sqref="F80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193</v>
      </c>
      <c r="E2" s="59" t="s">
        <v>194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195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194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194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194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194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194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194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194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194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194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194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194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197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194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194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194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194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194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194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194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194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194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194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194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194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197</v>
      </c>
      <c r="O27" s="39">
        <v>1183060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200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194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194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201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194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194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194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194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194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194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194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194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194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194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197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194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194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194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194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194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194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194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194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194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194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194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194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197</v>
      </c>
      <c r="O54" s="39">
        <v>959290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200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194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194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194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194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194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194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194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194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194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194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194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194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197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194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194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202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194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194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194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194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194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194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194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194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194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194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200</v>
      </c>
      <c r="O82" s="43">
        <f>IFERROR(O68+O81,"")</f>
        <v>1953130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4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9:E811 E2:E13 E15:E26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65" activePane="bottomLeft" state="frozen"/>
      <selection pane="bottomLeft" activeCell="L70" sqref="L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197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197</v>
      </c>
      <c r="O27" s="78">
        <v>393200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200</v>
      </c>
      <c r="O28" s="4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1">
        <f t="shared" ref="M29:M40" ca="1" si="7">IFERROR(IF(K29="","",IF(L29="",MOD(NOW()-K29,1),IF(L29&gt;=K29,L29-K29,L29+1-K29))),"")</f>
        <v>7.1527777777777746E-2</v>
      </c>
      <c r="N29" s="46" t="s">
        <v>204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197</v>
      </c>
      <c r="O41" s="80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203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205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203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203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203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203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203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203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203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203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203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80">
        <v>276360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200</v>
      </c>
      <c r="O55" s="4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/>
      <c r="J56" s="26" t="s">
        <v>96</v>
      </c>
      <c r="K56" s="29">
        <v>0.29166666666666669</v>
      </c>
      <c r="L56" s="29">
        <v>0.41111111111111109</v>
      </c>
      <c r="M56" s="35">
        <f t="shared" ref="M56:M67" ca="1" si="13">IFERROR(IF(K56="","",IF(L56="",MOD(NOW()-K56,1),IF(L56&gt;=K56,L56-K56,L56+1-K56))),"")</f>
        <v>0.11944444444444441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 t="s">
        <v>17</v>
      </c>
      <c r="I57" s="33" t="s">
        <v>110</v>
      </c>
      <c r="J57" s="33"/>
      <c r="K57" s="29">
        <v>0.43194444444444446</v>
      </c>
      <c r="L57" s="29">
        <v>0.44097222222222221</v>
      </c>
      <c r="M57" s="30">
        <f t="shared" ca="1" si="13"/>
        <v>9.0277777777777457E-3</v>
      </c>
      <c r="N57" s="46" t="s">
        <v>206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 t="s">
        <v>18</v>
      </c>
      <c r="I58" s="26"/>
      <c r="J58" s="26"/>
      <c r="K58" s="29">
        <v>0.44722222222222224</v>
      </c>
      <c r="L58" s="29">
        <v>0.75624999999999998</v>
      </c>
      <c r="M58" s="35">
        <f t="shared" ca="1" si="13"/>
        <v>0.30902777777777773</v>
      </c>
      <c r="N58" s="46" t="s">
        <v>207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0.43749999999999989</v>
      </c>
      <c r="N68" s="36" t="s">
        <v>197</v>
      </c>
      <c r="O68" s="54"/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/>
      <c r="M70" s="35">
        <f t="shared" ca="1" si="16"/>
        <v>1.1639699070656206E-2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177</v>
      </c>
      <c r="G81" s="36">
        <f>SUM(G69:G80)</f>
        <v>743.4</v>
      </c>
      <c r="H81" s="37"/>
      <c r="I81" s="37"/>
      <c r="J81" s="37"/>
      <c r="K81" s="37"/>
      <c r="L81" s="37"/>
      <c r="M81" s="38">
        <f ca="1">IFERROR(SUM(M69:M80),"")</f>
        <v>2.0667476848433952E-2</v>
      </c>
      <c r="N81" s="36" t="s">
        <v>197</v>
      </c>
      <c r="O81" s="54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177</v>
      </c>
      <c r="G82" s="40">
        <f>G68+G81</f>
        <v>743.4</v>
      </c>
      <c r="H82" s="41"/>
      <c r="I82" s="41"/>
      <c r="J82" s="41"/>
      <c r="K82" s="41"/>
      <c r="L82" s="41"/>
      <c r="M82" s="42">
        <f ca="1">IFERROR(M68+M81,"")</f>
        <v>0.45816747684843384</v>
      </c>
      <c r="N82" s="40" t="s">
        <v>200</v>
      </c>
      <c r="O82" s="43">
        <f>IFERROR(O68+O81,"")</f>
        <v>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54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54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54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4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54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54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45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00:E500"/>
    <mergeCell ref="A513:E513"/>
    <mergeCell ref="A514:E514"/>
    <mergeCell ref="A527:E527"/>
    <mergeCell ref="A540:E540"/>
    <mergeCell ref="A459:E459"/>
    <mergeCell ref="A460:E460"/>
    <mergeCell ref="A473:E473"/>
    <mergeCell ref="A486:E486"/>
    <mergeCell ref="A487:E487"/>
    <mergeCell ref="A406:E406"/>
    <mergeCell ref="A419:E419"/>
    <mergeCell ref="A432:E432"/>
    <mergeCell ref="A433:E433"/>
    <mergeCell ref="A446:E446"/>
    <mergeCell ref="A365:E365"/>
    <mergeCell ref="A378:E378"/>
    <mergeCell ref="A379:E379"/>
    <mergeCell ref="A392:E392"/>
    <mergeCell ref="A405:E405"/>
    <mergeCell ref="A324:E324"/>
    <mergeCell ref="A325:E325"/>
    <mergeCell ref="A338:E338"/>
    <mergeCell ref="A351:E351"/>
    <mergeCell ref="A352:E352"/>
    <mergeCell ref="A271:E271"/>
    <mergeCell ref="A284:E284"/>
    <mergeCell ref="A297:E297"/>
    <mergeCell ref="A298:E298"/>
    <mergeCell ref="A311:E311"/>
    <mergeCell ref="A230:E230"/>
    <mergeCell ref="A243:E243"/>
    <mergeCell ref="A244:E244"/>
    <mergeCell ref="A257:E257"/>
    <mergeCell ref="A270:E270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63" activePane="bottomLeft" state="frozen"/>
      <selection pane="bottomLeft" activeCell="J70" sqref="J7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0" style="20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208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209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197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203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203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203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203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203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203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203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203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203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197</v>
      </c>
      <c r="O27" s="39">
        <v>308500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200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210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203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203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203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197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203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203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203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203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203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203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203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203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203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203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203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203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197</v>
      </c>
      <c r="O54" s="39">
        <v>124290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200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211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203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203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203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203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203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203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203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203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197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212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157</v>
      </c>
      <c r="K70" s="29">
        <v>0.24444444444444444</v>
      </c>
      <c r="L70" s="29"/>
      <c r="M70" s="30">
        <f t="shared" ca="1" si="16"/>
        <v>1.7195254629768897E-2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203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3.6639699074213383E-2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0.10886192129643552</v>
      </c>
      <c r="N82" s="40" t="s">
        <v>200</v>
      </c>
      <c r="O82" s="43">
        <f>IFERROR(O68+O81,"")</f>
        <v>441440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200</v>
      </c>
      <c r="O109" s="43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200</v>
      </c>
      <c r="O136" s="43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197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197</v>
      </c>
      <c r="O216" s="39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197</v>
      </c>
      <c r="O432" s="39"/>
    </row>
    <row r="433" spans="1:15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197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Q811"/>
  <sheetViews>
    <sheetView showGridLines="0" zoomScale="50" zoomScaleNormal="50" workbookViewId="0">
      <pane ySplit="1" topLeftCell="C65" activePane="bottomLeft" state="frozen"/>
      <selection pane="bottomLeft" activeCell="N76" sqref="N76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2.140625" style="57" customWidth="1"/>
    <col min="15" max="15" width="14" customWidth="1"/>
  </cols>
  <sheetData>
    <row r="1" spans="1:15" ht="37.5" customHeight="1">
      <c r="A1" s="68" t="s">
        <v>7</v>
      </c>
      <c r="B1" s="23" t="s">
        <v>183</v>
      </c>
      <c r="C1" s="23" t="s">
        <v>12</v>
      </c>
      <c r="D1" s="22" t="s">
        <v>13</v>
      </c>
      <c r="E1" s="22" t="s">
        <v>184</v>
      </c>
      <c r="F1" s="23" t="s">
        <v>185</v>
      </c>
      <c r="G1" s="23" t="s">
        <v>186</v>
      </c>
      <c r="H1" s="23" t="s">
        <v>14</v>
      </c>
      <c r="I1" s="23" t="s">
        <v>15</v>
      </c>
      <c r="J1" s="23" t="s">
        <v>187</v>
      </c>
      <c r="K1" s="23" t="s">
        <v>188</v>
      </c>
      <c r="L1" s="23" t="s">
        <v>189</v>
      </c>
      <c r="M1" s="24" t="s">
        <v>190</v>
      </c>
      <c r="N1" s="23" t="s">
        <v>191</v>
      </c>
      <c r="O1" s="23" t="s">
        <v>192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203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213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203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212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203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179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203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203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203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203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203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203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203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203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203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2" t="s">
        <v>196</v>
      </c>
      <c r="B14" s="83"/>
      <c r="C14" s="83"/>
      <c r="D14" s="83"/>
      <c r="E14" s="84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197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214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2" t="s">
        <v>198</v>
      </c>
      <c r="B27" s="83"/>
      <c r="C27" s="83"/>
      <c r="D27" s="83"/>
      <c r="E27" s="84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197</v>
      </c>
      <c r="O27" s="39">
        <v>202230</v>
      </c>
    </row>
    <row r="28" spans="1:15" ht="18" customHeight="1">
      <c r="A28" s="85" t="s">
        <v>199</v>
      </c>
      <c r="B28" s="86"/>
      <c r="C28" s="86"/>
      <c r="D28" s="86"/>
      <c r="E28" s="87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200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181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215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216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2" t="s">
        <v>196</v>
      </c>
      <c r="B41" s="83"/>
      <c r="C41" s="83"/>
      <c r="D41" s="83"/>
      <c r="E41" s="84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197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2" t="s">
        <v>198</v>
      </c>
      <c r="B54" s="83"/>
      <c r="C54" s="83"/>
      <c r="D54" s="83"/>
      <c r="E54" s="84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197</v>
      </c>
      <c r="O54" s="39">
        <v>473910</v>
      </c>
    </row>
    <row r="55" spans="1:15" ht="18" customHeight="1">
      <c r="A55" s="85" t="s">
        <v>199</v>
      </c>
      <c r="B55" s="86"/>
      <c r="C55" s="86"/>
      <c r="D55" s="86"/>
      <c r="E55" s="87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200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217</v>
      </c>
      <c r="L58" s="29">
        <v>0.54097222222222219</v>
      </c>
      <c r="M58" s="30" t="str">
        <f t="shared" ca="1" si="13"/>
        <v/>
      </c>
      <c r="N58" s="27" t="s">
        <v>218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2" t="s">
        <v>196</v>
      </c>
      <c r="B68" s="83"/>
      <c r="C68" s="83"/>
      <c r="D68" s="83"/>
      <c r="E68" s="84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197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208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182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219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220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221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222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203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203</v>
      </c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2" t="s">
        <v>198</v>
      </c>
      <c r="B81" s="83"/>
      <c r="C81" s="83"/>
      <c r="D81" s="83"/>
      <c r="E81" s="84">
        <f>SUM(E69:E80)</f>
        <v>0</v>
      </c>
      <c r="F81" s="36">
        <f>SUM(F69:F80)</f>
        <v>127</v>
      </c>
      <c r="G81" s="36">
        <f>SUM(G69:G80)</f>
        <v>533.4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197</v>
      </c>
      <c r="O81" s="39"/>
    </row>
    <row r="82" spans="1:15" ht="18" customHeight="1">
      <c r="A82" s="85" t="s">
        <v>199</v>
      </c>
      <c r="B82" s="86"/>
      <c r="C82" s="86"/>
      <c r="D82" s="86"/>
      <c r="E82" s="87">
        <f>E68+E81</f>
        <v>0</v>
      </c>
      <c r="F82" s="40">
        <f>F68+F81</f>
        <v>322</v>
      </c>
      <c r="G82" s="40">
        <f>G68+G81</f>
        <v>1352.4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200</v>
      </c>
      <c r="O82" s="48">
        <f>IFERROR(O68+O81,"")</f>
        <v>763370</v>
      </c>
    </row>
    <row r="83" spans="1:15" ht="15" customHeight="1">
      <c r="A83" s="69">
        <v>46207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19",F83*5,"")))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2" t="s">
        <v>196</v>
      </c>
      <c r="B95" s="83"/>
      <c r="C95" s="83"/>
      <c r="D95" s="83"/>
      <c r="E95" s="84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197</v>
      </c>
      <c r="O95" s="39"/>
    </row>
    <row r="96" spans="1:15" ht="15" customHeight="1">
      <c r="A96" s="70">
        <v>46207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2" t="s">
        <v>198</v>
      </c>
      <c r="B108" s="83"/>
      <c r="C108" s="83"/>
      <c r="D108" s="83"/>
      <c r="E108" s="84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197</v>
      </c>
      <c r="O108" s="39"/>
    </row>
    <row r="109" spans="1:15" ht="18" customHeight="1">
      <c r="A109" s="85" t="s">
        <v>199</v>
      </c>
      <c r="B109" s="86"/>
      <c r="C109" s="86"/>
      <c r="D109" s="86"/>
      <c r="E109" s="87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200</v>
      </c>
      <c r="O109" s="48">
        <f>IFERROR(O95+O108,"")</f>
        <v>0</v>
      </c>
    </row>
    <row r="110" spans="1:15" ht="15" customHeight="1">
      <c r="A110" s="69">
        <v>46208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19",F110*5,"")))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2" t="s">
        <v>196</v>
      </c>
      <c r="B122" s="83"/>
      <c r="C122" s="83"/>
      <c r="D122" s="83"/>
      <c r="E122" s="84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197</v>
      </c>
      <c r="O122" s="39"/>
    </row>
    <row r="123" spans="1:15" ht="15" customHeight="1">
      <c r="A123" s="70">
        <v>46208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19",F123*5,"")))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5" ht="15" customHeight="1">
      <c r="A129" s="70">
        <v>46208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5" ht="15" customHeight="1">
      <c r="A130" s="69">
        <v>46208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5" ht="15" customHeight="1">
      <c r="A131" s="70">
        <v>46208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5" ht="15" customHeight="1">
      <c r="A132" s="69">
        <v>46208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5" ht="15" customHeight="1">
      <c r="A133" s="70">
        <v>46208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5" ht="15" customHeight="1">
      <c r="A134" s="69">
        <v>46208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5" ht="15.75" customHeight="1">
      <c r="A135" s="82" t="s">
        <v>198</v>
      </c>
      <c r="B135" s="83"/>
      <c r="C135" s="83"/>
      <c r="D135" s="83"/>
      <c r="E135" s="84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197</v>
      </c>
      <c r="O135" s="39"/>
    </row>
    <row r="136" spans="1:15" ht="18" customHeight="1">
      <c r="A136" s="85" t="s">
        <v>199</v>
      </c>
      <c r="B136" s="86"/>
      <c r="C136" s="86"/>
      <c r="D136" s="86"/>
      <c r="E136" s="87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200</v>
      </c>
      <c r="O136" s="48">
        <f>IFERROR(O122+O135,"")</f>
        <v>0</v>
      </c>
    </row>
    <row r="137" spans="1:15" ht="15" customHeight="1">
      <c r="A137" s="70">
        <v>46209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19",F137*5,"")))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2" t="s">
        <v>196</v>
      </c>
      <c r="B149" s="83"/>
      <c r="C149" s="83"/>
      <c r="D149" s="83"/>
      <c r="E149" s="84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197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2" t="s">
        <v>198</v>
      </c>
      <c r="B162" s="83"/>
      <c r="C162" s="83"/>
      <c r="D162" s="83"/>
      <c r="E162" s="84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197</v>
      </c>
      <c r="O162" s="39"/>
    </row>
    <row r="163" spans="1:15" ht="18" customHeight="1">
      <c r="A163" s="85" t="s">
        <v>199</v>
      </c>
      <c r="B163" s="86"/>
      <c r="C163" s="86"/>
      <c r="D163" s="86"/>
      <c r="E163" s="87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200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2" t="s">
        <v>196</v>
      </c>
      <c r="B176" s="83"/>
      <c r="C176" s="83"/>
      <c r="D176" s="83"/>
      <c r="E176" s="84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197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2" t="s">
        <v>198</v>
      </c>
      <c r="B189" s="83"/>
      <c r="C189" s="83"/>
      <c r="D189" s="83"/>
      <c r="E189" s="84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197</v>
      </c>
      <c r="O189" s="39"/>
    </row>
    <row r="190" spans="1:15" ht="18" customHeight="1">
      <c r="A190" s="85" t="s">
        <v>199</v>
      </c>
      <c r="B190" s="86"/>
      <c r="C190" s="86"/>
      <c r="D190" s="86"/>
      <c r="E190" s="87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200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2" t="s">
        <v>196</v>
      </c>
      <c r="B203" s="83"/>
      <c r="C203" s="83"/>
      <c r="D203" s="83"/>
      <c r="E203" s="84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197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2" t="s">
        <v>198</v>
      </c>
      <c r="B216" s="83"/>
      <c r="C216" s="83"/>
      <c r="D216" s="83"/>
      <c r="E216" s="84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197</v>
      </c>
      <c r="O216" s="45"/>
    </row>
    <row r="217" spans="1:15" ht="18" customHeight="1">
      <c r="A217" s="85" t="s">
        <v>199</v>
      </c>
      <c r="B217" s="86"/>
      <c r="C217" s="86"/>
      <c r="D217" s="86"/>
      <c r="E217" s="87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200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2" t="s">
        <v>196</v>
      </c>
      <c r="B230" s="83"/>
      <c r="C230" s="83"/>
      <c r="D230" s="83"/>
      <c r="E230" s="84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197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2" t="s">
        <v>198</v>
      </c>
      <c r="B243" s="83"/>
      <c r="C243" s="83"/>
      <c r="D243" s="83"/>
      <c r="E243" s="84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197</v>
      </c>
      <c r="O243" s="39"/>
    </row>
    <row r="244" spans="1:15" ht="18" customHeight="1">
      <c r="A244" s="85" t="s">
        <v>199</v>
      </c>
      <c r="B244" s="86"/>
      <c r="C244" s="86"/>
      <c r="D244" s="86"/>
      <c r="E244" s="87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200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2" t="s">
        <v>196</v>
      </c>
      <c r="B257" s="83"/>
      <c r="C257" s="83"/>
      <c r="D257" s="83"/>
      <c r="E257" s="84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197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2" t="s">
        <v>198</v>
      </c>
      <c r="B270" s="83"/>
      <c r="C270" s="83"/>
      <c r="D270" s="83"/>
      <c r="E270" s="84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197</v>
      </c>
      <c r="O270" s="39"/>
    </row>
    <row r="271" spans="1:15" ht="18" customHeight="1">
      <c r="A271" s="85" t="s">
        <v>199</v>
      </c>
      <c r="B271" s="86"/>
      <c r="C271" s="86"/>
      <c r="D271" s="86"/>
      <c r="E271" s="87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200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2" t="s">
        <v>196</v>
      </c>
      <c r="B284" s="83"/>
      <c r="C284" s="83"/>
      <c r="D284" s="83"/>
      <c r="E284" s="84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197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2" t="s">
        <v>198</v>
      </c>
      <c r="B297" s="83"/>
      <c r="C297" s="83"/>
      <c r="D297" s="83"/>
      <c r="E297" s="84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197</v>
      </c>
      <c r="O297" s="39"/>
    </row>
    <row r="298" spans="1:15" ht="18" customHeight="1">
      <c r="A298" s="85" t="s">
        <v>199</v>
      </c>
      <c r="B298" s="86"/>
      <c r="C298" s="86"/>
      <c r="D298" s="86"/>
      <c r="E298" s="87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200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2" t="s">
        <v>196</v>
      </c>
      <c r="B311" s="83"/>
      <c r="C311" s="83"/>
      <c r="D311" s="83"/>
      <c r="E311" s="84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197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2" t="s">
        <v>198</v>
      </c>
      <c r="B324" s="83"/>
      <c r="C324" s="83"/>
      <c r="D324" s="83"/>
      <c r="E324" s="84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197</v>
      </c>
      <c r="O324" s="39"/>
    </row>
    <row r="325" spans="1:15" ht="18" customHeight="1">
      <c r="A325" s="85" t="s">
        <v>199</v>
      </c>
      <c r="B325" s="86"/>
      <c r="C325" s="86"/>
      <c r="D325" s="86"/>
      <c r="E325" s="87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200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2" t="s">
        <v>196</v>
      </c>
      <c r="B338" s="83"/>
      <c r="C338" s="83"/>
      <c r="D338" s="83"/>
      <c r="E338" s="84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197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2" t="s">
        <v>198</v>
      </c>
      <c r="B351" s="83"/>
      <c r="C351" s="83"/>
      <c r="D351" s="83"/>
      <c r="E351" s="84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197</v>
      </c>
      <c r="O351" s="39"/>
    </row>
    <row r="352" spans="1:15" ht="18" customHeight="1">
      <c r="A352" s="85" t="s">
        <v>199</v>
      </c>
      <c r="B352" s="86"/>
      <c r="C352" s="86"/>
      <c r="D352" s="86"/>
      <c r="E352" s="87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200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2" t="s">
        <v>196</v>
      </c>
      <c r="B365" s="83"/>
      <c r="C365" s="83"/>
      <c r="D365" s="83"/>
      <c r="E365" s="84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197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2" t="s">
        <v>198</v>
      </c>
      <c r="B378" s="83"/>
      <c r="C378" s="83"/>
      <c r="D378" s="83"/>
      <c r="E378" s="84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197</v>
      </c>
      <c r="O378" s="39"/>
    </row>
    <row r="379" spans="1:15" ht="18" customHeight="1">
      <c r="A379" s="85" t="s">
        <v>199</v>
      </c>
      <c r="B379" s="86"/>
      <c r="C379" s="86"/>
      <c r="D379" s="86"/>
      <c r="E379" s="87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200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2" t="s">
        <v>196</v>
      </c>
      <c r="B392" s="83"/>
      <c r="C392" s="83"/>
      <c r="D392" s="83"/>
      <c r="E392" s="84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197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2" t="s">
        <v>198</v>
      </c>
      <c r="B405" s="83"/>
      <c r="C405" s="83"/>
      <c r="D405" s="83"/>
      <c r="E405" s="84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197</v>
      </c>
      <c r="O405" s="39"/>
    </row>
    <row r="406" spans="1:15" ht="18" customHeight="1">
      <c r="A406" s="85" t="s">
        <v>199</v>
      </c>
      <c r="B406" s="86"/>
      <c r="C406" s="86"/>
      <c r="D406" s="86"/>
      <c r="E406" s="87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200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2" t="s">
        <v>196</v>
      </c>
      <c r="B419" s="83"/>
      <c r="C419" s="83"/>
      <c r="D419" s="83"/>
      <c r="E419" s="84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197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2" t="s">
        <v>198</v>
      </c>
      <c r="B432" s="83"/>
      <c r="C432" s="83"/>
      <c r="D432" s="83"/>
      <c r="E432" s="84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197</v>
      </c>
      <c r="O432" s="39"/>
    </row>
    <row r="433" spans="1:17" ht="18" customHeight="1">
      <c r="A433" s="85" t="s">
        <v>199</v>
      </c>
      <c r="B433" s="86"/>
      <c r="C433" s="86"/>
      <c r="D433" s="86"/>
      <c r="E433" s="87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200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2" t="s">
        <v>196</v>
      </c>
      <c r="B446" s="83"/>
      <c r="C446" s="83"/>
      <c r="D446" s="83"/>
      <c r="E446" s="84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197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2" t="s">
        <v>198</v>
      </c>
      <c r="B459" s="83"/>
      <c r="C459" s="83"/>
      <c r="D459" s="83"/>
      <c r="E459" s="84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197</v>
      </c>
      <c r="O459" s="39"/>
    </row>
    <row r="460" spans="1:15" ht="18" customHeight="1">
      <c r="A460" s="85" t="s">
        <v>199</v>
      </c>
      <c r="B460" s="86"/>
      <c r="C460" s="86"/>
      <c r="D460" s="86"/>
      <c r="E460" s="87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200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2" t="s">
        <v>196</v>
      </c>
      <c r="B473" s="83"/>
      <c r="C473" s="83"/>
      <c r="D473" s="83"/>
      <c r="E473" s="84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197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2" t="s">
        <v>198</v>
      </c>
      <c r="B486" s="83"/>
      <c r="C486" s="83"/>
      <c r="D486" s="83"/>
      <c r="E486" s="84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197</v>
      </c>
      <c r="O486" s="39"/>
    </row>
    <row r="487" spans="1:15" ht="18" customHeight="1">
      <c r="A487" s="85" t="s">
        <v>199</v>
      </c>
      <c r="B487" s="86"/>
      <c r="C487" s="86"/>
      <c r="D487" s="86"/>
      <c r="E487" s="87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200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2" t="s">
        <v>196</v>
      </c>
      <c r="B500" s="83"/>
      <c r="C500" s="83"/>
      <c r="D500" s="83"/>
      <c r="E500" s="84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197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2" t="s">
        <v>198</v>
      </c>
      <c r="B513" s="83"/>
      <c r="C513" s="83"/>
      <c r="D513" s="83"/>
      <c r="E513" s="84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197</v>
      </c>
      <c r="O513" s="39"/>
    </row>
    <row r="514" spans="1:15" ht="18" customHeight="1">
      <c r="A514" s="85" t="s">
        <v>199</v>
      </c>
      <c r="B514" s="86"/>
      <c r="C514" s="86"/>
      <c r="D514" s="86"/>
      <c r="E514" s="87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200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2" t="s">
        <v>196</v>
      </c>
      <c r="B527" s="83"/>
      <c r="C527" s="83"/>
      <c r="D527" s="83"/>
      <c r="E527" s="84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197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2" t="s">
        <v>198</v>
      </c>
      <c r="B540" s="83"/>
      <c r="C540" s="83"/>
      <c r="D540" s="83"/>
      <c r="E540" s="84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197</v>
      </c>
      <c r="O540" s="39"/>
    </row>
    <row r="541" spans="1:15" ht="18" customHeight="1">
      <c r="A541" s="85" t="s">
        <v>199</v>
      </c>
      <c r="B541" s="86"/>
      <c r="C541" s="86"/>
      <c r="D541" s="86"/>
      <c r="E541" s="87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200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2" t="s">
        <v>196</v>
      </c>
      <c r="B554" s="83"/>
      <c r="C554" s="83"/>
      <c r="D554" s="83"/>
      <c r="E554" s="84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197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2" t="s">
        <v>198</v>
      </c>
      <c r="B567" s="83"/>
      <c r="C567" s="83"/>
      <c r="D567" s="83"/>
      <c r="E567" s="84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197</v>
      </c>
      <c r="O567" s="39"/>
    </row>
    <row r="568" spans="1:15" ht="18" customHeight="1">
      <c r="A568" s="85" t="s">
        <v>199</v>
      </c>
      <c r="B568" s="86"/>
      <c r="C568" s="86"/>
      <c r="D568" s="86"/>
      <c r="E568" s="87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200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2" t="s">
        <v>196</v>
      </c>
      <c r="B581" s="83"/>
      <c r="C581" s="83"/>
      <c r="D581" s="83"/>
      <c r="E581" s="84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197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2" t="s">
        <v>198</v>
      </c>
      <c r="B594" s="83"/>
      <c r="C594" s="83"/>
      <c r="D594" s="83"/>
      <c r="E594" s="84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197</v>
      </c>
      <c r="O594" s="39"/>
    </row>
    <row r="595" spans="1:15" ht="18" customHeight="1">
      <c r="A595" s="85" t="s">
        <v>199</v>
      </c>
      <c r="B595" s="86"/>
      <c r="C595" s="86"/>
      <c r="D595" s="86"/>
      <c r="E595" s="87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200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2" t="s">
        <v>196</v>
      </c>
      <c r="B608" s="83"/>
      <c r="C608" s="83"/>
      <c r="D608" s="83"/>
      <c r="E608" s="84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197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2" t="s">
        <v>198</v>
      </c>
      <c r="B621" s="83"/>
      <c r="C621" s="83"/>
      <c r="D621" s="83"/>
      <c r="E621" s="84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197</v>
      </c>
      <c r="O621" s="39"/>
    </row>
    <row r="622" spans="1:15" ht="18" customHeight="1">
      <c r="A622" s="85" t="s">
        <v>199</v>
      </c>
      <c r="B622" s="86"/>
      <c r="C622" s="86"/>
      <c r="D622" s="86"/>
      <c r="E622" s="87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200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2" t="s">
        <v>196</v>
      </c>
      <c r="B635" s="83"/>
      <c r="C635" s="83"/>
      <c r="D635" s="83"/>
      <c r="E635" s="84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197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2" t="s">
        <v>198</v>
      </c>
      <c r="B648" s="83"/>
      <c r="C648" s="83"/>
      <c r="D648" s="83"/>
      <c r="E648" s="84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197</v>
      </c>
      <c r="O648" s="39"/>
    </row>
    <row r="649" spans="1:15" ht="18" customHeight="1">
      <c r="A649" s="85" t="s">
        <v>199</v>
      </c>
      <c r="B649" s="86"/>
      <c r="C649" s="86"/>
      <c r="D649" s="86"/>
      <c r="E649" s="87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200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2" t="s">
        <v>196</v>
      </c>
      <c r="B662" s="83"/>
      <c r="C662" s="83"/>
      <c r="D662" s="83"/>
      <c r="E662" s="84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197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2" t="s">
        <v>198</v>
      </c>
      <c r="B675" s="83"/>
      <c r="C675" s="83"/>
      <c r="D675" s="83"/>
      <c r="E675" s="84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197</v>
      </c>
      <c r="O675" s="39"/>
    </row>
    <row r="676" spans="1:15" ht="18" customHeight="1">
      <c r="A676" s="85" t="s">
        <v>199</v>
      </c>
      <c r="B676" s="86"/>
      <c r="C676" s="86"/>
      <c r="D676" s="86"/>
      <c r="E676" s="87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200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2" t="s">
        <v>196</v>
      </c>
      <c r="B689" s="83"/>
      <c r="C689" s="83"/>
      <c r="D689" s="83"/>
      <c r="E689" s="84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197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2" t="s">
        <v>198</v>
      </c>
      <c r="B702" s="83"/>
      <c r="C702" s="83"/>
      <c r="D702" s="83"/>
      <c r="E702" s="84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197</v>
      </c>
      <c r="O702" s="39"/>
    </row>
    <row r="703" spans="1:15" ht="18" customHeight="1">
      <c r="A703" s="85" t="s">
        <v>199</v>
      </c>
      <c r="B703" s="86"/>
      <c r="C703" s="86"/>
      <c r="D703" s="86"/>
      <c r="E703" s="87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200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2" t="s">
        <v>196</v>
      </c>
      <c r="B716" s="83"/>
      <c r="C716" s="83"/>
      <c r="D716" s="83"/>
      <c r="E716" s="84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197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2" t="s">
        <v>198</v>
      </c>
      <c r="B729" s="83"/>
      <c r="C729" s="83"/>
      <c r="D729" s="83"/>
      <c r="E729" s="84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197</v>
      </c>
      <c r="O729" s="39"/>
    </row>
    <row r="730" spans="1:15" ht="18" customHeight="1">
      <c r="A730" s="85" t="s">
        <v>199</v>
      </c>
      <c r="B730" s="86"/>
      <c r="C730" s="86"/>
      <c r="D730" s="86"/>
      <c r="E730" s="87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200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2" t="s">
        <v>196</v>
      </c>
      <c r="B743" s="83"/>
      <c r="C743" s="83"/>
      <c r="D743" s="83"/>
      <c r="E743" s="84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197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2" t="s">
        <v>198</v>
      </c>
      <c r="B756" s="83"/>
      <c r="C756" s="83"/>
      <c r="D756" s="83"/>
      <c r="E756" s="84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197</v>
      </c>
      <c r="O756" s="39"/>
    </row>
    <row r="757" spans="1:15" ht="18" customHeight="1">
      <c r="A757" s="85" t="s">
        <v>199</v>
      </c>
      <c r="B757" s="86"/>
      <c r="C757" s="86"/>
      <c r="D757" s="86"/>
      <c r="E757" s="87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200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2" t="s">
        <v>196</v>
      </c>
      <c r="B770" s="83"/>
      <c r="C770" s="83"/>
      <c r="D770" s="83"/>
      <c r="E770" s="84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197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2" t="s">
        <v>198</v>
      </c>
      <c r="B783" s="83"/>
      <c r="C783" s="83"/>
      <c r="D783" s="83"/>
      <c r="E783" s="84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197</v>
      </c>
      <c r="O783" s="39"/>
    </row>
    <row r="784" spans="1:15" ht="18" customHeight="1">
      <c r="A784" s="85" t="s">
        <v>199</v>
      </c>
      <c r="B784" s="86"/>
      <c r="C784" s="86"/>
      <c r="D784" s="86"/>
      <c r="E784" s="87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200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2" t="s">
        <v>196</v>
      </c>
      <c r="B797" s="83"/>
      <c r="C797" s="83"/>
      <c r="D797" s="83"/>
      <c r="E797" s="84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197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2" t="s">
        <v>198</v>
      </c>
      <c r="B810" s="83"/>
      <c r="C810" s="83"/>
      <c r="D810" s="83"/>
      <c r="E810" s="84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197</v>
      </c>
      <c r="O810" s="39"/>
    </row>
    <row r="811" spans="1:15" ht="18" customHeight="1">
      <c r="A811" s="85" t="s">
        <v>199</v>
      </c>
      <c r="B811" s="86"/>
      <c r="C811" s="86"/>
      <c r="D811" s="86"/>
      <c r="E811" s="87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200</v>
      </c>
      <c r="O811" s="43">
        <f>IFERROR(O797+O810,"")</f>
        <v>0</v>
      </c>
    </row>
  </sheetData>
  <mergeCells count="90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2026-07-04T10:16:54Z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