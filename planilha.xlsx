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698" documentId="13_ncr:1_{0A10D8D4-8450-4366-8075-B53B08E6B7EA}" xr6:coauthVersionLast="47" xr6:coauthVersionMax="47" xr10:uidLastSave="{39FD1A86-6036-4646-A004-B2B46D3E63F7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0" i="5" l="1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<sst xmlns="http://schemas.openxmlformats.org/spreadsheetml/2006/main" count="7363" uniqueCount="360">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</sst>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627410</v>
      </c>
      <c r="G19" s="12">
        <f t="shared" si="0"/>
        <v>2544430</v>
      </c>
      <c r="H19" s="96">
        <f>IFERROR('Linha 1'!T433+'Linha 2'!T433+'Linha 3'!T433,0)</f>
        <v>366.39792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19537270</v>
      </c>
      <c r="E35" s="13">
        <f t="shared" si="2"/>
        <v>10062440</v>
      </c>
      <c r="F35" s="13">
        <f t="shared" si="2"/>
        <v>24136340</v>
      </c>
      <c r="G35" s="13">
        <f t="shared" si="2"/>
        <v>53736050</v>
      </c>
      <c r="H35" s="97">
        <f t="shared" si="2"/>
        <v>3576.6932127907321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32" sqref="F432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S433" sqref="S433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0.16239965277782176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0.30128854166671065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0.38601076388893296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07" activePane="bottomLeft" state="frozen"/>
      <selection pane="bottomLeft" activeCell="S433" sqref="S433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307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308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307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307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309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310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311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312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314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315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316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317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318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320</v>
      </c>
      <c r="Q222" s="30" t="str">
        <f t="shared" ca="1" si="49"/>
        <v/>
      </c>
      <c r="R222" s="27" t="s">
        <v>321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322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323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324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325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326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G432" sqref="G432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327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307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328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329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330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331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332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333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307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307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334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335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307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336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337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338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340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341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342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343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344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345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346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347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348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349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350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351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352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353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354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355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356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357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358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359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0</v>
      </c>
      <c r="I425" s="135">
        <f>IFERROR(IF($D425="","",VLOOKUP($D425,Cadastro!$C$4:$G$7,5,FALSE)),"")</f>
        <v>0.6</v>
      </c>
      <c r="J425" s="136">
        <f t="shared" si="102"/>
        <v>0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0</v>
      </c>
      <c r="I426" s="135">
        <f>IFERROR(IF($D426="","",VLOOKUP($D426,Cadastro!$C$4:$G$7,5,FALSE)),"")</f>
        <v>0.6</v>
      </c>
      <c r="J426" s="136">
        <f t="shared" si="102"/>
        <v>0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0</v>
      </c>
      <c r="I427" s="135">
        <f>IFERROR(IF($D427="","",VLOOKUP($D427,Cadastro!$C$4:$G$7,5,FALSE)),"")</f>
        <v>0.6</v>
      </c>
      <c r="J427" s="136">
        <f t="shared" si="102"/>
        <v>0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2"/>
        <v>0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0</v>
      </c>
      <c r="I429" s="135">
        <f>IFERROR(IF($D429="","",VLOOKUP($D429,Cadastro!$C$4:$G$7,5,FALSE)),"")</f>
        <v>0.6</v>
      </c>
      <c r="J429" s="136">
        <f t="shared" si="102"/>
        <v>0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0</v>
      </c>
      <c r="I430" s="135">
        <f>IFERROR(IF($D430="","",VLOOKUP($D430,Cadastro!$C$4:$G$7,5,FALSE)),"")</f>
        <v>0.6</v>
      </c>
      <c r="J430" s="136">
        <f t="shared" si="102"/>
        <v>0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2"/>
        <v>0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2026-08-17T10:48:59Z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