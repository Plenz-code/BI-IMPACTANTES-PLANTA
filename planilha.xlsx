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93" documentId="13_ncr:1_{9DFDFEE8-78F7-4C04-B87C-99924EE6CC37}" xr6:coauthVersionLast="47" xr6:coauthVersionMax="47" xr10:uidLastSave="{E5DDDA5B-CD49-4B38-95DF-17F56DFDC7B4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<sst xmlns="http://schemas.openxmlformats.org/spreadsheetml/2006/main" count="8749" uniqueCount="2873">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</sst>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6" activePane="bottomLeft" state="frozen"/>
      <selection pane="bottomLeft" activeCell="D69" sqref="D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389</v>
      </c>
      <c r="G82" s="1">
        <f>G68+G81</f>
        <v>1921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48" activePane="bottomLeft" state="frozen"/>
      <selection pane="bottomLeft" activeCell="E69" sqref="E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 t="s">
        <v>278</v>
      </c>
      <c r="F69" s="120" t="str">
        <f>IFERROR(IF($D69="","",VLOOKUP($D69,Cadastro!$C$4:$E$20,3,FALSE())),"")</f>
        <v/>
      </c>
      <c r="G69" s="108">
        <v>22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0" sqref="G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15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141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0" sqref="G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214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2026-09-03T23:52:33Z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