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245" documentId="13_ncr:1_{0A10D8D4-8450-4366-8075-B53B08E6B7EA}" xr6:coauthVersionLast="47" xr6:coauthVersionMax="47" xr10:uidLastSave="{F1A19882-8293-4C98-9C74-38AC98ABB745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1" i="3" l="1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53" i="6"/>
  <c r="J453" i="6" s="1"/>
  <c r="H454" i="6"/>
  <c r="J454" i="6" s="1"/>
  <c r="H455" i="6"/>
  <c r="J455" i="6" s="1"/>
  <c r="H456" i="6"/>
  <c r="J456" i="6" s="1"/>
  <c r="H457" i="6"/>
  <c r="J457" i="6" s="1"/>
  <c r="H458" i="6"/>
  <c r="J45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53" i="5"/>
  <c r="J453" i="5" s="1"/>
  <c r="H454" i="5"/>
  <c r="J454" i="5" s="1"/>
  <c r="H455" i="5"/>
  <c r="J455" i="5" s="1"/>
  <c r="H456" i="5"/>
  <c r="J456" i="5" s="1"/>
  <c r="H457" i="5"/>
  <c r="J457" i="5" s="1"/>
  <c r="H458" i="5"/>
  <c r="J458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51" i="6" l="1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<sst xmlns="http://schemas.openxmlformats.org/spreadsheetml/2006/main" count="7740" uniqueCount="371">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</sst>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26" activePane="bottomLeft" state="frozen"/>
      <selection pane="bottomLeft" activeCell="F452" sqref="F452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/>
      <c r="G453" s="151" t="str">
        <f>IF(F453="","",IF(E453="PC 17",F453*4.2,IF(E453="PC 19",F453*5,IF(E453="CB",F453*35,""))))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/>
      <c r="G454" s="28" t="str">
        <f>IF(F454="","",IF(E454="PC 17",F454*4.2,IF(E454="PC 19",F454*5,IF(E454="CB",F454*35,""))))</f>
        <v/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/>
      <c r="G455" s="151" t="s">
        <v>271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/>
      <c r="G457" s="151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182</v>
      </c>
      <c r="G459" s="36">
        <f>SUM(G447:G458)</f>
        <v>910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/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350</v>
      </c>
      <c r="G460" s="40">
        <f>G446+G459</f>
        <v>1750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27" activePane="bottomLeft" state="frozen"/>
      <selection pane="bottomLeft" activeCell="P452" sqref="P452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0.94659016203513602</v>
      </c>
      <c r="R53" s="46" t="s">
        <v>288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1.0854790509240249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1.1702012731462472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245</v>
      </c>
      <c r="F450" s="134">
        <f>IFERROR(IF($D450="","",VLOOKUP($D450,Cadastro!$C$4:$E$7,3,FALSE)),"")</f>
        <v>0.35</v>
      </c>
      <c r="G450" s="105">
        <v>13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13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12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10"/>
        <v>0</v>
      </c>
      <c r="K452" s="28">
        <f t="shared" si="111"/>
        <v>50.400000000000006</v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79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342.20000000000005</v>
      </c>
      <c r="L459" s="37"/>
      <c r="M459" s="37"/>
      <c r="N459" s="37"/>
      <c r="O459" s="37"/>
      <c r="P459" s="37"/>
      <c r="Q459" s="38">
        <f ca="1">IFERROR(SUM(Q447:Q458),"")</f>
        <v>3.2638888888888801E-2</v>
      </c>
      <c r="R459" s="36" t="s">
        <v>247</v>
      </c>
      <c r="S459" s="45"/>
      <c r="T459" s="122">
        <f>IFERROR(J459,"")</f>
        <v>0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191</v>
      </c>
      <c r="H460" s="112">
        <f>IFERROR(H446+H459,"")</f>
        <v>449.02</v>
      </c>
      <c r="I460" s="116"/>
      <c r="J460" s="125">
        <f>IFERROR(J446+J459,"")</f>
        <v>94.294199999999989</v>
      </c>
      <c r="K460" s="40">
        <f>K446+K459</f>
        <v>812.60000000000014</v>
      </c>
      <c r="L460" s="41"/>
      <c r="M460" s="41"/>
      <c r="N460" s="41"/>
      <c r="O460" s="41"/>
      <c r="P460" s="41"/>
      <c r="Q460" s="42">
        <f ca="1">IFERROR(Q446+Q459,"")</f>
        <v>0.1</v>
      </c>
      <c r="R460" s="40" t="s">
        <v>251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27" activePane="bottomLeft" state="frozen"/>
      <selection pane="bottomLeft" activeCell="G452" sqref="G45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316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317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316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316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318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319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320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321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322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323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324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325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326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327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329</v>
      </c>
      <c r="Q222" s="30" t="str">
        <f t="shared" ca="1" si="49"/>
        <v/>
      </c>
      <c r="R222" s="27" t="s">
        <v>330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331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332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333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334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335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336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336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0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08"/>
        <v>0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08"/>
        <v>0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337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29</v>
      </c>
      <c r="E450" s="109" t="s">
        <v>261</v>
      </c>
      <c r="F450" s="134">
        <f>IFERROR(IF($D450="","",VLOOKUP($D450,Cadastro!$C$4:$E$7,3,FALSE)),"")</f>
        <v>0.35</v>
      </c>
      <c r="G450" s="105">
        <v>11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08"/>
        <v>0</v>
      </c>
      <c r="K450" s="28">
        <f t="shared" si="109"/>
        <v>46.2</v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08"/>
        <v>0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8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08"/>
        <v>0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59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247.79999999999995</v>
      </c>
      <c r="L459" s="37"/>
      <c r="M459" s="37"/>
      <c r="N459" s="37"/>
      <c r="O459" s="37"/>
      <c r="P459" s="37"/>
      <c r="Q459" s="38">
        <f ca="1">IFERROR(SUM(Q447:Q458),"")</f>
        <v>3.9583333333333283E-2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144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604.79999999999995</v>
      </c>
      <c r="L460" s="41"/>
      <c r="M460" s="41"/>
      <c r="N460" s="41"/>
      <c r="O460" s="41"/>
      <c r="P460" s="41"/>
      <c r="Q460" s="42">
        <f ca="1">IFERROR(Q446+Q459,"")</f>
        <v>8.4722222222222171E-2</v>
      </c>
      <c r="R460" s="40" t="s">
        <v>251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33" activePane="bottomLeft" state="frozen"/>
      <selection pane="bottomLeft" activeCell="P451" sqref="P451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316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316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316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316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361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362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363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364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365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366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367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368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369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370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59" t="s">
        <v>261</v>
      </c>
      <c r="F450" s="134">
        <f>IFERROR(IF($D450="","",VLOOKUP($D450,Cadastro!$C$4:$E$7,3,FALSE)),"")</f>
        <v>0.35</v>
      </c>
      <c r="G450" s="105">
        <v>24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9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151">
        <f>IF(G451="","",IF(E452="PC 17",G451*4.2,IF(E452="PC 19",G451*5,"")))</f>
        <v>37.800000000000004</v>
      </c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8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10"/>
        <v>0</v>
      </c>
      <c r="K452" s="28">
        <f>IF(G452="","",IF(E453="PC 17",G452*4.2,IF(E453="PC 19",G452*5,"")))</f>
        <v>33.6</v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151" t="str">
        <f>IF(G453="","",IF(E454="PC 17",G453*4.2,IF(E454="PC 19",G453*5,"")))</f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>IF(G454="","",IF(E455="PC 17",G454*4.2,IF(E455="PC 19",G454*5,"")))</f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151" t="str">
        <f>IF(G455="","",IF(E456="PC 17",G455*4.2,IF(E456="PC 19",G455*5,"")))</f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>IF(G456="","",IF(E457="PC 17",G456*4.2,IF(E457="PC 19",G456*5,"")))</f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151" t="str">
        <f>IF(G457="","",IF(E458="PC 17",G457*4.2,IF(E458="PC 19",G457*5,"")))</f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134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562.79999999999995</v>
      </c>
      <c r="L459" s="37"/>
      <c r="M459" s="37"/>
      <c r="N459" s="37"/>
      <c r="O459" s="61"/>
      <c r="P459" s="61"/>
      <c r="Q459" s="38">
        <f ca="1">IFERROR(SUM(Q447:Q458),"")</f>
        <v>6.1111111111111137E-2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317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1331.4</v>
      </c>
      <c r="L460" s="41"/>
      <c r="M460" s="41"/>
      <c r="N460" s="41"/>
      <c r="O460" s="63"/>
      <c r="P460" s="63"/>
      <c r="Q460" s="42">
        <f ca="1">IFERROR(Q446+Q459,"")</f>
        <v>9.7222222222222238E-2</v>
      </c>
      <c r="R460" s="40" t="s">
        <v>251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2026-08-18T05:38:37Z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