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00" documentId="8_{C51EB6CB-002B-4D6B-B68F-DDEBDB4460C0}" xr6:coauthVersionLast="47" xr6:coauthVersionMax="47" xr10:uidLastSave="{58AE8EF2-F601-496F-8B33-4CC1B2EC9C75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<sst xmlns="http://schemas.openxmlformats.org/spreadsheetml/2006/main" count="2841" uniqueCount="271">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</sst>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K110" sqref="K1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/>
      <c r="M110" s="30">
        <f t="shared" ref="M110:M121" ca="1" si="25">IFERROR(IF(K110="","",IF(L110="",MOD(NOW()-K110,1),IF(L110&gt;=K110,L110-K110,L110+1-K110))),"")</f>
        <v>0.18493009259691462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0.18493009259691462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0.18493009259691462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18" sqref="F1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0.50506898148159962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0.64395787037048846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0.72868009259271083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117</v>
      </c>
      <c r="G122" s="36">
        <f>SUM(G110:G121)</f>
        <v>491.40000000000003</v>
      </c>
      <c r="H122" s="37"/>
      <c r="I122" s="37"/>
      <c r="J122" s="37"/>
      <c r="K122" s="37"/>
      <c r="L122" s="37"/>
      <c r="M122" s="38">
        <f ca="1">IFERROR(SUM(M110:M121),"")</f>
        <v>8.4027777777777812E-2</v>
      </c>
      <c r="N122" s="36" t="s">
        <v>231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117</v>
      </c>
      <c r="G136" s="40">
        <f>G122+G135</f>
        <v>491.40000000000003</v>
      </c>
      <c r="H136" s="41"/>
      <c r="I136" s="41"/>
      <c r="J136" s="41"/>
      <c r="K136" s="41"/>
      <c r="L136" s="41"/>
      <c r="M136" s="42">
        <f ca="1">IFERROR(M122+M135,"")</f>
        <v>8.4027777777777812E-2</v>
      </c>
      <c r="N136" s="40" t="s">
        <v>235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F118" sqref="F1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257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257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259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260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261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262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263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0.3481245370421675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0.39534675926438967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0.55159675926438967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55</v>
      </c>
      <c r="G122" s="36">
        <f>SUM(G110:G121)</f>
        <v>231.00000000000003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</v>
      </c>
      <c r="G136" s="40">
        <f>G122+G135</f>
        <v>231.00000000000003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F118" sqref="F1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257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257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123</v>
      </c>
      <c r="G122" s="36">
        <f>SUM(G110:G121)</f>
        <v>516.6</v>
      </c>
      <c r="H122" s="37"/>
      <c r="I122" s="37"/>
      <c r="J122" s="37"/>
      <c r="K122" s="61"/>
      <c r="L122" s="61"/>
      <c r="M122" s="38">
        <f ca="1">IFERROR(SUM(M110:M121),"")</f>
        <v>7.083333333333347E-2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123</v>
      </c>
      <c r="G136" s="40">
        <f>G122+G135</f>
        <v>516.6</v>
      </c>
      <c r="H136" s="41"/>
      <c r="I136" s="41"/>
      <c r="J136" s="41"/>
      <c r="K136" s="63"/>
      <c r="L136" s="63"/>
      <c r="M136" s="42">
        <f ca="1">IFERROR(M122+M135,"")</f>
        <v>7.083333333333347E-2</v>
      </c>
      <c r="N136" s="40" t="s">
        <v>235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2026-08-05T19:02:40Z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