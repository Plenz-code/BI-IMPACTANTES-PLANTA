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09" documentId="8_{C51EB6CB-002B-4D6B-B68F-DDEBDB4460C0}" xr6:coauthVersionLast="47" xr6:coauthVersionMax="47" xr10:uidLastSave="{679CEB08-718D-46A0-9707-07C68F2A5474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<sst xmlns="http://schemas.openxmlformats.org/spreadsheetml/2006/main" count="5505" uniqueCount="335">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</sst>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5" sqref="F29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324</v>
      </c>
      <c r="G297" s="36">
        <f>SUM(G285:G296)</f>
        <v>1360.8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587</v>
      </c>
      <c r="G298" s="40">
        <f>G284+G297</f>
        <v>2675.8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F295" sqref="F29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0.10732187499525025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0.24621076388413915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0.33093298610636146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122</v>
      </c>
      <c r="G297" s="36">
        <f>SUM(G285:G296)</f>
        <v>576.4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244</v>
      </c>
      <c r="G298" s="40">
        <f>G284+G297</f>
        <v>1065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9" zoomScale="68" zoomScaleNormal="68" workbookViewId="0">
      <selection activeCell="J285" sqref="J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3.4405208331008907E-2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9.6210763886564452E-2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0.15732187499767564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/>
      <c r="M285" s="35">
        <f t="shared" ref="M285:M296" ca="1" si="64">IFERROR(IF(K285="","",IF(L285="",MOD(NOW()-K285,1),IF(L285&gt;=K285,L285-K285,L285+1-K285))),"")</f>
        <v>0.99968298611202044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67</v>
      </c>
      <c r="G297" s="36">
        <f>SUM(G285:G296)</f>
        <v>330.2</v>
      </c>
      <c r="H297" s="37"/>
      <c r="I297" s="37"/>
      <c r="J297" s="37"/>
      <c r="K297" s="37"/>
      <c r="L297" s="37"/>
      <c r="M297" s="38">
        <f ca="1">IFERROR(SUM(M285:M296),"")</f>
        <v>0.99968298611202044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162</v>
      </c>
      <c r="G298" s="40">
        <f>G284+G297</f>
        <v>737.2</v>
      </c>
      <c r="H298" s="41"/>
      <c r="I298" s="41"/>
      <c r="J298" s="41"/>
      <c r="K298" s="41"/>
      <c r="L298" s="41"/>
      <c r="M298" s="42">
        <f ca="1">IFERROR(M284+M297,"")</f>
        <v>1.1364885416675761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5" sqref="F29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127</v>
      </c>
      <c r="G297" s="36">
        <f>SUM(G285:G296)</f>
        <v>613.4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299</v>
      </c>
      <c r="G298" s="40">
        <f>G284+G297</f>
        <v>1335.8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2026-08-12T09:29:43Z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