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71" documentId="13_ncr:1_{0A10D8D4-8450-4366-8075-B53B08E6B7EA}" xr6:coauthVersionLast="47" xr6:coauthVersionMax="47" xr10:uidLastSave="{71A59B61-8BF9-4C9B-AEB8-8A0528FC35BE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34" i="4"/>
  <c r="J434" i="4" s="1"/>
  <c r="H435" i="4"/>
  <c r="J435" i="4" s="1"/>
  <c r="H436" i="4"/>
  <c r="J436" i="4" s="1"/>
  <c r="H437" i="4"/>
  <c r="J437" i="4" s="1"/>
  <c r="H438" i="4"/>
  <c r="J438" i="4" s="1"/>
  <c r="H439" i="4"/>
  <c r="J439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10" i="4" l="1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K406" i="4" l="1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<sst xmlns="http://schemas.openxmlformats.org/spreadsheetml/2006/main" count="7447" uniqueCount="361">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</sst>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17" activePane="bottomLeft" state="frozen"/>
      <selection pane="bottomLeft" activeCell="C434" sqref="C434:C445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19" activePane="bottomLeft" state="frozen"/>
      <selection pane="bottomLeft" activeCell="E445" sqref="E445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0.18497974536876427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0.32386863425765317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0.40859085647987547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/>
      <c r="H434" s="140" t="str">
        <f>IFERROR(IF($G434="","",$G434*$S$446/$G$446/Cadastro!$E$33),"")</f>
        <v/>
      </c>
      <c r="I434" s="141">
        <f>IFERROR(IF($D434="","",VLOOKUP($D434,Cadastro!$C$4:$G$7,5,FALSE)),"")</f>
        <v>0.6</v>
      </c>
      <c r="J434" s="142" t="str">
        <f t="shared" ref="J434:J445" si="106">IFERROR(IF($H434="","",$H434*$F434*$I434),"")</f>
        <v/>
      </c>
      <c r="K434" s="28" t="str">
        <f t="shared" ref="K434:K444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307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0" activePane="bottomLeft" state="frozen"/>
      <selection pane="bottomLeft" activeCell="S433" sqref="S433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321</v>
      </c>
      <c r="Q222" s="30" t="str">
        <f t="shared" ca="1" si="49"/>
        <v/>
      </c>
      <c r="R222" s="27" t="s">
        <v>322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20" activePane="bottomLeft" state="frozen"/>
      <selection pane="bottomLeft" activeCell="E445" sqref="E445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354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355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356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357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358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359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360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/>
      <c r="H434" s="140" t="str">
        <f>IFERROR(IF($G434="","",$G434*$S$446/$G$446/Cadastro!$E$33),"")</f>
        <v/>
      </c>
      <c r="I434" s="141">
        <f>IFERROR(IF($D434="","",VLOOKUP($D434,Cadastro!$C$4:$G$7,5,FALSE)),"")</f>
        <v>0.6</v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2026-08-17T11:21:24Z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