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34" documentId="8_{AF585B22-221D-4780-BB9C-493D365A6A02}" xr6:coauthVersionLast="47" xr6:coauthVersionMax="47" xr10:uidLastSave="{BA39D40E-ADA8-46F9-AACA-EC0E879EF258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<sst xmlns="http://schemas.openxmlformats.org/spreadsheetml/2006/main" count="4338" uniqueCount="281">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</sst>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24" activePane="bottomLeft" state="frozen"/>
      <selection pane="bottomLeft" activeCell="F247" sqref="F2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>
        <v>1545480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210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210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210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210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35</v>
      </c>
      <c r="G257" s="36">
        <f>SUM(G245:G256)</f>
        <v>175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35</v>
      </c>
      <c r="G271" s="40">
        <f>G257+G270</f>
        <v>175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4" activePane="bottomLeft" state="frozen"/>
      <selection pane="bottomLeft" activeCell="F247" sqref="F2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>
        <v>849060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24</v>
      </c>
      <c r="G257" s="36">
        <f>SUM(G245:G256)</f>
        <v>100.8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24</v>
      </c>
      <c r="G271" s="40">
        <f>G257+G270</f>
        <v>100.8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23" zoomScale="50" zoomScaleNormal="50" workbookViewId="0">
      <selection activeCell="F247" sqref="F2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254</v>
      </c>
      <c r="N166" s="27" t="s">
        <v>255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>
        <v>575930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25</v>
      </c>
      <c r="G245" s="28">
        <f t="shared" ref="G245:G256" si="54">IF(F245="","",IF(E245="PC 17",F245*4.2,IF(E245="PC 19",F245*5,"")))</f>
        <v>105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15</v>
      </c>
      <c r="G246" s="34">
        <f t="shared" si="54"/>
        <v>63</v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40</v>
      </c>
      <c r="G257" s="36">
        <f>SUM(G245:G256)</f>
        <v>168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40</v>
      </c>
      <c r="G271" s="40">
        <f>G257+G270</f>
        <v>168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7" activePane="bottomLeft" state="frozen"/>
      <selection pane="bottomLeft" activeCell="I245" sqref="I24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261</v>
      </c>
      <c r="L58" s="29">
        <v>0.54097222222222219</v>
      </c>
      <c r="M58" s="30" t="str">
        <f t="shared" ca="1" si="13"/>
        <v/>
      </c>
      <c r="N58" s="27" t="s">
        <v>262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0.16961805555911269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0.36892361111466832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0.73628472222577934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>
        <v>982340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/>
      <c r="M245" s="30">
        <f t="shared" ref="M245:M256" ca="1" si="55">IFERROR(IF(K245="","",IF(L245="",MOD(NOW()-K245,1),IF(L245&gt;=K245,L245-K245,L245+1-K245))),"")</f>
        <v>1.1284722226264421E-2</v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20</v>
      </c>
      <c r="G246" s="34">
        <f t="shared" si="54"/>
        <v>84</v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35</v>
      </c>
      <c r="G257" s="36">
        <f>SUM(G245:G256)</f>
        <v>147</v>
      </c>
      <c r="H257" s="37"/>
      <c r="I257" s="37"/>
      <c r="J257" s="37"/>
      <c r="K257" s="61"/>
      <c r="L257" s="61"/>
      <c r="M257" s="38">
        <f ca="1">IFERROR(SUM(M245:M256),"")</f>
        <v>1.1284722226264421E-2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35</v>
      </c>
      <c r="G271" s="40">
        <f>G257+G270</f>
        <v>147</v>
      </c>
      <c r="H271" s="41"/>
      <c r="I271" s="41"/>
      <c r="J271" s="41"/>
      <c r="K271" s="63"/>
      <c r="L271" s="63"/>
      <c r="M271" s="42">
        <f ca="1">IFERROR(M257+M270,"")</f>
        <v>1.1284722226264421E-2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2026-07-10T14:03:18Z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