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77" documentId="13_ncr:1_{0A10D8D4-8450-4366-8075-B53B08E6B7EA}" xr6:coauthVersionLast="47" xr6:coauthVersionMax="47" xr10:uidLastSave="{6C359AA6-669E-47BB-8D7E-FB67718AFAD5}"/>
  <bookViews>
    <workbookView xWindow="-28920" yWindow="-60" windowWidth="29040" windowHeight="1572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<sst xmlns="http://schemas.openxmlformats.org/spreadsheetml/2006/main" count="6562" uniqueCount="349">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</sst>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1428570</v>
      </c>
      <c r="E17" s="11">
        <f>IFERROR('Linha 2'!S379,"")</f>
        <v>332130</v>
      </c>
      <c r="F17" s="11">
        <f>IFERROR('Linha 3'!S379,"")</f>
        <v>885120</v>
      </c>
      <c r="G17" s="12">
        <f t="shared" si="0"/>
        <v>2645820</v>
      </c>
      <c r="H17" s="96">
        <f>IFERROR('Linha 1'!T379+'Linha 2'!T379+'Linha 3'!T379,0)</f>
        <v>555.62219999999991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16653160</v>
      </c>
      <c r="E35" s="13">
        <f t="shared" si="2"/>
        <v>8105130</v>
      </c>
      <c r="F35" s="13">
        <f t="shared" si="2"/>
        <v>20706730</v>
      </c>
      <c r="G35" s="13">
        <f t="shared" si="2"/>
        <v>45465020</v>
      </c>
      <c r="H35" s="97">
        <f t="shared" si="2"/>
        <v>1542.7720685373517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H375" sqref="H37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49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0.16272939814371057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0.30161828703259946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0.38634050925482177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G378" sqref="G378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4"/>
        <v>0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4"/>
        <v>0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4"/>
        <v>0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4"/>
        <v>0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4"/>
        <v>0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4"/>
        <v>0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4"/>
        <v>0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4"/>
        <v>0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4"/>
        <v>0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0</v>
      </c>
      <c r="I377" s="138">
        <f>IFERROR(IF($D377="","",VLOOKUP($D377,Cadastro!$C$4:$G$7,5,FALSE)),"")</f>
        <v>0.6</v>
      </c>
      <c r="J377" s="139">
        <f t="shared" si="84"/>
        <v>0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332.12999999999994</v>
      </c>
      <c r="I379" s="116"/>
      <c r="J379" s="125">
        <f>IFERROR(J365+J378,"")</f>
        <v>69.747299999999981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332130</v>
      </c>
      <c r="T379" s="121">
        <f>IFERROR(J379,"")</f>
        <v>69.747299999999981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41" activePane="bottomLeft" state="frozen"/>
      <selection pane="bottomLeft" activeCell="G378" sqref="G378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0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6"/>
        <v>0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0</v>
      </c>
      <c r="I368" s="135">
        <f>IFERROR(IF($D368="","",VLOOKUP($D368,Cadastro!$C$4:$G$7,5,FALSE)),"")</f>
        <v>0.6</v>
      </c>
      <c r="J368" s="136">
        <f t="shared" si="86"/>
        <v>0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0</v>
      </c>
      <c r="I369" s="135">
        <f>IFERROR(IF($D369="","",VLOOKUP($D369,Cadastro!$C$4:$G$7,5,FALSE)),"")</f>
        <v>0.6</v>
      </c>
      <c r="J369" s="136">
        <f t="shared" si="86"/>
        <v>0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0</v>
      </c>
      <c r="I370" s="135">
        <f>IFERROR(IF($D370="","",VLOOKUP($D370,Cadastro!$C$4:$G$7,5,FALSE)),"")</f>
        <v>0.6</v>
      </c>
      <c r="J370" s="136">
        <f t="shared" si="86"/>
        <v>0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0</v>
      </c>
      <c r="I371" s="135">
        <f>IFERROR(IF($D371="","",VLOOKUP($D371,Cadastro!$C$4:$G$7,5,FALSE)),"")</f>
        <v>0.6</v>
      </c>
      <c r="J371" s="136">
        <f t="shared" si="86"/>
        <v>0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0</v>
      </c>
      <c r="I372" s="135">
        <f>IFERROR(IF($D372="","",VLOOKUP($D372,Cadastro!$C$4:$G$7,5,FALSE)),"")</f>
        <v>0.6</v>
      </c>
      <c r="J372" s="136">
        <f t="shared" si="86"/>
        <v>0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0</v>
      </c>
      <c r="I373" s="135">
        <f>IFERROR(IF($D373="","",VLOOKUP($D373,Cadastro!$C$4:$G$7,5,FALSE)),"")</f>
        <v>0.6</v>
      </c>
      <c r="J373" s="136">
        <f t="shared" si="86"/>
        <v>0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0</v>
      </c>
      <c r="I374" s="135">
        <f>IFERROR(IF($D374="","",VLOOKUP($D374,Cadastro!$C$4:$G$7,5,FALSE)),"")</f>
        <v>0.6</v>
      </c>
      <c r="J374" s="136">
        <f t="shared" si="86"/>
        <v>0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0</v>
      </c>
      <c r="I375" s="135">
        <f>IFERROR(IF($D375="","",VLOOKUP($D375,Cadastro!$C$4:$G$7,5,FALSE)),"")</f>
        <v>0.6</v>
      </c>
      <c r="J375" s="136">
        <f t="shared" si="86"/>
        <v>0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0</v>
      </c>
      <c r="I376" s="135">
        <f>IFERROR(IF($D376="","",VLOOKUP($D376,Cadastro!$C$4:$G$7,5,FALSE)),"")</f>
        <v>0.6</v>
      </c>
      <c r="J376" s="136">
        <f t="shared" si="86"/>
        <v>0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0</v>
      </c>
      <c r="I377" s="138">
        <f>IFERROR(IF($D377="","",VLOOKUP($D377,Cadastro!$C$4:$G$7,5,FALSE)),"")</f>
        <v>0.6</v>
      </c>
      <c r="J377" s="139">
        <f t="shared" si="86"/>
        <v>0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0</v>
      </c>
      <c r="I378" s="115"/>
      <c r="J378" s="124">
        <f>IFERROR(SUM(J366:J377),"")</f>
        <v>0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/>
      <c r="T378" s="119">
        <f>IFERROR(J378,"")</f>
        <v>0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885.12000000000012</v>
      </c>
      <c r="I379" s="116"/>
      <c r="J379" s="125">
        <f>IFERROR(J365+J378,"")</f>
        <v>185.87519999999998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885120</v>
      </c>
      <c r="T379" s="121">
        <f>IFERROR(J379,"")</f>
        <v>185.87519999999998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2026-08-15T10:49:50Z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