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91" documentId="13_ncr:1_{A6DBCFB4-28D9-4249-9038-216934055CA6}" xr6:coauthVersionLast="47" xr6:coauthVersionMax="47" xr10:uidLastSave="{7DA30A03-9CB8-4EB6-89F1-51E1E1D6DE40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<sst xmlns="http://schemas.openxmlformats.org/spreadsheetml/2006/main" count="10641" uniqueCount="434">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</sst>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39" sqref="F639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/>
      <c r="G641" s="69" t="str">
        <f>IF(F641="","",IF(#REF!="PC 17",F641*4.2,IF(#REF!="PC 19",F641*5,IF(#REF!="CB",F641*35,""))))</f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111</v>
      </c>
      <c r="G648" s="2">
        <f>SUM(G636:G647)</f>
        <v>555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517</v>
      </c>
      <c r="G649" s="1">
        <f>G635+G648</f>
        <v>2585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9" sqref="G639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0.83193935184681322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0.97082824073570095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1.0555504629579238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37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164.2</v>
      </c>
      <c r="L648" s="72"/>
      <c r="M648" s="72"/>
      <c r="N648" s="72"/>
      <c r="O648" s="72"/>
      <c r="P648" s="72"/>
      <c r="Q648" s="73">
        <f ca="1">IFERROR(SUM(Q636:Q647),"")</f>
        <v>3.819444444444442E-2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199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844.60000000000014</v>
      </c>
      <c r="L649" s="76"/>
      <c r="M649" s="76"/>
      <c r="N649" s="76"/>
      <c r="O649" s="76"/>
      <c r="P649" s="76"/>
      <c r="Q649" s="77">
        <f ca="1">IFERROR(Q635+Q648,"")</f>
        <v>0.10902777777777789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9" sqref="G639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26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118.80000000000001</v>
      </c>
      <c r="L648" s="72"/>
      <c r="M648" s="72"/>
      <c r="N648" s="72"/>
      <c r="O648" s="72"/>
      <c r="P648" s="72"/>
      <c r="Q648" s="73">
        <f ca="1">IFERROR(SUM(Q636:Q647),"")</f>
        <v>1.1111111111111072E-2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98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421.20000000000005</v>
      </c>
      <c r="L649" s="76"/>
      <c r="M649" s="76"/>
      <c r="N649" s="76"/>
      <c r="O649" s="76"/>
      <c r="P649" s="76"/>
      <c r="Q649" s="77">
        <f ca="1">IFERROR(Q635+Q648,"")</f>
        <v>6.458333333333327E-2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12" activePane="bottomLeft" state="frozen"/>
      <selection pane="bottomLeft" activeCell="N637" sqref="N637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/>
      <c r="Q637" s="71">
        <f t="shared" ca="1" si="168"/>
        <v>6.8935185117879882E-4</v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46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205.2</v>
      </c>
      <c r="L648" s="72"/>
      <c r="M648" s="72"/>
      <c r="N648" s="72"/>
      <c r="O648" s="134"/>
      <c r="P648" s="134"/>
      <c r="Q648" s="73">
        <f ca="1">IFERROR(SUM(Q636:Q647),"")</f>
        <v>2.4300462962289937E-2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287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1217.4000000000001</v>
      </c>
      <c r="L649" s="76"/>
      <c r="M649" s="76"/>
      <c r="N649" s="76"/>
      <c r="O649" s="135"/>
      <c r="P649" s="135"/>
      <c r="Q649" s="77">
        <f ca="1">IFERROR(Q635+Q648,"")</f>
        <v>9.3744907406734357E-2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2026-08-25T02:54:39Z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