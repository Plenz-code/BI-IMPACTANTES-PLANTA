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935" documentId="8_{C51EB6CB-002B-4D6B-B68F-DDEBDB4460C0}" xr6:coauthVersionLast="47" xr6:coauthVersionMax="47" xr10:uidLastSave="{48F4BA53-6AC0-4A4E-960D-87D7ABFAB726}"/>
  <bookViews>
    <workbookView xWindow="-108" yWindow="-108" windowWidth="23256" windowHeight="12456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6" i="1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<sst xmlns="http://schemas.openxmlformats.org/spreadsheetml/2006/main" count="2486" uniqueCount="264">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</sst>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7" sqref="G7: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6" t="s">
        <v>0</v>
      </c>
      <c r="B1" s="106"/>
      <c r="C1" s="106"/>
      <c r="D1" s="106"/>
      <c r="E1" s="106"/>
      <c r="F1" s="106"/>
      <c r="G1" s="106"/>
    </row>
    <row r="2" spans="1:7" ht="24.75" customHeight="1">
      <c r="A2" s="107"/>
      <c r="B2" s="107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8" t="s">
        <v>9</v>
      </c>
      <c r="B35" s="108"/>
      <c r="C35" s="13">
        <f>IFERROR(SUM(C4:C34),"")</f>
        <v>7779405</v>
      </c>
      <c r="D35" s="13">
        <f>IFERROR(SUM(D4:D34),"")</f>
        <v>2894080</v>
      </c>
      <c r="E35" s="13">
        <f>IFERROR(SUM(E4:E34),"")</f>
        <v>1608880</v>
      </c>
      <c r="F35" s="13">
        <f>IFERROR(SUM(F4:F34),"")</f>
        <v>3261670</v>
      </c>
      <c r="G35" s="13">
        <f>IFERROR(SUM(G4:G34),"")</f>
        <v>7764630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9" t="s">
        <v>10</v>
      </c>
      <c r="B1" s="109"/>
      <c r="C1" s="109"/>
      <c r="D1" s="109"/>
      <c r="E1" s="109"/>
      <c r="F1" s="109"/>
      <c r="G1" s="109"/>
      <c r="H1" s="110"/>
      <c r="I1" s="111" t="s">
        <v>11</v>
      </c>
      <c r="J1" s="111"/>
      <c r="K1" s="111"/>
      <c r="L1" s="111"/>
      <c r="M1" s="111"/>
    </row>
    <row r="2" spans="1:13" ht="4.5" customHeight="1">
      <c r="H2" s="110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0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0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0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0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0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0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0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0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0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0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0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0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0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0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0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0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0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0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0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0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0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0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0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0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0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0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0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0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0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0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0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0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0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0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0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0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0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0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0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0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0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0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0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0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0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0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0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0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0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0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0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0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0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0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0"/>
      <c r="I57" s="17"/>
      <c r="J57" s="17"/>
      <c r="K57" s="17" t="s">
        <v>50</v>
      </c>
      <c r="L57" s="17"/>
      <c r="M57" s="17"/>
    </row>
    <row r="58" spans="1:13" ht="15" customHeight="1">
      <c r="H58" s="110"/>
      <c r="I58" s="16"/>
      <c r="J58" s="16"/>
      <c r="K58" s="16" t="s">
        <v>204</v>
      </c>
      <c r="L58" s="16"/>
      <c r="M58" s="16"/>
    </row>
    <row r="59" spans="1:13" ht="15" customHeight="1">
      <c r="H59" s="110"/>
      <c r="I59" s="17"/>
      <c r="J59" s="17"/>
      <c r="K59" s="17" t="s">
        <v>205</v>
      </c>
      <c r="L59" s="17"/>
      <c r="M59" s="17"/>
    </row>
    <row r="60" spans="1:13" ht="15" customHeight="1">
      <c r="H60" s="110"/>
      <c r="I60" s="16"/>
      <c r="J60" s="16"/>
      <c r="K60" s="86" t="s">
        <v>105</v>
      </c>
      <c r="L60" s="16"/>
      <c r="M60" s="16"/>
    </row>
    <row r="61" spans="1:13" ht="15" customHeight="1">
      <c r="H61" s="110"/>
      <c r="I61" s="17"/>
      <c r="J61" s="17"/>
      <c r="K61" s="17" t="s">
        <v>206</v>
      </c>
      <c r="L61" s="17"/>
      <c r="M61" s="17"/>
    </row>
    <row r="62" spans="1:13" ht="15" customHeight="1">
      <c r="H62" s="110"/>
      <c r="I62" s="16"/>
      <c r="J62" s="16"/>
      <c r="K62" s="16" t="s">
        <v>207</v>
      </c>
      <c r="L62" s="16"/>
      <c r="M62" s="16"/>
    </row>
    <row r="63" spans="1:13" ht="15" customHeight="1">
      <c r="H63" s="110"/>
      <c r="I63" s="17"/>
      <c r="J63" s="17"/>
      <c r="K63" s="17" t="s">
        <v>208</v>
      </c>
      <c r="L63" s="17"/>
      <c r="M63" s="17"/>
    </row>
    <row r="64" spans="1:13" ht="15" customHeight="1">
      <c r="H64" s="110"/>
      <c r="I64" s="16"/>
      <c r="J64" s="16"/>
      <c r="K64" s="16" t="s">
        <v>209</v>
      </c>
      <c r="L64" s="16"/>
      <c r="M64" s="16"/>
    </row>
    <row r="65" spans="8:13" ht="15" customHeight="1">
      <c r="H65" s="110"/>
      <c r="I65" s="17"/>
      <c r="J65" s="17"/>
      <c r="K65" s="17" t="s">
        <v>210</v>
      </c>
      <c r="L65" s="17"/>
      <c r="M65" s="17"/>
    </row>
    <row r="66" spans="8:13" ht="15" customHeight="1">
      <c r="H66" s="110"/>
      <c r="I66" s="16"/>
      <c r="J66" s="16"/>
      <c r="K66" s="16" t="s">
        <v>211</v>
      </c>
      <c r="L66" s="16"/>
      <c r="M66" s="16"/>
    </row>
    <row r="67" spans="8:13" ht="15" customHeight="1">
      <c r="H67" s="110"/>
      <c r="I67" s="17"/>
      <c r="J67" s="17"/>
      <c r="K67" s="17" t="s">
        <v>212</v>
      </c>
      <c r="L67" s="17"/>
      <c r="M67" s="17"/>
    </row>
    <row r="68" spans="8:13" ht="15" customHeight="1">
      <c r="H68" s="110"/>
      <c r="I68" s="16"/>
      <c r="J68" s="16"/>
      <c r="K68" s="16" t="s">
        <v>213</v>
      </c>
      <c r="L68" s="16"/>
      <c r="M68" s="16"/>
    </row>
    <row r="69" spans="8:13" ht="15" customHeight="1">
      <c r="H69" s="110"/>
      <c r="I69" s="17"/>
      <c r="J69" s="17"/>
      <c r="K69" s="17" t="s">
        <v>214</v>
      </c>
      <c r="L69" s="17"/>
      <c r="M69" s="17"/>
    </row>
    <row r="70" spans="8:13" ht="15" customHeight="1">
      <c r="H70" s="110"/>
      <c r="I70" s="16"/>
      <c r="J70" s="16"/>
      <c r="K70" s="16" t="s">
        <v>215</v>
      </c>
      <c r="L70" s="16"/>
      <c r="M70" s="16"/>
    </row>
    <row r="71" spans="8:13" ht="15" customHeight="1">
      <c r="H71" s="110"/>
      <c r="I71" s="17"/>
      <c r="J71" s="17"/>
      <c r="K71" s="17" t="s">
        <v>216</v>
      </c>
      <c r="L71" s="17"/>
      <c r="M71" s="17"/>
    </row>
    <row r="72" spans="8:13" ht="15" customHeight="1">
      <c r="H72" s="110"/>
      <c r="I72" s="16"/>
      <c r="J72" s="16"/>
      <c r="K72" s="16" t="s">
        <v>217</v>
      </c>
      <c r="L72" s="16"/>
      <c r="M72" s="16"/>
    </row>
    <row r="73" spans="8:13" ht="15" customHeight="1">
      <c r="H73" s="110"/>
      <c r="I73" s="17"/>
      <c r="J73" s="17"/>
      <c r="K73" s="17"/>
      <c r="L73" s="17"/>
      <c r="M73" s="17"/>
    </row>
    <row r="74" spans="8:13" ht="15" customHeight="1">
      <c r="H74" s="110"/>
      <c r="I74" s="16"/>
      <c r="J74" s="16"/>
      <c r="K74" s="16"/>
      <c r="L74" s="16"/>
      <c r="M74" s="16"/>
    </row>
    <row r="75" spans="8:13" ht="15" customHeight="1">
      <c r="H75" s="110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63" activePane="bottomLeft" state="frozen"/>
      <selection pane="bottomLeft" activeCell="F94" sqref="F9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228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228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228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228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228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228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236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230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228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228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237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228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228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228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228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228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228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228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228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228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228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230</v>
      </c>
      <c r="O81" s="39">
        <v>1547910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234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228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228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228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238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228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228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228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228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228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228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228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228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228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294</v>
      </c>
      <c r="G95" s="36">
        <f>SUM(G83:G94)</f>
        <v>1470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294</v>
      </c>
      <c r="G109" s="40">
        <f>G95+G108</f>
        <v>1470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12" t="s">
        <v>233</v>
      </c>
      <c r="B811" s="113"/>
      <c r="C811" s="113"/>
      <c r="D811" s="113"/>
      <c r="E811" s="114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tabSelected="1" zoomScale="50" zoomScaleNormal="50" workbookViewId="0">
      <pane ySplit="1" topLeftCell="A66" activePane="bottomLeft" state="frozen"/>
      <selection pane="bottomLeft" activeCell="L88" sqref="L88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240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241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242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239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239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239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243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244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239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239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239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239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239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245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239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246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239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239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247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239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0.63258530092571164</v>
      </c>
      <c r="N53" s="46" t="s">
        <v>248</v>
      </c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0.77147418981460048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0.85619641203682284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239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239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239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239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239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240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230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146</v>
      </c>
      <c r="J69" s="26" t="s">
        <v>182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14</v>
      </c>
      <c r="G70" s="28">
        <f t="shared" si="15"/>
        <v>58.800000000000004</v>
      </c>
      <c r="H70" s="26" t="s">
        <v>17</v>
      </c>
      <c r="I70" s="26" t="s">
        <v>132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239</v>
      </c>
      <c r="F71" s="27">
        <v>1</v>
      </c>
      <c r="G71" s="34">
        <f t="shared" si="15"/>
        <v>4.2</v>
      </c>
      <c r="H71" s="33" t="s">
        <v>20</v>
      </c>
      <c r="I71" s="33" t="s">
        <v>154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239</v>
      </c>
      <c r="F72" s="27">
        <v>5</v>
      </c>
      <c r="G72" s="28">
        <f t="shared" si="15"/>
        <v>21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239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239</v>
      </c>
      <c r="F74" s="27">
        <v>19</v>
      </c>
      <c r="G74" s="28">
        <f t="shared" si="15"/>
        <v>79.8</v>
      </c>
      <c r="H74" s="26" t="s">
        <v>20</v>
      </c>
      <c r="I74" s="26" t="s">
        <v>154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239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239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197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249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239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239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239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239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230</v>
      </c>
      <c r="O81" s="54">
        <v>634210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234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250</v>
      </c>
      <c r="E83" s="59" t="s">
        <v>239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135</v>
      </c>
      <c r="J83" s="33" t="s">
        <v>206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14</v>
      </c>
      <c r="G87" s="28">
        <f t="shared" si="18"/>
        <v>58.800000000000004</v>
      </c>
      <c r="H87" s="33" t="s">
        <v>18</v>
      </c>
      <c r="I87" s="33" t="s">
        <v>135</v>
      </c>
      <c r="J87" s="33" t="s">
        <v>115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92</v>
      </c>
      <c r="G95" s="36">
        <f>SUM(G83:G94)</f>
        <v>386.4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230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92</v>
      </c>
      <c r="G109" s="40">
        <f>G95+G108</f>
        <v>386.4</v>
      </c>
      <c r="H109" s="41"/>
      <c r="I109" s="41"/>
      <c r="J109" s="41"/>
      <c r="K109" s="41"/>
      <c r="L109" s="41"/>
      <c r="M109" s="42">
        <f ca="1">IFERROR(M95+M108,"")</f>
        <v>0.21666666666666673</v>
      </c>
      <c r="N109" s="40" t="s">
        <v>234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5" t="s">
        <v>229</v>
      </c>
      <c r="B230" s="116"/>
      <c r="C230" s="116"/>
      <c r="D230" s="116"/>
      <c r="E230" s="117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65" zoomScale="50" zoomScaleNormal="50" workbookViewId="0">
      <selection activeCell="F94" sqref="F9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251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239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239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239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243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239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252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239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239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239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239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239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239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239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239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239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239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239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239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239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239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239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239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239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239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239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249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251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239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239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239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239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239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239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239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251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239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239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239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239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239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239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239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253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239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239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239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239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239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230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254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9</v>
      </c>
      <c r="G70" s="28">
        <f t="shared" si="15"/>
        <v>37.800000000000004</v>
      </c>
      <c r="H70" s="26" t="s">
        <v>20</v>
      </c>
      <c r="I70" s="26" t="s">
        <v>146</v>
      </c>
      <c r="J70" s="26" t="s">
        <v>182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239</v>
      </c>
      <c r="F71" s="27">
        <v>9</v>
      </c>
      <c r="G71" s="34">
        <f t="shared" si="15"/>
        <v>37.800000000000004</v>
      </c>
      <c r="H71" s="33" t="s">
        <v>20</v>
      </c>
      <c r="I71" s="33" t="s">
        <v>154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239</v>
      </c>
      <c r="F72" s="27">
        <v>0</v>
      </c>
      <c r="G72" s="28">
        <f t="shared" si="15"/>
        <v>0</v>
      </c>
      <c r="H72" s="26" t="s">
        <v>20</v>
      </c>
      <c r="I72" s="26" t="s">
        <v>154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239</v>
      </c>
      <c r="F73" s="27">
        <v>7</v>
      </c>
      <c r="G73" s="34">
        <f t="shared" si="15"/>
        <v>29.400000000000002</v>
      </c>
      <c r="H73" s="33" t="s">
        <v>20</v>
      </c>
      <c r="I73" s="33" t="s">
        <v>154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239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230</v>
      </c>
      <c r="O81" s="39">
        <v>185920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234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255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0</v>
      </c>
      <c r="G84" s="34">
        <f t="shared" si="18"/>
        <v>0</v>
      </c>
      <c r="H84" s="26" t="s">
        <v>18</v>
      </c>
      <c r="I84" s="26" t="s">
        <v>135</v>
      </c>
      <c r="J84" s="26" t="s">
        <v>115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256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46</v>
      </c>
      <c r="G95" s="36">
        <f>SUM(G83:G94)</f>
        <v>193.2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46</v>
      </c>
      <c r="G109" s="40">
        <f>G95+G108</f>
        <v>193.2</v>
      </c>
      <c r="H109" s="41"/>
      <c r="I109" s="41"/>
      <c r="J109" s="41"/>
      <c r="K109" s="41"/>
      <c r="L109" s="41"/>
      <c r="M109" s="42">
        <f ca="1">IFERROR(M95+M108,"")</f>
        <v>0.15625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58" activePane="bottomLeft" state="frozen"/>
      <selection pane="bottomLeft" activeCell="F94" sqref="F9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239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239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239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239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239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239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239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239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239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239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239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239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239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239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257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239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246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239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251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239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258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239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239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239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259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239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239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239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239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229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239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239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239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239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260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239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239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239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239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239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239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239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239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239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239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261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127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262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230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213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263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127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251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203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239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230</v>
      </c>
      <c r="O81" s="39">
        <v>612410</v>
      </c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234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159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239</v>
      </c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168</v>
      </c>
      <c r="G95" s="36">
        <f>SUM(G83:G94)</f>
        <v>705.6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168</v>
      </c>
      <c r="G109" s="40">
        <f>G95+G108</f>
        <v>705.6</v>
      </c>
      <c r="H109" s="41"/>
      <c r="I109" s="41"/>
      <c r="J109" s="41"/>
      <c r="K109" s="63"/>
      <c r="L109" s="63"/>
      <c r="M109" s="42">
        <f ca="1">IFERROR(M95+M108,"")</f>
        <v>4.0972222222222132E-2</v>
      </c>
      <c r="N109" s="40" t="s">
        <v>234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229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92:E392"/>
    <mergeCell ref="A311:E311"/>
    <mergeCell ref="A324:E324"/>
    <mergeCell ref="A325:E325"/>
    <mergeCell ref="A338:E338"/>
    <mergeCell ref="A351:E351"/>
    <mergeCell ref="A297:E297"/>
    <mergeCell ref="A298:E298"/>
    <mergeCell ref="A352:E352"/>
    <mergeCell ref="A378:E378"/>
    <mergeCell ref="A379:E379"/>
    <mergeCell ref="A244:E244"/>
    <mergeCell ref="A257:E257"/>
    <mergeCell ref="A270:E270"/>
    <mergeCell ref="A271:E271"/>
    <mergeCell ref="A284:E284"/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2026-08-04T22:06:29Z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