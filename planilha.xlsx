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86" documentId="13_ncr:1_{0A10D8D4-8450-4366-8075-B53B08E6B7EA}" xr6:coauthVersionLast="47" xr6:coauthVersionMax="47" xr10:uidLastSave="{C578629C-2CDB-4A4A-BC7A-9073C8F3F98E}"/>
  <bookViews>
    <workbookView xWindow="-120" yWindow="-12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4" i="6" l="1"/>
  <c r="J484" i="6" s="1"/>
  <c r="H485" i="6"/>
  <c r="J485" i="6" s="1"/>
  <c r="H484" i="5"/>
  <c r="J484" i="5" s="1"/>
  <c r="H485" i="5"/>
  <c r="J485" i="5" s="1"/>
  <c r="H484" i="4"/>
  <c r="J484" i="4" s="1"/>
  <c r="H485" i="4"/>
  <c r="J485" i="4" s="1"/>
  <c r="H482" i="5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<sst xmlns="http://schemas.openxmlformats.org/spreadsheetml/2006/main" count="8159" uniqueCount="382">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</sst>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4083060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67918850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O487" sqref="O487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>
        <v>30</v>
      </c>
      <c r="G484" s="28">
        <f t="shared" si="101"/>
        <v>150</v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>
        <v>28</v>
      </c>
      <c r="G485" s="34">
        <f t="shared" si="101"/>
        <v>140</v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363</v>
      </c>
      <c r="G486" s="36">
        <f>SUM(G474:G485)</f>
        <v>1815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>
        <v>1798670</v>
      </c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710</v>
      </c>
      <c r="G487" s="40">
        <f>G473+G486</f>
        <v>3550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4083060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G486" sqref="G486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0.16707349536591209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0.30596238425480099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0.3906846064770233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20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16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8"/>
        <v>0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18</v>
      </c>
      <c r="H484" s="134">
        <f>IFERROR(IF($G484="","",$G484*$S$486/$G$486/Cadastro!$E$33),"")</f>
        <v>0</v>
      </c>
      <c r="I484" s="135">
        <f>IFERROR(IF($D484="","",VLOOKUP($D484,Cadastro!$C$4:$G$7,5,FALSE)),"")</f>
        <v>0.6</v>
      </c>
      <c r="J484" s="136">
        <f t="shared" si="118"/>
        <v>0</v>
      </c>
      <c r="K484" s="28">
        <f t="shared" si="119"/>
        <v>75.600000000000009</v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>
        <v>8</v>
      </c>
      <c r="H485" s="137">
        <f>IFERROR(IF($G485="","",$G485*$S$486/$G$486/Cadastro!$E$33),"")</f>
        <v>0</v>
      </c>
      <c r="I485" s="138">
        <f>IFERROR(IF($D485="","",VLOOKUP($D485,Cadastro!$C$4:$G$7,5,FALSE)),"")</f>
        <v>0.6</v>
      </c>
      <c r="J485" s="139">
        <f t="shared" si="118"/>
        <v>0</v>
      </c>
      <c r="K485" s="34">
        <f t="shared" si="119"/>
        <v>33.6</v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164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688.80000000000007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357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1499.4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58" activePane="bottomLeft" state="frozen"/>
      <selection pane="bottomLeft" activeCell="G486" sqref="G48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 t="s">
        <v>292</v>
      </c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 t="s">
        <v>27</v>
      </c>
      <c r="M476" s="26" t="s">
        <v>166</v>
      </c>
      <c r="N476" s="26" t="s">
        <v>81</v>
      </c>
      <c r="O476" s="29">
        <v>0.24583333333333332</v>
      </c>
      <c r="P476" s="29">
        <v>0.24930555555555556</v>
      </c>
      <c r="Q476" s="30">
        <f t="shared" ca="1" si="118"/>
        <v>3.4722222222222376E-3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 t="s">
        <v>25</v>
      </c>
      <c r="M477" s="33" t="s">
        <v>54</v>
      </c>
      <c r="N477" s="33" t="s">
        <v>138</v>
      </c>
      <c r="O477" s="29">
        <v>0.25833333333333336</v>
      </c>
      <c r="P477" s="29">
        <v>0.26805555555555555</v>
      </c>
      <c r="Q477" s="35">
        <f t="shared" ca="1" si="118"/>
        <v>9.7222222222221877E-3</v>
      </c>
      <c r="R477" s="27" t="s">
        <v>346</v>
      </c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6"/>
        <v>0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6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6"/>
        <v>0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3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6"/>
        <v>0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3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6"/>
        <v>0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7</v>
      </c>
      <c r="H484" s="134">
        <f>IFERROR(IF($G484="","",$G484*$S$486/$G$486/Cadastro!$E$33),"")</f>
        <v>0</v>
      </c>
      <c r="I484" s="135">
        <f>IFERROR(IF($D484="","",VLOOKUP($D484,Cadastro!$C$4:$G$7,5,FALSE)),"")</f>
        <v>0.6</v>
      </c>
      <c r="J484" s="136">
        <f t="shared" si="116"/>
        <v>0</v>
      </c>
      <c r="K484" s="28">
        <f t="shared" si="117"/>
        <v>29.400000000000002</v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>
        <v>3</v>
      </c>
      <c r="H485" s="137">
        <f>IFERROR(IF($G485="","",$G485*$S$486/$G$486/Cadastro!$E$33),"")</f>
        <v>0</v>
      </c>
      <c r="I485" s="138">
        <f>IFERROR(IF($D485="","",VLOOKUP($D485,Cadastro!$C$4:$G$7,5,FALSE)),"")</f>
        <v>0.6</v>
      </c>
      <c r="J485" s="139">
        <f t="shared" si="116"/>
        <v>0</v>
      </c>
      <c r="K485" s="34">
        <f t="shared" si="117"/>
        <v>12.600000000000001</v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59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247.8</v>
      </c>
      <c r="L486" s="37"/>
      <c r="M486" s="37"/>
      <c r="N486" s="37"/>
      <c r="O486" s="37"/>
      <c r="P486" s="37"/>
      <c r="Q486" s="38">
        <f ca="1">IFERROR(SUM(Q474:Q485),"")</f>
        <v>9.791666666666668E-2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125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525</v>
      </c>
      <c r="L487" s="41"/>
      <c r="M487" s="41"/>
      <c r="N487" s="41"/>
      <c r="O487" s="41"/>
      <c r="P487" s="41"/>
      <c r="Q487" s="42">
        <f ca="1">IFERROR(Q473+Q486,"")</f>
        <v>0.38958333333333328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59" activePane="bottomLeft" state="frozen"/>
      <selection pane="bottomLeft" activeCell="G486" sqref="G48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350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360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370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380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374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381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 t="s">
        <v>25</v>
      </c>
      <c r="M479" s="33" t="s">
        <v>64</v>
      </c>
      <c r="N479" s="33" t="s">
        <v>138</v>
      </c>
      <c r="O479" s="29">
        <v>0.22430555555555556</v>
      </c>
      <c r="P479" s="29">
        <v>0.24027777777777778</v>
      </c>
      <c r="Q479" s="35">
        <f t="shared" ca="1" si="120"/>
        <v>1.5972222222222221E-2</v>
      </c>
      <c r="R479" s="27" t="s">
        <v>346</v>
      </c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26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10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8"/>
        <v>0</v>
      </c>
      <c r="K483" s="34">
        <f t="shared" si="119"/>
        <v>42</v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14</v>
      </c>
      <c r="H484" s="134">
        <f>IFERROR(IF($G484="","",$G484*$S$486/$G$486/Cadastro!$E$33),"")</f>
        <v>0</v>
      </c>
      <c r="I484" s="135">
        <f>IFERROR(IF($D484="","",VLOOKUP($D484,Cadastro!$C$4:$G$7,5,FALSE)),"")</f>
        <v>0.6</v>
      </c>
      <c r="J484" s="136">
        <f t="shared" si="118"/>
        <v>0</v>
      </c>
      <c r="K484" s="28">
        <f t="shared" si="119"/>
        <v>58.800000000000004</v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>
        <v>10</v>
      </c>
      <c r="H485" s="137">
        <f>IFERROR(IF($G485="","",$G485*$S$486/$G$486/Cadastro!$E$33),"")</f>
        <v>0</v>
      </c>
      <c r="I485" s="138">
        <f>IFERROR(IF($D485="","",VLOOKUP($D485,Cadastro!$C$4:$G$7,5,FALSE)),"")</f>
        <v>0.6</v>
      </c>
      <c r="J485" s="139">
        <f t="shared" si="118"/>
        <v>0</v>
      </c>
      <c r="K485" s="34">
        <f t="shared" si="119"/>
        <v>42</v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151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634.19999999999993</v>
      </c>
      <c r="L486" s="37"/>
      <c r="M486" s="37"/>
      <c r="N486" s="37"/>
      <c r="O486" s="61"/>
      <c r="P486" s="61"/>
      <c r="Q486" s="38">
        <f ca="1">IFERROR(SUM(Q474:Q485),"")</f>
        <v>0.15833333333333338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305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1281</v>
      </c>
      <c r="L487" s="41"/>
      <c r="M487" s="41"/>
      <c r="N487" s="41"/>
      <c r="O487" s="63"/>
      <c r="P487" s="63"/>
      <c r="Q487" s="42">
        <f ca="1">IFERROR(Q473+Q486,"")</f>
        <v>0.45138888888888873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2026-08-19T10:55:57Z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