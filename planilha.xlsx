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26" documentId="8_{AF585B22-221D-4780-BB9C-493D365A6A02}" xr6:coauthVersionLast="47" xr6:coauthVersionMax="47" xr10:uidLastSave="{654A2020-BCCD-4C35-9450-84809BB63C5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<sst xmlns="http://schemas.openxmlformats.org/spreadsheetml/2006/main" count="9674" uniqueCount="384">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</sst>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35" sqref="F6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J625" sqref="J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0.52144328703434439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0.67908217592323328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0.78880439814545544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0.49991550925915362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0.67074884259248702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0.81588773148137594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/>
      <c r="M625" s="35">
        <f t="shared" ref="M625:M634" ca="1" si="140">IFERROR(IF(K625="","",IF(L625="",MOD(NOW()-K625,1),IF(L625&gt;=K625,L625-K625,L625+1-K625))),"")</f>
        <v>8.2488425905467011E-3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91</v>
      </c>
      <c r="G635" s="36">
        <f>SUM(G623:G634)</f>
        <v>382.2</v>
      </c>
      <c r="H635" s="37"/>
      <c r="I635" s="37"/>
      <c r="J635" s="37"/>
      <c r="K635" s="37"/>
      <c r="L635" s="37"/>
      <c r="M635" s="38">
        <f ca="1">IFERROR(SUM(M623:M634),"")</f>
        <v>0.96658217592387985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91</v>
      </c>
      <c r="G649" s="40">
        <f>G635+G648</f>
        <v>382.2</v>
      </c>
      <c r="H649" s="41"/>
      <c r="I649" s="41"/>
      <c r="J649" s="41"/>
      <c r="K649" s="41"/>
      <c r="L649" s="41"/>
      <c r="M649" s="42">
        <f ca="1">IFERROR(M635+M648,"")</f>
        <v>0.96658217592387985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4" sqref="F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144</v>
      </c>
      <c r="G635" s="36">
        <f>SUM(G623:G634)</f>
        <v>604.79999999999995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144</v>
      </c>
      <c r="G649" s="40">
        <f>G635+G648</f>
        <v>604.79999999999995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34" sqref="F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0.51172106481681112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0.71102662037236675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1.0783877314834778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7.2832175923394971E-2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0.14574884259006177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0.14574884259006177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