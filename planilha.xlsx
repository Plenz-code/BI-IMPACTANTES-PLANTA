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19" documentId="8_{AF585B22-221D-4780-BB9C-493D365A6A02}" xr6:coauthVersionLast="47" xr6:coauthVersionMax="47" xr10:uidLastSave="{9247EF72-F03D-448A-989D-463A0655917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<sst xmlns="http://schemas.openxmlformats.org/spreadsheetml/2006/main" count="6100" uniqueCount="315">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</sst>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28</v>
      </c>
      <c r="G378" s="36">
        <f>SUM(G366:G377)</f>
        <v>140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303</v>
      </c>
      <c r="G379" s="40">
        <f>G365+G378</f>
        <v>1515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L369" sqref="L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33</v>
      </c>
      <c r="G378" s="36">
        <f>SUM(G366:G377)</f>
        <v>138.60000000000002</v>
      </c>
      <c r="H378" s="37"/>
      <c r="I378" s="37"/>
      <c r="J378" s="37"/>
      <c r="K378" s="37"/>
      <c r="L378" s="37"/>
      <c r="M378" s="38">
        <f ca="1">IFERROR(SUM(M366:M377),"")</f>
        <v>4.3055555555555514E-2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191</v>
      </c>
      <c r="G379" s="40">
        <f>G365+G378</f>
        <v>802.2</v>
      </c>
      <c r="H379" s="41"/>
      <c r="I379" s="41"/>
      <c r="J379" s="41"/>
      <c r="K379" s="41"/>
      <c r="L379" s="41"/>
      <c r="M379" s="42">
        <f ca="1">IFERROR(M365+M378,"")</f>
        <v>0.15277777777777768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F368" sqref="F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23</v>
      </c>
      <c r="G378" s="36">
        <f>SUM(G366:G377)</f>
        <v>96.600000000000009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32</v>
      </c>
      <c r="G379" s="40">
        <f>G365+G378</f>
        <v>134.4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L370" sqref="L3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0.65896006944967667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0.85826562500523229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1.2256267361163433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/>
      <c r="G368" s="28" t="str">
        <f t="shared" si="81"/>
        <v/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 t="s">
        <v>236</v>
      </c>
      <c r="F369" s="27"/>
      <c r="G369" s="34" t="str">
        <f t="shared" si="81"/>
        <v/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32</v>
      </c>
      <c r="G378" s="36">
        <f>SUM(G366:G377)</f>
        <v>134.4</v>
      </c>
      <c r="H378" s="37"/>
      <c r="I378" s="37"/>
      <c r="J378" s="37"/>
      <c r="K378" s="61"/>
      <c r="L378" s="61"/>
      <c r="M378" s="38">
        <f ca="1">IFERROR(SUM(M366:M377),"")</f>
        <v>2.0833333333333259E-2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157</v>
      </c>
      <c r="G379" s="40">
        <f>G365+G378</f>
        <v>659.4</v>
      </c>
      <c r="H379" s="41"/>
      <c r="I379" s="41"/>
      <c r="J379" s="41"/>
      <c r="K379" s="63"/>
      <c r="L379" s="63"/>
      <c r="M379" s="42">
        <f ca="1">IFERROR(M365+M378,"")</f>
        <v>0.12569444444444444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2026-07-15T01:48:12Z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