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41" documentId="13_ncr:1_{0A10D8D4-8450-4366-8075-B53B08E6B7EA}" xr6:coauthVersionLast="47" xr6:coauthVersionMax="47" xr10:uidLastSave="{4D294ED2-30F3-401A-AB3C-DE2FB22B3E88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88" i="5"/>
  <c r="J488" i="5" s="1"/>
  <c r="H489" i="5"/>
  <c r="J489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00" i="5" l="1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12" i="5" l="1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<sst xmlns="http://schemas.openxmlformats.org/spreadsheetml/2006/main" count="8306" uniqueCount="382">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</sst>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J488" sqref="J48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/>
      <c r="G488" s="28" t="str">
        <f t="shared" ref="G488:G499" si="104">IF(F488="","",IF(E488="PC 17",F488*4.2,IF(E488="PC 19",F488*5,IF(E488="CB",F488*35,""))))</f>
        <v/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/>
      <c r="M488" s="30">
        <f t="shared" ref="M488:M499" ca="1" si="105">IFERROR(IF(K488="","",IF(L488="",MOD(NOW()-K488,1),IF(L488&gt;=K488,L488-K488,L488+1-K488))),"")</f>
        <v>8.2569444202817976E-4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8.2569444202817976E-4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8.2569444202817976E-4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8" sqref="G48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0.19040902777487645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0.32929791666376534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0.41402013888598765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88" sqref="G48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88" sqref="G48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2026-08-19T11:30:55Z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