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28" documentId="8_{AF585B22-221D-4780-BB9C-493D365A6A02}" xr6:coauthVersionLast="47" xr6:coauthVersionMax="47" xr10:uidLastSave="{7ED434CD-D9AF-4B18-B45F-109077C4BBCD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<sst xmlns="http://schemas.openxmlformats.org/spreadsheetml/2006/main" count="12382" uniqueCount="443">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</sst>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G821" sqref="G8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98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98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0.15972222222222221</v>
      </c>
      <c r="N838" s="111" t="s">
        <v>240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84" activePane="bottomLeft" state="frozen"/>
      <selection pane="bottomLeft" activeCell="J816" sqref="J8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0.49203680555365281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0.6496756944425417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0.75939791666476386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0.47050902777846204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0.64134236111179543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0.78648125000068436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/>
      <c r="M816" s="78">
        <f ca="1">IFERROR(IF(K816="","",IF(L816="",MOD(NOW()-K816,1),IF(L816&gt;=K816,L816-K816,L816+1-K816))),"")</f>
        <v>1.7590277784620412E-3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161</v>
      </c>
      <c r="G824" s="109">
        <f>SUM(G812:G823)</f>
        <v>676.2</v>
      </c>
      <c r="H824" s="37"/>
      <c r="I824" s="37"/>
      <c r="J824" s="37"/>
      <c r="K824" s="37"/>
      <c r="L824" s="37"/>
      <c r="M824" s="110">
        <f ca="1">IFERROR(SUM(M812:M823),"")</f>
        <v>7.5370138889573168E-2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161</v>
      </c>
      <c r="G838" s="111">
        <f>G824+G837</f>
        <v>676.2</v>
      </c>
      <c r="H838" s="41"/>
      <c r="I838" s="41"/>
      <c r="J838" s="41"/>
      <c r="K838" s="41"/>
      <c r="L838" s="41"/>
      <c r="M838" s="112">
        <f ca="1">IFERROR(M824+M837,"")</f>
        <v>7.5370138889573168E-2</v>
      </c>
      <c r="N838" s="111" t="s">
        <v>240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788" zoomScale="50" zoomScaleNormal="50" workbookViewId="0">
      <selection activeCell="J813" sqref="J8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/>
      <c r="M813" s="79">
        <f ca="1">IFERROR(IF(K813="","",IF(L813="",MOD(NOW()-K813,1),IF(L813&gt;=K813,L813-K813,L813+1-K813))),"")</f>
        <v>1.7590277784620412E-3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90</v>
      </c>
      <c r="G824" s="109">
        <f>SUM(G812:G823)</f>
        <v>377.99999999999994</v>
      </c>
      <c r="H824" s="37"/>
      <c r="I824" s="37"/>
      <c r="J824" s="37"/>
      <c r="K824" s="37"/>
      <c r="L824" s="37"/>
      <c r="M824" s="110">
        <f ca="1">IFERROR(SUM(M812:M823),"")</f>
        <v>2.8147916667350947E-2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90</v>
      </c>
      <c r="G838" s="111">
        <f>G824+G837</f>
        <v>377.99999999999994</v>
      </c>
      <c r="H838" s="41"/>
      <c r="I838" s="41"/>
      <c r="J838" s="41"/>
      <c r="K838" s="41"/>
      <c r="L838" s="41"/>
      <c r="M838" s="112">
        <f ca="1">IFERROR(M824+M837,"")</f>
        <v>2.8147916667350947E-2</v>
      </c>
      <c r="N838" s="111" t="s">
        <v>240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22" sqref="F8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0.48231458333611954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0.68162013889167516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1.0489812500027862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106</v>
      </c>
      <c r="G824" s="109">
        <f>SUM(G812:G823)</f>
        <v>445.20000000000005</v>
      </c>
      <c r="H824" s="37"/>
      <c r="I824" s="37"/>
      <c r="J824" s="37"/>
      <c r="K824" s="37"/>
      <c r="L824" s="37"/>
      <c r="M824" s="110">
        <f ca="1">IFERROR(SUM(M812:M823),"")</f>
        <v>9.5138888888888884E-2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106</v>
      </c>
      <c r="G838" s="111">
        <f>G824+G837</f>
        <v>445.20000000000005</v>
      </c>
      <c r="H838" s="41"/>
      <c r="I838" s="41"/>
      <c r="J838" s="41"/>
      <c r="K838" s="41"/>
      <c r="L838" s="41"/>
      <c r="M838" s="112">
        <f ca="1">IFERROR(M824+M837,"")</f>
        <v>9.5138888888888884E-2</v>
      </c>
      <c r="N838" s="111" t="s">
        <v>240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2026-07-31T21:33:40Z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