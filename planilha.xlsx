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723" documentId="13_ncr:1_{0A10D8D4-8450-4366-8075-B53B08E6B7EA}" xr6:coauthVersionLast="47" xr6:coauthVersionMax="47" xr10:uidLastSave="{EC76B4CC-9C46-4921-AAC8-6E94C9C33ADF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0" i="5" l="1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<sst xmlns="http://schemas.openxmlformats.org/spreadsheetml/2006/main" count="6798" uniqueCount="351">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</sst>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D398" sqref="D39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280</v>
      </c>
      <c r="G406" s="40">
        <f>G392+G405</f>
        <v>1415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D394" sqref="D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0.70092557869793382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0.83981446758682265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0.92453668980904502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/>
      <c r="F393" s="140">
        <f>IFERROR(IF($D393="","",VLOOKUP($D393,Cadastro!$C$4:$E$7,3,FALSE)),"")</f>
        <v>0.35</v>
      </c>
      <c r="G393" s="105"/>
      <c r="H393" s="140" t="str">
        <f>IFERROR(IF($G393="","",$G393*$S$405/$G$405/Cadastro!$E$33),"")</f>
        <v/>
      </c>
      <c r="I393" s="141">
        <f>IFERROR(IF($D393="","",VLOOKUP($D393,Cadastro!$C$4:$G$7,5,FALSE)),"")</f>
        <v>0.6</v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697.20000000000016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69" activePane="bottomLeft" state="frozen"/>
      <selection pane="bottomLeft" activeCell="D393" sqref="D39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/>
      <c r="F393" s="140">
        <f>IFERROR(IF($D393="","",VLOOKUP($D393,Cadastro!$C$4:$E$7,3,FALSE)),"")</f>
        <v>0.35</v>
      </c>
      <c r="G393" s="105"/>
      <c r="H393" s="140" t="str">
        <f>IFERROR(IF($G393="","",$G393*$S$405/$G$405/Cadastro!$E$33),"")</f>
        <v/>
      </c>
      <c r="I393" s="141">
        <f>IFERROR(IF($D393="","",VLOOKUP($D393,Cadastro!$C$4:$G$7,5,FALSE)),"")</f>
        <v>0.6</v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92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357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S393" sqref="S39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0.19467557869938901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0.25925891203272228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140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588</v>
      </c>
      <c r="L406" s="41"/>
      <c r="M406" s="41"/>
      <c r="N406" s="41"/>
      <c r="O406" s="63"/>
      <c r="P406" s="63"/>
      <c r="Q406" s="42">
        <f ca="1">IFERROR(Q392+Q405,"")</f>
        <v>0.25925891203272228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2026-08-15T23:44:51Z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