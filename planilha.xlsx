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112" documentId="8_{C51EB6CB-002B-4D6B-B68F-DDEBDB4460C0}" xr6:coauthVersionLast="47" xr6:coauthVersionMax="47" xr10:uidLastSave="{A5C8EDAC-4AC1-48CE-A3DA-3EFC424CA2FA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<sst xmlns="http://schemas.openxmlformats.org/spreadsheetml/2006/main" count="4308" uniqueCount="304">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</sst>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1392300</v>
      </c>
      <c r="D11" s="11">
        <f>IFERROR('Linha 1'!O217,"")</f>
        <v>601390</v>
      </c>
      <c r="E11" s="11">
        <f>IFERROR('Linha 2'!O217,"")</f>
        <v>92510</v>
      </c>
      <c r="F11" s="11">
        <f>IFERROR('Linha 3'!O217,"")</f>
        <v>790070</v>
      </c>
      <c r="G11" s="12">
        <f t="shared" si="0"/>
        <v>1483970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25428585</v>
      </c>
      <c r="D35" s="13">
        <f>IFERROR(SUM(D4:D34),"")</f>
        <v>7714120</v>
      </c>
      <c r="E35" s="13">
        <f>IFERROR(SUM(E4:E34),"")</f>
        <v>3728860</v>
      </c>
      <c r="F35" s="13">
        <f>IFERROR(SUM(F4:F34),"")</f>
        <v>10241570</v>
      </c>
      <c r="G35" s="13">
        <f>IFERROR(SUM(G4:G34),"")</f>
        <v>21684550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9" activePane="bottomLeft" state="frozen"/>
      <selection pane="bottomLeft" activeCell="F206" sqref="F20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58</v>
      </c>
      <c r="G216" s="36">
        <f>SUM(G204:G215)</f>
        <v>290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309</v>
      </c>
      <c r="G217" s="40">
        <f>G203+G216</f>
        <v>1545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1392300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77" activePane="bottomLeft" state="frozen"/>
      <selection pane="bottomLeft" activeCell="J204" sqref="J20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0.76610729165986413</v>
      </c>
      <c r="N53" s="46" t="s">
        <v>259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0.90499618054875297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0.98971840277097534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/>
      <c r="M204" s="30">
        <f t="shared" ref="M204:M215" ca="1" si="46">IFERROR(IF(K204="","",IF(L204="",MOD(NOW()-K204,1),IF(L204&gt;=K204,L204-K204,L204+1-K204))),"")</f>
        <v>8.2951388321816921E-4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27</v>
      </c>
      <c r="G216" s="36">
        <f>SUM(G204:G215)</f>
        <v>113.4</v>
      </c>
      <c r="H216" s="37"/>
      <c r="I216" s="37"/>
      <c r="J216" s="37"/>
      <c r="K216" s="37"/>
      <c r="L216" s="37"/>
      <c r="M216" s="38">
        <f ca="1">IFERROR(SUM(M204:M215),"")</f>
        <v>8.2951388321816921E-4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160</v>
      </c>
      <c r="G217" s="40">
        <f>G203+G216</f>
        <v>672</v>
      </c>
      <c r="H217" s="41"/>
      <c r="I217" s="41"/>
      <c r="J217" s="41"/>
      <c r="K217" s="41"/>
      <c r="L217" s="41"/>
      <c r="M217" s="42">
        <f ca="1">IFERROR(M203+M216,"")</f>
        <v>0.14110729166099584</v>
      </c>
      <c r="N217" s="40" t="s">
        <v>239</v>
      </c>
      <c r="O217" s="83">
        <f>IFERROR(O203+O216,"")</f>
        <v>601390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6" zoomScale="50" zoomScaleNormal="50" workbookViewId="0">
      <selection activeCell="J206" sqref="J20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 t="s">
        <v>20</v>
      </c>
      <c r="I206" s="26"/>
      <c r="J206" s="26" t="s">
        <v>74</v>
      </c>
      <c r="K206" s="29">
        <v>0.88680555555555551</v>
      </c>
      <c r="L206" s="29"/>
      <c r="M206" s="30">
        <f t="shared" ca="1" si="46"/>
        <v>8.2951388321816921E-4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8</v>
      </c>
      <c r="G216" s="36">
        <f>SUM(G204:G215)</f>
        <v>33.6</v>
      </c>
      <c r="H216" s="37"/>
      <c r="I216" s="37"/>
      <c r="J216" s="37"/>
      <c r="K216" s="37"/>
      <c r="L216" s="37"/>
      <c r="M216" s="38">
        <f ca="1">IFERROR(SUM(M204:M215),"")</f>
        <v>5.6385069438773749E-2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23</v>
      </c>
      <c r="G217" s="40">
        <f>G203+G216</f>
        <v>96.600000000000009</v>
      </c>
      <c r="H217" s="41"/>
      <c r="I217" s="41"/>
      <c r="J217" s="41"/>
      <c r="K217" s="41"/>
      <c r="L217" s="41"/>
      <c r="M217" s="42">
        <f ca="1">IFERROR(M203+M216,"")</f>
        <v>0.21819062499432923</v>
      </c>
      <c r="N217" s="40" t="s">
        <v>239</v>
      </c>
      <c r="O217" s="48">
        <f>IFERROR(O203+O216,"")</f>
        <v>92510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J206" sqref="J20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/>
      <c r="M204" s="30">
        <f t="shared" ref="M204:M215" ca="1" si="46">IFERROR(IF(K204="","",IF(L204="",MOD(NOW()-K204,1),IF(L204&gt;=K204,L204-K204,L204+1-K204))),"")</f>
        <v>7.5135069440875668E-2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/>
      <c r="M206" s="30">
        <f t="shared" ca="1" si="46"/>
        <v>1.0551736108027399E-2</v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20</v>
      </c>
      <c r="G216" s="36">
        <f>SUM(G204:G215)</f>
        <v>84</v>
      </c>
      <c r="H216" s="37"/>
      <c r="I216" s="37"/>
      <c r="J216" s="37"/>
      <c r="K216" s="61"/>
      <c r="L216" s="61"/>
      <c r="M216" s="38">
        <f ca="1">IFERROR(SUM(M204:M215),"")</f>
        <v>9.1936805548903155E-2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181</v>
      </c>
      <c r="G217" s="40">
        <f>G203+G216</f>
        <v>760.2</v>
      </c>
      <c r="H217" s="41"/>
      <c r="I217" s="41"/>
      <c r="J217" s="41"/>
      <c r="K217" s="63"/>
      <c r="L217" s="63"/>
      <c r="M217" s="42">
        <f ca="1">IFERROR(M203+M216,"")</f>
        <v>0.15999236110445886</v>
      </c>
      <c r="N217" s="40" t="s">
        <v>239</v>
      </c>
      <c r="O217" s="48">
        <f>IFERROR(O203+O216,"")</f>
        <v>790070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2026-08-09T01:18:44Z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