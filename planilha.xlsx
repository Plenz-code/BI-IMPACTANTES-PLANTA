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33" documentId="13_ncr:1_{A6DBCFB4-28D9-4249-9038-216934055CA6}" xr6:coauthVersionLast="47" xr6:coauthVersionMax="47" xr10:uidLastSave="{039FAC93-FDEB-48F7-AB70-ED01BAD3962E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<sst xmlns="http://schemas.openxmlformats.org/spreadsheetml/2006/main" count="10080" uniqueCount="428">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</sst>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R17" sqref="R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78" activePane="bottomLeft" state="frozen"/>
      <selection pane="bottomLeft" activeCell="K598" sqref="K598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/>
      <c r="M597" s="71">
        <f t="shared" ca="1" si="129"/>
        <v>7.5001157456426881E-3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261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261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0.16861122685675378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43</v>
      </c>
      <c r="G622" s="1">
        <f>G608+G621</f>
        <v>215</v>
      </c>
      <c r="H622" s="76"/>
      <c r="I622" s="76"/>
      <c r="J622" s="76"/>
      <c r="K622" s="76"/>
      <c r="L622" s="76"/>
      <c r="M622" s="77">
        <f ca="1">IFERROR(M608+M621,"")</f>
        <v>0.16861122685675378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N597" sqref="N597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0.38944456018361961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0.52833344907250734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0.61305567129473015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63</v>
      </c>
      <c r="L597" s="70" t="s">
        <v>29</v>
      </c>
      <c r="M597" s="70" t="s">
        <v>48</v>
      </c>
      <c r="N597" s="70" t="s">
        <v>209</v>
      </c>
      <c r="O597" s="65">
        <v>0.50694444444444442</v>
      </c>
      <c r="P597" s="65"/>
      <c r="Q597" s="71">
        <f t="shared" ca="1" si="156"/>
        <v>4.0278935193782672E-3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0</v>
      </c>
      <c r="I599" s="90">
        <f>IFERROR(IF($D599="","",VLOOKUP($D599,Cadastro!$C$4:$G$7,5,FALSE())),"")</f>
        <v>0.6</v>
      </c>
      <c r="J599" s="91">
        <f t="shared" si="154"/>
        <v>0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0</v>
      </c>
      <c r="I600" s="90">
        <f>IFERROR(IF($D600="","",VLOOKUP($D600,Cadastro!$C$4:$G$7,5,FALSE())),"")</f>
        <v>0.6</v>
      </c>
      <c r="J600" s="91">
        <f t="shared" si="154"/>
        <v>0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56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1.9305671297156046E-2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56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235.2</v>
      </c>
      <c r="L622" s="76"/>
      <c r="M622" s="76"/>
      <c r="N622" s="76"/>
      <c r="O622" s="76"/>
      <c r="P622" s="76"/>
      <c r="Q622" s="77">
        <f ca="1">IFERROR(Q608+Q621,"")</f>
        <v>1.9305671297156046E-2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P600" sqref="P600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0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1"/>
        <v>0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1"/>
        <v>0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0</v>
      </c>
      <c r="I599" s="90">
        <f>IFERROR(IF($D599="","",VLOOKUP($D599,Cadastro!$C$4:$G$7,5,FALSE())),"")</f>
        <v>0.6</v>
      </c>
      <c r="J599" s="91">
        <f t="shared" si="151"/>
        <v>0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316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0</v>
      </c>
      <c r="I600" s="90">
        <f>IFERROR(IF($D600="","",VLOOKUP($D600,Cadastro!$C$4:$G$7,5,FALSE())),"")</f>
        <v>0.6</v>
      </c>
      <c r="J600" s="91">
        <f t="shared" si="151"/>
        <v>0</v>
      </c>
      <c r="K600" s="64">
        <f t="shared" si="152"/>
        <v>16.8</v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25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8.8194444444444409E-2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25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105</v>
      </c>
      <c r="L622" s="76"/>
      <c r="M622" s="76"/>
      <c r="N622" s="76"/>
      <c r="O622" s="76"/>
      <c r="P622" s="76"/>
      <c r="Q622" s="77">
        <f ca="1">IFERROR(Q608+Q621,"")</f>
        <v>8.8194444444444409E-2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93" activePane="bottomLeft" state="frozen"/>
      <selection pane="bottomLeft" activeCell="G601" sqref="G60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0</v>
      </c>
      <c r="I599" s="90">
        <f>IFERROR(IF($D599="","",VLOOKUP($D599,Cadastro!$C$4:$G$7,5,FALSE())),"")</f>
        <v>0.6</v>
      </c>
      <c r="J599" s="91">
        <f t="shared" si="154"/>
        <v>0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0</v>
      </c>
      <c r="I600" s="90">
        <f>IFERROR(IF($D600="","",VLOOKUP($D600,Cadastro!$C$4:$G$7,5,FALSE())),"")</f>
        <v>0.6</v>
      </c>
      <c r="J600" s="91">
        <f t="shared" si="154"/>
        <v>0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60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60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252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2026-08-23T16:16:20Z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