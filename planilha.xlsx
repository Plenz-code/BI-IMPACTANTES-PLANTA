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0" documentId="8_{AF585B22-221D-4780-BB9C-493D365A6A02}" xr6:coauthVersionLast="47" xr6:coauthVersionMax="47" xr10:uidLastSave="{5EAB349D-DD89-4B20-970D-3378E4E6D8C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<sst xmlns="http://schemas.openxmlformats.org/spreadsheetml/2006/main" count="1312" uniqueCount="201">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</sst>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" zoomScale="85" zoomScaleNormal="85" workbookViewId="0">
      <selection activeCell="K3" sqref="K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67</v>
      </c>
      <c r="G27" s="36">
        <f>SUM(G15:G26)</f>
        <v>335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339</v>
      </c>
      <c r="G28" s="40">
        <f>G14+G27</f>
        <v>1695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/>
      <c r="M15" s="30">
        <f t="shared" ref="M15:M26" ca="1" si="4">IFERROR(IF(K15="","",IF(L15="",MOD(NOW()-K15,1),IF(L15&gt;=K15,L15-K15,L15+1-K15))),"")</f>
        <v>4.3530671297048684E-2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45</v>
      </c>
      <c r="G27" s="36">
        <f>SUM(G15:G26)</f>
        <v>189.00000000000003</v>
      </c>
      <c r="H27" s="37"/>
      <c r="I27" s="37"/>
      <c r="J27" s="37"/>
      <c r="K27" s="37"/>
      <c r="L27" s="37"/>
      <c r="M27" s="38">
        <f ca="1">IFERROR(SUM(M15:M26),"")</f>
        <v>4.3530671297048684E-2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193</v>
      </c>
      <c r="G28" s="40">
        <f>G14+G27</f>
        <v>810.6</v>
      </c>
      <c r="H28" s="41"/>
      <c r="I28" s="41"/>
      <c r="J28" s="41"/>
      <c r="K28" s="41"/>
      <c r="L28" s="41"/>
      <c r="M28" s="42">
        <f ca="1">IFERROR(M14+M27,"")</f>
        <v>0.13311400463038198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6" sqref="L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</v>
      </c>
      <c r="G27" s="36">
        <f>SUM(G15:G26)</f>
        <v>29.4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71</v>
      </c>
      <c r="G28" s="40">
        <f>G14+G27</f>
        <v>298.19999999999993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2026-07-02T03:03:11Z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