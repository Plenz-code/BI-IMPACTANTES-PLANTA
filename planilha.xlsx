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73" documentId="8_{C51EB6CB-002B-4D6B-B68F-DDEBDB4460C0}" xr6:coauthVersionLast="47" xr6:coauthVersionMax="47" xr10:uidLastSave="{509A8CC7-E3B6-446C-B5E9-A4194CD6E666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<sst xmlns="http://schemas.openxmlformats.org/spreadsheetml/2006/main" count="5860" uniqueCount="341">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</sst>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40</v>
      </c>
      <c r="G324" s="36">
        <f>SUM(G312:G323)</f>
        <v>200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473</v>
      </c>
      <c r="G325" s="40">
        <f>G311+G324</f>
        <v>2365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6" sqref="F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0.84459421296196524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0.98348310185085408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1.0682053240730764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57</v>
      </c>
      <c r="G324" s="36">
        <f>SUM(G312:G323)</f>
        <v>249.8</v>
      </c>
      <c r="H324" s="37"/>
      <c r="I324" s="37"/>
      <c r="J324" s="37"/>
      <c r="K324" s="37"/>
      <c r="L324" s="37"/>
      <c r="M324" s="38">
        <f ca="1">IFERROR(SUM(M312:M323),"")</f>
        <v>4.0972222222222077E-2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226</v>
      </c>
      <c r="G325" s="40">
        <f>G311+G324</f>
        <v>959.59999999999991</v>
      </c>
      <c r="H325" s="41"/>
      <c r="I325" s="41"/>
      <c r="J325" s="41"/>
      <c r="K325" s="41"/>
      <c r="L325" s="41"/>
      <c r="M325" s="42">
        <f ca="1">IFERROR(M311+M324,"")</f>
        <v>9.444444444444422E-2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6" sqref="F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0.77167754629772389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0.83348310185327945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0.89459421296439068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28</v>
      </c>
      <c r="G324" s="36">
        <f>SUM(G312:G323)</f>
        <v>120.8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151</v>
      </c>
      <c r="G325" s="40">
        <f>G311+G324</f>
        <v>637.39999999999986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J319" sqref="J319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/>
      <c r="M312" s="30">
        <f t="shared" ref="M312:M323" ca="1" si="70">IFERROR(IF(K312="","",IF(L312="",MOD(NOW()-K312,1),IF(L312&gt;=K312,L312-K312,L312+1-K312))),"")</f>
        <v>2.5149768523988314E-2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78</v>
      </c>
      <c r="G324" s="36">
        <f>SUM(G312:G323)</f>
        <v>341.20000000000005</v>
      </c>
      <c r="H324" s="37"/>
      <c r="I324" s="37"/>
      <c r="J324" s="37"/>
      <c r="K324" s="61"/>
      <c r="L324" s="61"/>
      <c r="M324" s="38">
        <f ca="1">IFERROR(SUM(M312:M323),"")</f>
        <v>2.5149768523988314E-2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270</v>
      </c>
      <c r="G325" s="40">
        <f>G311+G324</f>
        <v>1147.5999999999999</v>
      </c>
      <c r="H325" s="41"/>
      <c r="I325" s="41"/>
      <c r="J325" s="41"/>
      <c r="K325" s="63"/>
      <c r="L325" s="63"/>
      <c r="M325" s="42">
        <f ca="1">IFERROR(M311+M324,"")</f>
        <v>0.10084421296843277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2026-08-13T03:11:43Z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