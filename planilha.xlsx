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061" documentId="8_{AF585B22-221D-4780-BB9C-493D365A6A02}" xr6:coauthVersionLast="47" xr6:coauthVersionMax="47" xr10:uidLastSave="{858AEA07-C31B-4ACE-A6C9-A68EFEEA50F1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<sst xmlns="http://schemas.openxmlformats.org/spreadsheetml/2006/main" count="11129" uniqueCount="413">
  <si>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</si>
  <si>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</si>
  <si>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</si>
  <si>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</si>
  <si>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</si>
  <si>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</si>
  <si>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</si>
  <si>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</si>
  <si>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</si>
  <si>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</si>
  <si>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</si>
  <si>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</si>
  <si>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</si>
  <si>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</si>
  <si>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</si>
  <si>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</si>
  <si>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</si>
  <si>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</si>
  <si>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</si>
  <si>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</si>
  <si>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</si>
  <si>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</si>
  <si>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</si>
  <si>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</si>
  <si>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</si>
  <si>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</si>
  <si>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</si>
  <si>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</si>
  <si>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</si>
  <si>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</si>
  <si>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</si>
  <si>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</si>
  <si>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</si>
  <si>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</si>
  <si>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</si>
  <si>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</si>
  <si>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</si>
  <si>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</si>
  <si>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</si>
  <si>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</si>
  <si>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</si>
  <si>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</si>
  <si>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</si>
  <si>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</si>
  <si>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</si>
  <si>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</si>
  <si>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</si>
  <si>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</si>
  <si>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</si>
  <si>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</si>
  <si>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</si>
  <si>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</si>
  <si>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</si>
  <si>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</si>
  <si>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</si>
  <si>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</si>
  <si>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</si>
  <si>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</si>
  <si>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</si>
  <si>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</si>
  <si>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</si>
  <si>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</si>
  <si>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</si>
  <si>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</si>
  <si>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</si>
  <si>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</si>
  <si>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</si>
  <si>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</si>
  <si>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</si>
  <si>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</si>
  <si>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</si>
  <si>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</si>
  <si>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</si>
  <si>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</si>
  <si>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</si>
  <si>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</si>
  <si>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</si>
  <si>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</si>
  <si>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</si>
  <si>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</si>
  <si>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</si>
  <si>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</si>
  <si>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</si>
  <si>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</si>
  <si>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</si>
  <si>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</si>
  <si>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</si>
  <si>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</si>
  <si>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</si>
  <si>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</si>
  <si>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</si>
  <si>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</si>
  <si>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</si>
  <si>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</si>
  <si>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</si>
  <si>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</si>
  <si>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</si>
  <si>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</si>
  <si>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</si>
  <si>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</si>
  <si>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</si>
  <si>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</si>
  <si>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</si>
  <si>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</si>
  <si>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</si>
  <si>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</si>
  <si>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</si>
  <si>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</si>
  <si>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</si>
  <si>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</si>
  <si>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</si>
  <si>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</si>
  <si>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</si>
  <si>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</si>
  <si>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</si>
  <si>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</si>
  <si>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</si>
  <si>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</si>
  <si>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</si>
  <si>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</si>
  <si>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</si>
  <si>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</si>
  <si>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</si>
  <si>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</si>
  <si>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</si>
  <si>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</si>
  <si>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</si>
  <si>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</si>
  <si>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</si>
  <si>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</si>
  <si>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</si>
  <si>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</si>
  <si>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</si>
  <si>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</si>
  <si>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</si>
  <si>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</si>
  <si>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</si>
  <si>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</si>
  <si>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</si>
  <si>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</si>
  <si>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</si>
  <si>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</si>
  <si>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</si>
  <si>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</si>
  <si>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</si>
  <si>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</si>
  <si>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</si>
  <si>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</si>
  <si>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</si>
  <si>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</si>
  <si>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</si>
  <si>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</si>
  <si>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</si>
  <si>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</si>
  <si>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</si>
  <si>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</si>
  <si>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</si>
  <si>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</si>
  <si>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</si>
  <si>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</si>
  <si>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</si>
  <si>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</si>
  <si>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</si>
  <si>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</si>
  <si>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</si>
  <si>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</si>
  <si>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</si>
  <si>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</si>
  <si>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</si>
  <si>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</si>
  <si>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</si>
  <si>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</si>
  <si>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</si>
  <si>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</si>
  <si>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</si>
  <si>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</si>
  <si>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</si>
  <si>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</si>
  <si>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</si>
  <si>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</si>
  <si>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</si>
  <si>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</si>
  <si>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</si>
  <si>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</si>
  <si>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</si>
  <si>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</si>
  <si>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</si>
  <si>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</si>
  <si>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</si>
  <si>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</si>
  <si>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</si>
  <si>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</si>
  <si>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</si>
  <si>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</si>
  <si>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</si>
  <si>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</si>
  <si>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</si>
  <si>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</si>
  <si>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</si>
  <si>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</si>
  <si>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</si>
  <si>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</si>
  <si>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</si>
  <si>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</si>
  <si>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</si>
  <si>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</si>
  <si>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</si>
  <si>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</si>
  <si>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</si>
  <si>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</si>
  <si>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</si>
  <si>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</si>
  <si>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</si>
  <si>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</si>
  <si>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</si>
  <si>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</si>
  <si>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</si>
  <si>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</si>
  <si>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</si>
  <si>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</si>
  <si>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</si>
  <si>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</si>
  <si>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</si>
  <si>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</si>
  <si>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</si>
  <si>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</si>
  <si>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</si>
  <si>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</si>
  <si>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</si>
  <si>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</si>
  <si>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</si>
  <si>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</si>
  <si>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</si>
  <si>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</si>
  <si>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</si>
  <si>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</si>
  <si>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</si>
  <si>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</si>
  <si>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</si>
  <si>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</si>
  <si>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</si>
  <si>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</si>
  <si>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</si>
  <si>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</si>
  <si>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</si>
  <si>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</si>
  <si>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</si>
  <si>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</si>
  <si>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</si>
  <si>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</si>
  <si>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</si>
  <si>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</si>
  <si>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</si>
  <si>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</si>
  <si>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</si>
  <si>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</si>
  <si>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</si>
  <si>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</si>
  <si>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</si>
  <si>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</si>
  <si>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</si>
  <si>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</si>
  <si>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</si>
  <si>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</si>
  <si>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</si>
  <si>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</si>
  <si>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</si>
  <si>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</si>
  <si>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</si>
  <si>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</si>
  <si>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</si>
  <si>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</si>
  <si>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</si>
  <si>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</si>
  <si>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</si>
  <si>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</si>
  <si>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</si>
  <si>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</si>
  <si>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</si>
  <si>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</si>
  <si>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</si>
  <si>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</si>
  <si>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</si>
  <si>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</si>
  <si>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</si>
  <si>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</si>
  <si>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</si>
  <si>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</si>
  <si>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</si>
  <si>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</si>
  <si>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</si>
  <si>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</si>
  <si>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</si>
  <si>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</si>
  <si>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</si>
  <si>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</si>
  <si>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</si>
  <si>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</si>
  <si>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</si>
  <si>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</si>
  <si>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</si>
  <si>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</si>
  <si>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</si>
  <si>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</si>
  <si>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</si>
  <si>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</si>
  <si>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</si>
  <si>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</si>
  <si>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</si>
  <si>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</si>
  <si>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</si>
  <si>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</si>
  <si>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</si>
  <si>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</si>
  <si>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</si>
  <si>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</si>
  <si>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</si>
  <si>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</si>
  <si>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</si>
  <si>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</si>
  <si>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</si>
  <si>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</si>
  <si>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</si>
  <si>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</si>
  <si>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</si>
  <si>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</si>
  <si>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</si>
  <si>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</si>
  <si>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</si>
  <si>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</si>
  <si>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troca de martelos mm 1 e 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</si>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</sst>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E735" sqref="E73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231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119</v>
      </c>
      <c r="G743" s="36">
        <f>SUM(G731:G742)</f>
        <v>595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119</v>
      </c>
      <c r="G757" s="40">
        <f>G743+G756</f>
        <v>595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17" activePane="bottomLeft" state="frozen"/>
      <selection pane="bottomLeft" activeCell="L732" sqref="L7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0.33864108796115033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0.49627997685003922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0.60600219907226138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0.31711331018595956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0.48794664351929296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0.63308553240818188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 t="s">
        <v>330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12</v>
      </c>
      <c r="G735" s="34">
        <f t="shared" si="162"/>
        <v>50.400000000000006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66</v>
      </c>
      <c r="G743" s="36">
        <f>SUM(G731:G742)</f>
        <v>277.20000000000005</v>
      </c>
      <c r="H743" s="37"/>
      <c r="I743" s="37"/>
      <c r="J743" s="37"/>
      <c r="K743" s="37"/>
      <c r="L743" s="37"/>
      <c r="M743" s="38">
        <f ca="1">IFERROR(SUM(M731:M742),"")</f>
        <v>1.041666666666663E-2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66</v>
      </c>
      <c r="G757" s="40">
        <f>G743+G756</f>
        <v>277.20000000000005</v>
      </c>
      <c r="H757" s="41"/>
      <c r="I757" s="41"/>
      <c r="J757" s="41"/>
      <c r="K757" s="41"/>
      <c r="L757" s="41"/>
      <c r="M757" s="42">
        <f ca="1">IFERROR(M743+M756,"")</f>
        <v>1.041666666666663E-2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14" zoomScale="50" zoomScaleNormal="50" workbookViewId="0">
      <selection activeCell="E732" sqref="E7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338</v>
      </c>
      <c r="N166" s="27" t="s">
        <v>339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258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/>
      <c r="F732" s="27">
        <v>10</v>
      </c>
      <c r="G732" s="28" t="str">
        <f t="shared" si="162"/>
        <v/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319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/>
      <c r="F733" s="27">
        <v>13</v>
      </c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/>
      <c r="F734" s="27">
        <v>6</v>
      </c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/>
      <c r="F735" s="27">
        <v>0</v>
      </c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30</v>
      </c>
      <c r="G743" s="36">
        <f>SUM(G731:G742)</f>
        <v>4.2</v>
      </c>
      <c r="H743" s="37"/>
      <c r="I743" s="37"/>
      <c r="J743" s="37"/>
      <c r="K743" s="37"/>
      <c r="L743" s="37"/>
      <c r="M743" s="38">
        <f ca="1">IFERROR(SUM(M731:M742),"")</f>
        <v>4.0972222222222243E-2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30</v>
      </c>
      <c r="G757" s="40">
        <f>G743+G756</f>
        <v>4.2</v>
      </c>
      <c r="H757" s="41"/>
      <c r="I757" s="41"/>
      <c r="J757" s="41"/>
      <c r="K757" s="41"/>
      <c r="L757" s="41"/>
      <c r="M757" s="42">
        <f ca="1">IFERROR(M743+M756,"")</f>
        <v>4.0972222222222243E-2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8" activePane="bottomLeft" state="frozen"/>
      <selection pane="bottomLeft" activeCell="F736" sqref="F73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364</v>
      </c>
      <c r="L58" s="29">
        <v>0.54097222222222219</v>
      </c>
      <c r="M58" s="30" t="str">
        <f t="shared" ca="1" si="13"/>
        <v/>
      </c>
      <c r="N58" s="27" t="s">
        <v>365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0.32891886574361706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0.52822442129917269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0.89558553241028371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20</v>
      </c>
      <c r="I734" s="26" t="s">
        <v>155</v>
      </c>
      <c r="J734" s="26" t="s">
        <v>74</v>
      </c>
      <c r="K734" s="29">
        <v>0.37430555555555556</v>
      </c>
      <c r="L734" s="29">
        <v>0.38333333333333336</v>
      </c>
      <c r="M734" s="30">
        <f t="shared" ca="1" si="163"/>
        <v>9.0277777777778012E-3</v>
      </c>
      <c r="N734" s="27" t="s">
        <v>412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14</v>
      </c>
      <c r="G735" s="34">
        <f t="shared" si="162"/>
        <v>58.800000000000004</v>
      </c>
      <c r="H735" s="33" t="s">
        <v>18</v>
      </c>
      <c r="I735" s="33" t="s">
        <v>127</v>
      </c>
      <c r="J735" s="33" t="s">
        <v>164</v>
      </c>
      <c r="K735" s="29">
        <v>0.42708333333333331</v>
      </c>
      <c r="L735" s="29">
        <v>0.4513888888888889</v>
      </c>
      <c r="M735" s="35">
        <f t="shared" ca="1" si="163"/>
        <v>2.430555555555558E-2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 t="s">
        <v>20</v>
      </c>
      <c r="I736" s="26" t="s">
        <v>155</v>
      </c>
      <c r="J736" s="26" t="s">
        <v>74</v>
      </c>
      <c r="K736" s="29">
        <v>0.46875</v>
      </c>
      <c r="L736" s="29">
        <v>0.47152777777777777</v>
      </c>
      <c r="M736" s="30">
        <f t="shared" ca="1" si="163"/>
        <v>2.7777777777777679E-3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61</v>
      </c>
      <c r="G743" s="36">
        <f>SUM(G731:G742)</f>
        <v>256.2</v>
      </c>
      <c r="H743" s="37"/>
      <c r="I743" s="37"/>
      <c r="J743" s="37"/>
      <c r="K743" s="61"/>
      <c r="L743" s="61"/>
      <c r="M743" s="38">
        <f ca="1">IFERROR(SUM(M731:M742),"")</f>
        <v>8.6805555555555525E-2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61</v>
      </c>
      <c r="G757" s="40">
        <f>G743+G756</f>
        <v>256.2</v>
      </c>
      <c r="H757" s="41"/>
      <c r="I757" s="41"/>
      <c r="J757" s="41"/>
      <c r="K757" s="63"/>
      <c r="L757" s="63"/>
      <c r="M757" s="42">
        <f ca="1">IFERROR(M743+M756,"")</f>
        <v>8.6805555555555525E-2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2026-07-28T17:52:41Z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