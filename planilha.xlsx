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69" documentId="8_{AF585B22-221D-4780-BB9C-493D365A6A02}" xr6:coauthVersionLast="47" xr6:coauthVersionMax="47" xr10:uidLastSave="{9A71E035-FCB0-4D02-8C0A-56C2CAE46B23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<sst xmlns="http://schemas.openxmlformats.org/spreadsheetml/2006/main" count="6424" uniqueCount="326">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</sst>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72" activePane="bottomLeft" state="frozen"/>
      <selection pane="bottomLeft" activeCell="E394" sqref="E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1300</v>
      </c>
      <c r="H406" s="41"/>
      <c r="I406" s="41"/>
      <c r="J406" s="41"/>
      <c r="K406" s="41"/>
      <c r="L406" s="41"/>
      <c r="M406" s="42">
        <f ca="1">IFERROR(M392+M405,"")</f>
        <v>0.11527777777777776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75" activePane="bottomLeft" state="frozen"/>
      <selection pane="bottomLeft" activeCell="N394" sqref="N3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0.57588611110986676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0.73352499999875564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0.84324722222097781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/>
      <c r="E393" s="62" t="s">
        <v>242</v>
      </c>
      <c r="F393" s="27"/>
      <c r="G393" s="34" t="str">
        <f t="shared" ref="G393:G404" si="87">IF(F393="","",IF(E393="PC 17",F393*4.2,IF(E393="PC 19",F393*5,"")))</f>
        <v/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/>
      <c r="M393" s="35">
        <f t="shared" ref="M393:M404" ca="1" si="88">IFERROR(IF(K393="","",IF(L393="",MOD(NOW()-K393,1),IF(L393&gt;=K393,L393-K393,L393+1-K393))),"")</f>
        <v>2.3802777781384066E-2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2.3802777781384066E-2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0.3640805555591618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O393" sqref="O3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95</v>
      </c>
      <c r="G406" s="40">
        <f>G392+G405</f>
        <v>399.00000000000006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C404" sqref="C40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0.56616388889233349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0.76546944444788911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1.1328305555590001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143</v>
      </c>
      <c r="G406" s="40">
        <f>G392+G405</f>
        <v>600.6</v>
      </c>
      <c r="H406" s="41"/>
      <c r="I406" s="41"/>
      <c r="J406" s="41"/>
      <c r="K406" s="63"/>
      <c r="L406" s="63"/>
      <c r="M406" s="42">
        <f ca="1">IFERROR(M392+M405,"")</f>
        <v>0.18263888888888896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2026-07-15T23:34:31Z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