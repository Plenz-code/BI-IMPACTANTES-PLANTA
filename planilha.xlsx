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944" documentId="8_{C51EB6CB-002B-4D6B-B68F-DDEBDB4460C0}" xr6:coauthVersionLast="47" xr6:coauthVersionMax="47" xr10:uidLastSave="{1923D777-0117-4288-93DC-EB0092E907C3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<sst xmlns="http://schemas.openxmlformats.org/spreadsheetml/2006/main" count="4122" uniqueCount="301">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</sst>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1" sqref="G11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24036285</v>
      </c>
      <c r="D35" s="13">
        <f>IFERROR(SUM(D4:D34),"")</f>
        <v>7112730</v>
      </c>
      <c r="E35" s="13">
        <f>IFERROR(SUM(E4:E34),"")</f>
        <v>3636350</v>
      </c>
      <c r="F35" s="13">
        <f>IFERROR(SUM(F4:F34),"")</f>
        <v>9451500</v>
      </c>
      <c r="G35" s="13">
        <f>IFERROR(SUM(G4:G34),"")</f>
        <v>20200580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85" activePane="bottomLeft" state="frozen"/>
      <selection pane="bottomLeft" activeCell="F199" sqref="F19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7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/>
      <c r="M193" s="35">
        <f t="shared" ca="1" si="43"/>
        <v>6.8766203708946705E-2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206</v>
      </c>
      <c r="G203" s="36">
        <f>SUM(G191:G202)</f>
        <v>1030</v>
      </c>
      <c r="H203" s="37"/>
      <c r="I203" s="37"/>
      <c r="J203" s="37"/>
      <c r="K203" s="37"/>
      <c r="L203" s="37"/>
      <c r="M203" s="38">
        <f ca="1">IFERROR(SUM(M191:M202),"")</f>
        <v>0.12015509259783558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206</v>
      </c>
      <c r="G217" s="40">
        <f>G203+G216</f>
        <v>1030</v>
      </c>
      <c r="H217" s="41"/>
      <c r="I217" s="41"/>
      <c r="J217" s="41"/>
      <c r="K217" s="41"/>
      <c r="L217" s="41"/>
      <c r="M217" s="42">
        <f ca="1">IFERROR(M203+M216,"")</f>
        <v>0.12015509259783558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73" activePane="bottomLeft" state="frozen"/>
      <selection pane="bottomLeft" activeCell="F200" sqref="F20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0.55140509259217652</v>
      </c>
      <c r="N53" s="46" t="s">
        <v>259</v>
      </c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0.69029398148106536</v>
      </c>
      <c r="N54" s="36" t="s">
        <v>235</v>
      </c>
      <c r="O54" s="84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0.77501620370328772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101</v>
      </c>
      <c r="G203" s="36">
        <f>SUM(G191:G202)</f>
        <v>424.20000000000005</v>
      </c>
      <c r="H203" s="37"/>
      <c r="I203" s="37"/>
      <c r="J203" s="37"/>
      <c r="K203" s="37"/>
      <c r="L203" s="37"/>
      <c r="M203" s="38">
        <f ca="1">IFERROR(SUM(M191:M202),"")</f>
        <v>0.11666666666666664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101</v>
      </c>
      <c r="G217" s="40">
        <f>G203+G216</f>
        <v>424.20000000000005</v>
      </c>
      <c r="H217" s="41"/>
      <c r="I217" s="41"/>
      <c r="J217" s="41"/>
      <c r="K217" s="41"/>
      <c r="L217" s="41"/>
      <c r="M217" s="42">
        <f ca="1">IFERROR(M203+M216,"")</f>
        <v>0.11666666666666664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70" zoomScale="50" zoomScaleNormal="50" workbookViewId="0">
      <selection activeCell="F199" sqref="F19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20</v>
      </c>
      <c r="I198" s="26" t="s">
        <v>47</v>
      </c>
      <c r="J198" s="26" t="s">
        <v>56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9</v>
      </c>
      <c r="G203" s="36">
        <f>SUM(G191:G202)</f>
        <v>37.800000000000004</v>
      </c>
      <c r="H203" s="37"/>
      <c r="I203" s="37"/>
      <c r="J203" s="37"/>
      <c r="K203" s="37"/>
      <c r="L203" s="37"/>
      <c r="M203" s="38">
        <f ca="1">IFERROR(SUM(M191:M202),"")</f>
        <v>0.1388888888888889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9</v>
      </c>
      <c r="G217" s="40">
        <f>G203+G216</f>
        <v>37.800000000000004</v>
      </c>
      <c r="H217" s="41"/>
      <c r="I217" s="41"/>
      <c r="J217" s="41"/>
      <c r="K217" s="41"/>
      <c r="L217" s="41"/>
      <c r="M217" s="42">
        <f ca="1">IFERROR(M203+M216,"")</f>
        <v>0.1388888888888889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73" activePane="bottomLeft" state="frozen"/>
      <selection pane="bottomLeft" activeCell="J193" sqref="J19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/>
      <c r="M193" s="35">
        <f t="shared" ca="1" si="43"/>
        <v>2.793981482682284E-3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122</v>
      </c>
      <c r="G203" s="36">
        <f>SUM(G191:G202)</f>
        <v>512.40000000000009</v>
      </c>
      <c r="H203" s="37"/>
      <c r="I203" s="37"/>
      <c r="J203" s="37"/>
      <c r="K203" s="61"/>
      <c r="L203" s="61"/>
      <c r="M203" s="38">
        <f ca="1">IFERROR(SUM(M191:M202),"")</f>
        <v>5.8349537038237809E-2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/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122</v>
      </c>
      <c r="G217" s="40">
        <f>G203+G216</f>
        <v>512.40000000000009</v>
      </c>
      <c r="H217" s="41"/>
      <c r="I217" s="41"/>
      <c r="J217" s="41"/>
      <c r="K217" s="63"/>
      <c r="L217" s="63"/>
      <c r="M217" s="42">
        <f ca="1">IFERROR(M203+M216,"")</f>
        <v>5.8349537038237809E-2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2026-08-08T20:09:23Z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