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217" documentId="8_{AF585B22-221D-4780-BB9C-493D365A6A02}" xr6:coauthVersionLast="47" xr6:coauthVersionMax="47" xr10:uidLastSave="{0DE1F4B8-039A-4DD0-AF59-AA7EB244E755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<sst xmlns="http://schemas.openxmlformats.org/spreadsheetml/2006/main" count="9671" uniqueCount="384">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</sst>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70988998</v>
      </c>
      <c r="D35" s="13">
        <f>IFERROR(SUM(D4:D34),"")</f>
        <v>28216440</v>
      </c>
      <c r="E35" s="13">
        <f>IFERROR(SUM(E4:E34),"")</f>
        <v>16084900</v>
      </c>
      <c r="F35" s="13">
        <f>IFERROR(SUM(F4:F34),"")</f>
        <v>30397740</v>
      </c>
      <c r="G35" s="13">
        <f>IFERROR(SUM(G4:G34),"")</f>
        <v>74699080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13" activePane="bottomLeft" state="frozen"/>
      <selection pane="bottomLeft" activeCell="F633" sqref="F63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301</v>
      </c>
      <c r="G635" s="36">
        <f>SUM(G623:G634)</f>
        <v>1505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301</v>
      </c>
      <c r="G649" s="40">
        <f>G635+G648</f>
        <v>1505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13" activePane="bottomLeft" state="frozen"/>
      <selection pane="bottomLeft" activeCell="F633" sqref="F63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0.48920879629440606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0.64684768518329494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0.75656990740551711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0.46768101851921529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0.63851435185254868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0.78365324074143761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/>
      <c r="I625" s="33"/>
      <c r="J625" s="33"/>
      <c r="K625" s="29"/>
      <c r="L625" s="29"/>
      <c r="M625" s="35" t="str">
        <f t="shared" ref="M625:M634" ca="1" si="140">IFERROR(IF(K625="","",IF(L625="",MOD(NOW()-K625,1),IF(L625&gt;=K625,L625-K625,L625+1-K625))),"")</f>
        <v/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80</v>
      </c>
      <c r="G635" s="36">
        <f>SUM(G623:G634)</f>
        <v>336</v>
      </c>
      <c r="H635" s="37"/>
      <c r="I635" s="37"/>
      <c r="J635" s="37"/>
      <c r="K635" s="37"/>
      <c r="L635" s="37"/>
      <c r="M635" s="38">
        <f ca="1">IFERROR(SUM(M623:M634),"")</f>
        <v>0.95833333333333315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80</v>
      </c>
      <c r="G649" s="40">
        <f>G635+G648</f>
        <v>336</v>
      </c>
      <c r="H649" s="41"/>
      <c r="I649" s="41"/>
      <c r="J649" s="41"/>
      <c r="K649" s="41"/>
      <c r="L649" s="41"/>
      <c r="M649" s="42">
        <f ca="1">IFERROR(M635+M648,"")</f>
        <v>0.95833333333333315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07" zoomScale="50" zoomScaleNormal="50" workbookViewId="0">
      <selection activeCell="F633" sqref="F63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132</v>
      </c>
      <c r="G635" s="36">
        <f>SUM(G623:G634)</f>
        <v>554.4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132</v>
      </c>
      <c r="G649" s="40">
        <f>G635+G648</f>
        <v>554.4</v>
      </c>
      <c r="H649" s="41"/>
      <c r="I649" s="41"/>
      <c r="J649" s="41"/>
      <c r="K649" s="41"/>
      <c r="L649" s="41"/>
      <c r="M649" s="42">
        <f ca="1">IFERROR(M635+M648,"")</f>
        <v>5.5555555555555358E-3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07" activePane="bottomLeft" state="frozen"/>
      <selection pane="bottomLeft" activeCell="F633" sqref="F63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0.47948657407687278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0.67879212963242841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1.0461532407435394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/>
      <c r="M628" s="30">
        <f t="shared" ca="1" si="139"/>
        <v>4.0597685183456633E-2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0.11351435185012343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86</v>
      </c>
      <c r="G649" s="40">
        <f>G635+G648</f>
        <v>361.20000000000005</v>
      </c>
      <c r="H649" s="41"/>
      <c r="I649" s="41"/>
      <c r="J649" s="41"/>
      <c r="K649" s="63"/>
      <c r="L649" s="63"/>
      <c r="M649" s="42">
        <f ca="1">IFERROR(M635+M648,"")</f>
        <v>0.11351435185012343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2026-07-24T21:29:29Z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