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67" documentId="8_{AF585B22-221D-4780-BB9C-493D365A6A02}" xr6:coauthVersionLast="47" xr6:coauthVersionMax="47" xr10:uidLastSave="{3ADF8ECA-3BC4-4E1A-87E7-92A4D5A7E4B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<sst xmlns="http://schemas.openxmlformats.org/spreadsheetml/2006/main" count="12460" uniqueCount="443">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</sst>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7" activePane="bottomLeft" state="frozen"/>
      <selection pane="bottomLeft" activeCell="J825" sqref="J8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1" t="str">
        <f>IF(F825="","",IF(E825="PC 17",F825*4.2,IF(E825="PC 19",F825*5,"")))</f>
        <v/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/>
      <c r="M825" s="79">
        <f ca="1">IFERROR(IF(K825="","",IF(L825="",MOD(NOW()-K825,1),IF(L825&gt;=K825,L825-K825,L825+1-K825))),"")</f>
        <v>3.4310185219510458E-3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3.4310185219510458E-3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0.16315324074417326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H828" sqref="H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0.55551435185043374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0.71315324073932262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0.82287546296154479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0.53398657407524297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0.70481990740857636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0.84995879629746529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8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0.54579212963290047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0.74509768518845609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1.1124587962995671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2026-07-31T23:05:07Z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