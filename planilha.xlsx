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709" documentId="8_{C51EB6CB-002B-4D6B-B68F-DDEBDB4460C0}" xr6:coauthVersionLast="47" xr6:coauthVersionMax="47" xr10:uidLastSave="{15513277-04D4-4210-8267-858869D11835}"/>
  <bookViews>
    <workbookView xWindow="-108" yWindow="-108" windowWidth="23256" windowHeight="12456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<sst xmlns="http://schemas.openxmlformats.org/spreadsheetml/2006/main" count="3176" uniqueCount="276">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</sst>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8" sqref="G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16707485</v>
      </c>
      <c r="D35" s="13">
        <f>IFERROR(SUM(D4:D34),"")</f>
        <v>5348300</v>
      </c>
      <c r="E35" s="13">
        <f>IFERROR(SUM(E4:E34),"")</f>
        <v>2984130</v>
      </c>
      <c r="F35" s="13">
        <f>IFERROR(SUM(F4:F34),"")</f>
        <v>6728260</v>
      </c>
      <c r="G35" s="13">
        <f>IFERROR(SUM(G4:G34),"")</f>
        <v>15060690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3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3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3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3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3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3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3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3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3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3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3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3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3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3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3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3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3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3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3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3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3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3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3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3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3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3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204</v>
      </c>
      <c r="L58" s="16"/>
      <c r="M58" s="16"/>
    </row>
    <row r="59" spans="1:13" ht="15" customHeight="1">
      <c r="H59" s="113"/>
      <c r="I59" s="17"/>
      <c r="J59" s="17"/>
      <c r="K59" s="17" t="s">
        <v>205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206</v>
      </c>
      <c r="L61" s="17"/>
      <c r="M61" s="17"/>
    </row>
    <row r="62" spans="1:13" ht="15" customHeight="1">
      <c r="H62" s="113"/>
      <c r="I62" s="16"/>
      <c r="J62" s="16"/>
      <c r="K62" s="16" t="s">
        <v>207</v>
      </c>
      <c r="L62" s="16"/>
      <c r="M62" s="16"/>
    </row>
    <row r="63" spans="1:13" ht="15" customHeight="1">
      <c r="H63" s="113"/>
      <c r="I63" s="17"/>
      <c r="J63" s="17"/>
      <c r="K63" s="17" t="s">
        <v>208</v>
      </c>
      <c r="L63" s="17"/>
      <c r="M63" s="17"/>
    </row>
    <row r="64" spans="1:13" ht="15" customHeight="1">
      <c r="H64" s="113"/>
      <c r="I64" s="16"/>
      <c r="J64" s="16"/>
      <c r="K64" s="16" t="s">
        <v>209</v>
      </c>
      <c r="L64" s="16"/>
      <c r="M64" s="16"/>
    </row>
    <row r="65" spans="8:13" ht="15" customHeight="1">
      <c r="H65" s="113"/>
      <c r="I65" s="17"/>
      <c r="J65" s="17"/>
      <c r="K65" s="17" t="s">
        <v>210</v>
      </c>
      <c r="L65" s="17"/>
      <c r="M65" s="17"/>
    </row>
    <row r="66" spans="8:13" ht="15" customHeight="1">
      <c r="H66" s="113"/>
      <c r="I66" s="16"/>
      <c r="J66" s="16"/>
      <c r="K66" s="16" t="s">
        <v>211</v>
      </c>
      <c r="L66" s="16"/>
      <c r="M66" s="16"/>
    </row>
    <row r="67" spans="8:13" ht="15" customHeight="1">
      <c r="H67" s="113"/>
      <c r="I67" s="17"/>
      <c r="J67" s="17"/>
      <c r="K67" s="17" t="s">
        <v>212</v>
      </c>
      <c r="L67" s="17"/>
      <c r="M67" s="17"/>
    </row>
    <row r="68" spans="8:13" ht="15" customHeight="1">
      <c r="H68" s="113"/>
      <c r="I68" s="16"/>
      <c r="J68" s="16"/>
      <c r="K68" s="16" t="s">
        <v>213</v>
      </c>
      <c r="L68" s="16"/>
      <c r="M68" s="16"/>
    </row>
    <row r="69" spans="8:13" ht="15" customHeight="1">
      <c r="H69" s="113"/>
      <c r="I69" s="17"/>
      <c r="J69" s="17"/>
      <c r="K69" s="17" t="s">
        <v>214</v>
      </c>
      <c r="L69" s="17"/>
      <c r="M69" s="17"/>
    </row>
    <row r="70" spans="8:13" ht="15" customHeight="1">
      <c r="H70" s="113"/>
      <c r="I70" s="16"/>
      <c r="J70" s="16"/>
      <c r="K70" s="16" t="s">
        <v>215</v>
      </c>
      <c r="L70" s="16"/>
      <c r="M70" s="16"/>
    </row>
    <row r="71" spans="8:13" ht="15" customHeight="1">
      <c r="H71" s="113"/>
      <c r="I71" s="17"/>
      <c r="J71" s="17"/>
      <c r="K71" s="17" t="s">
        <v>216</v>
      </c>
      <c r="L71" s="17"/>
      <c r="M71" s="17"/>
    </row>
    <row r="72" spans="8:13" ht="15" customHeight="1">
      <c r="H72" s="113"/>
      <c r="I72" s="16"/>
      <c r="J72" s="16"/>
      <c r="K72" s="16" t="s">
        <v>217</v>
      </c>
      <c r="L72" s="16"/>
      <c r="M72" s="16"/>
    </row>
    <row r="73" spans="8:13" ht="15" customHeight="1">
      <c r="H73" s="113"/>
      <c r="I73" s="17"/>
      <c r="J73" s="17"/>
      <c r="K73" s="17" t="s">
        <v>218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14" activePane="bottomLeft" state="frozen"/>
      <selection pane="bottomLeft" activeCell="E148" sqref="E14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229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229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229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229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229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229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229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229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229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229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229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229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231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229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229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229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232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229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229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229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229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229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229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229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233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231</v>
      </c>
      <c r="O27" s="39">
        <v>997910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235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229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229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236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229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232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229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229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229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229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229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229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230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231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229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229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229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229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229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229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229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231</v>
      </c>
      <c r="O54" s="39">
        <v>981310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235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229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229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229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229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229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229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229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229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229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229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229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229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231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229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229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238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229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229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229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229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229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229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229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231</v>
      </c>
      <c r="O81" s="39">
        <v>1547910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235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229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229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229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239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229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229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229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229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229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229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229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231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229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229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229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229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229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229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240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229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229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229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229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229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229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3156240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235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229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229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229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229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229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229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229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229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229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229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229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229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231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229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229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229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229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229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229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229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229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229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229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229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229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231</v>
      </c>
      <c r="O135" s="39">
        <v>2875180</v>
      </c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235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229</v>
      </c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>
        <v>0.32847222222222222</v>
      </c>
      <c r="M137" s="35" t="str">
        <f t="shared" ref="M137:M148" ca="1" si="31">IFERROR(IF(K137="","",IF(L137="",MOD(NOW()-K137,1),IF(L137&gt;=K137,L137-K137,L137+1-K137))),"")</f>
        <v/>
      </c>
      <c r="N137" s="27" t="s">
        <v>241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229</v>
      </c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22</v>
      </c>
      <c r="E139" s="62" t="s">
        <v>229</v>
      </c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22</v>
      </c>
      <c r="E140" s="62" t="s">
        <v>229</v>
      </c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22</v>
      </c>
      <c r="E141" s="62" t="s">
        <v>229</v>
      </c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22</v>
      </c>
      <c r="E142" s="62" t="s">
        <v>229</v>
      </c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22</v>
      </c>
      <c r="E143" s="62" t="s">
        <v>229</v>
      </c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22</v>
      </c>
      <c r="E144" s="62" t="s">
        <v>229</v>
      </c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22</v>
      </c>
      <c r="E145" s="62" t="s">
        <v>229</v>
      </c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22</v>
      </c>
      <c r="E146" s="62" t="s">
        <v>229</v>
      </c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22</v>
      </c>
      <c r="E147" s="62" t="s">
        <v>229</v>
      </c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22</v>
      </c>
      <c r="E148" s="62" t="s">
        <v>229</v>
      </c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4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230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230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230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233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233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0" t="s">
        <v>234</v>
      </c>
      <c r="B811" s="101"/>
      <c r="C811" s="101"/>
      <c r="D811" s="101"/>
      <c r="E811" s="102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21" activePane="bottomLeft" state="frozen"/>
      <selection pane="bottomLeft" activeCell="E148" sqref="E14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243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244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245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231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242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242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242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242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246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242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247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242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242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242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242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242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233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231</v>
      </c>
      <c r="O27" s="77">
        <v>549860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235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230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231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242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242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242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242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248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242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249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242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242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242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250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242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0.21308750000025611</v>
      </c>
      <c r="N53" s="46" t="s">
        <v>251</v>
      </c>
      <c r="O53" s="31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0.35197638888914501</v>
      </c>
      <c r="N54" s="36" t="s">
        <v>231</v>
      </c>
      <c r="O54" s="84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0.43669861111136732</v>
      </c>
      <c r="N55" s="40" t="s">
        <v>235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242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242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242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242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242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242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242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242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243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242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242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242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242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231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242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242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242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242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242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242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242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242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252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242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242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242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242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231</v>
      </c>
      <c r="O81" s="54">
        <v>634210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235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253</v>
      </c>
      <c r="E83" s="59" t="s">
        <v>242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242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242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242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242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242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242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242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242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231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242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138</v>
      </c>
      <c r="J96" s="26" t="s">
        <v>115</v>
      </c>
      <c r="K96" s="29">
        <v>0.79166666666666663</v>
      </c>
      <c r="L96" s="29" t="s">
        <v>254</v>
      </c>
      <c r="M96" s="30" t="str">
        <f t="shared" ref="M96:M107" ca="1" si="22">IFERROR(IF(K96="","",IF(L96="",MOD(NOW()-K96,1),IF(L96&gt;=K96,L96-K96,L96+1-K96))),"")</f>
        <v/>
      </c>
      <c r="N96" s="46" t="s">
        <v>255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242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242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256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242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180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257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242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232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242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242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242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242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242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242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242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231</v>
      </c>
      <c r="O108" s="54">
        <v>456830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235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242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153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242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258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242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153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242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242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242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242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242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242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242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231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242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156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242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153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242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132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242</v>
      </c>
      <c r="F126" s="27">
        <v>20</v>
      </c>
      <c r="G126" s="28">
        <f t="shared" si="27"/>
        <v>84</v>
      </c>
      <c r="H126" s="26" t="s">
        <v>17</v>
      </c>
      <c r="I126" s="26" t="s">
        <v>132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242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120</v>
      </c>
      <c r="J127" s="33" t="s">
        <v>113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242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242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242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242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242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242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242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231</v>
      </c>
      <c r="O135" s="54">
        <v>756720</v>
      </c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235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242</v>
      </c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242</v>
      </c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22</v>
      </c>
      <c r="E139" s="62" t="s">
        <v>242</v>
      </c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22</v>
      </c>
      <c r="E140" s="62" t="s">
        <v>242</v>
      </c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22</v>
      </c>
      <c r="E141" s="62" t="s">
        <v>242</v>
      </c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22</v>
      </c>
      <c r="E142" s="62" t="s">
        <v>242</v>
      </c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22</v>
      </c>
      <c r="E143" s="62" t="s">
        <v>242</v>
      </c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22</v>
      </c>
      <c r="E144" s="62" t="s">
        <v>242</v>
      </c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22</v>
      </c>
      <c r="E145" s="62" t="s">
        <v>242</v>
      </c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22</v>
      </c>
      <c r="E146" s="62" t="s">
        <v>242</v>
      </c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22</v>
      </c>
      <c r="E147" s="62" t="s">
        <v>242</v>
      </c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22</v>
      </c>
      <c r="E148" s="62" t="s">
        <v>242</v>
      </c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5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77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77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230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77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77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77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77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230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77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230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77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77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233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77"/>
    </row>
    <row r="433" spans="1:15" ht="18" customHeight="1">
      <c r="A433" s="92" t="s">
        <v>234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77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77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233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77"/>
    </row>
    <row r="514" spans="1:15" ht="18" customHeight="1">
      <c r="A514" s="92" t="s">
        <v>234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77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84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17" zoomScale="50" zoomScaleNormal="50" workbookViewId="0">
      <selection activeCell="E148" sqref="E14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231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259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242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242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246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242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260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242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242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242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242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242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242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233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231</v>
      </c>
      <c r="O27" s="39">
        <v>358000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235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230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231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259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242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242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259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242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242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242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231</v>
      </c>
      <c r="O54" s="39">
        <v>279980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235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242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242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242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242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242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242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242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261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242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242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242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242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242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231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242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262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242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242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242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242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242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242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242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231</v>
      </c>
      <c r="O81" s="39">
        <v>185920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235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242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263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242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264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242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242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242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242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242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242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242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242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231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242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135</v>
      </c>
      <c r="J96" s="26" t="s">
        <v>115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242</v>
      </c>
      <c r="F97" s="27">
        <v>0</v>
      </c>
      <c r="G97" s="28">
        <f t="shared" si="21"/>
        <v>0</v>
      </c>
      <c r="H97" s="33" t="s">
        <v>18</v>
      </c>
      <c r="I97" s="33" t="s">
        <v>135</v>
      </c>
      <c r="J97" s="33" t="s">
        <v>115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265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242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242</v>
      </c>
      <c r="F99" s="27">
        <v>7</v>
      </c>
      <c r="G99" s="28">
        <f t="shared" si="21"/>
        <v>29.400000000000002</v>
      </c>
      <c r="H99" s="33" t="s">
        <v>20</v>
      </c>
      <c r="I99" s="33" t="s">
        <v>154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242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242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242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242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242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242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242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242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231</v>
      </c>
      <c r="O108" s="39">
        <v>434370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235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242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242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242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242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242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242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242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242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242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242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242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242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231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242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154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242</v>
      </c>
      <c r="F124" s="27">
        <v>9</v>
      </c>
      <c r="G124" s="28">
        <f t="shared" si="27"/>
        <v>37.800000000000004</v>
      </c>
      <c r="H124" s="26" t="s">
        <v>20</v>
      </c>
      <c r="I124" s="26" t="s">
        <v>154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242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266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242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242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132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242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242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128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242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242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195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242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242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242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231</v>
      </c>
      <c r="O135" s="39">
        <v>416350</v>
      </c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235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242</v>
      </c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242</v>
      </c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22</v>
      </c>
      <c r="E139" s="62" t="s">
        <v>242</v>
      </c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22</v>
      </c>
      <c r="E140" s="62" t="s">
        <v>242</v>
      </c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22</v>
      </c>
      <c r="E141" s="62" t="s">
        <v>242</v>
      </c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22</v>
      </c>
      <c r="E142" s="62" t="s">
        <v>242</v>
      </c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22</v>
      </c>
      <c r="E143" s="62" t="s">
        <v>242</v>
      </c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22</v>
      </c>
      <c r="E144" s="62" t="s">
        <v>242</v>
      </c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22</v>
      </c>
      <c r="E145" s="62" t="s">
        <v>242</v>
      </c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22</v>
      </c>
      <c r="E146" s="62" t="s">
        <v>242</v>
      </c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22</v>
      </c>
      <c r="E147" s="62" t="s">
        <v>242</v>
      </c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22</v>
      </c>
      <c r="E148" s="62" t="s">
        <v>242</v>
      </c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39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230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230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230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233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233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122" activePane="bottomLeft" state="frozen"/>
      <selection pane="bottomLeft" activeCell="C137" sqref="C13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231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267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242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249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242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259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242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268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242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242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242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269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242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242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233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231</v>
      </c>
      <c r="O27" s="39">
        <v>491520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235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242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242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242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242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242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242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242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242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242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242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230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231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270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242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242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242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242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231</v>
      </c>
      <c r="O54" s="39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235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242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242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242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242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271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242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272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242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242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242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242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242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242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231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242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273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242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242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242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259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242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242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242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242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242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242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242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231</v>
      </c>
      <c r="O81" s="39">
        <v>612410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235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242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242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242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242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242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242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242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242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242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242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242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242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231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242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159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242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127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259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242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242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242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242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242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242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242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242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242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231</v>
      </c>
      <c r="O108" s="39">
        <v>956070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235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242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159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242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213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242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218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242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218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242</v>
      </c>
      <c r="F114" s="27">
        <v>14</v>
      </c>
      <c r="G114" s="28">
        <f t="shared" si="24"/>
        <v>58.800000000000004</v>
      </c>
      <c r="H114" s="26" t="s">
        <v>19</v>
      </c>
      <c r="I114" s="26" t="s">
        <v>159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274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242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242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242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242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242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231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242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203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242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275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242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242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242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252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242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242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127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259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242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242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242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242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242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231</v>
      </c>
      <c r="O135" s="39">
        <v>912240</v>
      </c>
    </row>
    <row r="136" spans="1:18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235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230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230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233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231</v>
      </c>
      <c r="O432" s="39"/>
    </row>
    <row r="433" spans="1:17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231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233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235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2026-08-06T12:01:50Z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