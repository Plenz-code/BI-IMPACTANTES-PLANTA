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03" documentId="8_{C51EB6CB-002B-4D6B-B68F-DDEBDB4460C0}" xr6:coauthVersionLast="47" xr6:coauthVersionMax="47" xr10:uidLastSave="{0AA3B09E-E3F9-4051-B3A7-CFD423F91EE2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<sst xmlns="http://schemas.openxmlformats.org/spreadsheetml/2006/main" count="4080" uniqueCount="299">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</sst>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0" sqref="G1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N193" sqref="N19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70</v>
      </c>
      <c r="G203" s="36">
        <f>SUM(G191:G202)</f>
        <v>350</v>
      </c>
      <c r="H203" s="37"/>
      <c r="I203" s="37"/>
      <c r="J203" s="37"/>
      <c r="K203" s="37"/>
      <c r="L203" s="37"/>
      <c r="M203" s="38">
        <f ca="1">IFERROR(SUM(M191:M202),"")</f>
        <v>2.6388888888888906E-2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70</v>
      </c>
      <c r="G217" s="40">
        <f>G203+G216</f>
        <v>350</v>
      </c>
      <c r="H217" s="41"/>
      <c r="I217" s="41"/>
      <c r="J217" s="41"/>
      <c r="K217" s="41"/>
      <c r="L217" s="41"/>
      <c r="M217" s="42">
        <f ca="1">IFERROR(M203+M216,"")</f>
        <v>2.6388888888888906E-2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3" activePane="bottomLeft" state="frozen"/>
      <selection pane="bottomLeft"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0.30939490740274778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0.44828379629163667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0.53300601851385898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37"/>
      <c r="L203" s="37"/>
      <c r="M203" s="38">
        <f ca="1">IFERROR(SUM(M191:M202),"")</f>
        <v>4.166666666666663E-2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41"/>
      <c r="L217" s="41"/>
      <c r="M217" s="42">
        <f ca="1">IFERROR(M203+M216,"")</f>
        <v>4.166666666666663E-2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4" sqref="F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</v>
      </c>
      <c r="G203" s="36">
        <f>SUM(G191:G202)</f>
        <v>8.4</v>
      </c>
      <c r="H203" s="37"/>
      <c r="I203" s="37"/>
      <c r="J203" s="37"/>
      <c r="K203" s="37"/>
      <c r="L203" s="37"/>
      <c r="M203" s="38">
        <f ca="1">IFERROR(SUM(M191:M202),"")</f>
        <v>6.6666666666666596E-2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</v>
      </c>
      <c r="G217" s="40">
        <f>G203+G216</f>
        <v>8.4</v>
      </c>
      <c r="H217" s="41"/>
      <c r="I217" s="41"/>
      <c r="J217" s="41"/>
      <c r="K217" s="41"/>
      <c r="L217" s="41"/>
      <c r="M217" s="42">
        <f ca="1">IFERROR(M203+M216,"")</f>
        <v>6.6666666666666596E-2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0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162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20</v>
      </c>
      <c r="I192" s="26" t="s">
        <v>157</v>
      </c>
      <c r="J192" s="33" t="s">
        <v>74</v>
      </c>
      <c r="K192" s="29">
        <v>0.43055555555555558</v>
      </c>
      <c r="L192" s="29"/>
      <c r="M192" s="30">
        <f t="shared" ca="1" si="43"/>
        <v>3.6712962901219726E-4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44</v>
      </c>
      <c r="G203" s="36">
        <f>SUM(G191:G202)</f>
        <v>184.8</v>
      </c>
      <c r="H203" s="37"/>
      <c r="I203" s="37"/>
      <c r="J203" s="37"/>
      <c r="K203" s="61"/>
      <c r="L203" s="61"/>
      <c r="M203" s="38">
        <f ca="1">IFERROR(SUM(M191:M202),"")</f>
        <v>1.9811574073456628E-2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44</v>
      </c>
      <c r="G217" s="40">
        <f>G203+G216</f>
        <v>184.8</v>
      </c>
      <c r="H217" s="41"/>
      <c r="I217" s="41"/>
      <c r="J217" s="41"/>
      <c r="K217" s="63"/>
      <c r="L217" s="63"/>
      <c r="M217" s="42">
        <f ca="1">IFERROR(M203+M216,"")</f>
        <v>1.9811574073456628E-2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2026-08-08T14:20:38Z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