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143" documentId="13_ncr:1_{A6DBCFB4-28D9-4249-9038-216934055CA6}" xr6:coauthVersionLast="47" xr6:coauthVersionMax="47" xr10:uidLastSave="{0B728BC2-764D-41E1-A390-D3EA2B904BED}"/>
  <bookViews>
    <workbookView xWindow="-110" yWindow="-110" windowWidth="25820" windowHeight="15500" tabRatio="500" firstSheet="6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F557" i="6"/>
  <c r="Q556" i="6"/>
  <c r="Q567" i="6" s="1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F566" i="5"/>
  <c r="Q565" i="5"/>
  <c r="K565" i="5"/>
  <c r="I565" i="5"/>
  <c r="H565" i="5"/>
  <c r="F565" i="5"/>
  <c r="Q564" i="5"/>
  <c r="K564" i="5"/>
  <c r="I564" i="5"/>
  <c r="H564" i="5"/>
  <c r="F564" i="5"/>
  <c r="Q563" i="5"/>
  <c r="K563" i="5"/>
  <c r="I563" i="5"/>
  <c r="H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H559" i="5"/>
  <c r="F559" i="5"/>
  <c r="Q558" i="5"/>
  <c r="K558" i="5"/>
  <c r="I558" i="5"/>
  <c r="H558" i="5"/>
  <c r="F558" i="5"/>
  <c r="Q557" i="5"/>
  <c r="K557" i="5"/>
  <c r="I557" i="5"/>
  <c r="H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62" i="5" l="1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<sst xmlns="http://schemas.openxmlformats.org/spreadsheetml/2006/main" count="9709" uniqueCount="421">
  <si>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</si>
  <si>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</si>
  <si>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</si>
  <si>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</si>
  <si>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</si>
  <si>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</si>
  <si>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</si>
  <si>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</si>
  <si>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</si>
  <si>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</si>
  <si>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</si>
  <si>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</si>
  <si>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</si>
  <si>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</si>
  <si>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</si>
  <si>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</si>
  <si>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</si>
  <si>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</si>
  <si>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</si>
  <si>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</si>
  <si>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</si>
  <si>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</si>
  <si>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</si>
  <si>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</si>
  <si>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</si>
  <si>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</si>
  <si>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</si>
  <si>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</si>
  <si>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</si>
  <si>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</si>
  <si>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</si>
  <si>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</si>
  <si>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</si>
  <si>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</si>
  <si>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</si>
  <si>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</si>
  <si>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</si>
  <si>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</si>
  <si>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</si>
  <si>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</si>
  <si>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</si>
  <si>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</si>
  <si>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</si>
  <si>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</si>
  <si>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</si>
  <si>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</si>
  <si>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</si>
  <si>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</si>
  <si>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</si>
  <si>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</si>
  <si>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</si>
  <si>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</si>
  <si>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</si>
  <si>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</si>
  <si>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</si>
  <si>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</si>
  <si>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</si>
  <si>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</si>
  <si>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</si>
  <si>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</si>
  <si>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</si>
  <si>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</si>
  <si>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</si>
  <si>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</si>
  <si>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</si>
  <si>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</si>
  <si>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</si>
  <si>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</si>
  <si>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</si>
  <si>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</si>
  <si>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</si>
  <si>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</si>
  <si>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</si>
  <si>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</si>
  <si>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</si>
  <si>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</si>
  <si>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</si>
  <si>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</si>
  <si>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</si>
  <si>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</si>
  <si>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</si>
  <si>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</si>
  <si>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</si>
  <si>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</si>
  <si>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</si>
  <si>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</si>
  <si>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</si>
  <si>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</si>
  <si>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</si>
  <si>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</si>
  <si>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</si>
  <si>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</si>
  <si>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</si>
  <si>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</si>
  <si>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</si>
  <si>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</si>
  <si>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</si>
  <si>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</si>
  <si>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</si>
  <si>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</si>
  <si>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</si>
  <si>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</si>
  <si>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</si>
  <si>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</si>
  <si>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</si>
  <si>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</si>
  <si>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</si>
  <si>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</si>
  <si>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</si>
  <si>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</si>
  <si>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</si>
  <si>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</si>
  <si>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</si>
  <si>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</si>
  <si>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</si>
  <si>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</si>
  <si>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</si>
  <si>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</si>
  <si>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</si>
  <si>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</si>
  <si>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</si>
  <si>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</si>
  <si>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</si>
  <si>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</si>
  <si>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</si>
  <si>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</si>
  <si>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</si>
  <si>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</si>
  <si>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</si>
  <si>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</si>
  <si>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</si>
  <si>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</si>
  <si>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</si>
  <si>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</si>
  <si>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</si>
  <si>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</si>
  <si>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</si>
  <si>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</si>
  <si>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</si>
  <si>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</si>
  <si>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</si>
  <si>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</si>
  <si>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</si>
  <si>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</si>
  <si>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</si>
  <si>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</si>
  <si>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</si>
  <si>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</si>
  <si>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</si>
  <si>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</si>
  <si>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</si>
  <si>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</si>
  <si>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</si>
  <si>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</si>
  <si>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</si>
  <si>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</si>
  <si>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</si>
  <si>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</si>
  <si>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</si>
  <si>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</si>
  <si>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</si>
  <si>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</si>
  <si>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</si>
  <si>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</si>
  <si>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</si>
  <si>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</si>
  <si>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</si>
  <si>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</si>
  <si>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</si>
  <si>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</si>
  <si>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</si>
  <si>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</si>
  <si>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</si>
  <si>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</si>
  <si>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</si>
  <si>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</si>
  <si>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</si>
  <si>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</si>
  <si>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</si>
  <si>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</si>
  <si>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</si>
  <si>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</si>
  <si>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</si>
  <si>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</si>
  <si>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</si>
  <si>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</si>
  <si>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</si>
  <si>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</si>
  <si>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</si>
  <si>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</si>
  <si>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</si>
  <si>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</si>
  <si>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</si>
  <si>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</si>
  <si>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</si>
  <si>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</si>
  <si>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</si>
  <si>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</si>
  <si>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</si>
  <si>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</si>
  <si>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</si>
  <si>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</si>
  <si>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</si>
  <si>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</si>
  <si>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</si>
  <si>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</si>
  <si>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</si>
  <si>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</si>
  <si>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</si>
  <si>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</si>
  <si>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</si>
  <si>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</si>
  <si>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</si>
  <si>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</si>
  <si>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</si>
  <si>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</si>
  <si>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</si>
  <si>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</si>
  <si>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</si>
  <si>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</si>
  <si>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</si>
  <si>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</si>
  <si>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</si>
  <si>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</si>
  <si>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</si>
  <si>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</si>
  <si>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</si>
  <si>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</si>
  <si>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</si>
  <si>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</si>
  <si>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</si>
  <si>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</si>
  <si>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</si>
  <si>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</si>
  <si>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</si>
  <si>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</si>
  <si>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</si>
  <si>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</si>
  <si>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</si>
  <si>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</si>
  <si>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</si>
  <si>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</si>
  <si>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</si>
  <si>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</si>
  <si>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</si>
  <si>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</si>
  <si>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</si>
  <si>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</si>
  <si>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</si>
  <si>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</si>
  <si>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</si>
  <si>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</si>
  <si>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</si>
  <si>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</si>
  <si>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</si>
  <si>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</si>
  <si>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</si>
  <si>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</si>
  <si>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</si>
  <si>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</si>
  <si>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</si>
  <si>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</si>
  <si>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</si>
  <si>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</si>
  <si>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</si>
  <si>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</si>
  <si>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</si>
  <si>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</si>
  <si>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</si>
  <si>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</si>
  <si>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</si>
  <si>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</si>
  <si>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</si>
  <si>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</si>
  <si>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</si>
  <si>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</si>
  <si>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</si>
  <si>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</si>
  <si>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</si>
  <si>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</si>
  <si>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</si>
  <si>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</si>
  <si>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</si>
  <si>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</si>
  <si>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</si>
  <si>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</si>
  <si>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</si>
  <si>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</si>
  <si>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</si>
  <si>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</si>
  <si>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</si>
  <si>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</si>
  <si>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</si>
  <si>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</si>
  <si>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</si>
  <si>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</si>
  <si>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</si>
  <si>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</si>
  <si>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</si>
  <si>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</si>
  <si>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</si>
  <si>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</si>
  <si>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</si>
  <si>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</si>
  <si>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</si>
  <si>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</si>
  <si>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</si>
  <si>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</si>
  <si>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</si>
  <si>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</si>
  <si>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</si>
  <si>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</si>
  <si>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</si>
  <si>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</si>
  <si>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</si>
  <si>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</si>
  <si>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</si>
  <si>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</si>
  <si>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</si>
  <si>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</si>
  <si>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</si>
  <si>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</si>
  <si>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</si>
  <si>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</si>
  <si>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</si>
  <si>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</si>
  <si>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</si>
  <si>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</si>
  <si>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</si>
  <si>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</si>
  <si>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</si>
  <si>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</si>
  <si>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</si>
  <si>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</si>
  <si>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</si>
  <si>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</si>
  <si>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</si>
  <si>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</si>
  <si>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</si>
  <si>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</si>
  <si>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</si>
  <si>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</si>
  <si>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</si>
  <si>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</si>
  <si>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</si>
  <si>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</si>
  <si>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limpeza na correia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</si>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</sst>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0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1" t="s">
        <v>16</v>
      </c>
      <c r="B35" s="161"/>
      <c r="C35" s="30">
        <f t="shared" ref="C35:I35" si="2">IFERROR(SUM(C4:C34),"")</f>
        <v>75100940</v>
      </c>
      <c r="D35" s="30">
        <f t="shared" si="2"/>
        <v>24659450</v>
      </c>
      <c r="E35" s="30">
        <f t="shared" si="2"/>
        <v>13495620</v>
      </c>
      <c r="F35" s="30">
        <f t="shared" si="2"/>
        <v>32668850</v>
      </c>
      <c r="G35" s="30">
        <f t="shared" si="2"/>
        <v>70823920</v>
      </c>
      <c r="H35" s="31">
        <f t="shared" si="2"/>
        <v>6458.4576326915121</v>
      </c>
      <c r="I35" s="31">
        <f t="shared" si="2"/>
        <v>4967.05</v>
      </c>
      <c r="J35" s="32">
        <f>I35/H35</f>
        <v>0.76907681098002656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6" zoomScale="85" zoomScaleNormal="85" workbookViewId="0">
      <selection activeCell="P28" sqref="P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>
      <c r="M2" s="16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3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3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3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3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3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3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3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3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3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3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3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3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3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3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3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3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3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3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3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3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3"/>
      <c r="N28" s="37"/>
      <c r="O28" s="37"/>
      <c r="P28" s="37" t="s">
        <v>121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3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3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3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3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3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3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3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3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3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3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3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3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3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3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3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3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3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3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3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3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3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3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3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3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3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3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3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3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3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3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3"/>
      <c r="N59" s="40"/>
      <c r="O59" s="40"/>
      <c r="P59" s="40" t="s">
        <v>222</v>
      </c>
      <c r="Q59" s="40"/>
      <c r="R59" s="40" t="s">
        <v>223</v>
      </c>
    </row>
    <row r="60" spans="1:18" ht="15" customHeight="1">
      <c r="M60" s="163"/>
      <c r="N60" s="37"/>
      <c r="O60" s="37"/>
      <c r="P60" s="53" t="s">
        <v>114</v>
      </c>
      <c r="Q60" s="37"/>
      <c r="R60" s="37"/>
    </row>
    <row r="61" spans="1:18" ht="15" customHeight="1">
      <c r="M61" s="163"/>
      <c r="N61" s="40"/>
      <c r="O61" s="40"/>
      <c r="P61" s="40" t="s">
        <v>224</v>
      </c>
      <c r="Q61" s="40"/>
      <c r="R61" s="40"/>
    </row>
    <row r="62" spans="1:18" ht="15" customHeight="1">
      <c r="M62" s="163"/>
      <c r="N62" s="37"/>
      <c r="O62" s="37"/>
      <c r="P62" s="37" t="s">
        <v>225</v>
      </c>
      <c r="Q62" s="37"/>
      <c r="R62" s="37"/>
    </row>
    <row r="63" spans="1:18" ht="15" customHeight="1">
      <c r="M63" s="163"/>
      <c r="N63" s="40"/>
      <c r="O63" s="40"/>
      <c r="P63" s="40" t="s">
        <v>226</v>
      </c>
      <c r="Q63" s="40"/>
      <c r="R63" s="40"/>
    </row>
    <row r="64" spans="1:18" ht="15" customHeight="1">
      <c r="M64" s="163"/>
      <c r="N64" s="37"/>
      <c r="O64" s="37"/>
      <c r="P64" s="37" t="s">
        <v>227</v>
      </c>
      <c r="Q64" s="37"/>
      <c r="R64" s="37"/>
    </row>
    <row r="65" spans="13:18" ht="15" customHeight="1">
      <c r="M65" s="163"/>
      <c r="N65" s="40"/>
      <c r="O65" s="40"/>
      <c r="P65" s="40" t="s">
        <v>228</v>
      </c>
      <c r="Q65" s="40"/>
      <c r="R65" s="40"/>
    </row>
    <row r="66" spans="13:18" ht="15" customHeight="1">
      <c r="M66" s="163"/>
      <c r="N66" s="37"/>
      <c r="O66" s="37"/>
      <c r="P66" s="37" t="s">
        <v>229</v>
      </c>
      <c r="Q66" s="37"/>
      <c r="R66" s="37"/>
    </row>
    <row r="67" spans="13:18" ht="15" customHeight="1">
      <c r="M67" s="163"/>
      <c r="N67" s="40"/>
      <c r="O67" s="40"/>
      <c r="P67" s="40" t="s">
        <v>230</v>
      </c>
      <c r="Q67" s="40"/>
      <c r="R67" s="40"/>
    </row>
    <row r="68" spans="13:18" ht="15" customHeight="1">
      <c r="M68" s="163"/>
      <c r="N68" s="37"/>
      <c r="O68" s="37"/>
      <c r="P68" s="37" t="s">
        <v>231</v>
      </c>
      <c r="Q68" s="37"/>
      <c r="R68" s="37"/>
    </row>
    <row r="69" spans="13:18" ht="15" customHeight="1">
      <c r="M69" s="163"/>
      <c r="N69" s="40"/>
      <c r="O69" s="40"/>
      <c r="P69" s="40" t="s">
        <v>232</v>
      </c>
      <c r="Q69" s="40"/>
      <c r="R69" s="40"/>
    </row>
    <row r="70" spans="13:18" ht="15" customHeight="1">
      <c r="M70" s="163"/>
      <c r="N70" s="37"/>
      <c r="O70" s="37"/>
      <c r="P70" s="37" t="s">
        <v>233</v>
      </c>
      <c r="Q70" s="37"/>
      <c r="R70" s="37"/>
    </row>
    <row r="71" spans="13:18" ht="15" customHeight="1">
      <c r="M71" s="163"/>
      <c r="N71" s="40"/>
      <c r="O71" s="40"/>
      <c r="P71" s="40" t="s">
        <v>234</v>
      </c>
      <c r="Q71" s="40"/>
      <c r="R71" s="40"/>
    </row>
    <row r="72" spans="13:18" ht="15" customHeight="1">
      <c r="M72" s="163"/>
      <c r="N72" s="37"/>
      <c r="O72" s="37"/>
      <c r="P72" s="37" t="s">
        <v>235</v>
      </c>
      <c r="Q72" s="37"/>
      <c r="R72" s="37"/>
    </row>
    <row r="73" spans="13:18" ht="15" customHeight="1">
      <c r="M73" s="163"/>
      <c r="N73" s="40"/>
      <c r="O73" s="40"/>
      <c r="P73" s="40" t="s">
        <v>236</v>
      </c>
      <c r="Q73" s="40"/>
      <c r="R73" s="40"/>
    </row>
    <row r="74" spans="13:18" ht="15" customHeight="1">
      <c r="M74" s="163"/>
      <c r="N74" s="37"/>
      <c r="O74" s="37"/>
      <c r="P74" s="37" t="s">
        <v>237</v>
      </c>
      <c r="Q74" s="37"/>
      <c r="R74" s="37"/>
    </row>
    <row r="75" spans="13:18" ht="15" customHeight="1">
      <c r="M75" s="163"/>
      <c r="N75" s="40"/>
      <c r="O75" s="40"/>
      <c r="P75" s="40" t="s">
        <v>238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239</v>
      </c>
      <c r="C1" s="138" t="s">
        <v>240</v>
      </c>
      <c r="D1" s="138" t="s">
        <v>19</v>
      </c>
      <c r="E1" s="138" t="s">
        <v>241</v>
      </c>
      <c r="F1" s="138" t="s">
        <v>242</v>
      </c>
      <c r="G1" s="138" t="s">
        <v>243</v>
      </c>
      <c r="H1" s="138" t="s">
        <v>244</v>
      </c>
      <c r="I1" s="138" t="s">
        <v>245</v>
      </c>
      <c r="J1" s="138" t="s">
        <v>246</v>
      </c>
      <c r="K1" s="138" t="s">
        <v>247</v>
      </c>
    </row>
    <row r="2" spans="1:11" ht="15.75" customHeight="1">
      <c r="A2" s="139">
        <v>46235</v>
      </c>
      <c r="B2" s="140" t="s">
        <v>248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249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5" t="s">
        <v>250</v>
      </c>
      <c r="B4" s="165"/>
      <c r="C4" s="165"/>
      <c r="D4" s="165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248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249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5" t="s">
        <v>250</v>
      </c>
      <c r="B7" s="165"/>
      <c r="C7" s="165"/>
      <c r="D7" s="165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248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249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5" t="s">
        <v>250</v>
      </c>
      <c r="B10" s="165"/>
      <c r="C10" s="165"/>
      <c r="D10" s="165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248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249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5" t="s">
        <v>250</v>
      </c>
      <c r="B13" s="165"/>
      <c r="C13" s="165"/>
      <c r="D13" s="165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248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249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5" t="s">
        <v>250</v>
      </c>
      <c r="B16" s="165"/>
      <c r="C16" s="165"/>
      <c r="D16" s="165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248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249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5" t="s">
        <v>250</v>
      </c>
      <c r="B19" s="165"/>
      <c r="C19" s="165"/>
      <c r="D19" s="165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248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249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5" t="s">
        <v>250</v>
      </c>
      <c r="B22" s="165"/>
      <c r="C22" s="165"/>
      <c r="D22" s="165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248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249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5" t="s">
        <v>250</v>
      </c>
      <c r="B25" s="165"/>
      <c r="C25" s="165"/>
      <c r="D25" s="165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248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249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5" t="s">
        <v>250</v>
      </c>
      <c r="B28" s="165"/>
      <c r="C28" s="165"/>
      <c r="D28" s="165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248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249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5" t="s">
        <v>250</v>
      </c>
      <c r="B31" s="165"/>
      <c r="C31" s="165"/>
      <c r="D31" s="165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248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249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5" t="s">
        <v>250</v>
      </c>
      <c r="B34" s="165"/>
      <c r="C34" s="165"/>
      <c r="D34" s="165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248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249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5" t="s">
        <v>250</v>
      </c>
      <c r="B37" s="165"/>
      <c r="C37" s="165"/>
      <c r="D37" s="165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248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249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5" t="s">
        <v>250</v>
      </c>
      <c r="B40" s="165"/>
      <c r="C40" s="165"/>
      <c r="D40" s="165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248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249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5" t="s">
        <v>250</v>
      </c>
      <c r="B43" s="165"/>
      <c r="C43" s="165"/>
      <c r="D43" s="165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248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249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5" t="s">
        <v>250</v>
      </c>
      <c r="B46" s="165"/>
      <c r="C46" s="165"/>
      <c r="D46" s="165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248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249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5" t="s">
        <v>250</v>
      </c>
      <c r="B49" s="165"/>
      <c r="C49" s="165"/>
      <c r="D49" s="165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248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249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5" t="s">
        <v>250</v>
      </c>
      <c r="B52" s="165"/>
      <c r="C52" s="165"/>
      <c r="D52" s="165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248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249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5" t="s">
        <v>250</v>
      </c>
      <c r="B55" s="165"/>
      <c r="C55" s="165"/>
      <c r="D55" s="165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248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249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5" t="s">
        <v>250</v>
      </c>
      <c r="B58" s="165"/>
      <c r="C58" s="165"/>
      <c r="D58" s="165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248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249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5" t="s">
        <v>250</v>
      </c>
      <c r="B61" s="165"/>
      <c r="C61" s="165"/>
      <c r="D61" s="165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248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249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5" t="s">
        <v>250</v>
      </c>
      <c r="B64" s="165"/>
      <c r="C64" s="165"/>
      <c r="D64" s="165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248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249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5" t="s">
        <v>250</v>
      </c>
      <c r="B67" s="165"/>
      <c r="C67" s="165"/>
      <c r="D67" s="165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248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249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5" t="s">
        <v>250</v>
      </c>
      <c r="B70" s="165"/>
      <c r="C70" s="165"/>
      <c r="D70" s="165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248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249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5" t="s">
        <v>250</v>
      </c>
      <c r="B73" s="165"/>
      <c r="C73" s="165"/>
      <c r="D73" s="165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248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249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5" t="s">
        <v>250</v>
      </c>
      <c r="B76" s="165"/>
      <c r="C76" s="165"/>
      <c r="D76" s="165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248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249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5" t="s">
        <v>250</v>
      </c>
      <c r="B79" s="165"/>
      <c r="C79" s="165"/>
      <c r="D79" s="165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248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249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5" t="s">
        <v>250</v>
      </c>
      <c r="B82" s="165"/>
      <c r="C82" s="165"/>
      <c r="D82" s="165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248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249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5" t="s">
        <v>250</v>
      </c>
      <c r="B85" s="165"/>
      <c r="C85" s="165"/>
      <c r="D85" s="165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248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249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5" t="s">
        <v>250</v>
      </c>
      <c r="B88" s="165"/>
      <c r="C88" s="165"/>
      <c r="D88" s="165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248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249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5" t="s">
        <v>250</v>
      </c>
      <c r="B91" s="165"/>
      <c r="C91" s="165"/>
      <c r="D91" s="165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248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249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5" t="s">
        <v>250</v>
      </c>
      <c r="B94" s="165"/>
      <c r="C94" s="165"/>
      <c r="D94" s="165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53" activePane="bottomLeft" state="frozen"/>
      <selection pane="bottomLeft" activeCell="L571" sqref="L57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57" t="s">
        <v>253</v>
      </c>
      <c r="G1" s="57" t="s">
        <v>254</v>
      </c>
      <c r="H1" s="57" t="s">
        <v>23</v>
      </c>
      <c r="I1" s="57" t="s">
        <v>24</v>
      </c>
      <c r="J1" s="57" t="s">
        <v>255</v>
      </c>
      <c r="K1" s="57" t="s">
        <v>256</v>
      </c>
      <c r="L1" s="57" t="s">
        <v>257</v>
      </c>
      <c r="M1" s="58" t="s">
        <v>258</v>
      </c>
      <c r="N1" s="57" t="s">
        <v>247</v>
      </c>
      <c r="O1" s="57" t="s">
        <v>259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260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260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260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260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260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260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260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260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260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260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260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260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6" t="s">
        <v>261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262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260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260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260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263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260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260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260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260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260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260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260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260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260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6" t="s">
        <v>264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262</v>
      </c>
      <c r="O27" s="74">
        <v>997910</v>
      </c>
    </row>
    <row r="28" spans="1:15" ht="18" customHeight="1">
      <c r="A28" s="167" t="s">
        <v>250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265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260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260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266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260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263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260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260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260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260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260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260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260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260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260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6" t="s">
        <v>261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262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260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267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260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260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260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260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260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260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260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260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260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260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6" t="s">
        <v>264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262</v>
      </c>
      <c r="O54" s="74">
        <v>981310</v>
      </c>
    </row>
    <row r="55" spans="1:15" ht="18" customHeight="1">
      <c r="A55" s="167" t="s">
        <v>250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265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260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260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260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260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260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260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260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260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260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260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260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260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6" t="s">
        <v>261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262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260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260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268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260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260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260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260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260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260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260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260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260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260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6" t="s">
        <v>264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262</v>
      </c>
      <c r="O81" s="74">
        <v>1547910</v>
      </c>
    </row>
    <row r="82" spans="1:15" ht="18" customHeight="1">
      <c r="A82" s="167" t="s">
        <v>250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265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260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260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260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269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260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260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260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260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260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260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260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260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260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6" t="s">
        <v>261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262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260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260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260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260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260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260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270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260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260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260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260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260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260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6" t="s">
        <v>264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262</v>
      </c>
      <c r="O108" s="74">
        <v>3156240</v>
      </c>
    </row>
    <row r="109" spans="1:15" ht="18" customHeight="1">
      <c r="A109" s="167" t="s">
        <v>250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265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260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260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260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260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260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260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260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260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260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260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260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260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6" t="s">
        <v>261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262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260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260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260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260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260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260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260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260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260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260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260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260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6" t="s">
        <v>264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262</v>
      </c>
      <c r="O135" s="74">
        <v>2875180</v>
      </c>
    </row>
    <row r="136" spans="1:15" ht="18" customHeight="1">
      <c r="A136" s="167" t="s">
        <v>250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265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260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271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260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260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260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260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260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260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260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260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260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260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260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6" t="s">
        <v>261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262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260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260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272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260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260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260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260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260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260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260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260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260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260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6" t="s">
        <v>264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262</v>
      </c>
      <c r="O162" s="79">
        <v>842000</v>
      </c>
    </row>
    <row r="163" spans="1:15" ht="18" customHeight="1">
      <c r="A163" s="167" t="s">
        <v>250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265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260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237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273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260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260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260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260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260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260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260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260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260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260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260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6" t="s">
        <v>261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262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260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274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260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260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260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260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260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260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260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275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260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260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260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6" t="s">
        <v>264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262</v>
      </c>
      <c r="O189" s="74">
        <v>1901630</v>
      </c>
    </row>
    <row r="190" spans="1:15" ht="18" customHeight="1">
      <c r="A190" s="167" t="s">
        <v>250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265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260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260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260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276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260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260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260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260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260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260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260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260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260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6" t="s">
        <v>261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262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260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260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260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260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260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260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260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260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260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260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260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260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6" t="s">
        <v>264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262</v>
      </c>
      <c r="O216" s="74">
        <v>1852295</v>
      </c>
    </row>
    <row r="217" spans="1:15" ht="18" customHeight="1">
      <c r="A217" s="167" t="s">
        <v>250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265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260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260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260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277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260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260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260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260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260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260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260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260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260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6" t="s">
        <v>261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262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260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260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260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278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278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278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278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278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278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278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278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278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6" t="s">
        <v>264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262</v>
      </c>
      <c r="O243" s="74">
        <v>991010</v>
      </c>
    </row>
    <row r="244" spans="1:15" ht="18" customHeight="1">
      <c r="A244" s="167" t="s">
        <v>250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265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260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260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260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260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260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279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260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260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260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260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260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260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260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6" t="s">
        <v>261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262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280</v>
      </c>
      <c r="E258" s="75" t="s">
        <v>260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280</v>
      </c>
      <c r="E259" s="75" t="s">
        <v>260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280</v>
      </c>
      <c r="E260" s="75" t="s">
        <v>260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280</v>
      </c>
      <c r="E261" s="75" t="s">
        <v>260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280</v>
      </c>
      <c r="E262" s="75" t="s">
        <v>260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280</v>
      </c>
      <c r="E263" s="75" t="s">
        <v>260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280</v>
      </c>
      <c r="E264" s="75" t="s">
        <v>260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280</v>
      </c>
      <c r="E265" s="75" t="s">
        <v>260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280</v>
      </c>
      <c r="E266" s="75" t="s">
        <v>260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280</v>
      </c>
      <c r="E267" s="75" t="s">
        <v>260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280</v>
      </c>
      <c r="E268" s="75" t="s">
        <v>260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280</v>
      </c>
      <c r="E269" s="75" t="s">
        <v>260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6" t="s">
        <v>264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262</v>
      </c>
      <c r="O270" s="74">
        <v>1544700</v>
      </c>
    </row>
    <row r="271" spans="1:15" ht="18" customHeight="1">
      <c r="A271" s="167" t="s">
        <v>250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265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280</v>
      </c>
      <c r="E272" s="62" t="s">
        <v>260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280</v>
      </c>
      <c r="E273" s="62" t="s">
        <v>260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280</v>
      </c>
      <c r="E274" s="62" t="s">
        <v>260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280</v>
      </c>
      <c r="E275" s="62" t="s">
        <v>260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280</v>
      </c>
      <c r="E276" s="62" t="s">
        <v>260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280</v>
      </c>
      <c r="E277" s="62" t="s">
        <v>260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281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280</v>
      </c>
      <c r="E278" s="62" t="s">
        <v>260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280</v>
      </c>
      <c r="E279" s="62" t="s">
        <v>260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280</v>
      </c>
      <c r="E280" s="62" t="s">
        <v>260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280</v>
      </c>
      <c r="E281" s="62" t="s">
        <v>260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280</v>
      </c>
      <c r="E282" s="62" t="s">
        <v>260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280</v>
      </c>
      <c r="E283" s="62" t="s">
        <v>260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6" t="s">
        <v>261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262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280</v>
      </c>
      <c r="E285" s="75" t="s">
        <v>275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280</v>
      </c>
      <c r="E286" s="75" t="s">
        <v>275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280</v>
      </c>
      <c r="E287" s="75" t="s">
        <v>275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280</v>
      </c>
      <c r="E288" s="75" t="s">
        <v>275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280</v>
      </c>
      <c r="E289" s="75" t="s">
        <v>275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280</v>
      </c>
      <c r="E290" s="75" t="s">
        <v>275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280</v>
      </c>
      <c r="E291" s="75" t="s">
        <v>275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280</v>
      </c>
      <c r="E292" s="75" t="s">
        <v>275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280</v>
      </c>
      <c r="E293" s="75" t="s">
        <v>275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280</v>
      </c>
      <c r="E294" s="75" t="s">
        <v>275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280</v>
      </c>
      <c r="E295" s="75" t="s">
        <v>275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280</v>
      </c>
      <c r="E296" s="75" t="s">
        <v>275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6" t="s">
        <v>264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262</v>
      </c>
      <c r="O297" s="74">
        <v>1715230</v>
      </c>
    </row>
    <row r="298" spans="1:15" ht="18" customHeight="1">
      <c r="A298" s="167" t="s">
        <v>250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265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260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237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260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260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260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282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260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260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260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260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260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260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260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260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6" t="s">
        <v>261</v>
      </c>
      <c r="B311" s="166"/>
      <c r="C311" s="166"/>
      <c r="D311" s="166"/>
      <c r="E311" s="166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262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260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260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260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260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260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260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260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260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260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260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260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260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6" t="s">
        <v>264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262</v>
      </c>
      <c r="O324" s="74">
        <v>2216340</v>
      </c>
    </row>
    <row r="325" spans="1:15" ht="18" customHeight="1">
      <c r="A325" s="167" t="s">
        <v>250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265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283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260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260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260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284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260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260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260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260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6" t="s">
        <v>261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262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260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260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260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260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260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260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260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260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260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260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260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260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6" t="s">
        <v>264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262</v>
      </c>
      <c r="O351" s="74">
        <v>2154990</v>
      </c>
    </row>
    <row r="352" spans="1:15" ht="18" customHeight="1">
      <c r="A352" s="167" t="s">
        <v>250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265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260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260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260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260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260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260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275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260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260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260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260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260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6" t="s">
        <v>261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262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260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260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260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260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260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260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260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260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260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260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260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260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6" t="s">
        <v>264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262</v>
      </c>
      <c r="O378" s="74">
        <v>2614830</v>
      </c>
    </row>
    <row r="379" spans="1:15" ht="18" customHeight="1">
      <c r="A379" s="167" t="s">
        <v>250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265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260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260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260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260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260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260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260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260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260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260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260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260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6" t="s">
        <v>261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262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260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285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260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260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260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260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260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260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260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260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260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260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260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6" t="s">
        <v>264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262</v>
      </c>
      <c r="O405" s="74">
        <v>2612000</v>
      </c>
    </row>
    <row r="406" spans="1:15" ht="18" customHeight="1">
      <c r="A406" s="167" t="s">
        <v>250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265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260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260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260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260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260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260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260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260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260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260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260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260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6" t="s">
        <v>261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262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260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231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260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286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260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286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260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260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260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260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260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260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260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260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260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6" t="s">
        <v>264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262</v>
      </c>
      <c r="O432" s="74">
        <v>2266710</v>
      </c>
    </row>
    <row r="433" spans="1:15" ht="18" customHeight="1">
      <c r="A433" s="167" t="s">
        <v>250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265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260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260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260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260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260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260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260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260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260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260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260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260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6" t="s">
        <v>261</v>
      </c>
      <c r="B446" s="166"/>
      <c r="C446" s="166"/>
      <c r="D446" s="166"/>
      <c r="E446" s="166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262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260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287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260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288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260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260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260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260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289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260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290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260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291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260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260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260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260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6" t="s">
        <v>264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262</v>
      </c>
      <c r="O459" s="74">
        <v>2361680</v>
      </c>
    </row>
    <row r="460" spans="1:15" ht="18" customHeight="1">
      <c r="A460" s="167" t="s">
        <v>250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265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260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292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260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260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260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260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260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260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260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260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260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260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260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6" t="s">
        <v>261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262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260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260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260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293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260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260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260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260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260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260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260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260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260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6" t="s">
        <v>264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262</v>
      </c>
      <c r="O486" s="74">
        <v>1798670</v>
      </c>
    </row>
    <row r="487" spans="1:15" ht="18" customHeight="1">
      <c r="A487" s="167" t="s">
        <v>250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265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260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260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294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260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260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260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260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260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260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260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260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260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260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6" t="s">
        <v>261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262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260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260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295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260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260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260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260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260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260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260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260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260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275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6" t="s">
        <v>264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262</v>
      </c>
      <c r="O513" s="74">
        <v>2435830</v>
      </c>
    </row>
    <row r="514" spans="1:15" ht="18" customHeight="1">
      <c r="A514" s="167" t="s">
        <v>250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265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260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260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260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260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260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275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275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275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275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275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275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275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6" t="s">
        <v>261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262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260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296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260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260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260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260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260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260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260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260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260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260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260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6" t="s">
        <v>264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262</v>
      </c>
      <c r="O540" s="74">
        <v>667100</v>
      </c>
    </row>
    <row r="541" spans="1:15" ht="18" customHeight="1">
      <c r="A541" s="167" t="s">
        <v>250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265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297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6" t="s">
        <v>261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262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260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297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260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167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263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260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298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260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177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260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299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260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260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300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260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260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260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260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260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6" t="s">
        <v>264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262</v>
      </c>
      <c r="O567" s="74">
        <v>1031030</v>
      </c>
    </row>
    <row r="568" spans="1:15" ht="18" customHeight="1">
      <c r="A568" s="167" t="s">
        <v>250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265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260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177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260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177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260</v>
      </c>
      <c r="F571" s="63">
        <v>40</v>
      </c>
      <c r="G571" s="69">
        <f t="shared" si="122"/>
        <v>200</v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260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260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260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260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260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260</v>
      </c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260</v>
      </c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260</v>
      </c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260</v>
      </c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6" t="s">
        <v>261</v>
      </c>
      <c r="B581" s="166"/>
      <c r="C581" s="166"/>
      <c r="D581" s="166"/>
      <c r="E581" s="166"/>
      <c r="F581" s="2">
        <f>SUM(F569:F580)</f>
        <v>305</v>
      </c>
      <c r="G581" s="2">
        <f>SUM(G569:G580)</f>
        <v>1525</v>
      </c>
      <c r="H581" s="72"/>
      <c r="I581" s="72"/>
      <c r="J581" s="72"/>
      <c r="K581" s="72"/>
      <c r="L581" s="72"/>
      <c r="M581" s="73">
        <f ca="1">IFERROR(SUM(M569:M580),"")</f>
        <v>1.4583333333333282E-2</v>
      </c>
      <c r="N581" s="2" t="s">
        <v>262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6" t="s">
        <v>264</v>
      </c>
      <c r="B594" s="166"/>
      <c r="C594" s="166"/>
      <c r="D594" s="166"/>
      <c r="E594" s="166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262</v>
      </c>
      <c r="O594" s="74"/>
    </row>
    <row r="595" spans="1:15" ht="18" customHeight="1">
      <c r="A595" s="167" t="s">
        <v>250</v>
      </c>
      <c r="B595" s="167"/>
      <c r="C595" s="167"/>
      <c r="D595" s="167"/>
      <c r="E595" s="167"/>
      <c r="F595" s="1">
        <f>F581+F594</f>
        <v>305</v>
      </c>
      <c r="G595" s="1">
        <f>G581+G594</f>
        <v>1525</v>
      </c>
      <c r="H595" s="76"/>
      <c r="I595" s="76"/>
      <c r="J595" s="76"/>
      <c r="K595" s="76"/>
      <c r="L595" s="76"/>
      <c r="M595" s="77">
        <f ca="1">IFERROR(M581+M594,"")</f>
        <v>1.4583333333333282E-2</v>
      </c>
      <c r="N595" s="1" t="s">
        <v>265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6" t="s">
        <v>261</v>
      </c>
      <c r="B608" s="166"/>
      <c r="C608" s="166"/>
      <c r="D608" s="166"/>
      <c r="E608" s="166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262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6" t="s">
        <v>264</v>
      </c>
      <c r="B621" s="166"/>
      <c r="C621" s="166"/>
      <c r="D621" s="166"/>
      <c r="E621" s="166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262</v>
      </c>
      <c r="O621" s="74"/>
    </row>
    <row r="622" spans="1:15" ht="18" customHeight="1">
      <c r="A622" s="167" t="s">
        <v>250</v>
      </c>
      <c r="B622" s="167"/>
      <c r="C622" s="167"/>
      <c r="D622" s="167"/>
      <c r="E622" s="167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265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6" t="s">
        <v>261</v>
      </c>
      <c r="B635" s="166"/>
      <c r="C635" s="166"/>
      <c r="D635" s="166"/>
      <c r="E635" s="166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262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6" t="s">
        <v>264</v>
      </c>
      <c r="B648" s="166"/>
      <c r="C648" s="166"/>
      <c r="D648" s="166"/>
      <c r="E648" s="166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262</v>
      </c>
      <c r="O648" s="74"/>
    </row>
    <row r="649" spans="1:15" ht="18" customHeight="1">
      <c r="A649" s="167" t="s">
        <v>250</v>
      </c>
      <c r="B649" s="167"/>
      <c r="C649" s="167"/>
      <c r="D649" s="167"/>
      <c r="E649" s="167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265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6" t="s">
        <v>261</v>
      </c>
      <c r="B662" s="166"/>
      <c r="C662" s="166"/>
      <c r="D662" s="166"/>
      <c r="E662" s="166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262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6" t="s">
        <v>264</v>
      </c>
      <c r="B675" s="166"/>
      <c r="C675" s="166"/>
      <c r="D675" s="166"/>
      <c r="E675" s="166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262</v>
      </c>
      <c r="O675" s="74"/>
    </row>
    <row r="676" spans="1:15" ht="18" customHeight="1">
      <c r="A676" s="167" t="s">
        <v>250</v>
      </c>
      <c r="B676" s="167"/>
      <c r="C676" s="167"/>
      <c r="D676" s="167"/>
      <c r="E676" s="167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265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6" t="s">
        <v>261</v>
      </c>
      <c r="B689" s="166"/>
      <c r="C689" s="166"/>
      <c r="D689" s="166"/>
      <c r="E689" s="166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262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6" t="s">
        <v>264</v>
      </c>
      <c r="B702" s="166"/>
      <c r="C702" s="166"/>
      <c r="D702" s="166"/>
      <c r="E702" s="166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262</v>
      </c>
      <c r="O702" s="74"/>
    </row>
    <row r="703" spans="1:15" ht="18" customHeight="1">
      <c r="A703" s="167" t="s">
        <v>250</v>
      </c>
      <c r="B703" s="167"/>
      <c r="C703" s="167"/>
      <c r="D703" s="167"/>
      <c r="E703" s="167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265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6" t="s">
        <v>261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262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6" t="s">
        <v>264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262</v>
      </c>
      <c r="O729" s="74"/>
    </row>
    <row r="730" spans="1:15" ht="18" customHeight="1">
      <c r="A730" s="167" t="s">
        <v>250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265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6" t="s">
        <v>261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262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6" t="s">
        <v>264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262</v>
      </c>
      <c r="O756" s="74"/>
    </row>
    <row r="757" spans="1:15" ht="18" customHeight="1">
      <c r="A757" s="167" t="s">
        <v>250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265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6" t="s">
        <v>261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262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6" t="s">
        <v>264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262</v>
      </c>
      <c r="O783" s="74"/>
    </row>
    <row r="784" spans="1:15" ht="18" customHeight="1">
      <c r="A784" s="167" t="s">
        <v>250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265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6" t="s">
        <v>261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262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6" t="s">
        <v>264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262</v>
      </c>
      <c r="O810" s="74"/>
    </row>
    <row r="811" spans="1:15" ht="18" customHeight="1">
      <c r="A811" s="167" t="s">
        <v>250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265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6" t="s">
        <v>261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262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6" t="s">
        <v>264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262</v>
      </c>
      <c r="O837" s="74"/>
    </row>
    <row r="838" spans="1:15" ht="18" customHeight="1">
      <c r="A838" s="167" t="s">
        <v>250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265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547" activePane="bottomLeft" state="frozen"/>
      <selection pane="bottomLeft" activeCell="R570" sqref="R570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303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304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305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262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275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275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275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275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306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275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307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275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275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275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275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275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275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262</v>
      </c>
      <c r="S27" s="74">
        <v>549860</v>
      </c>
      <c r="T27" s="99"/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265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262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308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309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310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0.53549016203032807</v>
      </c>
      <c r="R53" s="80" t="s">
        <v>311</v>
      </c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0.67437905091921579</v>
      </c>
      <c r="R54" s="2" t="s">
        <v>262</v>
      </c>
      <c r="S54" s="113">
        <v>352430</v>
      </c>
      <c r="T54" s="114"/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0.7591012731414386</v>
      </c>
      <c r="R55" s="1" t="s">
        <v>265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303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262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312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275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262</v>
      </c>
      <c r="S81" s="115">
        <v>634210</v>
      </c>
      <c r="T81" s="116"/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265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275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224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262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313</v>
      </c>
      <c r="Q96" s="66" t="str">
        <f t="shared" ref="Q96:Q107" ca="1" si="22">IFERROR(IF(O96="","",IF(P96="",MOD(NOW()-O96,1),IF(P96&gt;=O96,P96-O96,P96+1-O96))),"")</f>
        <v/>
      </c>
      <c r="R96" s="80" t="s">
        <v>314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315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316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263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262</v>
      </c>
      <c r="S108" s="115">
        <v>456830</v>
      </c>
      <c r="T108" s="116"/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265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317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262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262</v>
      </c>
      <c r="S135" s="115">
        <v>756720</v>
      </c>
      <c r="T135" s="116"/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265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318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319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320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262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321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262</v>
      </c>
      <c r="S162" s="115">
        <v>501750</v>
      </c>
      <c r="T162" s="116"/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265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275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275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275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275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275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275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275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275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275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275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262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275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275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322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275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323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275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262</v>
      </c>
      <c r="S189" s="74">
        <v>362530</v>
      </c>
      <c r="T189" s="99"/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265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324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317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262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262</v>
      </c>
      <c r="S216" s="74">
        <v>609740</v>
      </c>
      <c r="T216" s="99"/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265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312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263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325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326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327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262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263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262</v>
      </c>
      <c r="S243" s="74">
        <v>825930</v>
      </c>
      <c r="T243" s="99"/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265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262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275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275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275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275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275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275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275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275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275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275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275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275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732130</v>
      </c>
      <c r="T270" s="99"/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265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275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275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275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275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260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275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260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260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275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275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260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260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260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260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260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990260</v>
      </c>
      <c r="T297" s="99"/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275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275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275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275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275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275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275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275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275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275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275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275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262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275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275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275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275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275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275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275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275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275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275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262</v>
      </c>
      <c r="S324" s="74">
        <v>725030</v>
      </c>
      <c r="T324" s="99">
        <f>IFERROR(J324,"")</f>
        <v>104.40432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265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328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329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330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331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332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262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324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319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262</v>
      </c>
      <c r="S351" s="74">
        <v>712170</v>
      </c>
      <c r="T351" s="99">
        <f>IFERROR(J351,"")</f>
        <v>149.5557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265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312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262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333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262</v>
      </c>
      <c r="S378" s="74">
        <v>806300</v>
      </c>
      <c r="T378" s="99">
        <f>IFERROR(J378,"")</f>
        <v>169.32299999999998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265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275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275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334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262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335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262</v>
      </c>
      <c r="S405" s="74">
        <v>774540</v>
      </c>
      <c r="T405" s="99">
        <f>IFERROR(J405,"")</f>
        <v>156.22852721311477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265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262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336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264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262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250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265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337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275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262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260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338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339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262</v>
      </c>
      <c r="S459" s="74">
        <v>738730</v>
      </c>
      <c r="T459" s="99">
        <f>IFERROR(J459,"")</f>
        <v>144.10511642857142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265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340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262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341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342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262</v>
      </c>
      <c r="S486" s="74">
        <v>617620</v>
      </c>
      <c r="T486" s="99">
        <f>IFERROR(J486,"")</f>
        <v>88.937280000000001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265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319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292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262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264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262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250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265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262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140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343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344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262</v>
      </c>
      <c r="S540" s="74">
        <v>399600</v>
      </c>
      <c r="T540" s="99">
        <f>IFERROR(J540,"")</f>
        <v>64.532992771084338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265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177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262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345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275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262</v>
      </c>
      <c r="S567" s="74">
        <v>0</v>
      </c>
      <c r="T567" s="99">
        <f>IFERROR(J567,"")</f>
        <v>0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265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/>
      <c r="H569" s="101" t="str">
        <f>IFERROR(IF($G569="","",$G569*$S$581/$G$581/Cadastro!$E$33),"")</f>
        <v/>
      </c>
      <c r="I569" s="102">
        <f>IFERROR(IF($D569="","",VLOOKUP($D569,Cadastro!$C$4:$G$7,5,FALSE())),"")</f>
        <v>0.6</v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 t="s">
        <v>346</v>
      </c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/>
      <c r="H570" s="88" t="str">
        <f>IFERROR(IF($G570="","",$G570*$S$581/$G$581/Cadastro!$E$33),"")</f>
        <v/>
      </c>
      <c r="I570" s="90">
        <f>IFERROR(IF($D570="","",VLOOKUP($D570,Cadastro!$C$4:$G$7,5,FALSE())),"")</f>
        <v>0.6</v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/>
      <c r="H571" s="88" t="str">
        <f>IFERROR(IF($G571="","",$G571*$S$581/$G$581/Cadastro!$E$33),"")</f>
        <v/>
      </c>
      <c r="I571" s="90">
        <f>IFERROR(IF($D571="","",VLOOKUP($D571,Cadastro!$C$4:$G$7,5,FALSE())),"")</f>
        <v>0.6</v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/>
      <c r="H572" s="88" t="str">
        <f>IFERROR(IF($G572="","",$G572*$S$581/$G$581/Cadastro!$E$33),"")</f>
        <v/>
      </c>
      <c r="I572" s="90">
        <f>IFERROR(IF($D572="","",VLOOKUP($D572,Cadastro!$C$4:$G$7,5,FALSE())),"")</f>
        <v>0.6</v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275</v>
      </c>
      <c r="F573" s="88">
        <f>IFERROR(IF($D573="","",VLOOKUP($D573,Cadastro!$C$4:$E$7,3,FALSE())),"")</f>
        <v>0.35</v>
      </c>
      <c r="G573" s="89"/>
      <c r="H573" s="88" t="str">
        <f>IFERROR(IF($G573="","",$G573*$S$581/$G$581/Cadastro!$E$33),"")</f>
        <v/>
      </c>
      <c r="I573" s="90">
        <f>IFERROR(IF($D573="","",VLOOKUP($D573,Cadastro!$C$4:$G$7,5,FALSE())),"")</f>
        <v>0.6</v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/>
      <c r="H574" s="88" t="str">
        <f>IFERROR(IF($G574="","",$G574*$S$581/$G$581/Cadastro!$E$33),"")</f>
        <v/>
      </c>
      <c r="I574" s="90">
        <f>IFERROR(IF($D574="","",VLOOKUP($D574,Cadastro!$C$4:$G$7,5,FALSE())),"")</f>
        <v>0.6</v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/>
      <c r="H575" s="88" t="str">
        <f>IFERROR(IF($G575="","",$G575*$S$581/$G$581/Cadastro!$E$33),"")</f>
        <v/>
      </c>
      <c r="I575" s="90">
        <f>IFERROR(IF($D575="","",VLOOKUP($D575,Cadastro!$C$4:$G$7,5,FALSE())),"")</f>
        <v>0.6</v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/>
      <c r="H576" s="88" t="str">
        <f>IFERROR(IF($G576="","",$G576*$S$581/$G$581/Cadastro!$E$33),"")</f>
        <v/>
      </c>
      <c r="I576" s="90">
        <f>IFERROR(IF($D576="","",VLOOKUP($D576,Cadastro!$C$4:$G$7,5,FALSE())),"")</f>
        <v>0.6</v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0.35972222222222222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0.35972222222222222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113"/>
      <c r="T837" s="114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48" activePane="bottomLeft" state="frozen"/>
      <selection pane="bottomLeft" activeCell="G577" sqref="G577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262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275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347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306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348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275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275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262</v>
      </c>
      <c r="S27" s="74">
        <v>358000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265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275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275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275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275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275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275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275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275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275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275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275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262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312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347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347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262</v>
      </c>
      <c r="S54" s="74">
        <v>279980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265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275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275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275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275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275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349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275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275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275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275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275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262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350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262</v>
      </c>
      <c r="S81" s="74">
        <v>185920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265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351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352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262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353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262</v>
      </c>
      <c r="S108" s="74">
        <v>434370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265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262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354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262</v>
      </c>
      <c r="S135" s="74">
        <v>416350</v>
      </c>
      <c r="T135" s="99">
        <f>IFERROR(J135,"")</f>
        <v>0</v>
      </c>
    </row>
    <row r="136" spans="1:20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265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355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320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7" t="s">
        <v>261</v>
      </c>
      <c r="B149" s="157"/>
      <c r="C149" s="157"/>
      <c r="D149" s="157"/>
      <c r="E149" s="157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262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312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262</v>
      </c>
      <c r="S162" s="74">
        <v>169760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265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356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262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357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323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323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262</v>
      </c>
      <c r="S189" s="74">
        <v>72220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265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262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358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262</v>
      </c>
      <c r="S216" s="74">
        <v>148720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265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359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360</v>
      </c>
      <c r="Q222" s="66" t="str">
        <f t="shared" ca="1" si="49"/>
        <v/>
      </c>
      <c r="R222" s="63" t="s">
        <v>361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262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262</v>
      </c>
      <c r="S243" s="74">
        <v>352720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265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362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260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260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262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275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275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275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275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275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275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275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275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275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275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275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275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262</v>
      </c>
      <c r="S270" s="74">
        <v>327900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265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260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262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262</v>
      </c>
      <c r="S297" s="74">
        <v>462190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265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262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262</v>
      </c>
      <c r="S324" s="74">
        <v>289490</v>
      </c>
      <c r="T324" s="99">
        <f>IFERROR(J324,"")</f>
        <v>41.68656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265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330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363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331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260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275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262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262</v>
      </c>
      <c r="S351" s="74">
        <v>256170</v>
      </c>
      <c r="T351" s="99">
        <f>IFERROR(J351,"")</f>
        <v>53.795699999999997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265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312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7" t="s">
        <v>261</v>
      </c>
      <c r="B365" s="157"/>
      <c r="C365" s="157"/>
      <c r="D365" s="157"/>
      <c r="E365" s="157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262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262</v>
      </c>
      <c r="S378" s="74">
        <v>360560</v>
      </c>
      <c r="T378" s="99">
        <f>IFERROR(J378,"")</f>
        <v>75.71759999999999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265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364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334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262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262</v>
      </c>
      <c r="S405" s="74">
        <v>489360</v>
      </c>
      <c r="T405" s="99">
        <f>IFERROR(J405,"")</f>
        <v>99.305125714285708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265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365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262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366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262</v>
      </c>
      <c r="S432" s="74">
        <v>180150</v>
      </c>
      <c r="T432" s="99">
        <f>IFERROR(J432,"")</f>
        <v>25.941599999999998</v>
      </c>
    </row>
    <row r="433" spans="1:20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265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275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367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367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262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368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262</v>
      </c>
      <c r="S459" s="74">
        <v>471910</v>
      </c>
      <c r="T459" s="99">
        <f>IFERROR(J459,"")</f>
        <v>92.928007027027007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265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262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312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369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262</v>
      </c>
      <c r="S486" s="74">
        <v>261400</v>
      </c>
      <c r="T486" s="99">
        <f>IFERROR(J486,"")</f>
        <v>37.641599999999997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265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275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354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262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370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371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275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262</v>
      </c>
      <c r="S513" s="74">
        <v>357140</v>
      </c>
      <c r="T513" s="99">
        <f>IFERROR(J513,"")</f>
        <v>61.810729999999992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265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372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262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275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260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312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373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262</v>
      </c>
      <c r="S540" s="74">
        <v>270460</v>
      </c>
      <c r="T540" s="99">
        <f>IFERROR(J540,"")</f>
        <v>46.847219016393439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265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374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223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262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136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210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210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218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312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208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210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375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260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347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260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262</v>
      </c>
      <c r="S567" s="74">
        <v>524080</v>
      </c>
      <c r="T567" s="99">
        <f>IFERROR(J567,"")</f>
        <v>75.467519999999979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265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0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140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312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3"/>
        <v>0</v>
      </c>
      <c r="K570" s="69">
        <f t="shared" si="144"/>
        <v>42</v>
      </c>
      <c r="L570" s="61" t="s">
        <v>27</v>
      </c>
      <c r="M570" s="61" t="s">
        <v>56</v>
      </c>
      <c r="N570" s="61" t="s">
        <v>177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3"/>
        <v>0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3"/>
        <v>0</v>
      </c>
      <c r="K572" s="69">
        <f t="shared" si="144"/>
        <v>67.2</v>
      </c>
      <c r="L572" s="61" t="s">
        <v>29</v>
      </c>
      <c r="M572" s="61" t="s">
        <v>159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3"/>
        <v>0</v>
      </c>
      <c r="K573" s="69">
        <f t="shared" si="144"/>
        <v>55</v>
      </c>
      <c r="L573" s="70"/>
      <c r="M573" s="70"/>
      <c r="N573" s="61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3"/>
        <v>0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3"/>
        <v>0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3"/>
        <v>0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96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412</v>
      </c>
      <c r="L581" s="72"/>
      <c r="M581" s="72"/>
      <c r="N581" s="72"/>
      <c r="O581" s="72"/>
      <c r="P581" s="72"/>
      <c r="Q581" s="73">
        <f ca="1">IFERROR(SUM(Q569:Q580),"")</f>
        <v>0.1118055555555556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68">
        <v>46256</v>
      </c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96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412</v>
      </c>
      <c r="L595" s="76"/>
      <c r="M595" s="76"/>
      <c r="N595" s="76"/>
      <c r="O595" s="76"/>
      <c r="P595" s="76"/>
      <c r="Q595" s="77">
        <f ca="1">IFERROR(Q581+Q594,"")</f>
        <v>0.1118055555555556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265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550" activePane="bottomLeft" state="frozen"/>
      <selection pane="bottomLeft" activeCell="P576" sqref="P576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251</v>
      </c>
      <c r="C1" s="57" t="s">
        <v>19</v>
      </c>
      <c r="D1" s="56" t="s">
        <v>20</v>
      </c>
      <c r="E1" s="56" t="s">
        <v>252</v>
      </c>
      <c r="F1" s="86" t="s">
        <v>21</v>
      </c>
      <c r="G1" s="57" t="s">
        <v>253</v>
      </c>
      <c r="H1" s="86" t="s">
        <v>301</v>
      </c>
      <c r="I1" s="86" t="s">
        <v>22</v>
      </c>
      <c r="J1" s="86" t="s">
        <v>302</v>
      </c>
      <c r="K1" s="57" t="s">
        <v>254</v>
      </c>
      <c r="L1" s="57" t="s">
        <v>23</v>
      </c>
      <c r="M1" s="57" t="s">
        <v>24</v>
      </c>
      <c r="N1" s="57" t="s">
        <v>255</v>
      </c>
      <c r="O1" s="57" t="s">
        <v>256</v>
      </c>
      <c r="P1" s="57" t="s">
        <v>257</v>
      </c>
      <c r="Q1" s="58" t="s">
        <v>258</v>
      </c>
      <c r="R1" s="57" t="s">
        <v>247</v>
      </c>
      <c r="S1" s="57" t="s">
        <v>259</v>
      </c>
      <c r="T1" s="57" t="s">
        <v>302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275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275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275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275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275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275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275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275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275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275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275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275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7" t="s">
        <v>261</v>
      </c>
      <c r="B14" s="157"/>
      <c r="C14" s="157"/>
      <c r="D14" s="157"/>
      <c r="E14" s="157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262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275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275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376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275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309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275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347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275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377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275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275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275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378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275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275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275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275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7" t="s">
        <v>264</v>
      </c>
      <c r="B27" s="157"/>
      <c r="C27" s="157"/>
      <c r="D27" s="157"/>
      <c r="E27" s="157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262</v>
      </c>
      <c r="S27" s="74">
        <v>491520</v>
      </c>
      <c r="T27" s="99">
        <f>IFERROR(J27,"")</f>
        <v>0</v>
      </c>
    </row>
    <row r="28" spans="1:20" ht="18" customHeight="1">
      <c r="A28" s="158" t="s">
        <v>250</v>
      </c>
      <c r="B28" s="158"/>
      <c r="C28" s="158"/>
      <c r="D28" s="158"/>
      <c r="E28" s="158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265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275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275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275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275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275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275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275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275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275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275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275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275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7" t="s">
        <v>261</v>
      </c>
      <c r="B41" s="157"/>
      <c r="C41" s="157"/>
      <c r="D41" s="157"/>
      <c r="E41" s="157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262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275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275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275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275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379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275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275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275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275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275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275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275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275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7" t="s">
        <v>264</v>
      </c>
      <c r="B54" s="157"/>
      <c r="C54" s="157"/>
      <c r="D54" s="157"/>
      <c r="E54" s="157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262</v>
      </c>
      <c r="S54" s="74">
        <v>352430</v>
      </c>
      <c r="T54" s="99">
        <f>IFERROR(J54,"")</f>
        <v>0</v>
      </c>
    </row>
    <row r="55" spans="1:20" ht="18" customHeight="1">
      <c r="A55" s="158" t="s">
        <v>250</v>
      </c>
      <c r="B55" s="158"/>
      <c r="C55" s="158"/>
      <c r="D55" s="158"/>
      <c r="E55" s="158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265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275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275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275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275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380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275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381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275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275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275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275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275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275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275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7" t="s">
        <v>261</v>
      </c>
      <c r="B68" s="157"/>
      <c r="C68" s="157"/>
      <c r="D68" s="157"/>
      <c r="E68" s="157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262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275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231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382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275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275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275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347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275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275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275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275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275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275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275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7" t="s">
        <v>264</v>
      </c>
      <c r="B81" s="157"/>
      <c r="C81" s="157"/>
      <c r="D81" s="157"/>
      <c r="E81" s="157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262</v>
      </c>
      <c r="S81" s="74">
        <v>612410</v>
      </c>
      <c r="T81" s="99">
        <f>IFERROR(J81,"")</f>
        <v>0</v>
      </c>
    </row>
    <row r="82" spans="1:20" ht="18" customHeight="1">
      <c r="A82" s="158" t="s">
        <v>250</v>
      </c>
      <c r="B82" s="158"/>
      <c r="C82" s="158"/>
      <c r="D82" s="158"/>
      <c r="E82" s="158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265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275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275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275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275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275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275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275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275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275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275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275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275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7" t="s">
        <v>261</v>
      </c>
      <c r="B95" s="157"/>
      <c r="C95" s="157"/>
      <c r="D95" s="157"/>
      <c r="E95" s="157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262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275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275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347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275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275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275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275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275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275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275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275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275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275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7" t="s">
        <v>264</v>
      </c>
      <c r="B108" s="157"/>
      <c r="C108" s="157"/>
      <c r="D108" s="157"/>
      <c r="E108" s="157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262</v>
      </c>
      <c r="S108" s="74">
        <v>956070</v>
      </c>
      <c r="T108" s="99">
        <f>IFERROR(J108,"")</f>
        <v>0</v>
      </c>
    </row>
    <row r="109" spans="1:20" ht="18" customHeight="1">
      <c r="A109" s="158" t="s">
        <v>250</v>
      </c>
      <c r="B109" s="158"/>
      <c r="C109" s="158"/>
      <c r="D109" s="158"/>
      <c r="E109" s="158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265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275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275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231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275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236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275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236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275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383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275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275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275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275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275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275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275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7" t="s">
        <v>261</v>
      </c>
      <c r="B122" s="157"/>
      <c r="C122" s="157"/>
      <c r="D122" s="157"/>
      <c r="E122" s="157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262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275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275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384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275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275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275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312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275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275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347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275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275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275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275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275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7" t="s">
        <v>264</v>
      </c>
      <c r="B135" s="157"/>
      <c r="C135" s="157"/>
      <c r="D135" s="157"/>
      <c r="E135" s="157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262</v>
      </c>
      <c r="S135" s="74">
        <v>912240</v>
      </c>
      <c r="T135" s="99">
        <f>IFERROR(J135,"")</f>
        <v>0</v>
      </c>
    </row>
    <row r="136" spans="1:22" ht="18" customHeight="1">
      <c r="A136" s="158" t="s">
        <v>250</v>
      </c>
      <c r="B136" s="158"/>
      <c r="C136" s="158"/>
      <c r="D136" s="158"/>
      <c r="E136" s="158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265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275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275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385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275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386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275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275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275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275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275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275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275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320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275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275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261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262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275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387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275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388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275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275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275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275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275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275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275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275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275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275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7" t="s">
        <v>264</v>
      </c>
      <c r="B162" s="157"/>
      <c r="C162" s="157"/>
      <c r="D162" s="157"/>
      <c r="E162" s="157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262</v>
      </c>
      <c r="S162" s="74">
        <v>573230</v>
      </c>
      <c r="T162" s="99">
        <f>IFERROR(J162,"")</f>
        <v>0</v>
      </c>
    </row>
    <row r="163" spans="1:20" ht="18" customHeight="1">
      <c r="A163" s="158" t="s">
        <v>250</v>
      </c>
      <c r="B163" s="158"/>
      <c r="C163" s="158"/>
      <c r="D163" s="158"/>
      <c r="E163" s="158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265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275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275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275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275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275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275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275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389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275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275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275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275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275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7" t="s">
        <v>261</v>
      </c>
      <c r="B176" s="157"/>
      <c r="C176" s="157"/>
      <c r="D176" s="157"/>
      <c r="E176" s="157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262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275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390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275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275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275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275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275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275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275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275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275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275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275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7" t="s">
        <v>264</v>
      </c>
      <c r="B189" s="157"/>
      <c r="C189" s="157"/>
      <c r="D189" s="157"/>
      <c r="E189" s="157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262</v>
      </c>
      <c r="S189" s="74">
        <v>692750</v>
      </c>
      <c r="T189" s="99">
        <f>IFERROR(J189,"")</f>
        <v>0</v>
      </c>
    </row>
    <row r="190" spans="1:20" ht="18" customHeight="1">
      <c r="A190" s="158" t="s">
        <v>250</v>
      </c>
      <c r="B190" s="158"/>
      <c r="C190" s="158"/>
      <c r="D190" s="158"/>
      <c r="E190" s="158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265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275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275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391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275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275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275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275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275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275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275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275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275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275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7" t="s">
        <v>261</v>
      </c>
      <c r="B203" s="157"/>
      <c r="C203" s="157"/>
      <c r="D203" s="157"/>
      <c r="E203" s="157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262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275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392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275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393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275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394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275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275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275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275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275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275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275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275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275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7" t="s">
        <v>264</v>
      </c>
      <c r="B216" s="157"/>
      <c r="C216" s="157"/>
      <c r="D216" s="157"/>
      <c r="E216" s="157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262</v>
      </c>
      <c r="S216" s="74">
        <v>607180</v>
      </c>
      <c r="T216" s="99">
        <f>IFERROR(J216,"")</f>
        <v>0</v>
      </c>
    </row>
    <row r="217" spans="1:20" ht="18" customHeight="1">
      <c r="A217" s="158" t="s">
        <v>250</v>
      </c>
      <c r="B217" s="158"/>
      <c r="C217" s="158"/>
      <c r="D217" s="158"/>
      <c r="E217" s="158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265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275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275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275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395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275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396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260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275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275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275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275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275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275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275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7" t="s">
        <v>261</v>
      </c>
      <c r="B230" s="157"/>
      <c r="C230" s="157"/>
      <c r="D230" s="157"/>
      <c r="E230" s="157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262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275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397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260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398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275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260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260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260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260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260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260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260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260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260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7" t="s">
        <v>264</v>
      </c>
      <c r="B243" s="157"/>
      <c r="C243" s="157"/>
      <c r="D243" s="157"/>
      <c r="E243" s="157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262</v>
      </c>
      <c r="S243" s="74">
        <v>795250</v>
      </c>
      <c r="T243" s="99">
        <f>IFERROR(J243,"")</f>
        <v>0</v>
      </c>
    </row>
    <row r="244" spans="1:20" ht="18" customHeight="1">
      <c r="A244" s="158" t="s">
        <v>250</v>
      </c>
      <c r="B244" s="158"/>
      <c r="C244" s="158"/>
      <c r="D244" s="158"/>
      <c r="E244" s="158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265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260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260</v>
      </c>
      <c r="F246" s="88"/>
      <c r="G246" s="63" t="s">
        <v>285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260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260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275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399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275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275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275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275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275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275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275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7" t="s">
        <v>261</v>
      </c>
      <c r="B257" s="157"/>
      <c r="C257" s="157"/>
      <c r="D257" s="157"/>
      <c r="E257" s="157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262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275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275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275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275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275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275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275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275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275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275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275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275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7" t="s">
        <v>264</v>
      </c>
      <c r="B270" s="157"/>
      <c r="C270" s="157"/>
      <c r="D270" s="157"/>
      <c r="E270" s="157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262</v>
      </c>
      <c r="S270" s="74">
        <v>683360</v>
      </c>
      <c r="T270" s="99">
        <f>IFERROR(J270,"")</f>
        <v>0</v>
      </c>
    </row>
    <row r="271" spans="1:20" ht="18" customHeight="1">
      <c r="A271" s="158" t="s">
        <v>250</v>
      </c>
      <c r="B271" s="158"/>
      <c r="C271" s="158"/>
      <c r="D271" s="158"/>
      <c r="E271" s="158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265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275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275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275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275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275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275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275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275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275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275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275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275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7" t="s">
        <v>261</v>
      </c>
      <c r="B284" s="157"/>
      <c r="C284" s="157"/>
      <c r="D284" s="157"/>
      <c r="E284" s="157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262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260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260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275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260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260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260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260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260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260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260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260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260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7" t="s">
        <v>264</v>
      </c>
      <c r="B297" s="157"/>
      <c r="C297" s="157"/>
      <c r="D297" s="157"/>
      <c r="E297" s="157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262</v>
      </c>
      <c r="S297" s="74">
        <v>904710</v>
      </c>
      <c r="T297" s="99">
        <f>IFERROR(J297,"")</f>
        <v>0</v>
      </c>
    </row>
    <row r="298" spans="1:20" ht="18" customHeight="1">
      <c r="A298" s="158" t="s">
        <v>250</v>
      </c>
      <c r="B298" s="158"/>
      <c r="C298" s="158"/>
      <c r="D298" s="158"/>
      <c r="E298" s="158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265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275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275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275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275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275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275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275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275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275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275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275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275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7" t="s">
        <v>261</v>
      </c>
      <c r="B311" s="157"/>
      <c r="C311" s="157"/>
      <c r="D311" s="157"/>
      <c r="E311" s="157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262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275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275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275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275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275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275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275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275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275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275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275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275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7" t="s">
        <v>264</v>
      </c>
      <c r="B324" s="157"/>
      <c r="C324" s="157"/>
      <c r="D324" s="157"/>
      <c r="E324" s="157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262</v>
      </c>
      <c r="S324" s="74">
        <v>1049720</v>
      </c>
      <c r="T324" s="99">
        <f>IFERROR(J324,"")</f>
        <v>151.15967999999998</v>
      </c>
    </row>
    <row r="325" spans="1:20" ht="18" customHeight="1">
      <c r="A325" s="158" t="s">
        <v>250</v>
      </c>
      <c r="B325" s="158"/>
      <c r="C325" s="158"/>
      <c r="D325" s="158"/>
      <c r="E325" s="158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265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260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260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260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260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275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260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275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275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275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275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275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275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7" t="s">
        <v>261</v>
      </c>
      <c r="B338" s="157"/>
      <c r="C338" s="157"/>
      <c r="D338" s="157"/>
      <c r="E338" s="157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262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275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275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275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275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275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275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275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275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400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275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401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275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275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275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7" t="s">
        <v>264</v>
      </c>
      <c r="B351" s="157"/>
      <c r="C351" s="157"/>
      <c r="D351" s="157"/>
      <c r="E351" s="157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262</v>
      </c>
      <c r="S351" s="74">
        <v>1058130</v>
      </c>
      <c r="T351" s="99">
        <f>IFERROR(J351,"")</f>
        <v>222.20729999999995</v>
      </c>
    </row>
    <row r="352" spans="1:20" ht="18" customHeight="1">
      <c r="A352" s="158" t="s">
        <v>250</v>
      </c>
      <c r="B352" s="158"/>
      <c r="C352" s="158"/>
      <c r="D352" s="158"/>
      <c r="E352" s="158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265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275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275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275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275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402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275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275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403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275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275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275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275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275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275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261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262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275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275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275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275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275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275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275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404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275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275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275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275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275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7" t="s">
        <v>264</v>
      </c>
      <c r="B378" s="157"/>
      <c r="C378" s="157"/>
      <c r="D378" s="157"/>
      <c r="E378" s="157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262</v>
      </c>
      <c r="S378" s="74">
        <v>1137080</v>
      </c>
      <c r="T378" s="99">
        <f>IFERROR(J378,"")</f>
        <v>238.78679999999994</v>
      </c>
    </row>
    <row r="379" spans="1:20" ht="18" customHeight="1">
      <c r="A379" s="158" t="s">
        <v>250</v>
      </c>
      <c r="B379" s="158"/>
      <c r="C379" s="158"/>
      <c r="D379" s="158"/>
      <c r="E379" s="158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265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275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275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275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275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275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334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275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405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275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275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275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275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275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275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7" t="s">
        <v>261</v>
      </c>
      <c r="B392" s="157"/>
      <c r="C392" s="157"/>
      <c r="D392" s="157"/>
      <c r="E392" s="157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262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275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231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275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406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275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275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275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275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275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275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275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275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275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275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7" t="s">
        <v>264</v>
      </c>
      <c r="B405" s="157"/>
      <c r="C405" s="157"/>
      <c r="D405" s="157"/>
      <c r="E405" s="157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262</v>
      </c>
      <c r="S405" s="74">
        <v>989450</v>
      </c>
      <c r="T405" s="99">
        <f>IFERROR(J405,"")</f>
        <v>195.72390675675675</v>
      </c>
    </row>
    <row r="406" spans="1:20" ht="18" customHeight="1">
      <c r="A406" s="158" t="s">
        <v>250</v>
      </c>
      <c r="B406" s="158"/>
      <c r="C406" s="158"/>
      <c r="D406" s="158"/>
      <c r="E406" s="158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265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275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238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407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275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275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275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275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275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275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275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275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275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275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275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7" t="s">
        <v>261</v>
      </c>
      <c r="B419" s="157"/>
      <c r="C419" s="157"/>
      <c r="D419" s="157"/>
      <c r="E419" s="157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262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275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275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275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275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408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275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275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275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275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275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275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275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275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7" t="s">
        <v>264</v>
      </c>
      <c r="B432" s="157"/>
      <c r="C432" s="157"/>
      <c r="D432" s="157"/>
      <c r="E432" s="157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262</v>
      </c>
      <c r="S432" s="74">
        <v>766030</v>
      </c>
      <c r="T432" s="99">
        <f>IFERROR(J432,"")</f>
        <v>110.30832000000001</v>
      </c>
    </row>
    <row r="433" spans="1:21" ht="18" customHeight="1">
      <c r="A433" s="158" t="s">
        <v>250</v>
      </c>
      <c r="B433" s="158"/>
      <c r="C433" s="158"/>
      <c r="D433" s="158"/>
      <c r="E433" s="158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265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275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275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275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275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275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275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275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275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275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275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275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275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7" t="s">
        <v>261</v>
      </c>
      <c r="B446" s="157"/>
      <c r="C446" s="157"/>
      <c r="D446" s="157"/>
      <c r="E446" s="157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262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275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409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275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275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275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275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403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275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275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275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275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275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275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275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7" t="s">
        <v>264</v>
      </c>
      <c r="B459" s="157"/>
      <c r="C459" s="157"/>
      <c r="D459" s="157"/>
      <c r="E459" s="157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262</v>
      </c>
      <c r="S459" s="74">
        <v>1024280</v>
      </c>
      <c r="T459" s="99">
        <f>IFERROR(J459,"")</f>
        <v>202.88866044052861</v>
      </c>
    </row>
    <row r="460" spans="1:20" ht="18" customHeight="1">
      <c r="A460" s="158" t="s">
        <v>250</v>
      </c>
      <c r="B460" s="158"/>
      <c r="C460" s="158"/>
      <c r="D460" s="158"/>
      <c r="E460" s="158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265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275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275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275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275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275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275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275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275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275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275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275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275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7" t="s">
        <v>261</v>
      </c>
      <c r="B473" s="157"/>
      <c r="C473" s="157"/>
      <c r="D473" s="157"/>
      <c r="E473" s="157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262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275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275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275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410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275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275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275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369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275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275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275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275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275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275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7" t="s">
        <v>264</v>
      </c>
      <c r="B486" s="157"/>
      <c r="C486" s="157"/>
      <c r="D486" s="157"/>
      <c r="E486" s="157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262</v>
      </c>
      <c r="S486" s="74">
        <v>616050</v>
      </c>
      <c r="T486" s="99">
        <f>IFERROR(J486,"")</f>
        <v>88.711199999999977</v>
      </c>
    </row>
    <row r="487" spans="1:20" ht="18" customHeight="1">
      <c r="A487" s="158" t="s">
        <v>250</v>
      </c>
      <c r="B487" s="158"/>
      <c r="C487" s="158"/>
      <c r="D487" s="158"/>
      <c r="E487" s="158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265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275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275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275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275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260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275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275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275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275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275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275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275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7" t="s">
        <v>261</v>
      </c>
      <c r="B500" s="157"/>
      <c r="C500" s="157"/>
      <c r="D500" s="157"/>
      <c r="E500" s="157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262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275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275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275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275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411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275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275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275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275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275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275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275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275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7" t="s">
        <v>264</v>
      </c>
      <c r="B513" s="157"/>
      <c r="C513" s="157"/>
      <c r="D513" s="157"/>
      <c r="E513" s="157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262</v>
      </c>
      <c r="S513" s="74">
        <v>727700</v>
      </c>
      <c r="T513" s="99">
        <f>IFERROR(J513,"")</f>
        <v>123.69990375</v>
      </c>
    </row>
    <row r="514" spans="1:20" ht="18" customHeight="1">
      <c r="A514" s="158" t="s">
        <v>250</v>
      </c>
      <c r="B514" s="158"/>
      <c r="C514" s="158"/>
      <c r="D514" s="158"/>
      <c r="E514" s="158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265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275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275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275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275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275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275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260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260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260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260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260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260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7" t="s">
        <v>261</v>
      </c>
      <c r="B527" s="157"/>
      <c r="C527" s="157"/>
      <c r="D527" s="157"/>
      <c r="E527" s="157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262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275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260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275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275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275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275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275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173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275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275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275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275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275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7" t="s">
        <v>264</v>
      </c>
      <c r="B540" s="157"/>
      <c r="C540" s="157"/>
      <c r="D540" s="157"/>
      <c r="E540" s="157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262</v>
      </c>
      <c r="S540" s="74">
        <v>746110</v>
      </c>
      <c r="T540" s="99">
        <f>IFERROR(J540,"")</f>
        <v>126.60637832335328</v>
      </c>
    </row>
    <row r="541" spans="1:20" ht="18" customHeight="1">
      <c r="A541" s="158" t="s">
        <v>250</v>
      </c>
      <c r="B541" s="158"/>
      <c r="C541" s="158"/>
      <c r="D541" s="158"/>
      <c r="E541" s="158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265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275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275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275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275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275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168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275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178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412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275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275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275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275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275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413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275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7" t="s">
        <v>261</v>
      </c>
      <c r="B554" s="157"/>
      <c r="C554" s="157"/>
      <c r="D554" s="157"/>
      <c r="E554" s="157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262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275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414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260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173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415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275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275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275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275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173</v>
      </c>
      <c r="N560" s="61" t="s">
        <v>210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416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275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417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275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418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275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275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173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419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275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402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275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134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7" t="s">
        <v>264</v>
      </c>
      <c r="B567" s="157"/>
      <c r="C567" s="157"/>
      <c r="D567" s="157"/>
      <c r="E567" s="157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262</v>
      </c>
      <c r="S567" s="74">
        <v>486090</v>
      </c>
      <c r="T567" s="99">
        <f>IFERROR(J567,"")</f>
        <v>69.996959999999987</v>
      </c>
    </row>
    <row r="568" spans="1:20" ht="18" customHeight="1">
      <c r="A568" s="158" t="s">
        <v>250</v>
      </c>
      <c r="B568" s="158"/>
      <c r="C568" s="158"/>
      <c r="D568" s="158"/>
      <c r="E568" s="158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265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275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168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275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275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88.2</v>
      </c>
      <c r="L571" s="70" t="s">
        <v>27</v>
      </c>
      <c r="M571" s="70" t="s">
        <v>66</v>
      </c>
      <c r="N571" s="70" t="s">
        <v>167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403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275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109.2</v>
      </c>
      <c r="L572" s="61" t="s">
        <v>29</v>
      </c>
      <c r="M572" s="61" t="s">
        <v>168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260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420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275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105</v>
      </c>
      <c r="L574" s="61" t="s">
        <v>29</v>
      </c>
      <c r="M574" s="61" t="s">
        <v>168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275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275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25.200000000000003</v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275</v>
      </c>
      <c r="F577" s="88">
        <f>IFERROR(IF($D577="","",VLOOKUP($D577,Cadastro!$C$4:$E$7,3,FALSE())),"")</f>
        <v>0.35</v>
      </c>
      <c r="G577" s="89"/>
      <c r="H577" s="88" t="str">
        <f>IFERROR(IF($G577="","",$G577*$S$581/$G$581/Cadastro!$E$33),"")</f>
        <v/>
      </c>
      <c r="I577" s="90">
        <f>IFERROR(IF($D577="","",VLOOKUP($D577,Cadastro!$C$4:$G$7,5,FALSE())),"")</f>
        <v>0.6</v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275</v>
      </c>
      <c r="F578" s="88">
        <f>IFERROR(IF($D578="","",VLOOKUP($D578,Cadastro!$C$4:$E$7,3,FALSE())),"")</f>
        <v>0.35</v>
      </c>
      <c r="G578" s="89"/>
      <c r="H578" s="88" t="str">
        <f>IFERROR(IF($G578="","",$G578*$S$581/$G$581/Cadastro!$E$33),"")</f>
        <v/>
      </c>
      <c r="I578" s="90">
        <f>IFERROR(IF($D578="","",VLOOKUP($D578,Cadastro!$C$4:$G$7,5,FALSE())),"")</f>
        <v>0.6</v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275</v>
      </c>
      <c r="F579" s="88">
        <f>IFERROR(IF($D579="","",VLOOKUP($D579,Cadastro!$C$4:$E$7,3,FALSE())),"")</f>
        <v>0.35</v>
      </c>
      <c r="G579" s="89"/>
      <c r="H579" s="88" t="str">
        <f>IFERROR(IF($G579="","",$G579*$S$581/$G$581/Cadastro!$E$33),"")</f>
        <v/>
      </c>
      <c r="I579" s="90">
        <f>IFERROR(IF($D579="","",VLOOKUP($D579,Cadastro!$C$4:$G$7,5,FALSE())),"")</f>
        <v>0.6</v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275</v>
      </c>
      <c r="F580" s="92">
        <f>IFERROR(IF($D580="","",VLOOKUP($D580,Cadastro!$C$4:$E$7,3,FALSE())),"")</f>
        <v>0.35</v>
      </c>
      <c r="G580" s="89"/>
      <c r="H580" s="92" t="str">
        <f>IFERROR(IF($G580="","",$G580*$S$581/$G$581/Cadastro!$E$33),"")</f>
        <v/>
      </c>
      <c r="I580" s="93">
        <f>IFERROR(IF($D580="","",VLOOKUP($D580,Cadastro!$C$4:$G$7,5,FALSE())),"")</f>
        <v>0.6</v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7" t="s">
        <v>261</v>
      </c>
      <c r="B581" s="157"/>
      <c r="C581" s="157"/>
      <c r="D581" s="157"/>
      <c r="E581" s="157"/>
      <c r="F581" s="95"/>
      <c r="G581" s="96">
        <f>SUM(G569:G580)</f>
        <v>136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587.20000000000005</v>
      </c>
      <c r="L581" s="72"/>
      <c r="M581" s="72"/>
      <c r="N581" s="72"/>
      <c r="O581" s="134"/>
      <c r="P581" s="134"/>
      <c r="Q581" s="73">
        <f ca="1">IFERROR(SUM(Q569:Q580),"")</f>
        <v>0.11597222222222237</v>
      </c>
      <c r="R581" s="2" t="s">
        <v>262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7" t="s">
        <v>264</v>
      </c>
      <c r="B594" s="157"/>
      <c r="C594" s="157"/>
      <c r="D594" s="157"/>
      <c r="E594" s="157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262</v>
      </c>
      <c r="S594" s="74"/>
      <c r="T594" s="99">
        <f>IFERROR(J594,"")</f>
        <v>0</v>
      </c>
    </row>
    <row r="595" spans="1:20" ht="18" customHeight="1">
      <c r="A595" s="158" t="s">
        <v>250</v>
      </c>
      <c r="B595" s="158"/>
      <c r="C595" s="158"/>
      <c r="D595" s="158"/>
      <c r="E595" s="158"/>
      <c r="F595" s="108"/>
      <c r="G595" s="109">
        <f>G581+G594</f>
        <v>136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587.20000000000005</v>
      </c>
      <c r="L595" s="76"/>
      <c r="M595" s="76"/>
      <c r="N595" s="76"/>
      <c r="O595" s="135"/>
      <c r="P595" s="135"/>
      <c r="Q595" s="77">
        <f ca="1">IFERROR(Q581+Q594,"")</f>
        <v>0.11597222222222237</v>
      </c>
      <c r="R595" s="1" t="s">
        <v>265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7" t="s">
        <v>261</v>
      </c>
      <c r="B608" s="157"/>
      <c r="C608" s="157"/>
      <c r="D608" s="157"/>
      <c r="E608" s="157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262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7" t="s">
        <v>264</v>
      </c>
      <c r="B621" s="157"/>
      <c r="C621" s="157"/>
      <c r="D621" s="157"/>
      <c r="E621" s="157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262</v>
      </c>
      <c r="S621" s="74"/>
      <c r="T621" s="99">
        <f>IFERROR(J621,"")</f>
        <v>0</v>
      </c>
    </row>
    <row r="622" spans="1:20" ht="18" customHeight="1">
      <c r="A622" s="158" t="s">
        <v>250</v>
      </c>
      <c r="B622" s="158"/>
      <c r="C622" s="158"/>
      <c r="D622" s="158"/>
      <c r="E622" s="158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265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7" t="s">
        <v>261</v>
      </c>
      <c r="B635" s="157"/>
      <c r="C635" s="157"/>
      <c r="D635" s="157"/>
      <c r="E635" s="157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262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7" t="s">
        <v>264</v>
      </c>
      <c r="B648" s="157"/>
      <c r="C648" s="157"/>
      <c r="D648" s="157"/>
      <c r="E648" s="157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262</v>
      </c>
      <c r="S648" s="74"/>
      <c r="T648" s="99">
        <f>IFERROR(J648,"")</f>
        <v>0</v>
      </c>
    </row>
    <row r="649" spans="1:20" ht="18" customHeight="1">
      <c r="A649" s="158" t="s">
        <v>250</v>
      </c>
      <c r="B649" s="158"/>
      <c r="C649" s="158"/>
      <c r="D649" s="158"/>
      <c r="E649" s="158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265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7" t="s">
        <v>261</v>
      </c>
      <c r="B662" s="157"/>
      <c r="C662" s="157"/>
      <c r="D662" s="157"/>
      <c r="E662" s="157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262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7" t="s">
        <v>264</v>
      </c>
      <c r="B675" s="157"/>
      <c r="C675" s="157"/>
      <c r="D675" s="157"/>
      <c r="E675" s="157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262</v>
      </c>
      <c r="S675" s="74"/>
      <c r="T675" s="99">
        <f>IFERROR(J675,"")</f>
        <v>0</v>
      </c>
    </row>
    <row r="676" spans="1:20" ht="18" customHeight="1">
      <c r="A676" s="158" t="s">
        <v>250</v>
      </c>
      <c r="B676" s="158"/>
      <c r="C676" s="158"/>
      <c r="D676" s="158"/>
      <c r="E676" s="158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265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7" t="s">
        <v>261</v>
      </c>
      <c r="B689" s="157"/>
      <c r="C689" s="157"/>
      <c r="D689" s="157"/>
      <c r="E689" s="157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262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7" t="s">
        <v>264</v>
      </c>
      <c r="B702" s="157"/>
      <c r="C702" s="157"/>
      <c r="D702" s="157"/>
      <c r="E702" s="157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262</v>
      </c>
      <c r="S702" s="74"/>
      <c r="T702" s="99">
        <f>IFERROR(J702,"")</f>
        <v>0</v>
      </c>
    </row>
    <row r="703" spans="1:20" ht="18" customHeight="1">
      <c r="A703" s="158" t="s">
        <v>250</v>
      </c>
      <c r="B703" s="158"/>
      <c r="C703" s="158"/>
      <c r="D703" s="158"/>
      <c r="E703" s="158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265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7" t="s">
        <v>261</v>
      </c>
      <c r="B716" s="157"/>
      <c r="C716" s="157"/>
      <c r="D716" s="157"/>
      <c r="E716" s="157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262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7" t="s">
        <v>264</v>
      </c>
      <c r="B729" s="157"/>
      <c r="C729" s="157"/>
      <c r="D729" s="157"/>
      <c r="E729" s="157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262</v>
      </c>
      <c r="S729" s="74"/>
      <c r="T729" s="99">
        <f>IFERROR(J729,"")</f>
        <v>0</v>
      </c>
    </row>
    <row r="730" spans="1:20" ht="18" customHeight="1">
      <c r="A730" s="158" t="s">
        <v>250</v>
      </c>
      <c r="B730" s="158"/>
      <c r="C730" s="158"/>
      <c r="D730" s="158"/>
      <c r="E730" s="158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265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7" t="s">
        <v>261</v>
      </c>
      <c r="B743" s="157"/>
      <c r="C743" s="157"/>
      <c r="D743" s="157"/>
      <c r="E743" s="157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262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7" t="s">
        <v>264</v>
      </c>
      <c r="B756" s="157"/>
      <c r="C756" s="157"/>
      <c r="D756" s="157"/>
      <c r="E756" s="157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262</v>
      </c>
      <c r="S756" s="74"/>
      <c r="T756" s="99">
        <f>IFERROR(J756,"")</f>
        <v>0</v>
      </c>
    </row>
    <row r="757" spans="1:20" ht="18" customHeight="1">
      <c r="A757" s="158" t="s">
        <v>250</v>
      </c>
      <c r="B757" s="158"/>
      <c r="C757" s="158"/>
      <c r="D757" s="158"/>
      <c r="E757" s="158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265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7" t="s">
        <v>261</v>
      </c>
      <c r="B770" s="157"/>
      <c r="C770" s="157"/>
      <c r="D770" s="157"/>
      <c r="E770" s="157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262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7" t="s">
        <v>264</v>
      </c>
      <c r="B783" s="157"/>
      <c r="C783" s="157"/>
      <c r="D783" s="157"/>
      <c r="E783" s="157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262</v>
      </c>
      <c r="S783" s="74"/>
      <c r="T783" s="99">
        <f>IFERROR(J783,"")</f>
        <v>0</v>
      </c>
    </row>
    <row r="784" spans="1:20" ht="18" customHeight="1">
      <c r="A784" s="158" t="s">
        <v>250</v>
      </c>
      <c r="B784" s="158"/>
      <c r="C784" s="158"/>
      <c r="D784" s="158"/>
      <c r="E784" s="158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265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7" t="s">
        <v>261</v>
      </c>
      <c r="B797" s="157"/>
      <c r="C797" s="157"/>
      <c r="D797" s="157"/>
      <c r="E797" s="157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262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7" t="s">
        <v>264</v>
      </c>
      <c r="B810" s="157"/>
      <c r="C810" s="157"/>
      <c r="D810" s="157"/>
      <c r="E810" s="157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262</v>
      </c>
      <c r="S810" s="74"/>
      <c r="T810" s="99">
        <f>IFERROR(J810,"")</f>
        <v>0</v>
      </c>
    </row>
    <row r="811" spans="1:20" ht="18" customHeight="1">
      <c r="A811" s="158" t="s">
        <v>250</v>
      </c>
      <c r="B811" s="158"/>
      <c r="C811" s="158"/>
      <c r="D811" s="158"/>
      <c r="E811" s="158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265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7" t="s">
        <v>261</v>
      </c>
      <c r="B824" s="157"/>
      <c r="C824" s="157"/>
      <c r="D824" s="157"/>
      <c r="E824" s="157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262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7" t="s">
        <v>264</v>
      </c>
      <c r="B837" s="157"/>
      <c r="C837" s="157"/>
      <c r="D837" s="157"/>
      <c r="E837" s="157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262</v>
      </c>
      <c r="S837" s="74"/>
      <c r="T837" s="99">
        <f>IFERROR(J837,"")</f>
        <v>0</v>
      </c>
    </row>
    <row r="838" spans="1:20" ht="18" customHeight="1">
      <c r="A838" s="158" t="s">
        <v>250</v>
      </c>
      <c r="B838" s="158"/>
      <c r="C838" s="158"/>
      <c r="D838" s="158"/>
      <c r="E838" s="158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265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L561:L900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2026-08-22T19:46:40Z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