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40" documentId="8_{AF585B22-221D-4780-BB9C-493D365A6A02}" xr6:coauthVersionLast="47" xr6:coauthVersionMax="47" xr10:uidLastSave="{9B593E75-A154-4617-98B5-A2A2DB332979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<sst xmlns="http://schemas.openxmlformats.org/spreadsheetml/2006/main" count="12573" uniqueCount="445">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</sst>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10" activePane="bottomLeft" state="frozen"/>
      <selection pane="bottomLeft" activeCell="H826" sqref="H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/>
      <c r="K826" s="98">
        <v>9.375E-2</v>
      </c>
      <c r="L826" s="98"/>
      <c r="M826" s="78">
        <f ca="1">IFERROR(IF(K826="","",IF(L826="",MOD(NOW()-K826,1),IF(L826&gt;=K826,L826-K826,L826+1-K826))),"")</f>
        <v>7.2349537367699668E-4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174</v>
      </c>
      <c r="G837" s="109">
        <f>SUM(G825:G836)</f>
        <v>870</v>
      </c>
      <c r="H837" s="37"/>
      <c r="I837" s="37"/>
      <c r="J837" s="37"/>
      <c r="K837" s="37"/>
      <c r="L837" s="37"/>
      <c r="M837" s="110">
        <f ca="1">IFERROR(SUM(M825:M836),"")</f>
        <v>8.3623842625659695E-3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307</v>
      </c>
      <c r="G838" s="111">
        <f>G824+G837</f>
        <v>870</v>
      </c>
      <c r="H838" s="41"/>
      <c r="I838" s="41"/>
      <c r="J838" s="41"/>
      <c r="K838" s="41"/>
      <c r="L838" s="41"/>
      <c r="M838" s="112">
        <f ca="1">IFERROR(M824+M837,"")</f>
        <v>0.16808460648478818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J829" sqref="J8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0.85489016203791834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1.0125290509268072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1.1222512731490295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0.83336238426272757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1.004195717596061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1.1493346064849499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/>
      <c r="J829" s="81" t="s">
        <v>119</v>
      </c>
      <c r="K829" s="98">
        <v>8.8888888888888892E-2</v>
      </c>
      <c r="L829" s="98"/>
      <c r="M829" s="79">
        <f ca="1">IFERROR(IF(K829="","",IF(L829="",MOD(NOW()-K829,1),IF(L829&gt;=K829,L829-K829,L829+1-K829))),"")</f>
        <v>5.5846064860816114E-3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143</v>
      </c>
      <c r="G837" s="109">
        <f>SUM(G825:G836)</f>
        <v>613.40000000000009</v>
      </c>
      <c r="H837" s="37"/>
      <c r="I837" s="37"/>
      <c r="J837" s="37"/>
      <c r="K837" s="37"/>
      <c r="L837" s="37"/>
      <c r="M837" s="110">
        <f ca="1">IFERROR(SUM(M825:M836),"")</f>
        <v>3.3362384263859318E-2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312</v>
      </c>
      <c r="G838" s="111">
        <f>G824+G837</f>
        <v>1323.2000000000003</v>
      </c>
      <c r="H838" s="41"/>
      <c r="I838" s="41"/>
      <c r="J838" s="41"/>
      <c r="K838" s="41"/>
      <c r="L838" s="41"/>
      <c r="M838" s="112">
        <f ca="1">IFERROR(M824+M837,"")</f>
        <v>0.13822349537497045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L826" sqref="L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91</v>
      </c>
      <c r="G837" s="109">
        <f>SUM(G825:G836)</f>
        <v>391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186</v>
      </c>
      <c r="G838" s="111">
        <f>G824+G837</f>
        <v>790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2" sqref="F8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0.84516793982038507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1.0444734953759407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1.4118346064870517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79</v>
      </c>
      <c r="G837" s="109">
        <f>SUM(G825:G836)</f>
        <v>331.8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198</v>
      </c>
      <c r="G838" s="111">
        <f>G824+G837</f>
        <v>831.60000000000014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2026-08-01T06:16:02Z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