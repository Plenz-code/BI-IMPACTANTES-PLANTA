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90" documentId="8_{AF585B22-221D-4780-BB9C-493D365A6A02}" xr6:coauthVersionLast="47" xr6:coauthVersionMax="47" xr10:uidLastSave="{17424E4A-FAB3-468A-97BA-B631E101201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<sst xmlns="http://schemas.openxmlformats.org/spreadsheetml/2006/main" count="11760" uniqueCount="426">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</sst>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5" sqref="F7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 t="shared" si="171"/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125</v>
      </c>
      <c r="G783" s="36">
        <f>SUM(G771:G782)</f>
        <v>625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475</v>
      </c>
      <c r="G784" s="40">
        <f>G770+G783</f>
        <v>2375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L775" sqref="L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0.74935347221617121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0.9069923611050601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1.0167145833272824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0.72782569444098044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0.89865902777431383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1.0437979166632028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71</v>
      </c>
      <c r="G783" s="36">
        <f>SUM(G771:G782)</f>
        <v>307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205</v>
      </c>
      <c r="G784" s="40">
        <f>G770+G783</f>
        <v>877.80000000000007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5" sqref="F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/>
      <c r="I774" s="26"/>
      <c r="J774" s="26"/>
      <c r="K774" s="29">
        <v>0.96250000000000002</v>
      </c>
      <c r="L774" s="29"/>
      <c r="M774" s="30">
        <f t="shared" ca="1" si="172"/>
        <v>2.6436805550474674E-2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25</v>
      </c>
      <c r="G783" s="36">
        <f>SUM(G771:G782)</f>
        <v>109</v>
      </c>
      <c r="H783" s="37"/>
      <c r="I783" s="37"/>
      <c r="J783" s="37"/>
      <c r="K783" s="37"/>
      <c r="L783" s="37"/>
      <c r="M783" s="38">
        <f ca="1">IFERROR(SUM(M771:M782),"")</f>
        <v>7.018680555047474E-2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</v>
      </c>
      <c r="G784" s="40">
        <f>G770+G783</f>
        <v>285.2</v>
      </c>
      <c r="H784" s="41"/>
      <c r="I784" s="41"/>
      <c r="J784" s="41"/>
      <c r="K784" s="41"/>
      <c r="L784" s="41"/>
      <c r="M784" s="42">
        <f ca="1">IFERROR(M770+M783,"")</f>
        <v>0.18407569443936367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L771" sqref="L7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0.73963124999863794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0.93893680555419357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1.3062979166653046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/>
      <c r="M771" s="35">
        <f t="shared" ref="M771:M782" ca="1" si="172">IFERROR(IF(K771="","",IF(L771="",MOD(NOW()-K771,1),IF(L771&gt;=K771,L771-K771,L771+1-K771))),"")</f>
        <v>1.6714583332941402E-2</v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91</v>
      </c>
      <c r="G783" s="36">
        <f>SUM(G771:G782)</f>
        <v>391.8</v>
      </c>
      <c r="H783" s="37"/>
      <c r="I783" s="37"/>
      <c r="J783" s="37"/>
      <c r="K783" s="61"/>
      <c r="L783" s="61"/>
      <c r="M783" s="38">
        <f ca="1">IFERROR(SUM(M771:M782),"")</f>
        <v>1.6714583332941402E-2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99</v>
      </c>
      <c r="G784" s="40">
        <f>G770+G783</f>
        <v>425.40000000000003</v>
      </c>
      <c r="H784" s="41"/>
      <c r="I784" s="41"/>
      <c r="J784" s="41"/>
      <c r="K784" s="63"/>
      <c r="L784" s="63"/>
      <c r="M784" s="42">
        <f ca="1">IFERROR(M770+M783,"")</f>
        <v>0.48060347222183025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2026-07-30T03:44:20Z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