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1" documentId="13_ncr:1_{0A10D8D4-8450-4366-8075-B53B08E6B7EA}" xr6:coauthVersionLast="47" xr6:coauthVersionMax="47" xr10:uidLastSave="{6ED85B5F-D78E-4431-949A-322FD25F8B33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G455" i="3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<sst xmlns="http://schemas.openxmlformats.org/spreadsheetml/2006/main" count="7936" uniqueCount="376">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</sst>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28" activePane="bottomLeft" state="frozen"/>
      <selection pane="bottomLeft" activeCell="M29" sqref="M29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7" width="8.554687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3" width="8.5546875" customWidth="1"/>
  </cols>
  <sheetData>
    <row r="1" spans="1:11" ht="31.5" customHeight="1" x14ac:dyDescent="0.3">
      <c r="A1" s="168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</row>
    <row r="2" spans="1:11" ht="30" customHeight="1" x14ac:dyDescent="0.3">
      <c r="A2" s="166"/>
      <c r="B2" s="16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7" t="s">
        <v>14</v>
      </c>
      <c r="B35" s="167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 x14ac:dyDescent="0.3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0" t="s">
        <v>15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16</v>
      </c>
      <c r="O1" s="172"/>
      <c r="P1" s="172"/>
      <c r="Q1" s="172"/>
      <c r="R1" s="172"/>
    </row>
    <row r="2" spans="1:18" ht="4.5" customHeight="1" x14ac:dyDescent="0.3">
      <c r="M2" s="171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1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1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1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1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1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1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1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1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1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71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71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71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71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71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71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71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71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71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71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71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71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71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71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71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71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71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71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71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71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71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71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71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71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71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71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71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71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71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71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71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71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71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71"/>
      <c r="N45" s="17"/>
      <c r="O45" s="17"/>
      <c r="P45" s="17"/>
      <c r="Q45" s="17"/>
      <c r="R45" s="17" t="s">
        <v>192</v>
      </c>
    </row>
    <row r="46" spans="1:18" ht="15.75" customHeight="1" x14ac:dyDescent="0.3">
      <c r="A46" s="16"/>
      <c r="C46" s="16"/>
      <c r="J46" s="16"/>
      <c r="L46" s="16"/>
      <c r="M46" s="171"/>
      <c r="N46" s="16"/>
      <c r="O46" s="16"/>
      <c r="P46" s="16" t="s">
        <v>193</v>
      </c>
      <c r="Q46" s="16"/>
      <c r="R46" s="16" t="s">
        <v>194</v>
      </c>
    </row>
    <row r="47" spans="1:18" ht="15.75" customHeight="1" x14ac:dyDescent="0.3">
      <c r="A47" s="17"/>
      <c r="C47" s="17"/>
      <c r="J47" s="17"/>
      <c r="L47" s="17"/>
      <c r="M47" s="171"/>
      <c r="N47" s="17"/>
      <c r="O47" s="17"/>
      <c r="P47" s="17" t="s">
        <v>195</v>
      </c>
      <c r="Q47" s="17"/>
      <c r="R47" s="17" t="s">
        <v>196</v>
      </c>
    </row>
    <row r="48" spans="1:18" ht="15.75" customHeight="1" x14ac:dyDescent="0.3">
      <c r="A48" s="16"/>
      <c r="C48" s="16"/>
      <c r="J48" s="16"/>
      <c r="L48" s="16"/>
      <c r="M48" s="171"/>
      <c r="N48" s="16"/>
      <c r="O48" s="16"/>
      <c r="P48" s="16" t="s">
        <v>197</v>
      </c>
      <c r="Q48" s="16"/>
      <c r="R48" s="16" t="s">
        <v>198</v>
      </c>
    </row>
    <row r="49" spans="1:18" ht="18" customHeight="1" x14ac:dyDescent="0.3">
      <c r="M49" s="171"/>
      <c r="N49" s="17"/>
      <c r="O49" s="17"/>
      <c r="P49" s="17" t="s">
        <v>199</v>
      </c>
      <c r="Q49" s="17"/>
      <c r="R49" s="17" t="s">
        <v>200</v>
      </c>
    </row>
    <row r="50" spans="1:18" ht="21" customHeight="1" x14ac:dyDescent="0.3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1"/>
      <c r="N50" s="16"/>
      <c r="O50" s="16"/>
      <c r="P50" s="16" t="s">
        <v>202</v>
      </c>
      <c r="Q50" s="16"/>
      <c r="R50" s="16" t="s">
        <v>203</v>
      </c>
    </row>
    <row r="51" spans="1:18" ht="24" customHeight="1" x14ac:dyDescent="0.3">
      <c r="M51" s="171"/>
      <c r="N51" s="17"/>
      <c r="O51" s="17"/>
      <c r="P51" s="17" t="s">
        <v>204</v>
      </c>
      <c r="Q51" s="17"/>
      <c r="R51" s="17" t="s">
        <v>205</v>
      </c>
    </row>
    <row r="52" spans="1:18" ht="24" customHeight="1" x14ac:dyDescent="0.3">
      <c r="M52" s="171"/>
      <c r="N52" s="16"/>
      <c r="O52" s="16"/>
      <c r="P52" s="16" t="s">
        <v>206</v>
      </c>
      <c r="Q52" s="16"/>
      <c r="R52" s="16" t="s">
        <v>207</v>
      </c>
    </row>
    <row r="53" spans="1:18" ht="36" customHeight="1" x14ac:dyDescent="0.3">
      <c r="M53" s="171"/>
      <c r="N53" s="17"/>
      <c r="O53" s="17"/>
      <c r="P53" s="17" t="s">
        <v>208</v>
      </c>
      <c r="Q53" s="17"/>
      <c r="R53" s="17" t="s">
        <v>209</v>
      </c>
    </row>
    <row r="54" spans="1:18" ht="15" customHeight="1" x14ac:dyDescent="0.3">
      <c r="M54" s="171"/>
      <c r="N54" s="16"/>
      <c r="O54" s="16"/>
      <c r="P54" s="16" t="s">
        <v>210</v>
      </c>
      <c r="Q54" s="16"/>
      <c r="R54" s="16" t="s">
        <v>211</v>
      </c>
    </row>
    <row r="55" spans="1:18" ht="15" customHeight="1" x14ac:dyDescent="0.3">
      <c r="M55" s="171"/>
      <c r="N55" s="17"/>
      <c r="O55" s="17"/>
      <c r="P55" s="17" t="s">
        <v>212</v>
      </c>
      <c r="Q55" s="17"/>
      <c r="R55" s="17" t="s">
        <v>213</v>
      </c>
    </row>
    <row r="56" spans="1:18" ht="15" customHeight="1" x14ac:dyDescent="0.3">
      <c r="M56" s="171"/>
      <c r="N56" s="16"/>
      <c r="O56" s="16"/>
      <c r="P56" s="16" t="s">
        <v>214</v>
      </c>
      <c r="Q56" s="16"/>
      <c r="R56" s="16" t="s">
        <v>215</v>
      </c>
    </row>
    <row r="57" spans="1:18" ht="15" customHeight="1" x14ac:dyDescent="0.3">
      <c r="M57" s="171"/>
      <c r="N57" s="17"/>
      <c r="O57" s="17"/>
      <c r="P57" s="17" t="s">
        <v>57</v>
      </c>
      <c r="Q57" s="17"/>
      <c r="R57" s="17" t="s">
        <v>216</v>
      </c>
    </row>
    <row r="58" spans="1:18" ht="15" customHeight="1" x14ac:dyDescent="0.3">
      <c r="M58" s="171"/>
      <c r="N58" s="16"/>
      <c r="O58" s="16"/>
      <c r="P58" s="16" t="s">
        <v>217</v>
      </c>
      <c r="Q58" s="16"/>
      <c r="R58" s="16" t="s">
        <v>218</v>
      </c>
    </row>
    <row r="59" spans="1:18" ht="15" customHeight="1" x14ac:dyDescent="0.3">
      <c r="M59" s="171"/>
      <c r="N59" s="17"/>
      <c r="O59" s="17"/>
      <c r="P59" s="17" t="s">
        <v>219</v>
      </c>
      <c r="Q59" s="17"/>
      <c r="R59" s="17"/>
    </row>
    <row r="60" spans="1:18" ht="15" customHeight="1" x14ac:dyDescent="0.3">
      <c r="M60" s="171"/>
      <c r="N60" s="16"/>
      <c r="O60" s="16"/>
      <c r="P60" s="77" t="s">
        <v>112</v>
      </c>
      <c r="Q60" s="16"/>
      <c r="R60" s="16"/>
    </row>
    <row r="61" spans="1:18" ht="15" customHeight="1" x14ac:dyDescent="0.3">
      <c r="M61" s="171"/>
      <c r="N61" s="17"/>
      <c r="O61" s="17"/>
      <c r="P61" s="17" t="s">
        <v>220</v>
      </c>
      <c r="Q61" s="17"/>
      <c r="R61" s="17"/>
    </row>
    <row r="62" spans="1:18" ht="15" customHeight="1" x14ac:dyDescent="0.3">
      <c r="M62" s="171"/>
      <c r="N62" s="16"/>
      <c r="O62" s="16"/>
      <c r="P62" s="16" t="s">
        <v>221</v>
      </c>
      <c r="Q62" s="16"/>
      <c r="R62" s="16"/>
    </row>
    <row r="63" spans="1:18" ht="15" customHeight="1" x14ac:dyDescent="0.3">
      <c r="M63" s="171"/>
      <c r="N63" s="17"/>
      <c r="O63" s="17"/>
      <c r="P63" s="17" t="s">
        <v>222</v>
      </c>
      <c r="Q63" s="17"/>
      <c r="R63" s="17"/>
    </row>
    <row r="64" spans="1:18" ht="15" customHeight="1" x14ac:dyDescent="0.3">
      <c r="M64" s="171"/>
      <c r="N64" s="16"/>
      <c r="O64" s="16"/>
      <c r="P64" s="16" t="s">
        <v>223</v>
      </c>
      <c r="Q64" s="16"/>
      <c r="R64" s="16"/>
    </row>
    <row r="65" spans="13:18" ht="15" customHeight="1" x14ac:dyDescent="0.3">
      <c r="M65" s="171"/>
      <c r="N65" s="17"/>
      <c r="O65" s="17"/>
      <c r="P65" s="17" t="s">
        <v>224</v>
      </c>
      <c r="Q65" s="17"/>
      <c r="R65" s="17"/>
    </row>
    <row r="66" spans="13:18" ht="15" customHeight="1" x14ac:dyDescent="0.3">
      <c r="M66" s="171"/>
      <c r="N66" s="16"/>
      <c r="O66" s="16"/>
      <c r="P66" s="16" t="s">
        <v>225</v>
      </c>
      <c r="Q66" s="16"/>
      <c r="R66" s="16"/>
    </row>
    <row r="67" spans="13:18" ht="15" customHeight="1" x14ac:dyDescent="0.3">
      <c r="M67" s="171"/>
      <c r="N67" s="17"/>
      <c r="O67" s="17"/>
      <c r="P67" s="17" t="s">
        <v>226</v>
      </c>
      <c r="Q67" s="17"/>
      <c r="R67" s="17"/>
    </row>
    <row r="68" spans="13:18" ht="15" customHeight="1" x14ac:dyDescent="0.3">
      <c r="M68" s="171"/>
      <c r="N68" s="16"/>
      <c r="O68" s="16"/>
      <c r="P68" s="16" t="s">
        <v>227</v>
      </c>
      <c r="Q68" s="16"/>
      <c r="R68" s="16"/>
    </row>
    <row r="69" spans="13:18" ht="15" customHeight="1" x14ac:dyDescent="0.3">
      <c r="M69" s="171"/>
      <c r="N69" s="17"/>
      <c r="O69" s="17"/>
      <c r="P69" s="17" t="s">
        <v>228</v>
      </c>
      <c r="Q69" s="17"/>
      <c r="R69" s="17"/>
    </row>
    <row r="70" spans="13:18" ht="15" customHeight="1" x14ac:dyDescent="0.3">
      <c r="M70" s="171"/>
      <c r="N70" s="16"/>
      <c r="O70" s="16"/>
      <c r="P70" s="16" t="s">
        <v>229</v>
      </c>
      <c r="Q70" s="16"/>
      <c r="R70" s="16"/>
    </row>
    <row r="71" spans="13:18" ht="15" customHeight="1" x14ac:dyDescent="0.3">
      <c r="M71" s="171"/>
      <c r="N71" s="17"/>
      <c r="O71" s="17"/>
      <c r="P71" s="17" t="s">
        <v>230</v>
      </c>
      <c r="Q71" s="17"/>
      <c r="R71" s="17"/>
    </row>
    <row r="72" spans="13:18" ht="15" customHeight="1" x14ac:dyDescent="0.3">
      <c r="M72" s="171"/>
      <c r="N72" s="16"/>
      <c r="O72" s="16"/>
      <c r="P72" s="16" t="s">
        <v>231</v>
      </c>
      <c r="Q72" s="16"/>
      <c r="R72" s="16"/>
    </row>
    <row r="73" spans="13:18" ht="15" customHeight="1" x14ac:dyDescent="0.3">
      <c r="M73" s="171"/>
      <c r="N73" s="17"/>
      <c r="O73" s="17"/>
      <c r="P73" s="17" t="s">
        <v>232</v>
      </c>
      <c r="Q73" s="17"/>
      <c r="R73" s="17"/>
    </row>
    <row r="74" spans="13:18" ht="15" customHeight="1" x14ac:dyDescent="0.3">
      <c r="M74" s="171"/>
      <c r="N74" s="16"/>
      <c r="O74" s="16"/>
      <c r="P74" s="16" t="s">
        <v>233</v>
      </c>
      <c r="Q74" s="16"/>
      <c r="R74" s="16"/>
    </row>
    <row r="75" spans="13:18" ht="15" customHeight="1" x14ac:dyDescent="0.3">
      <c r="M75" s="171"/>
      <c r="N75" s="17"/>
      <c r="O75" s="17"/>
      <c r="P75" s="17" t="s">
        <v>234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sqref="A1:G409"/>
      <selection pane="bottomLeft" activeCell="F471" sqref="F471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60" t="s">
        <v>246</v>
      </c>
      <c r="B14" s="161"/>
      <c r="C14" s="161"/>
      <c r="D14" s="161"/>
      <c r="E14" s="17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60" t="s">
        <v>249</v>
      </c>
      <c r="B27" s="161"/>
      <c r="C27" s="161"/>
      <c r="D27" s="161"/>
      <c r="E27" s="17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 x14ac:dyDescent="0.3">
      <c r="A28" s="162" t="s">
        <v>250</v>
      </c>
      <c r="B28" s="163"/>
      <c r="C28" s="163"/>
      <c r="D28" s="163"/>
      <c r="E28" s="17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60" t="s">
        <v>246</v>
      </c>
      <c r="B41" s="161"/>
      <c r="C41" s="161"/>
      <c r="D41" s="161"/>
      <c r="E41" s="17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60" t="s">
        <v>249</v>
      </c>
      <c r="B54" s="161"/>
      <c r="C54" s="161"/>
      <c r="D54" s="161"/>
      <c r="E54" s="17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 x14ac:dyDescent="0.3">
      <c r="A55" s="162" t="s">
        <v>250</v>
      </c>
      <c r="B55" s="163"/>
      <c r="C55" s="163"/>
      <c r="D55" s="163"/>
      <c r="E55" s="174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60" t="s">
        <v>246</v>
      </c>
      <c r="B68" s="161"/>
      <c r="C68" s="161"/>
      <c r="D68" s="161"/>
      <c r="E68" s="17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60" t="s">
        <v>249</v>
      </c>
      <c r="B81" s="161"/>
      <c r="C81" s="161"/>
      <c r="D81" s="161"/>
      <c r="E81" s="17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 x14ac:dyDescent="0.3">
      <c r="A82" s="162" t="s">
        <v>250</v>
      </c>
      <c r="B82" s="163"/>
      <c r="C82" s="163"/>
      <c r="D82" s="163"/>
      <c r="E82" s="174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60" t="s">
        <v>246</v>
      </c>
      <c r="B95" s="161"/>
      <c r="C95" s="161"/>
      <c r="D95" s="161"/>
      <c r="E95" s="17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60" t="s">
        <v>249</v>
      </c>
      <c r="B108" s="161"/>
      <c r="C108" s="161"/>
      <c r="D108" s="161"/>
      <c r="E108" s="17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 x14ac:dyDescent="0.3">
      <c r="A109" s="162" t="s">
        <v>250</v>
      </c>
      <c r="B109" s="163"/>
      <c r="C109" s="163"/>
      <c r="D109" s="163"/>
      <c r="E109" s="174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60" t="s">
        <v>246</v>
      </c>
      <c r="B122" s="161"/>
      <c r="C122" s="161"/>
      <c r="D122" s="161"/>
      <c r="E122" s="17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60" t="s">
        <v>249</v>
      </c>
      <c r="B135" s="161"/>
      <c r="C135" s="161"/>
      <c r="D135" s="161"/>
      <c r="E135" s="17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 x14ac:dyDescent="0.3">
      <c r="A136" s="162" t="s">
        <v>250</v>
      </c>
      <c r="B136" s="163"/>
      <c r="C136" s="163"/>
      <c r="D136" s="163"/>
      <c r="E136" s="174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60" t="s">
        <v>246</v>
      </c>
      <c r="B149" s="161"/>
      <c r="C149" s="161"/>
      <c r="D149" s="161"/>
      <c r="E149" s="17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60" t="s">
        <v>249</v>
      </c>
      <c r="B162" s="161"/>
      <c r="C162" s="161"/>
      <c r="D162" s="161"/>
      <c r="E162" s="17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 x14ac:dyDescent="0.3">
      <c r="A163" s="162" t="s">
        <v>250</v>
      </c>
      <c r="B163" s="163"/>
      <c r="C163" s="163"/>
      <c r="D163" s="163"/>
      <c r="E163" s="174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60" t="s">
        <v>246</v>
      </c>
      <c r="B176" s="161"/>
      <c r="C176" s="161"/>
      <c r="D176" s="161"/>
      <c r="E176" s="17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60" t="s">
        <v>249</v>
      </c>
      <c r="B189" s="161"/>
      <c r="C189" s="161"/>
      <c r="D189" s="161"/>
      <c r="E189" s="17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 x14ac:dyDescent="0.3">
      <c r="A190" s="162" t="s">
        <v>250</v>
      </c>
      <c r="B190" s="163"/>
      <c r="C190" s="163"/>
      <c r="D190" s="163"/>
      <c r="E190" s="174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60" t="s">
        <v>246</v>
      </c>
      <c r="B203" s="161"/>
      <c r="C203" s="161"/>
      <c r="D203" s="161"/>
      <c r="E203" s="17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60" t="s">
        <v>249</v>
      </c>
      <c r="B216" s="161"/>
      <c r="C216" s="161"/>
      <c r="D216" s="161"/>
      <c r="E216" s="17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 x14ac:dyDescent="0.3">
      <c r="A217" s="162" t="s">
        <v>250</v>
      </c>
      <c r="B217" s="163"/>
      <c r="C217" s="163"/>
      <c r="D217" s="163"/>
      <c r="E217" s="174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64" t="s">
        <v>246</v>
      </c>
      <c r="B230" s="165"/>
      <c r="C230" s="165"/>
      <c r="D230" s="165"/>
      <c r="E230" s="17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60" t="s">
        <v>249</v>
      </c>
      <c r="B243" s="161"/>
      <c r="C243" s="161"/>
      <c r="D243" s="161"/>
      <c r="E243" s="17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 x14ac:dyDescent="0.3">
      <c r="A244" s="162" t="s">
        <v>250</v>
      </c>
      <c r="B244" s="163"/>
      <c r="C244" s="163"/>
      <c r="D244" s="163"/>
      <c r="E244" s="174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60" t="s">
        <v>246</v>
      </c>
      <c r="B257" s="161"/>
      <c r="C257" s="161"/>
      <c r="D257" s="161"/>
      <c r="E257" s="17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60" t="s">
        <v>249</v>
      </c>
      <c r="B270" s="161"/>
      <c r="C270" s="161"/>
      <c r="D270" s="161"/>
      <c r="E270" s="17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 x14ac:dyDescent="0.3">
      <c r="A271" s="162" t="s">
        <v>250</v>
      </c>
      <c r="B271" s="163"/>
      <c r="C271" s="163"/>
      <c r="D271" s="163"/>
      <c r="E271" s="174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60" t="s">
        <v>246</v>
      </c>
      <c r="B284" s="161"/>
      <c r="C284" s="161"/>
      <c r="D284" s="161"/>
      <c r="E284" s="17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60" t="s">
        <v>249</v>
      </c>
      <c r="B297" s="161"/>
      <c r="C297" s="161"/>
      <c r="D297" s="161"/>
      <c r="E297" s="17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 x14ac:dyDescent="0.3">
      <c r="A298" s="162" t="s">
        <v>250</v>
      </c>
      <c r="B298" s="163"/>
      <c r="C298" s="163"/>
      <c r="D298" s="163"/>
      <c r="E298" s="174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60" t="s">
        <v>246</v>
      </c>
      <c r="B311" s="161"/>
      <c r="C311" s="161"/>
      <c r="D311" s="161"/>
      <c r="E311" s="17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60" t="s">
        <v>249</v>
      </c>
      <c r="B324" s="161"/>
      <c r="C324" s="161"/>
      <c r="D324" s="161"/>
      <c r="E324" s="17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 x14ac:dyDescent="0.3">
      <c r="A325" s="162" t="s">
        <v>250</v>
      </c>
      <c r="B325" s="163"/>
      <c r="C325" s="163"/>
      <c r="D325" s="163"/>
      <c r="E325" s="174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60" t="s">
        <v>246</v>
      </c>
      <c r="B338" s="161"/>
      <c r="C338" s="161"/>
      <c r="D338" s="161"/>
      <c r="E338" s="17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60" t="s">
        <v>249</v>
      </c>
      <c r="B351" s="161"/>
      <c r="C351" s="161"/>
      <c r="D351" s="161"/>
      <c r="E351" s="17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 x14ac:dyDescent="0.3">
      <c r="A352" s="162" t="s">
        <v>250</v>
      </c>
      <c r="B352" s="163"/>
      <c r="C352" s="163"/>
      <c r="D352" s="163"/>
      <c r="E352" s="174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60" t="s">
        <v>246</v>
      </c>
      <c r="B365" s="161"/>
      <c r="C365" s="161"/>
      <c r="D365" s="161"/>
      <c r="E365" s="173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60" t="s">
        <v>249</v>
      </c>
      <c r="B378" s="161"/>
      <c r="C378" s="161"/>
      <c r="D378" s="161"/>
      <c r="E378" s="173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 x14ac:dyDescent="0.3">
      <c r="A379" s="162" t="s">
        <v>250</v>
      </c>
      <c r="B379" s="163"/>
      <c r="C379" s="163"/>
      <c r="D379" s="163"/>
      <c r="E379" s="174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60" t="s">
        <v>246</v>
      </c>
      <c r="B392" s="161"/>
      <c r="C392" s="161"/>
      <c r="D392" s="161"/>
      <c r="E392" s="173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60" t="s">
        <v>249</v>
      </c>
      <c r="B405" s="161"/>
      <c r="C405" s="161"/>
      <c r="D405" s="161"/>
      <c r="E405" s="173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 x14ac:dyDescent="0.3">
      <c r="A406" s="162" t="s">
        <v>250</v>
      </c>
      <c r="B406" s="163"/>
      <c r="C406" s="163"/>
      <c r="D406" s="163"/>
      <c r="E406" s="174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60" t="s">
        <v>246</v>
      </c>
      <c r="B419" s="161"/>
      <c r="C419" s="161"/>
      <c r="D419" s="161"/>
      <c r="E419" s="173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60" t="s">
        <v>249</v>
      </c>
      <c r="B432" s="161"/>
      <c r="C432" s="161"/>
      <c r="D432" s="161"/>
      <c r="E432" s="173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 x14ac:dyDescent="0.3">
      <c r="A433" s="162" t="s">
        <v>250</v>
      </c>
      <c r="B433" s="163"/>
      <c r="C433" s="163"/>
      <c r="D433" s="163"/>
      <c r="E433" s="174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60" t="s">
        <v>246</v>
      </c>
      <c r="B446" s="161"/>
      <c r="C446" s="161"/>
      <c r="D446" s="161"/>
      <c r="E446" s="173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60" t="s">
        <v>249</v>
      </c>
      <c r="B459" s="161"/>
      <c r="C459" s="161"/>
      <c r="D459" s="161"/>
      <c r="E459" s="173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 x14ac:dyDescent="0.3">
      <c r="A460" s="162" t="s">
        <v>250</v>
      </c>
      <c r="B460" s="163"/>
      <c r="C460" s="163"/>
      <c r="D460" s="163"/>
      <c r="E460" s="174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1.9285416667116806E-2</v>
      </c>
      <c r="N461" s="46" t="s">
        <v>278</v>
      </c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60" t="s">
        <v>246</v>
      </c>
      <c r="B473" s="161"/>
      <c r="C473" s="161"/>
      <c r="D473" s="161"/>
      <c r="E473" s="173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1.9285416667116806E-2</v>
      </c>
      <c r="N473" s="36" t="s">
        <v>247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60" t="s">
        <v>249</v>
      </c>
      <c r="B486" s="161"/>
      <c r="C486" s="161"/>
      <c r="D486" s="161"/>
      <c r="E486" s="17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 x14ac:dyDescent="0.3">
      <c r="A487" s="162" t="s">
        <v>250</v>
      </c>
      <c r="B487" s="163"/>
      <c r="C487" s="163"/>
      <c r="D487" s="163"/>
      <c r="E487" s="174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1.9285416667116806E-2</v>
      </c>
      <c r="N487" s="40" t="s">
        <v>251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60" t="s">
        <v>246</v>
      </c>
      <c r="B500" s="161"/>
      <c r="C500" s="161"/>
      <c r="D500" s="161"/>
      <c r="E500" s="17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60" t="s">
        <v>249</v>
      </c>
      <c r="B513" s="161"/>
      <c r="C513" s="161"/>
      <c r="D513" s="161"/>
      <c r="E513" s="17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 x14ac:dyDescent="0.3">
      <c r="A514" s="162" t="s">
        <v>250</v>
      </c>
      <c r="B514" s="163"/>
      <c r="C514" s="163"/>
      <c r="D514" s="163"/>
      <c r="E514" s="17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60" t="s">
        <v>246</v>
      </c>
      <c r="B527" s="161"/>
      <c r="C527" s="161"/>
      <c r="D527" s="161"/>
      <c r="E527" s="17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60" t="s">
        <v>249</v>
      </c>
      <c r="B540" s="161"/>
      <c r="C540" s="161"/>
      <c r="D540" s="161"/>
      <c r="E540" s="17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 x14ac:dyDescent="0.3">
      <c r="A541" s="162" t="s">
        <v>250</v>
      </c>
      <c r="B541" s="163"/>
      <c r="C541" s="163"/>
      <c r="D541" s="163"/>
      <c r="E541" s="17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60" t="s">
        <v>246</v>
      </c>
      <c r="B554" s="161"/>
      <c r="C554" s="161"/>
      <c r="D554" s="161"/>
      <c r="E554" s="17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60" t="s">
        <v>249</v>
      </c>
      <c r="B567" s="161"/>
      <c r="C567" s="161"/>
      <c r="D567" s="161"/>
      <c r="E567" s="17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 x14ac:dyDescent="0.3">
      <c r="A568" s="162" t="s">
        <v>250</v>
      </c>
      <c r="B568" s="163"/>
      <c r="C568" s="163"/>
      <c r="D568" s="163"/>
      <c r="E568" s="17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60" t="s">
        <v>246</v>
      </c>
      <c r="B581" s="161"/>
      <c r="C581" s="161"/>
      <c r="D581" s="161"/>
      <c r="E581" s="17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60" t="s">
        <v>249</v>
      </c>
      <c r="B594" s="161"/>
      <c r="C594" s="161"/>
      <c r="D594" s="161"/>
      <c r="E594" s="17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 x14ac:dyDescent="0.3">
      <c r="A595" s="162" t="s">
        <v>250</v>
      </c>
      <c r="B595" s="163"/>
      <c r="C595" s="163"/>
      <c r="D595" s="163"/>
      <c r="E595" s="17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60" t="s">
        <v>246</v>
      </c>
      <c r="B608" s="161"/>
      <c r="C608" s="161"/>
      <c r="D608" s="161"/>
      <c r="E608" s="17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60" t="s">
        <v>249</v>
      </c>
      <c r="B621" s="161"/>
      <c r="C621" s="161"/>
      <c r="D621" s="161"/>
      <c r="E621" s="17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 x14ac:dyDescent="0.3">
      <c r="A622" s="162" t="s">
        <v>250</v>
      </c>
      <c r="B622" s="163"/>
      <c r="C622" s="163"/>
      <c r="D622" s="163"/>
      <c r="E622" s="17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60" t="s">
        <v>246</v>
      </c>
      <c r="B635" s="161"/>
      <c r="C635" s="161"/>
      <c r="D635" s="161"/>
      <c r="E635" s="17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60" t="s">
        <v>249</v>
      </c>
      <c r="B648" s="161"/>
      <c r="C648" s="161"/>
      <c r="D648" s="161"/>
      <c r="E648" s="17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 x14ac:dyDescent="0.3">
      <c r="A649" s="162" t="s">
        <v>250</v>
      </c>
      <c r="B649" s="163"/>
      <c r="C649" s="163"/>
      <c r="D649" s="163"/>
      <c r="E649" s="17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60" t="s">
        <v>246</v>
      </c>
      <c r="B662" s="161"/>
      <c r="C662" s="161"/>
      <c r="D662" s="161"/>
      <c r="E662" s="17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60" t="s">
        <v>249</v>
      </c>
      <c r="B675" s="161"/>
      <c r="C675" s="161"/>
      <c r="D675" s="161"/>
      <c r="E675" s="17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 x14ac:dyDescent="0.3">
      <c r="A676" s="162" t="s">
        <v>250</v>
      </c>
      <c r="B676" s="163"/>
      <c r="C676" s="163"/>
      <c r="D676" s="163"/>
      <c r="E676" s="17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60" t="s">
        <v>246</v>
      </c>
      <c r="B689" s="161"/>
      <c r="C689" s="161"/>
      <c r="D689" s="161"/>
      <c r="E689" s="17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60" t="s">
        <v>249</v>
      </c>
      <c r="B702" s="161"/>
      <c r="C702" s="161"/>
      <c r="D702" s="161"/>
      <c r="E702" s="17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 x14ac:dyDescent="0.3">
      <c r="A703" s="162" t="s">
        <v>250</v>
      </c>
      <c r="B703" s="163"/>
      <c r="C703" s="163"/>
      <c r="D703" s="163"/>
      <c r="E703" s="17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60" t="s">
        <v>246</v>
      </c>
      <c r="B716" s="161"/>
      <c r="C716" s="161"/>
      <c r="D716" s="161"/>
      <c r="E716" s="17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60" t="s">
        <v>249</v>
      </c>
      <c r="B729" s="161"/>
      <c r="C729" s="161"/>
      <c r="D729" s="161"/>
      <c r="E729" s="17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 x14ac:dyDescent="0.3">
      <c r="A730" s="162" t="s">
        <v>250</v>
      </c>
      <c r="B730" s="163"/>
      <c r="C730" s="163"/>
      <c r="D730" s="163"/>
      <c r="E730" s="17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60" t="s">
        <v>246</v>
      </c>
      <c r="B743" s="161"/>
      <c r="C743" s="161"/>
      <c r="D743" s="161"/>
      <c r="E743" s="17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60" t="s">
        <v>249</v>
      </c>
      <c r="B756" s="161"/>
      <c r="C756" s="161"/>
      <c r="D756" s="161"/>
      <c r="E756" s="17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 x14ac:dyDescent="0.3">
      <c r="A757" s="162" t="s">
        <v>250</v>
      </c>
      <c r="B757" s="163"/>
      <c r="C757" s="163"/>
      <c r="D757" s="163"/>
      <c r="E757" s="17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60" t="s">
        <v>246</v>
      </c>
      <c r="B770" s="161"/>
      <c r="C770" s="161"/>
      <c r="D770" s="161"/>
      <c r="E770" s="17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60" t="s">
        <v>249</v>
      </c>
      <c r="B783" s="161"/>
      <c r="C783" s="161"/>
      <c r="D783" s="161"/>
      <c r="E783" s="17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 x14ac:dyDescent="0.3">
      <c r="A784" s="162" t="s">
        <v>250</v>
      </c>
      <c r="B784" s="163"/>
      <c r="C784" s="163"/>
      <c r="D784" s="163"/>
      <c r="E784" s="17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60" t="s">
        <v>246</v>
      </c>
      <c r="B797" s="161"/>
      <c r="C797" s="161"/>
      <c r="D797" s="161"/>
      <c r="E797" s="17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60" t="s">
        <v>249</v>
      </c>
      <c r="B810" s="161"/>
      <c r="C810" s="161"/>
      <c r="D810" s="161"/>
      <c r="E810" s="17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 x14ac:dyDescent="0.3">
      <c r="A811" s="176" t="s">
        <v>250</v>
      </c>
      <c r="B811" s="177"/>
      <c r="C811" s="177"/>
      <c r="D811" s="177"/>
      <c r="E811" s="178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60" t="s">
        <v>246</v>
      </c>
      <c r="B824" s="161"/>
      <c r="C824" s="161"/>
      <c r="D824" s="161"/>
      <c r="E824" s="17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60" t="s">
        <v>249</v>
      </c>
      <c r="B837" s="161"/>
      <c r="C837" s="161"/>
      <c r="D837" s="161"/>
      <c r="E837" s="17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 x14ac:dyDescent="0.3">
      <c r="A838" s="162" t="s">
        <v>250</v>
      </c>
      <c r="B838" s="163"/>
      <c r="C838" s="163"/>
      <c r="D838" s="163"/>
      <c r="E838" s="17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5" activePane="bottomLeft" state="frozen"/>
      <selection sqref="A1:G409"/>
      <selection pane="bottomLeft" activeCell="P466" sqref="P466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 x14ac:dyDescent="0.3">
      <c r="A28" s="162" t="s">
        <v>250</v>
      </c>
      <c r="B28" s="163"/>
      <c r="C28" s="163"/>
      <c r="D28" s="163"/>
      <c r="E28" s="163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0.58525763888610527</v>
      </c>
      <c r="R53" s="46" t="s">
        <v>289</v>
      </c>
      <c r="S53" s="31"/>
    </row>
    <row r="54" spans="1:20" ht="15.75" customHeight="1" thickBot="1" x14ac:dyDescent="0.35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0.72414652777499411</v>
      </c>
      <c r="R54" s="36" t="s">
        <v>247</v>
      </c>
      <c r="S54" s="75">
        <v>352430</v>
      </c>
      <c r="T54" s="117"/>
    </row>
    <row r="55" spans="1:20" ht="18" customHeight="1" x14ac:dyDescent="0.3">
      <c r="A55" s="162" t="s">
        <v>250</v>
      </c>
      <c r="B55" s="163"/>
      <c r="C55" s="163"/>
      <c r="D55" s="163"/>
      <c r="E55" s="163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0.80886874999721647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 x14ac:dyDescent="0.3">
      <c r="A82" s="162" t="s">
        <v>250</v>
      </c>
      <c r="B82" s="163"/>
      <c r="C82" s="163"/>
      <c r="D82" s="163"/>
      <c r="E82" s="163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 x14ac:dyDescent="0.3">
      <c r="A109" s="162" t="s">
        <v>250</v>
      </c>
      <c r="B109" s="163"/>
      <c r="C109" s="163"/>
      <c r="D109" s="163"/>
      <c r="E109" s="163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 x14ac:dyDescent="0.3">
      <c r="A136" s="162" t="s">
        <v>250</v>
      </c>
      <c r="B136" s="163"/>
      <c r="C136" s="163"/>
      <c r="D136" s="163"/>
      <c r="E136" s="163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 x14ac:dyDescent="0.3">
      <c r="A163" s="162" t="s">
        <v>250</v>
      </c>
      <c r="B163" s="163"/>
      <c r="C163" s="163"/>
      <c r="D163" s="163"/>
      <c r="E163" s="163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 x14ac:dyDescent="0.3">
      <c r="A190" s="162" t="s">
        <v>250</v>
      </c>
      <c r="B190" s="163"/>
      <c r="C190" s="163"/>
      <c r="D190" s="163"/>
      <c r="E190" s="163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 x14ac:dyDescent="0.3">
      <c r="A217" s="162" t="s">
        <v>250</v>
      </c>
      <c r="B217" s="163"/>
      <c r="C217" s="163"/>
      <c r="D217" s="163"/>
      <c r="E217" s="163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64" t="s">
        <v>246</v>
      </c>
      <c r="B230" s="165"/>
      <c r="C230" s="165"/>
      <c r="D230" s="165"/>
      <c r="E230" s="165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 x14ac:dyDescent="0.3">
      <c r="A244" s="162" t="s">
        <v>250</v>
      </c>
      <c r="B244" s="163"/>
      <c r="C244" s="163"/>
      <c r="D244" s="163"/>
      <c r="E244" s="163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 x14ac:dyDescent="0.3">
      <c r="A271" s="162" t="s">
        <v>250</v>
      </c>
      <c r="B271" s="163"/>
      <c r="C271" s="163"/>
      <c r="D271" s="163"/>
      <c r="E271" s="163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 x14ac:dyDescent="0.3">
      <c r="A298" s="162" t="s">
        <v>250</v>
      </c>
      <c r="B298" s="163"/>
      <c r="C298" s="163"/>
      <c r="D298" s="163"/>
      <c r="E298" s="163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2" t="s">
        <v>250</v>
      </c>
      <c r="B325" s="163"/>
      <c r="C325" s="163"/>
      <c r="D325" s="163"/>
      <c r="E325" s="163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2" t="s">
        <v>250</v>
      </c>
      <c r="B352" s="163"/>
      <c r="C352" s="163"/>
      <c r="D352" s="163"/>
      <c r="E352" s="163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2" t="s">
        <v>250</v>
      </c>
      <c r="B379" s="163"/>
      <c r="C379" s="163"/>
      <c r="D379" s="163"/>
      <c r="E379" s="163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2" t="s">
        <v>250</v>
      </c>
      <c r="B406" s="163"/>
      <c r="C406" s="163"/>
      <c r="D406" s="163"/>
      <c r="E406" s="163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2" t="s">
        <v>250</v>
      </c>
      <c r="B460" s="163"/>
      <c r="C460" s="163"/>
      <c r="D460" s="163"/>
      <c r="E460" s="163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 x14ac:dyDescent="0.3">
      <c r="A487" s="162" t="s">
        <v>250</v>
      </c>
      <c r="B487" s="163"/>
      <c r="C487" s="163"/>
      <c r="D487" s="163"/>
      <c r="E487" s="163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 x14ac:dyDescent="0.3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 x14ac:dyDescent="0.3">
      <c r="A541" s="162" t="s">
        <v>250</v>
      </c>
      <c r="B541" s="163"/>
      <c r="C541" s="163"/>
      <c r="D541" s="163"/>
      <c r="E541" s="163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 x14ac:dyDescent="0.3">
      <c r="A568" s="162" t="s">
        <v>250</v>
      </c>
      <c r="B568" s="163"/>
      <c r="C568" s="163"/>
      <c r="D568" s="163"/>
      <c r="E568" s="163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 x14ac:dyDescent="0.3">
      <c r="A595" s="162" t="s">
        <v>250</v>
      </c>
      <c r="B595" s="163"/>
      <c r="C595" s="163"/>
      <c r="D595" s="163"/>
      <c r="E595" s="163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 x14ac:dyDescent="0.3">
      <c r="A622" s="162" t="s">
        <v>250</v>
      </c>
      <c r="B622" s="163"/>
      <c r="C622" s="163"/>
      <c r="D622" s="163"/>
      <c r="E622" s="163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 x14ac:dyDescent="0.3">
      <c r="A649" s="162" t="s">
        <v>250</v>
      </c>
      <c r="B649" s="163"/>
      <c r="C649" s="163"/>
      <c r="D649" s="163"/>
      <c r="E649" s="163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 x14ac:dyDescent="0.3">
      <c r="A676" s="162" t="s">
        <v>250</v>
      </c>
      <c r="B676" s="163"/>
      <c r="C676" s="163"/>
      <c r="D676" s="163"/>
      <c r="E676" s="163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 x14ac:dyDescent="0.3">
      <c r="A703" s="162" t="s">
        <v>250</v>
      </c>
      <c r="B703" s="163"/>
      <c r="C703" s="163"/>
      <c r="D703" s="163"/>
      <c r="E703" s="163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 x14ac:dyDescent="0.3">
      <c r="A730" s="162" t="s">
        <v>250</v>
      </c>
      <c r="B730" s="163"/>
      <c r="C730" s="163"/>
      <c r="D730" s="163"/>
      <c r="E730" s="163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2" t="s">
        <v>250</v>
      </c>
      <c r="B757" s="163"/>
      <c r="C757" s="163"/>
      <c r="D757" s="163"/>
      <c r="E757" s="163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2" t="s">
        <v>250</v>
      </c>
      <c r="B784" s="163"/>
      <c r="C784" s="163"/>
      <c r="D784" s="163"/>
      <c r="E784" s="163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2" t="s">
        <v>250</v>
      </c>
      <c r="B811" s="163"/>
      <c r="C811" s="163"/>
      <c r="D811" s="163"/>
      <c r="E811" s="163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 x14ac:dyDescent="0.3">
      <c r="A838" s="162" t="s">
        <v>250</v>
      </c>
      <c r="B838" s="163"/>
      <c r="C838" s="163"/>
      <c r="D838" s="163"/>
      <c r="E838" s="163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 x14ac:dyDescent="0.3">
      <c r="A28" s="162" t="s">
        <v>250</v>
      </c>
      <c r="B28" s="163"/>
      <c r="C28" s="163"/>
      <c r="D28" s="163"/>
      <c r="E28" s="163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 x14ac:dyDescent="0.3">
      <c r="A55" s="162" t="s">
        <v>250</v>
      </c>
      <c r="B55" s="163"/>
      <c r="C55" s="163"/>
      <c r="D55" s="163"/>
      <c r="E55" s="163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 x14ac:dyDescent="0.3">
      <c r="A82" s="162" t="s">
        <v>250</v>
      </c>
      <c r="B82" s="163"/>
      <c r="C82" s="163"/>
      <c r="D82" s="163"/>
      <c r="E82" s="163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 x14ac:dyDescent="0.3">
      <c r="A109" s="162" t="s">
        <v>250</v>
      </c>
      <c r="B109" s="163"/>
      <c r="C109" s="163"/>
      <c r="D109" s="163"/>
      <c r="E109" s="163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 x14ac:dyDescent="0.3">
      <c r="A136" s="162" t="s">
        <v>250</v>
      </c>
      <c r="B136" s="163"/>
      <c r="C136" s="163"/>
      <c r="D136" s="163"/>
      <c r="E136" s="163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 x14ac:dyDescent="0.3">
      <c r="A163" s="162" t="s">
        <v>250</v>
      </c>
      <c r="B163" s="163"/>
      <c r="C163" s="163"/>
      <c r="D163" s="163"/>
      <c r="E163" s="163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 x14ac:dyDescent="0.3">
      <c r="A190" s="162" t="s">
        <v>250</v>
      </c>
      <c r="B190" s="163"/>
      <c r="C190" s="163"/>
      <c r="D190" s="163"/>
      <c r="E190" s="163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 x14ac:dyDescent="0.3">
      <c r="A217" s="162" t="s">
        <v>250</v>
      </c>
      <c r="B217" s="163"/>
      <c r="C217" s="163"/>
      <c r="D217" s="163"/>
      <c r="E217" s="163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 x14ac:dyDescent="0.3">
      <c r="A244" s="162" t="s">
        <v>250</v>
      </c>
      <c r="B244" s="163"/>
      <c r="C244" s="163"/>
      <c r="D244" s="163"/>
      <c r="E244" s="163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 x14ac:dyDescent="0.3">
      <c r="A271" s="162" t="s">
        <v>250</v>
      </c>
      <c r="B271" s="163"/>
      <c r="C271" s="163"/>
      <c r="D271" s="163"/>
      <c r="E271" s="163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 x14ac:dyDescent="0.3">
      <c r="A298" s="162" t="s">
        <v>250</v>
      </c>
      <c r="B298" s="163"/>
      <c r="C298" s="163"/>
      <c r="D298" s="163"/>
      <c r="E298" s="163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2" t="s">
        <v>250</v>
      </c>
      <c r="B325" s="163"/>
      <c r="C325" s="163"/>
      <c r="D325" s="163"/>
      <c r="E325" s="163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2" t="s">
        <v>250</v>
      </c>
      <c r="B352" s="163"/>
      <c r="C352" s="163"/>
      <c r="D352" s="163"/>
      <c r="E352" s="163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2" t="s">
        <v>250</v>
      </c>
      <c r="B379" s="163"/>
      <c r="C379" s="163"/>
      <c r="D379" s="163"/>
      <c r="E379" s="163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2" t="s">
        <v>250</v>
      </c>
      <c r="B406" s="163"/>
      <c r="C406" s="163"/>
      <c r="D406" s="163"/>
      <c r="E406" s="163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2" t="s">
        <v>250</v>
      </c>
      <c r="B433" s="163"/>
      <c r="C433" s="163"/>
      <c r="D433" s="163"/>
      <c r="E433" s="163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2" t="s">
        <v>250</v>
      </c>
      <c r="B460" s="163"/>
      <c r="C460" s="163"/>
      <c r="D460" s="163"/>
      <c r="E460" s="163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 x14ac:dyDescent="0.3">
      <c r="A487" s="162" t="s">
        <v>250</v>
      </c>
      <c r="B487" s="163"/>
      <c r="C487" s="163"/>
      <c r="D487" s="163"/>
      <c r="E487" s="163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 x14ac:dyDescent="0.3">
      <c r="A514" s="162" t="s">
        <v>250</v>
      </c>
      <c r="B514" s="163"/>
      <c r="C514" s="163"/>
      <c r="D514" s="163"/>
      <c r="E514" s="163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 x14ac:dyDescent="0.3">
      <c r="A541" s="162" t="s">
        <v>250</v>
      </c>
      <c r="B541" s="163"/>
      <c r="C541" s="163"/>
      <c r="D541" s="163"/>
      <c r="E541" s="163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 x14ac:dyDescent="0.3">
      <c r="A568" s="162" t="s">
        <v>250</v>
      </c>
      <c r="B568" s="163"/>
      <c r="C568" s="163"/>
      <c r="D568" s="163"/>
      <c r="E568" s="163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 x14ac:dyDescent="0.3">
      <c r="A595" s="162" t="s">
        <v>250</v>
      </c>
      <c r="B595" s="163"/>
      <c r="C595" s="163"/>
      <c r="D595" s="163"/>
      <c r="E595" s="163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 x14ac:dyDescent="0.3">
      <c r="A622" s="162" t="s">
        <v>250</v>
      </c>
      <c r="B622" s="163"/>
      <c r="C622" s="163"/>
      <c r="D622" s="163"/>
      <c r="E622" s="163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 x14ac:dyDescent="0.3">
      <c r="A649" s="162" t="s">
        <v>250</v>
      </c>
      <c r="B649" s="163"/>
      <c r="C649" s="163"/>
      <c r="D649" s="163"/>
      <c r="E649" s="163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 x14ac:dyDescent="0.3">
      <c r="A676" s="162" t="s">
        <v>250</v>
      </c>
      <c r="B676" s="163"/>
      <c r="C676" s="163"/>
      <c r="D676" s="163"/>
      <c r="E676" s="163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 x14ac:dyDescent="0.3">
      <c r="A703" s="162" t="s">
        <v>250</v>
      </c>
      <c r="B703" s="163"/>
      <c r="C703" s="163"/>
      <c r="D703" s="163"/>
      <c r="E703" s="163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 x14ac:dyDescent="0.3">
      <c r="A730" s="162" t="s">
        <v>250</v>
      </c>
      <c r="B730" s="163"/>
      <c r="C730" s="163"/>
      <c r="D730" s="163"/>
      <c r="E730" s="163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2" t="s">
        <v>250</v>
      </c>
      <c r="B757" s="163"/>
      <c r="C757" s="163"/>
      <c r="D757" s="163"/>
      <c r="E757" s="163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2" t="s">
        <v>250</v>
      </c>
      <c r="B784" s="163"/>
      <c r="C784" s="163"/>
      <c r="D784" s="163"/>
      <c r="E784" s="163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2" t="s">
        <v>250</v>
      </c>
      <c r="B811" s="163"/>
      <c r="C811" s="163"/>
      <c r="D811" s="163"/>
      <c r="E811" s="163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 x14ac:dyDescent="0.3">
      <c r="A838" s="162" t="s">
        <v>250</v>
      </c>
      <c r="B838" s="163"/>
      <c r="C838" s="163"/>
      <c r="D838" s="163"/>
      <c r="E838" s="163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 x14ac:dyDescent="0.3">
      <c r="A28" s="162" t="s">
        <v>250</v>
      </c>
      <c r="B28" s="163"/>
      <c r="C28" s="163"/>
      <c r="D28" s="163"/>
      <c r="E28" s="163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 x14ac:dyDescent="0.3">
      <c r="A55" s="162" t="s">
        <v>250</v>
      </c>
      <c r="B55" s="163"/>
      <c r="C55" s="163"/>
      <c r="D55" s="163"/>
      <c r="E55" s="163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 x14ac:dyDescent="0.3">
      <c r="A82" s="162" t="s">
        <v>250</v>
      </c>
      <c r="B82" s="163"/>
      <c r="C82" s="163"/>
      <c r="D82" s="163"/>
      <c r="E82" s="163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 x14ac:dyDescent="0.3">
      <c r="A109" s="162" t="s">
        <v>250</v>
      </c>
      <c r="B109" s="163"/>
      <c r="C109" s="163"/>
      <c r="D109" s="163"/>
      <c r="E109" s="163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 x14ac:dyDescent="0.3">
      <c r="A136" s="162" t="s">
        <v>250</v>
      </c>
      <c r="B136" s="163"/>
      <c r="C136" s="163"/>
      <c r="D136" s="163"/>
      <c r="E136" s="163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 x14ac:dyDescent="0.3">
      <c r="A163" s="162" t="s">
        <v>250</v>
      </c>
      <c r="B163" s="163"/>
      <c r="C163" s="163"/>
      <c r="D163" s="163"/>
      <c r="E163" s="163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 x14ac:dyDescent="0.3">
      <c r="A190" s="162" t="s">
        <v>250</v>
      </c>
      <c r="B190" s="163"/>
      <c r="C190" s="163"/>
      <c r="D190" s="163"/>
      <c r="E190" s="163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 x14ac:dyDescent="0.3">
      <c r="A217" s="162" t="s">
        <v>250</v>
      </c>
      <c r="B217" s="163"/>
      <c r="C217" s="163"/>
      <c r="D217" s="163"/>
      <c r="E217" s="163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 x14ac:dyDescent="0.3">
      <c r="A244" s="162" t="s">
        <v>250</v>
      </c>
      <c r="B244" s="163"/>
      <c r="C244" s="163"/>
      <c r="D244" s="163"/>
      <c r="E244" s="163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 x14ac:dyDescent="0.3">
      <c r="A271" s="162" t="s">
        <v>250</v>
      </c>
      <c r="B271" s="163"/>
      <c r="C271" s="163"/>
      <c r="D271" s="163"/>
      <c r="E271" s="163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 x14ac:dyDescent="0.3">
      <c r="A298" s="162" t="s">
        <v>250</v>
      </c>
      <c r="B298" s="163"/>
      <c r="C298" s="163"/>
      <c r="D298" s="163"/>
      <c r="E298" s="163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2" t="s">
        <v>250</v>
      </c>
      <c r="B325" s="163"/>
      <c r="C325" s="163"/>
      <c r="D325" s="163"/>
      <c r="E325" s="163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2" t="s">
        <v>250</v>
      </c>
      <c r="B352" s="163"/>
      <c r="C352" s="163"/>
      <c r="D352" s="163"/>
      <c r="E352" s="163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2" t="s">
        <v>250</v>
      </c>
      <c r="B379" s="163"/>
      <c r="C379" s="163"/>
      <c r="D379" s="163"/>
      <c r="E379" s="163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2" t="s">
        <v>250</v>
      </c>
      <c r="B406" s="163"/>
      <c r="C406" s="163"/>
      <c r="D406" s="163"/>
      <c r="E406" s="163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2" t="s">
        <v>250</v>
      </c>
      <c r="B433" s="163"/>
      <c r="C433" s="163"/>
      <c r="D433" s="163"/>
      <c r="E433" s="163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2" t="s">
        <v>250</v>
      </c>
      <c r="B460" s="163"/>
      <c r="C460" s="163"/>
      <c r="D460" s="163"/>
      <c r="E460" s="163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5">IFERROR(IF($H461="","",$H461*$F461*$I461),"")</f>
        <v>0</v>
      </c>
      <c r="K461" s="34">
        <f t="shared" ref="K461:K472" si="116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7">IFERROR(IF(O461="","",IF(P461="",MOD(NOW()-O461,1),IF(P461&gt;=O461,P461-O461,P461+1-O461))),"")</f>
        <v>0.24027777777777776</v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5"/>
        <v>0</v>
      </c>
      <c r="K462" s="28">
        <f t="shared" si="116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7"/>
        <v>2.1527777777777701E-2</v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5"/>
        <v>0</v>
      </c>
      <c r="K463" s="34">
        <f t="shared" si="116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7"/>
        <v>6.2499999999999778E-3</v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5"/>
        <v>0</v>
      </c>
      <c r="K464" s="28">
        <f t="shared" si="116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7"/>
        <v>9.0277777777777457E-3</v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5"/>
        <v>0</v>
      </c>
      <c r="K465" s="34">
        <f t="shared" si="116"/>
        <v>33.6</v>
      </c>
      <c r="L465" s="33"/>
      <c r="M465" s="33"/>
      <c r="N465" s="33"/>
      <c r="O465" s="29"/>
      <c r="P465" s="29"/>
      <c r="Q465" s="35" t="str">
        <f t="shared" ca="1" si="117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5"/>
        <v>0</v>
      </c>
      <c r="K466" s="28">
        <f t="shared" si="116"/>
        <v>37.800000000000004</v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5"/>
        <v>0</v>
      </c>
      <c r="K467" s="34">
        <f t="shared" si="116"/>
        <v>42</v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5"/>
        <v>0</v>
      </c>
      <c r="K468" s="28">
        <f t="shared" si="116"/>
        <v>100.80000000000001</v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5"/>
        <v>0</v>
      </c>
      <c r="K469" s="34">
        <f t="shared" si="116"/>
        <v>67.2</v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0.27708333333333318</v>
      </c>
      <c r="R473" s="36" t="s">
        <v>247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 x14ac:dyDescent="0.3">
      <c r="A487" s="162" t="s">
        <v>250</v>
      </c>
      <c r="B487" s="163"/>
      <c r="C487" s="163"/>
      <c r="D487" s="163"/>
      <c r="E487" s="163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0.27708333333333318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 x14ac:dyDescent="0.3">
      <c r="A514" s="162" t="s">
        <v>250</v>
      </c>
      <c r="B514" s="163"/>
      <c r="C514" s="163"/>
      <c r="D514" s="163"/>
      <c r="E514" s="163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 x14ac:dyDescent="0.3">
      <c r="A541" s="162" t="s">
        <v>250</v>
      </c>
      <c r="B541" s="163"/>
      <c r="C541" s="163"/>
      <c r="D541" s="163"/>
      <c r="E541" s="163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 x14ac:dyDescent="0.3">
      <c r="A568" s="162" t="s">
        <v>250</v>
      </c>
      <c r="B568" s="163"/>
      <c r="C568" s="163"/>
      <c r="D568" s="163"/>
      <c r="E568" s="163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 x14ac:dyDescent="0.3">
      <c r="A595" s="162" t="s">
        <v>250</v>
      </c>
      <c r="B595" s="163"/>
      <c r="C595" s="163"/>
      <c r="D595" s="163"/>
      <c r="E595" s="163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 x14ac:dyDescent="0.3">
      <c r="A622" s="162" t="s">
        <v>250</v>
      </c>
      <c r="B622" s="163"/>
      <c r="C622" s="163"/>
      <c r="D622" s="163"/>
      <c r="E622" s="163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 x14ac:dyDescent="0.3">
      <c r="A649" s="162" t="s">
        <v>250</v>
      </c>
      <c r="B649" s="163"/>
      <c r="C649" s="163"/>
      <c r="D649" s="163"/>
      <c r="E649" s="163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 x14ac:dyDescent="0.3">
      <c r="A676" s="162" t="s">
        <v>250</v>
      </c>
      <c r="B676" s="163"/>
      <c r="C676" s="163"/>
      <c r="D676" s="163"/>
      <c r="E676" s="163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 x14ac:dyDescent="0.3">
      <c r="A703" s="162" t="s">
        <v>250</v>
      </c>
      <c r="B703" s="163"/>
      <c r="C703" s="163"/>
      <c r="D703" s="163"/>
      <c r="E703" s="163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 x14ac:dyDescent="0.3">
      <c r="A730" s="162" t="s">
        <v>250</v>
      </c>
      <c r="B730" s="163"/>
      <c r="C730" s="163"/>
      <c r="D730" s="163"/>
      <c r="E730" s="163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2" t="s">
        <v>250</v>
      </c>
      <c r="B757" s="163"/>
      <c r="C757" s="163"/>
      <c r="D757" s="163"/>
      <c r="E757" s="163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2" t="s">
        <v>250</v>
      </c>
      <c r="B784" s="163"/>
      <c r="C784" s="163"/>
      <c r="D784" s="163"/>
      <c r="E784" s="163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2" t="s">
        <v>250</v>
      </c>
      <c r="B811" s="163"/>
      <c r="C811" s="163"/>
      <c r="D811" s="163"/>
      <c r="E811" s="163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 x14ac:dyDescent="0.3">
      <c r="A838" s="162" t="s">
        <v>250</v>
      </c>
      <c r="B838" s="163"/>
      <c r="C838" s="163"/>
      <c r="D838" s="163"/>
      <c r="E838" s="163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2026-08-18T20:58:37Z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