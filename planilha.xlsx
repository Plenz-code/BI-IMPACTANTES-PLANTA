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60" documentId="8_{C51EB6CB-002B-4D6B-B68F-DDEBDB4460C0}" xr6:coauthVersionLast="47" xr6:coauthVersionMax="47" xr10:uidLastSave="{8C11BBDF-76D8-461F-B41E-27127525E381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81" i="4" l="1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757" i="4" l="1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<sst xmlns="http://schemas.openxmlformats.org/spreadsheetml/2006/main" count="1621" uniqueCount="253">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</sst>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J34" sqref="J34:J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253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" activePane="bottomLeft" state="frozen"/>
      <selection pane="bottomLeft" activeCell="K33" sqref="K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 t="s">
        <v>19</v>
      </c>
      <c r="I32" s="26" t="s">
        <v>31</v>
      </c>
      <c r="J32" s="26" t="s">
        <v>27</v>
      </c>
      <c r="K32" s="29">
        <v>0.70138888888888884</v>
      </c>
      <c r="L32" s="29"/>
      <c r="M32" s="30">
        <f t="shared" ca="1" si="7"/>
        <v>2.0000462958705612E-2</v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58</v>
      </c>
      <c r="G41" s="36">
        <f>SUM(G29:G40)</f>
        <v>230.99999999999997</v>
      </c>
      <c r="H41" s="37"/>
      <c r="I41" s="37"/>
      <c r="J41" s="37"/>
      <c r="K41" s="37"/>
      <c r="L41" s="37"/>
      <c r="M41" s="38">
        <f ca="1">IFERROR(SUM(M29:M40),"")</f>
        <v>0.10472268518092794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58</v>
      </c>
      <c r="G55" s="40">
        <f>G41+G54</f>
        <v>230.99999999999997</v>
      </c>
      <c r="H55" s="41"/>
      <c r="I55" s="41"/>
      <c r="J55" s="41"/>
      <c r="K55" s="41"/>
      <c r="L55" s="41"/>
      <c r="M55" s="42">
        <f ca="1">IFERROR(M41+M54,"")</f>
        <v>0.10472268518092794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32:J32" xr:uid="{2F3E75C2-1C6D-4C6E-A1C4-D24694F9558E}">
      <formula1>INDIRECT("Desc_"&amp;SUBSTITUTE(SUBSTITUTE(SUBSTITUTE(SUBSTITUTE(SUBSTITUTE(SUBSTITUTE(SUBSTITUTE(SUBSTITUTE(SUBSTITUTE(SUBSTITUTE(H32,"é","e"),"ê","e"),"ã","a"),"ç","c"),"â","a"),"í","i"),"á","a"),"ó","o"),"ú","u"),"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I32:J32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37" sqref="F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55</v>
      </c>
      <c r="G41" s="36">
        <f>SUM(G29:G40)</f>
        <v>231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55</v>
      </c>
      <c r="G55" s="40">
        <f>G41+G54</f>
        <v>231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38" sqref="F3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116</v>
      </c>
      <c r="G41" s="36">
        <f>SUM(G29:G40)</f>
        <v>487.20000000000005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116</v>
      </c>
      <c r="G55" s="40">
        <f>G41+G54</f>
        <v>487.20000000000005</v>
      </c>
      <c r="H55" s="41"/>
      <c r="I55" s="41"/>
      <c r="J55" s="41"/>
      <c r="K55" s="63"/>
      <c r="L55" s="63"/>
      <c r="M55" s="42">
        <f ca="1">IFERROR(M41+M54,"")</f>
        <v>1.1111111111111072E-2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2026-08-02T21:18:51Z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