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28" documentId="8_{AF585B22-221D-4780-BB9C-493D365A6A02}" xr6:coauthVersionLast="47" xr6:coauthVersionMax="47" xr10:uidLastSave="{3ED4DE2C-2A4D-4FE9-80CC-CD5509BEACDE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<sst xmlns="http://schemas.openxmlformats.org/spreadsheetml/2006/main" count="2941" uniqueCount="251">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</sst>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563870</v>
      </c>
      <c r="E9" s="11">
        <f>IFERROR('Linha 2'!O163,"")</f>
        <v>392960</v>
      </c>
      <c r="F9" s="11">
        <f>IFERROR('Linha 3'!O163,"")</f>
        <v>770760</v>
      </c>
      <c r="G9" s="12">
        <f t="shared" si="0"/>
        <v>1727590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12463770</v>
      </c>
      <c r="D35" s="13">
        <f>IFERROR(SUM(D4:D34),"")</f>
        <v>6328720</v>
      </c>
      <c r="E35" s="13">
        <f>IFERROR(SUM(E4:E34),"")</f>
        <v>3171550</v>
      </c>
      <c r="F35" s="13">
        <f>IFERROR(SUM(F4:F34),"")</f>
        <v>5746690</v>
      </c>
      <c r="G35" s="13">
        <f>IFERROR(SUM(G4:G34),"")</f>
        <v>15246960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F149" sqref="F14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79</v>
      </c>
      <c r="G163" s="40">
        <f>G149+G162</f>
        <v>395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O150" sqref="O1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563870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95</v>
      </c>
      <c r="G163" s="40">
        <f>G149+G162</f>
        <v>475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563870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O150" sqref="O1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392960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118</v>
      </c>
      <c r="G163" s="40">
        <f>G149+G162</f>
        <v>590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392960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3" activePane="bottomLeft" state="frozen"/>
      <selection pane="bottomLeft" activeCell="O150" sqref="O15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0.52897395833861083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0.72827951389416645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1.0956406250052775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770760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221</v>
      </c>
      <c r="G163" s="40">
        <f>G149+G162</f>
        <v>1105</v>
      </c>
      <c r="H163" s="41"/>
      <c r="I163" s="41"/>
      <c r="J163" s="41"/>
      <c r="K163" s="63"/>
      <c r="L163" s="63"/>
      <c r="M163" s="42">
        <f ca="1">IFERROR(M149+M162,"")</f>
        <v>6.5277777777777823E-2</v>
      </c>
      <c r="N163" s="40" t="s">
        <v>209</v>
      </c>
      <c r="O163" s="43">
        <f>IFERROR(O149+O162,"")</f>
        <v>770760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2026-07-06T22:41:18Z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