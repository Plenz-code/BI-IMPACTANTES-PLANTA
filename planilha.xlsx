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13" documentId="8_{1D11E9C4-FEA4-4128-910F-91CB6BBF9255}" xr6:coauthVersionLast="47" xr6:coauthVersionMax="47" xr10:uidLastSave="{37634863-70F1-49B2-926D-854CA64BB4FC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<sst xmlns="http://schemas.openxmlformats.org/spreadsheetml/2006/main" count="8310" uniqueCount="375">
  <si>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</si>
  <si>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</si>
  <si>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</si>
  <si>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</si>
  <si>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</si>
  <si>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</si>
  <si>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</si>
  <si>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</si>
  <si>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</si>
  <si>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</si>
  <si>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</si>
  <si>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</si>
  <si>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</si>
  <si>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</si>
  <si>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</si>
  <si>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</si>
  <si>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</si>
  <si>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</si>
  <si>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</si>
  <si>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</si>
  <si>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</si>
  <si>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</si>
  <si>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</si>
  <si>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</si>
  <si>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</si>
  <si>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</si>
  <si>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</si>
  <si>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</si>
  <si>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</si>
  <si>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</si>
  <si>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</si>
  <si>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</si>
  <si>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</si>
  <si>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</si>
  <si>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</si>
  <si>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</si>
  <si>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</si>
  <si>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</si>
  <si>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</si>
  <si>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</si>
  <si>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</si>
  <si>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</si>
  <si>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</si>
  <si>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</si>
  <si>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</si>
  <si>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</si>
  <si>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</si>
  <si>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</si>
  <si>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</si>
  <si>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</si>
  <si>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</si>
  <si>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</si>
  <si>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</si>
  <si>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</si>
  <si>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</si>
  <si>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</si>
  <si>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</si>
  <si>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</si>
  <si>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</si>
  <si>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</si>
  <si>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</si>
  <si>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</si>
  <si>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</si>
  <si>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</si>
  <si>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</si>
  <si>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</si>
  <si>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</si>
  <si>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</si>
  <si>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</si>
  <si>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</si>
  <si>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</si>
  <si>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</si>
  <si>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</si>
  <si>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</si>
  <si>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</si>
  <si>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</si>
  <si>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</si>
  <si>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</si>
  <si>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</si>
  <si>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</si>
  <si>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</si>
  <si>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</si>
  <si>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</si>
  <si>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</si>
  <si>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</si>
  <si>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</si>
  <si>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</si>
  <si>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</si>
  <si>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</si>
  <si>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</si>
  <si>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</si>
  <si>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</si>
  <si>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</si>
  <si>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</si>
  <si>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</si>
  <si>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</si>
  <si>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</si>
  <si>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</si>
  <si>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</si>
  <si>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</si>
  <si>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</si>
  <si>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</si>
  <si>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</si>
  <si>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</si>
  <si>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</si>
  <si>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</si>
  <si>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</si>
  <si>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</si>
  <si>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</si>
  <si>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</si>
  <si>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</si>
  <si>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</si>
  <si>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</si>
  <si>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</si>
  <si>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</si>
  <si>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</si>
  <si>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</si>
  <si>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</si>
  <si>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</si>
  <si>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</si>
  <si>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</si>
  <si>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</si>
  <si>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</si>
  <si>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</si>
  <si>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</si>
  <si>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</si>
  <si>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</si>
  <si>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</si>
  <si>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</si>
  <si>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</si>
  <si>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</si>
  <si>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</si>
  <si>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</si>
  <si>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</si>
  <si>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</si>
  <si>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</si>
  <si>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</si>
  <si>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</si>
  <si>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</si>
  <si>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</si>
  <si>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</si>
  <si>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</si>
  <si>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</si>
  <si>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</si>
  <si>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</si>
  <si>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</si>
  <si>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</si>
  <si>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</si>
  <si>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</si>
  <si>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</si>
  <si>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</si>
  <si>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</si>
  <si>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</si>
  <si>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</si>
  <si>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</si>
  <si>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</si>
  <si>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</si>
  <si>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</si>
  <si>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</si>
  <si>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</si>
  <si>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</si>
  <si>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</si>
  <si>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</si>
  <si>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</si>
  <si>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</si>
  <si>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</si>
  <si>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</si>
  <si>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</si>
  <si>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</si>
  <si>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</si>
  <si>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</si>
  <si>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</si>
  <si>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</si>
  <si>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</si>
  <si>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</si>
  <si>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</si>
  <si>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</si>
  <si>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</si>
  <si>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</si>
  <si>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</si>
  <si>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</si>
  <si>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</si>
  <si>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</si>
  <si>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</si>
  <si>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</si>
  <si>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</si>
  <si>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</si>
  <si>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</si>
  <si>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</si>
  <si>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</si>
  <si>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</si>
  <si>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</si>
  <si>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</si>
  <si>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</si>
  <si>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</si>
  <si>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</si>
  <si>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</si>
  <si>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</si>
  <si>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</si>
  <si>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</si>
  <si>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</si>
  <si>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</si>
  <si>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</si>
  <si>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</si>
  <si>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</si>
  <si>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</si>
  <si>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</si>
  <si>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</si>
  <si>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</si>
  <si>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</si>
  <si>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</si>
  <si>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</si>
  <si>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</si>
  <si>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</si>
  <si>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</si>
  <si>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</si>
  <si>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</si>
  <si>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</si>
  <si>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</si>
  <si>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</si>
  <si>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</si>
  <si>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</si>
  <si>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</si>
  <si>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</si>
  <si>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</si>
  <si>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</si>
  <si>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</si>
  <si>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</si>
  <si>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</si>
  <si>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</si>
  <si>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</si>
  <si>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</si>
  <si>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</si>
  <si>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</si>
  <si>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</si>
  <si>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</si>
  <si>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</si>
  <si>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</si>
  <si>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</si>
  <si>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</si>
  <si>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</si>
  <si>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</si>
  <si>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</si>
  <si>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</si>
  <si>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</si>
  <si>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</si>
  <si>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</si>
  <si>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</si>
  <si>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</si>
  <si>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</si>
  <si>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</si>
  <si>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</si>
  <si>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</si>
  <si>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</si>
  <si>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</si>
  <si>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</si>
  <si>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</si>
  <si>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</si>
  <si>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</si>
  <si>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</si>
  <si>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</si>
  <si>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</si>
  <si>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</si>
  <si>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</si>
  <si>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</si>
  <si>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</si>
  <si>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</si>
  <si>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</si>
  <si>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</si>
  <si>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</si>
  <si>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</si>
  <si>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</si>
  <si>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</si>
  <si>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</si>
  <si>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</si>
  <si>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</si>
  <si>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</si>
  <si>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</si>
  <si>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</si>
  <si>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</si>
  <si>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</si>
  <si>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</si>
  <si>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</si>
  <si>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</si>
  <si>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</si>
  <si>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</si>
  <si>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</si>
  <si>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</si>
  <si>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</si>
  <si>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</si>
  <si>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</si>
  <si>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</si>
  <si>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</si>
  <si>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</si>
  <si>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</si>
  <si>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</si>
  <si>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</si>
  <si>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</si>
  <si>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</si>
  <si>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</si>
  <si>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</si>
  <si>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</si>
  <si>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</si>
  <si>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</si>
  <si>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caindo material no moinho 01, linha parada para trocar grelha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</si>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</sst>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7" sqref="E76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126</v>
      </c>
      <c r="F770" s="19">
        <f>SUM(F758:F769)</f>
        <v>630</v>
      </c>
      <c r="G770" s="18"/>
      <c r="H770" s="18"/>
      <c r="I770" s="18"/>
      <c r="J770" s="18"/>
      <c r="K770" s="18"/>
      <c r="L770" s="72">
        <f>IFERROR(SUM(L758:L769),"")</f>
        <v>0.14027777777777783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126</v>
      </c>
      <c r="F784" s="22">
        <f>F770+F783</f>
        <v>630</v>
      </c>
      <c r="G784" s="21"/>
      <c r="H784" s="21"/>
      <c r="I784" s="21"/>
      <c r="J784" s="21"/>
      <c r="K784" s="21"/>
      <c r="L784" s="73">
        <f>IFERROR(L770+L783,"")</f>
        <v>0.14027777777777783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1" zoomScale="85" zoomScaleNormal="85" workbookViewId="0">
      <selection activeCell="E768" sqref="E76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0"/>
      <c r="I759" s="10"/>
      <c r="J759" s="13"/>
      <c r="K759" s="13"/>
      <c r="L759" s="71" t="str">
        <f t="shared" si="170"/>
        <v/>
      </c>
      <c r="M759" s="29" t="s">
        <v>304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3</v>
      </c>
      <c r="F767" s="17">
        <f t="shared" si="169"/>
        <v>12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78</v>
      </c>
      <c r="F770" s="19">
        <f>SUM(F758:F769)</f>
        <v>312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78</v>
      </c>
      <c r="F784" s="22">
        <f>F770+F783</f>
        <v>312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8" sqref="E76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305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306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321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322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53</v>
      </c>
      <c r="F770" s="19">
        <f>SUM(F758:F769)</f>
        <v>212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53</v>
      </c>
      <c r="F784" s="22">
        <f>F770+F783</f>
        <v>212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8" sqref="E76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324</v>
      </c>
      <c r="I2" s="10" t="s">
        <v>325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324</v>
      </c>
      <c r="I3" s="16" t="s">
        <v>325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324</v>
      </c>
      <c r="I4" s="10" t="s">
        <v>325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324</v>
      </c>
      <c r="I5" s="16" t="s">
        <v>325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324</v>
      </c>
      <c r="I6" s="10" t="s">
        <v>325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324</v>
      </c>
      <c r="I7" s="16" t="s">
        <v>325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324</v>
      </c>
      <c r="I8" s="10" t="s">
        <v>325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324</v>
      </c>
      <c r="I9" s="16" t="s">
        <v>325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324</v>
      </c>
      <c r="I10" s="10" t="s">
        <v>325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324</v>
      </c>
      <c r="I11" s="16" t="s">
        <v>325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324</v>
      </c>
      <c r="I12" s="10" t="s">
        <v>325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324</v>
      </c>
      <c r="I13" s="16" t="s">
        <v>325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327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328</v>
      </c>
      <c r="I33" s="16" t="s">
        <v>329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330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330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321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322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12</v>
      </c>
      <c r="F767" s="17">
        <f t="shared" si="169"/>
        <v>48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145</v>
      </c>
      <c r="F770" s="19">
        <f>SUM(F758:F769)</f>
        <v>580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145</v>
      </c>
      <c r="F784" s="22">
        <f>F770+F783</f>
        <v>580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2026-06-29T20:47:05Z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