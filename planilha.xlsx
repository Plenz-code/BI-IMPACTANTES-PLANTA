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69" documentId="8_{AF585B22-221D-4780-BB9C-493D365A6A02}" xr6:coauthVersionLast="47" xr6:coauthVersionMax="47" xr10:uidLastSave="{91EDF635-C267-47C2-8DE9-7279F4FFACB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<sst xmlns="http://schemas.openxmlformats.org/spreadsheetml/2006/main" count="12367" uniqueCount="441">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</sst>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J812" sqref="J8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4.4069444447814021E-2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4.4069444447814021E-2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4.4069444447814021E-2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18" sqref="F8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0.30448611111205537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0.46212500000094425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0.57184722222316642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0.2829583333368646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0.45379166667019799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0.59893055555908692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/>
      <c r="M813" s="79">
        <f ca="1">IFERROR(IF(K813="","",IF(L813="",MOD(NOW()-K813,1),IF(L813&gt;=K813,L813-K813,L813+1-K813))),"")</f>
        <v>2.670833333831979E-2</v>
      </c>
      <c r="N813" s="105" t="s">
        <v>348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103</v>
      </c>
      <c r="G824" s="109">
        <f>SUM(G812:G823)</f>
        <v>432.6</v>
      </c>
      <c r="H824" s="37"/>
      <c r="I824" s="37"/>
      <c r="J824" s="37"/>
      <c r="K824" s="37"/>
      <c r="L824" s="37"/>
      <c r="M824" s="110">
        <f ca="1">IFERROR(SUM(M812:M823),"")</f>
        <v>4.4763888893875337E-2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103</v>
      </c>
      <c r="G838" s="111">
        <f>G824+G837</f>
        <v>432.6</v>
      </c>
      <c r="H838" s="41"/>
      <c r="I838" s="41"/>
      <c r="J838" s="41"/>
      <c r="K838" s="41"/>
      <c r="L838" s="41"/>
      <c r="M838" s="112">
        <f ca="1">IFERROR(M824+M837,"")</f>
        <v>4.4763888893875337E-2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8" sqref="F8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356</v>
      </c>
      <c r="N166" s="27" t="s">
        <v>357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382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62</v>
      </c>
      <c r="G824" s="109">
        <f>SUM(G812:G823)</f>
        <v>260.39999999999998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62</v>
      </c>
      <c r="G838" s="111">
        <f>G824+G837</f>
        <v>260.39999999999998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F818" sqref="F8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387</v>
      </c>
      <c r="L58" s="29">
        <v>0.54097222222222219</v>
      </c>
      <c r="M58" s="30" t="str">
        <f t="shared" ca="1" si="13"/>
        <v/>
      </c>
      <c r="N58" s="27" t="s">
        <v>388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0.2947638888945221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0.49406944445007772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0.86143055556118875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436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437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438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439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440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58</v>
      </c>
      <c r="G824" s="109">
        <f>SUM(G812:G823)</f>
        <v>243.60000000000002</v>
      </c>
      <c r="H824" s="37"/>
      <c r="I824" s="37"/>
      <c r="J824" s="37"/>
      <c r="K824" s="37"/>
      <c r="L824" s="37"/>
      <c r="M824" s="110">
        <f ca="1">IFERROR(SUM(M812:M823),"")</f>
        <v>7.0833333333333304E-2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58</v>
      </c>
      <c r="G838" s="111">
        <f>G824+G837</f>
        <v>243.60000000000002</v>
      </c>
      <c r="H838" s="41"/>
      <c r="I838" s="41"/>
      <c r="J838" s="41"/>
      <c r="K838" s="41"/>
      <c r="L838" s="41"/>
      <c r="M838" s="112">
        <f ca="1">IFERROR(M824+M837,"")</f>
        <v>7.0833333333333304E-2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2026-07-31T17:05:16Z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