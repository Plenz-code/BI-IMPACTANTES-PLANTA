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0" documentId="13_ncr:1_{A6DBCFB4-28D9-4249-9038-216934055CA6}" xr6:coauthVersionLast="47" xr6:coauthVersionMax="47" xr10:uidLastSave="{BAC7B77A-6838-4E85-9B66-F4B69F3F5336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<sst xmlns="http://schemas.openxmlformats.org/spreadsheetml/2006/main" count="8444" uniqueCount="395">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</sst>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7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3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4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98" sqref="F49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259</v>
      </c>
      <c r="F489" s="63">
        <v>0</v>
      </c>
      <c r="G489" s="69">
        <f t="shared" si="103"/>
        <v>0</v>
      </c>
      <c r="H489" s="70"/>
      <c r="I489" s="70"/>
      <c r="J489" s="70"/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259</v>
      </c>
      <c r="F491" s="63">
        <v>30</v>
      </c>
      <c r="G491" s="69">
        <f t="shared" si="103"/>
        <v>150</v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259</v>
      </c>
      <c r="F498" s="63"/>
      <c r="G498" s="64" t="str">
        <f t="shared" si="106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259</v>
      </c>
      <c r="F499" s="63"/>
      <c r="G499" s="69" t="str">
        <f t="shared" si="106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245</v>
      </c>
      <c r="G500" s="2">
        <f>SUM(G488:G499)</f>
        <v>1225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/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245</v>
      </c>
      <c r="G514" s="1">
        <f>G500+G513</f>
        <v>1225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H492:H900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I492:I900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68" activePane="bottomLeft" state="frozen"/>
      <selection pane="bottomLeft" activeCell="G499" sqref="G49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0.62776851851231186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0.76665740740119959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0.8513796296234224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2"/>
        <v>0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2"/>
        <v>0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0</v>
      </c>
      <c r="I498" s="90">
        <f>IFERROR(IF($D498="","",VLOOKUP($D498,Cadastro!$C$4:$G$7,5,FALSE())),"")</f>
        <v>0.6</v>
      </c>
      <c r="J498" s="91">
        <f t="shared" si="122"/>
        <v>0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127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542.20000000000005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127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542.20000000000005</v>
      </c>
      <c r="L514" s="76"/>
      <c r="M514" s="76"/>
      <c r="N514" s="76"/>
      <c r="O514" s="76"/>
      <c r="P514" s="76"/>
      <c r="Q514" s="77">
        <f ca="1">IFERROR(Q500+Q513,"")</f>
        <v>9.1666666666666619E-2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G499" sqref="G49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0"/>
        <v>0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0"/>
        <v>0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0"/>
        <v>0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0"/>
        <v>0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0"/>
        <v>0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0</v>
      </c>
      <c r="I498" s="90">
        <f>IFERROR(IF($D498="","",VLOOKUP($D498,Cadastro!$C$4:$G$7,5,FALSE())),"")</f>
        <v>0.6</v>
      </c>
      <c r="J498" s="91">
        <f t="shared" si="120"/>
        <v>0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65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277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65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277</v>
      </c>
      <c r="L514" s="76"/>
      <c r="M514" s="76"/>
      <c r="N514" s="76"/>
      <c r="O514" s="76"/>
      <c r="P514" s="76"/>
      <c r="Q514" s="77">
        <f ca="1">IFERROR(Q500+Q513,"")</f>
        <v>9.5833333333333437E-2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72" activePane="bottomLeft" state="frozen"/>
      <selection pane="bottomLeft" activeCell="G499" sqref="G49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2"/>
        <v>0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2"/>
        <v>0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0</v>
      </c>
      <c r="I498" s="90">
        <f>IFERROR(IF($D498="","",VLOOKUP($D498,Cadastro!$C$4:$G$7,5,FALSE())),"")</f>
        <v>0.6</v>
      </c>
      <c r="J498" s="91">
        <f t="shared" si="122"/>
        <v>0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190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803.6</v>
      </c>
      <c r="L500" s="72"/>
      <c r="M500" s="72"/>
      <c r="N500" s="72"/>
      <c r="O500" s="134"/>
      <c r="P500" s="134"/>
      <c r="Q500" s="73">
        <f ca="1">IFERROR(SUM(Q488:Q499),"")</f>
        <v>8.1944444444443765E-2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190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803.6</v>
      </c>
      <c r="L514" s="76"/>
      <c r="M514" s="76"/>
      <c r="N514" s="76"/>
      <c r="O514" s="135"/>
      <c r="P514" s="135"/>
      <c r="Q514" s="77">
        <f ca="1">IFERROR(Q500+Q513,"")</f>
        <v>8.1944444444443765E-2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2026-08-19T21:59:08Z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