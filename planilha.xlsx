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46" documentId="8_{AF585B22-221D-4780-BB9C-493D365A6A02}" xr6:coauthVersionLast="47" xr6:coauthVersionMax="47" xr10:uidLastSave="{4B248AB7-6958-4B8A-BF21-2214FBA55C8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<sst xmlns="http://schemas.openxmlformats.org/spreadsheetml/2006/main" count="3099" uniqueCount="251">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</sst>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E161" sqref="E1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53</v>
      </c>
      <c r="G162" s="36">
        <f>SUM(G150:G161)</f>
        <v>265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132</v>
      </c>
      <c r="G163" s="40">
        <f>G149+G162</f>
        <v>660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N151" sqref="N1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147</v>
      </c>
      <c r="K150" s="29">
        <v>0.93055555555555558</v>
      </c>
      <c r="L150" s="29"/>
      <c r="M150" s="30">
        <f t="shared" ref="M150:M161" ca="1" si="34">IFERROR(IF(K150="","",IF(L150="",MOD(NOW()-K150,1),IF(L150&gt;=K150,L150-K150,L150+1-K150))),"")</f>
        <v>4.6163194419932552E-3</v>
      </c>
      <c r="N150" s="46" t="s">
        <v>226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61</v>
      </c>
      <c r="G162" s="36">
        <f>SUM(G150:G161)</f>
        <v>282.60000000000002</v>
      </c>
      <c r="H162" s="37"/>
      <c r="I162" s="37"/>
      <c r="J162" s="37"/>
      <c r="K162" s="37"/>
      <c r="L162" s="37"/>
      <c r="M162" s="38">
        <f ca="1">IFERROR(SUM(M150:M161),"")</f>
        <v>4.6163194419932552E-3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156</v>
      </c>
      <c r="G163" s="40">
        <f>G149+G162</f>
        <v>757.6</v>
      </c>
      <c r="H163" s="41"/>
      <c r="I163" s="41"/>
      <c r="J163" s="41"/>
      <c r="K163" s="41"/>
      <c r="L163" s="41"/>
      <c r="M163" s="42">
        <f ca="1">IFERROR(M149+M162,"")</f>
        <v>0.21572743055310434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G156" sqref="G1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26</v>
      </c>
      <c r="G162" s="36">
        <f>SUM(G150:G161)</f>
        <v>123.6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144</v>
      </c>
      <c r="G163" s="40">
        <f>G149+G162</f>
        <v>713.6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E161" sqref="E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0.68586631944344845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0.88517187499900407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1.2525329861101151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48</v>
      </c>
      <c r="G162" s="36">
        <f>SUM(G150:G161)</f>
        <v>225.60000000000002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1330.6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2026-07-07T02:27:01Z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