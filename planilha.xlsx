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1" documentId="8_{C51EB6CB-002B-4D6B-B68F-DDEBDB4460C0}" xr6:coauthVersionLast="47" xr6:coauthVersionMax="47" xr10:uidLastSave="{F02920CD-7B65-461D-A121-69AC1BED63F0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<sst xmlns="http://schemas.openxmlformats.org/spreadsheetml/2006/main" count="1375" uniqueCount="240">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</sst>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" activePane="bottomLeft" state="frozen"/>
      <selection pane="bottomLeft" activeCell="E21" sqref="E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35</v>
      </c>
      <c r="G15" s="34">
        <f t="shared" ref="G15:G26" si="3">IF(F15="","",IF(E15="PC 17",F15*4.2,IF(E15="PC 19",F15*5,IF(E15="CB",F15*35,""))))</f>
        <v>175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35</v>
      </c>
      <c r="G27" s="36">
        <f>SUM(G15:G26)</f>
        <v>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231</v>
      </c>
      <c r="G28" s="40">
        <f>G14+G27</f>
        <v>1155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E26" sqref="E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N19" sqref="N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/>
      <c r="M18" s="30">
        <f t="shared" ca="1" si="4"/>
        <v>5.1760416608885862E-3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3.2259374994222045E-2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7.1148263883110963E-2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2026-08-02T00:01:29Z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