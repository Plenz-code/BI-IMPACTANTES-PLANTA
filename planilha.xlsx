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841" documentId="13_ncr:1_{A6DBCFB4-28D9-4249-9038-216934055CA6}" xr6:coauthVersionLast="47" xr6:coauthVersionMax="47" xr10:uidLastSave="{A3250512-A917-4730-B31A-424530C6B247}"/>
  <bookViews>
    <workbookView xWindow="-110" yWindow="-110" windowWidth="25820" windowHeight="15500" tabRatio="500" firstSheet="6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F557" i="6"/>
  <c r="Q556" i="6"/>
  <c r="Q567" i="6" s="1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61" i="6" l="1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<sst xmlns="http://schemas.openxmlformats.org/spreadsheetml/2006/main" count="9498" uniqueCount="418">
  <si>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</si>
  <si>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</si>
  <si>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</si>
  <si>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</si>
  <si>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</si>
  <si>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</si>
  <si>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</si>
  <si>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</si>
  <si>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</si>
  <si>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</si>
  <si>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</si>
  <si>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</si>
  <si>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</si>
  <si>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</si>
  <si>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</si>
  <si>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</si>
  <si>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</si>
  <si>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</si>
  <si>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</si>
  <si>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</si>
  <si>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</si>
  <si>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</si>
  <si>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</si>
  <si>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</si>
  <si>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</si>
  <si>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</si>
  <si>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</si>
  <si>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</si>
  <si>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</si>
  <si>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</si>
  <si>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</si>
  <si>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</si>
  <si>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</si>
  <si>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</si>
  <si>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</si>
  <si>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</si>
  <si>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</si>
  <si>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</si>
  <si>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</si>
  <si>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</si>
  <si>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</si>
  <si>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</si>
  <si>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</si>
  <si>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</si>
  <si>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</si>
  <si>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</si>
  <si>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</si>
  <si>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</si>
  <si>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</si>
  <si>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</si>
  <si>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</si>
  <si>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</si>
  <si>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</si>
  <si>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</si>
  <si>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</si>
  <si>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</si>
  <si>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</si>
  <si>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</si>
  <si>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</si>
  <si>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</si>
  <si>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</si>
  <si>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</si>
  <si>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</si>
  <si>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</si>
  <si>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</si>
  <si>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</si>
  <si>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</si>
  <si>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</si>
  <si>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</si>
  <si>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</si>
  <si>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</si>
  <si>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</si>
  <si>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</si>
  <si>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</si>
  <si>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</si>
  <si>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</si>
  <si>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</si>
  <si>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</si>
  <si>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</si>
  <si>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</si>
  <si>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</si>
  <si>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</si>
  <si>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</si>
  <si>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</si>
  <si>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</si>
  <si>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</si>
  <si>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</si>
  <si>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</si>
  <si>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</si>
  <si>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</si>
  <si>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</si>
  <si>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</si>
  <si>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</si>
  <si>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</si>
  <si>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</si>
  <si>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</si>
  <si>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</si>
  <si>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</si>
  <si>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</si>
  <si>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</si>
  <si>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</si>
  <si>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</si>
  <si>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</si>
  <si>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</si>
  <si>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</si>
  <si>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</si>
  <si>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</si>
  <si>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</si>
  <si>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</si>
  <si>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</si>
  <si>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</si>
  <si>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</si>
  <si>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</si>
  <si>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</si>
  <si>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</si>
  <si>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</si>
  <si>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</si>
  <si>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</si>
  <si>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</si>
  <si>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</si>
  <si>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</si>
  <si>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</si>
  <si>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</si>
  <si>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</si>
  <si>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</si>
  <si>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</si>
  <si>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</si>
  <si>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</si>
  <si>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</si>
  <si>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</si>
  <si>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</si>
  <si>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</si>
  <si>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</si>
  <si>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</si>
  <si>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</si>
  <si>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</si>
  <si>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</si>
  <si>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</si>
  <si>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</si>
  <si>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</si>
  <si>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</si>
  <si>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</si>
  <si>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</si>
  <si>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</si>
  <si>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</si>
  <si>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</si>
  <si>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</si>
  <si>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</si>
  <si>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</si>
  <si>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</si>
  <si>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</si>
  <si>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</si>
  <si>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</si>
  <si>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</si>
  <si>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</si>
  <si>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</si>
  <si>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</si>
  <si>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</si>
  <si>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</si>
  <si>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</si>
  <si>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</si>
  <si>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</si>
  <si>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</si>
  <si>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</si>
  <si>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</si>
  <si>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</si>
  <si>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</si>
  <si>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</si>
  <si>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</si>
  <si>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</si>
  <si>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</si>
  <si>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</si>
  <si>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</si>
  <si>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</si>
  <si>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</si>
  <si>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</si>
  <si>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</si>
  <si>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</si>
  <si>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</si>
  <si>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</si>
  <si>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</si>
  <si>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</si>
  <si>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</si>
  <si>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</si>
  <si>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</si>
  <si>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</si>
  <si>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</si>
  <si>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</si>
  <si>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</si>
  <si>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</si>
  <si>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</si>
  <si>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</si>
  <si>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</si>
  <si>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</si>
  <si>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</si>
  <si>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</si>
  <si>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</si>
  <si>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</si>
  <si>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</si>
  <si>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</si>
  <si>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</si>
  <si>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</si>
  <si>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</si>
  <si>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</si>
  <si>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</si>
  <si>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</si>
  <si>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</si>
  <si>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</si>
  <si>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</si>
  <si>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</si>
  <si>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</si>
  <si>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</si>
  <si>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</si>
  <si>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</si>
  <si>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</si>
  <si>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</si>
  <si>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</si>
  <si>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</si>
  <si>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</si>
  <si>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</si>
  <si>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</si>
  <si>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</si>
  <si>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</si>
  <si>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</si>
  <si>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</si>
  <si>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</si>
  <si>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</si>
  <si>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</si>
  <si>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</si>
  <si>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</si>
  <si>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</si>
  <si>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</si>
  <si>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</si>
  <si>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</si>
  <si>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</si>
  <si>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</si>
  <si>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</si>
  <si>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</si>
  <si>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</si>
  <si>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</si>
  <si>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</si>
  <si>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</si>
  <si>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</si>
  <si>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</si>
  <si>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</si>
  <si>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</si>
  <si>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</si>
  <si>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</si>
  <si>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</si>
  <si>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</si>
  <si>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</si>
  <si>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</si>
  <si>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</si>
  <si>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</si>
  <si>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</si>
  <si>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</si>
  <si>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</si>
  <si>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</si>
  <si>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</si>
  <si>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</si>
  <si>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</si>
  <si>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</si>
  <si>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</si>
  <si>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</si>
  <si>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</si>
  <si>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</si>
  <si>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</si>
  <si>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</si>
  <si>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</si>
  <si>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</si>
  <si>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</si>
  <si>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</si>
  <si>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</si>
  <si>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</si>
  <si>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</si>
  <si>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</si>
  <si>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</si>
  <si>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</si>
  <si>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</si>
  <si>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</si>
  <si>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</si>
  <si>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</si>
  <si>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</si>
  <si>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</si>
  <si>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</si>
  <si>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</si>
  <si>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</si>
  <si>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</si>
  <si>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</si>
  <si>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</si>
  <si>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</si>
  <si>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</si>
  <si>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</si>
  <si>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</si>
  <si>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</si>
  <si>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</si>
  <si>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</si>
  <si>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</si>
  <si>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</si>
  <si>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</si>
  <si>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</si>
  <si>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</si>
  <si>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</si>
  <si>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</si>
  <si>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</si>
  <si>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</si>
  <si>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</si>
  <si>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</si>
  <si>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</si>
  <si>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</si>
  <si>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</si>
  <si>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</si>
  <si>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</si>
  <si>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</si>
  <si>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</si>
  <si>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</si>
  <si>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</si>
  <si>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</si>
  <si>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</si>
  <si>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</si>
  <si>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</si>
  <si>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</si>
  <si>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</si>
  <si>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</si>
  <si>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</si>
  <si>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</si>
  <si>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</si>
  <si>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</si>
  <si>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</si>
  <si>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</si>
  <si>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</si>
  <si>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</si>
  <si>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</si>
  <si>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</si>
  <si>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</si>
  <si>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</si>
  <si>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</si>
  <si>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</si>
  <si>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</si>
  <si>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</si>
  <si>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</si>
  <si>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</si>
  <si>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</si>
  <si>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</si>
  <si>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</si>
  <si>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</si>
  <si>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</si>
  <si>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</si>
  <si>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</si>
  <si>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</si>
  <si>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</si>
  <si>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</si>
  <si>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</si>
  <si>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</si>
  <si>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</si>
  <si>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</si>
  <si>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</si>
  <si>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</si>
  <si>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</si>
  <si>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</si>
  <si>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</si>
  <si>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</si>
  <si>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</si>
  <si>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</si>
  <si>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</si>
  <si>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</si>
  <si>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</si>
  <si>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</si>
  <si>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</si>
  <si>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</si>
  <si>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</si>
  <si>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</si>
  <si>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</si>
  <si>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</si>
  <si>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</si>
  <si>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</si>
  <si>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</si>
  <si>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</si>
  <si>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</si>
  <si>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</si>
  <si>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</si>
  <si>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</si>
  <si>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</si>
  <si>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</si>
  <si>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</si>
  <si>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</si>
  <si>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</si>
  <si>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</si>
  <si>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</si>
  <si>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</si>
  <si>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</si>
  <si>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</si>
  <si>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</si>
  <si>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</si>
  <si>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</si>
  <si>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</si>
  <si>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</si>
  <si>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</si>
  <si>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</si>
  <si>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</si>
  <si>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</si>
  <si>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</si>
  <si>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</si>
  <si>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</si>
  <si>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</si>
  <si>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</si>
  <si>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</si>
  <si>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</si>
  <si>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</si>
  <si>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</si>
  <si>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</si>
  <si>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</si>
  <si>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</si>
  <si>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</si>
  <si>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</si>
  <si>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</si>
  <si>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</si>
  <si>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4;31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</si>
</sst>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4" sqref="G24:G3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216930</v>
      </c>
      <c r="E24" s="19">
        <f>IFERROR('Linha 2'!S568,"")</f>
        <v>39890</v>
      </c>
      <c r="F24" s="19">
        <f>IFERROR('Linha 3'!S568,"")</f>
        <v>766150</v>
      </c>
      <c r="G24" s="20">
        <f t="shared" si="0"/>
        <v>1022970</v>
      </c>
      <c r="H24" s="21">
        <f>IFERROR('Linha 1'!T568+'Linha 2'!T568+'Linha 3'!T568,0)</f>
        <v>147.30768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1" t="s">
        <v>16</v>
      </c>
      <c r="B35" s="161"/>
      <c r="C35" s="30">
        <f t="shared" ref="C35:I35" si="2">IFERROR(SUM(C4:C34),"")</f>
        <v>74069910</v>
      </c>
      <c r="D35" s="30">
        <f t="shared" si="2"/>
        <v>24659450</v>
      </c>
      <c r="E35" s="30">
        <f t="shared" si="2"/>
        <v>12971540</v>
      </c>
      <c r="F35" s="30">
        <f t="shared" si="2"/>
        <v>32182760</v>
      </c>
      <c r="G35" s="30">
        <f t="shared" si="2"/>
        <v>69813750</v>
      </c>
      <c r="H35" s="31">
        <f t="shared" si="2"/>
        <v>6312.9931526915116</v>
      </c>
      <c r="I35" s="31">
        <f t="shared" si="2"/>
        <v>4967.05</v>
      </c>
      <c r="J35" s="32">
        <f>I35/H35</f>
        <v>0.78679793876892201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R60" sqref="R6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>
      <c r="M2" s="16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3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3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3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3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3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3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3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3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3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3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3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3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3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3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3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3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3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3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3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3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3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3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3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3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3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3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3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3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3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3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3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3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3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3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3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3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3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3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3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3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3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3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3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3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3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3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3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3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3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3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3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3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3"/>
      <c r="N60" s="37"/>
      <c r="O60" s="37"/>
      <c r="P60" s="53" t="s">
        <v>114</v>
      </c>
      <c r="Q60" s="37"/>
      <c r="R60" s="37"/>
    </row>
    <row r="61" spans="1:18" ht="15" customHeight="1">
      <c r="M61" s="163"/>
      <c r="N61" s="40"/>
      <c r="O61" s="40"/>
      <c r="P61" s="40" t="s">
        <v>224</v>
      </c>
      <c r="Q61" s="40"/>
      <c r="R61" s="40"/>
    </row>
    <row r="62" spans="1:18" ht="15" customHeight="1">
      <c r="M62" s="163"/>
      <c r="N62" s="37"/>
      <c r="O62" s="37"/>
      <c r="P62" s="37" t="s">
        <v>225</v>
      </c>
      <c r="Q62" s="37"/>
      <c r="R62" s="37"/>
    </row>
    <row r="63" spans="1:18" ht="15" customHeight="1">
      <c r="M63" s="163"/>
      <c r="N63" s="40"/>
      <c r="O63" s="40"/>
      <c r="P63" s="40" t="s">
        <v>226</v>
      </c>
      <c r="Q63" s="40"/>
      <c r="R63" s="40"/>
    </row>
    <row r="64" spans="1:18" ht="15" customHeight="1">
      <c r="M64" s="163"/>
      <c r="N64" s="37"/>
      <c r="O64" s="37"/>
      <c r="P64" s="37" t="s">
        <v>227</v>
      </c>
      <c r="Q64" s="37"/>
      <c r="R64" s="37"/>
    </row>
    <row r="65" spans="13:18" ht="15" customHeight="1">
      <c r="M65" s="163"/>
      <c r="N65" s="40"/>
      <c r="O65" s="40"/>
      <c r="P65" s="40" t="s">
        <v>228</v>
      </c>
      <c r="Q65" s="40"/>
      <c r="R65" s="40"/>
    </row>
    <row r="66" spans="13:18" ht="15" customHeight="1">
      <c r="M66" s="163"/>
      <c r="N66" s="37"/>
      <c r="O66" s="37"/>
      <c r="P66" s="37" t="s">
        <v>229</v>
      </c>
      <c r="Q66" s="37"/>
      <c r="R66" s="37"/>
    </row>
    <row r="67" spans="13:18" ht="15" customHeight="1">
      <c r="M67" s="163"/>
      <c r="N67" s="40"/>
      <c r="O67" s="40"/>
      <c r="P67" s="40" t="s">
        <v>230</v>
      </c>
      <c r="Q67" s="40"/>
      <c r="R67" s="40"/>
    </row>
    <row r="68" spans="13:18" ht="15" customHeight="1">
      <c r="M68" s="163"/>
      <c r="N68" s="37"/>
      <c r="O68" s="37"/>
      <c r="P68" s="37" t="s">
        <v>231</v>
      </c>
      <c r="Q68" s="37"/>
      <c r="R68" s="37"/>
    </row>
    <row r="69" spans="13:18" ht="15" customHeight="1">
      <c r="M69" s="163"/>
      <c r="N69" s="40"/>
      <c r="O69" s="40"/>
      <c r="P69" s="40" t="s">
        <v>232</v>
      </c>
      <c r="Q69" s="40"/>
      <c r="R69" s="40"/>
    </row>
    <row r="70" spans="13:18" ht="15" customHeight="1">
      <c r="M70" s="163"/>
      <c r="N70" s="37"/>
      <c r="O70" s="37"/>
      <c r="P70" s="37" t="s">
        <v>233</v>
      </c>
      <c r="Q70" s="37"/>
      <c r="R70" s="37"/>
    </row>
    <row r="71" spans="13:18" ht="15" customHeight="1">
      <c r="M71" s="163"/>
      <c r="N71" s="40"/>
      <c r="O71" s="40"/>
      <c r="P71" s="40" t="s">
        <v>234</v>
      </c>
      <c r="Q71" s="40"/>
      <c r="R71" s="40"/>
    </row>
    <row r="72" spans="13:18" ht="15" customHeight="1">
      <c r="M72" s="163"/>
      <c r="N72" s="37"/>
      <c r="O72" s="37"/>
      <c r="P72" s="37" t="s">
        <v>235</v>
      </c>
      <c r="Q72" s="37"/>
      <c r="R72" s="37"/>
    </row>
    <row r="73" spans="13:18" ht="15" customHeight="1">
      <c r="M73" s="163"/>
      <c r="N73" s="40"/>
      <c r="O73" s="40"/>
      <c r="P73" s="40" t="s">
        <v>236</v>
      </c>
      <c r="Q73" s="40"/>
      <c r="R73" s="40"/>
    </row>
    <row r="74" spans="13:18" ht="15" customHeight="1">
      <c r="M74" s="163"/>
      <c r="N74" s="37"/>
      <c r="O74" s="37"/>
      <c r="P74" s="37" t="s">
        <v>237</v>
      </c>
      <c r="Q74" s="37"/>
      <c r="R74" s="37"/>
    </row>
    <row r="75" spans="13:18" ht="15" customHeight="1">
      <c r="M75" s="163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5" t="s">
        <v>250</v>
      </c>
      <c r="B4" s="165"/>
      <c r="C4" s="165"/>
      <c r="D4" s="165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5" t="s">
        <v>250</v>
      </c>
      <c r="B7" s="165"/>
      <c r="C7" s="165"/>
      <c r="D7" s="165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5" t="s">
        <v>250</v>
      </c>
      <c r="B10" s="165"/>
      <c r="C10" s="165"/>
      <c r="D10" s="165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5" t="s">
        <v>250</v>
      </c>
      <c r="B13" s="165"/>
      <c r="C13" s="165"/>
      <c r="D13" s="165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5" t="s">
        <v>250</v>
      </c>
      <c r="B16" s="165"/>
      <c r="C16" s="165"/>
      <c r="D16" s="165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5" t="s">
        <v>250</v>
      </c>
      <c r="B19" s="165"/>
      <c r="C19" s="165"/>
      <c r="D19" s="165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5" t="s">
        <v>250</v>
      </c>
      <c r="B22" s="165"/>
      <c r="C22" s="165"/>
      <c r="D22" s="165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5" t="s">
        <v>250</v>
      </c>
      <c r="B25" s="165"/>
      <c r="C25" s="165"/>
      <c r="D25" s="165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5" t="s">
        <v>250</v>
      </c>
      <c r="B28" s="165"/>
      <c r="C28" s="165"/>
      <c r="D28" s="165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5" t="s">
        <v>250</v>
      </c>
      <c r="B31" s="165"/>
      <c r="C31" s="165"/>
      <c r="D31" s="165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5" t="s">
        <v>250</v>
      </c>
      <c r="B34" s="165"/>
      <c r="C34" s="165"/>
      <c r="D34" s="165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5" t="s">
        <v>250</v>
      </c>
      <c r="B37" s="165"/>
      <c r="C37" s="165"/>
      <c r="D37" s="165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5" t="s">
        <v>250</v>
      </c>
      <c r="B40" s="165"/>
      <c r="C40" s="165"/>
      <c r="D40" s="165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5" t="s">
        <v>250</v>
      </c>
      <c r="B43" s="165"/>
      <c r="C43" s="165"/>
      <c r="D43" s="165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5" t="s">
        <v>250</v>
      </c>
      <c r="B46" s="165"/>
      <c r="C46" s="165"/>
      <c r="D46" s="165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5" t="s">
        <v>250</v>
      </c>
      <c r="B49" s="165"/>
      <c r="C49" s="165"/>
      <c r="D49" s="165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5" t="s">
        <v>250</v>
      </c>
      <c r="B52" s="165"/>
      <c r="C52" s="165"/>
      <c r="D52" s="165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5" t="s">
        <v>250</v>
      </c>
      <c r="B55" s="165"/>
      <c r="C55" s="165"/>
      <c r="D55" s="165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5" t="s">
        <v>250</v>
      </c>
      <c r="B58" s="165"/>
      <c r="C58" s="165"/>
      <c r="D58" s="165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5" t="s">
        <v>250</v>
      </c>
      <c r="B61" s="165"/>
      <c r="C61" s="165"/>
      <c r="D61" s="165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5" t="s">
        <v>250</v>
      </c>
      <c r="B64" s="165"/>
      <c r="C64" s="165"/>
      <c r="D64" s="165"/>
      <c r="E64" s="149">
        <f>SUM(E62:E63)</f>
        <v>50</v>
      </c>
      <c r="F64" s="150">
        <f>IFERROR(SUM(F62:F63),"")</f>
        <v>135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5" t="s">
        <v>250</v>
      </c>
      <c r="B67" s="165"/>
      <c r="C67" s="165"/>
      <c r="D67" s="165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5" t="s">
        <v>250</v>
      </c>
      <c r="B70" s="165"/>
      <c r="C70" s="165"/>
      <c r="D70" s="165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5" t="s">
        <v>250</v>
      </c>
      <c r="B73" s="165"/>
      <c r="C73" s="165"/>
      <c r="D73" s="165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5" t="s">
        <v>250</v>
      </c>
      <c r="B76" s="165"/>
      <c r="C76" s="165"/>
      <c r="D76" s="165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5" t="s">
        <v>250</v>
      </c>
      <c r="B79" s="165"/>
      <c r="C79" s="165"/>
      <c r="D79" s="165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5" t="s">
        <v>250</v>
      </c>
      <c r="B82" s="165"/>
      <c r="C82" s="165"/>
      <c r="D82" s="165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5" t="s">
        <v>250</v>
      </c>
      <c r="B85" s="165"/>
      <c r="C85" s="165"/>
      <c r="D85" s="165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5" t="s">
        <v>250</v>
      </c>
      <c r="B88" s="165"/>
      <c r="C88" s="165"/>
      <c r="D88" s="165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5" t="s">
        <v>250</v>
      </c>
      <c r="B91" s="165"/>
      <c r="C91" s="165"/>
      <c r="D91" s="165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5" t="s">
        <v>250</v>
      </c>
      <c r="B94" s="165"/>
      <c r="C94" s="165"/>
      <c r="D94" s="165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40" activePane="bottomLeft" state="frozen"/>
      <selection pane="bottomLeft" activeCell="K562" sqref="K562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6" t="s">
        <v>261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6" t="s">
        <v>264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7" t="s">
        <v>250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6" t="s">
        <v>261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6" t="s">
        <v>264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7" t="s">
        <v>250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6" t="s">
        <v>261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6" t="s">
        <v>264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7" t="s">
        <v>250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6" t="s">
        <v>261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6" t="s">
        <v>264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7" t="s">
        <v>250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6" t="s">
        <v>261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6" t="s">
        <v>264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7" t="s">
        <v>250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6" t="s">
        <v>261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6" t="s">
        <v>264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7" t="s">
        <v>250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6" t="s">
        <v>261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6" t="s">
        <v>264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7" t="s">
        <v>250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6" t="s">
        <v>261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6" t="s">
        <v>264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7" t="s">
        <v>250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6" t="s">
        <v>261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6" t="s">
        <v>264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7" t="s">
        <v>250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6" t="s">
        <v>261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6" t="s">
        <v>264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7" t="s">
        <v>250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6" t="s">
        <v>261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6" t="s">
        <v>264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7" t="s">
        <v>250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6" t="s">
        <v>261</v>
      </c>
      <c r="B311" s="166"/>
      <c r="C311" s="166"/>
      <c r="D311" s="166"/>
      <c r="E311" s="166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6" t="s">
        <v>264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7" t="s">
        <v>250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6" t="s">
        <v>261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6" t="s">
        <v>264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7" t="s">
        <v>250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6" t="s">
        <v>261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6" t="s">
        <v>264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7" t="s">
        <v>250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6" t="s">
        <v>261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6" t="s">
        <v>264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7" t="s">
        <v>250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6" t="s">
        <v>261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6" t="s">
        <v>264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7" t="s">
        <v>250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6" t="s">
        <v>261</v>
      </c>
      <c r="B446" s="166"/>
      <c r="C446" s="166"/>
      <c r="D446" s="166"/>
      <c r="E446" s="166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6" t="s">
        <v>264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7" t="s">
        <v>250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6" t="s">
        <v>261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6" t="s">
        <v>264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7" t="s">
        <v>250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6" t="s">
        <v>261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6" t="s">
        <v>264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7" t="s">
        <v>250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6" t="s">
        <v>261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6" t="s">
        <v>264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7" t="s">
        <v>250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6" t="s">
        <v>261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298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260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177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260</v>
      </c>
      <c r="F559" s="63">
        <v>0</v>
      </c>
      <c r="G559" s="69">
        <f t="shared" si="119"/>
        <v>0</v>
      </c>
      <c r="H559" s="70" t="s">
        <v>29</v>
      </c>
      <c r="I559" s="70" t="s">
        <v>32</v>
      </c>
      <c r="J559" s="70" t="s">
        <v>175</v>
      </c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260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260</v>
      </c>
      <c r="F561" s="63">
        <v>0</v>
      </c>
      <c r="G561" s="69">
        <f t="shared" si="119"/>
        <v>0</v>
      </c>
      <c r="H561" s="70"/>
      <c r="I561" s="70"/>
      <c r="J561" s="70"/>
      <c r="K561" s="65">
        <v>0.23194444444444445</v>
      </c>
      <c r="L561" s="65"/>
      <c r="M561" s="71">
        <f t="shared" ca="1" si="120"/>
        <v>1.637731482333038E-3</v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260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260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260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260</v>
      </c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260</v>
      </c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6" t="s">
        <v>264</v>
      </c>
      <c r="B567" s="166"/>
      <c r="C567" s="166"/>
      <c r="D567" s="166"/>
      <c r="E567" s="166"/>
      <c r="F567" s="2">
        <f>SUM(F555:F566)</f>
        <v>118</v>
      </c>
      <c r="G567" s="2">
        <f>SUM(G555:G566)</f>
        <v>590</v>
      </c>
      <c r="H567" s="72"/>
      <c r="I567" s="72"/>
      <c r="J567" s="72"/>
      <c r="K567" s="72"/>
      <c r="L567" s="72"/>
      <c r="M567" s="73">
        <f ca="1">IFERROR(SUM(M555:M566),"")</f>
        <v>0.24469328703788867</v>
      </c>
      <c r="N567" s="2" t="s">
        <v>262</v>
      </c>
      <c r="O567" s="74"/>
    </row>
    <row r="568" spans="1:15" ht="18" customHeight="1">
      <c r="A568" s="167" t="s">
        <v>250</v>
      </c>
      <c r="B568" s="167"/>
      <c r="C568" s="167"/>
      <c r="D568" s="167"/>
      <c r="E568" s="167"/>
      <c r="F568" s="1">
        <f>F554+F567</f>
        <v>118</v>
      </c>
      <c r="G568" s="1">
        <f>G554+G567</f>
        <v>590</v>
      </c>
      <c r="H568" s="76"/>
      <c r="I568" s="76"/>
      <c r="J568" s="76"/>
      <c r="K568" s="76"/>
      <c r="L568" s="76"/>
      <c r="M568" s="77">
        <f ca="1">IFERROR(M554+M567,"")</f>
        <v>0.74469328703788862</v>
      </c>
      <c r="N568" s="1" t="s">
        <v>265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6" t="s">
        <v>261</v>
      </c>
      <c r="B581" s="166"/>
      <c r="C581" s="166"/>
      <c r="D581" s="166"/>
      <c r="E581" s="166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262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6" t="s">
        <v>264</v>
      </c>
      <c r="B594" s="166"/>
      <c r="C594" s="166"/>
      <c r="D594" s="166"/>
      <c r="E594" s="166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7" t="s">
        <v>250</v>
      </c>
      <c r="B595" s="167"/>
      <c r="C595" s="167"/>
      <c r="D595" s="167"/>
      <c r="E595" s="167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265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6" t="s">
        <v>261</v>
      </c>
      <c r="B608" s="166"/>
      <c r="C608" s="166"/>
      <c r="D608" s="166"/>
      <c r="E608" s="166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6" t="s">
        <v>264</v>
      </c>
      <c r="B621" s="166"/>
      <c r="C621" s="166"/>
      <c r="D621" s="166"/>
      <c r="E621" s="166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7" t="s">
        <v>250</v>
      </c>
      <c r="B622" s="167"/>
      <c r="C622" s="167"/>
      <c r="D622" s="167"/>
      <c r="E622" s="167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6" t="s">
        <v>261</v>
      </c>
      <c r="B635" s="166"/>
      <c r="C635" s="166"/>
      <c r="D635" s="166"/>
      <c r="E635" s="166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6" t="s">
        <v>264</v>
      </c>
      <c r="B648" s="166"/>
      <c r="C648" s="166"/>
      <c r="D648" s="166"/>
      <c r="E648" s="166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7" t="s">
        <v>250</v>
      </c>
      <c r="B649" s="167"/>
      <c r="C649" s="167"/>
      <c r="D649" s="167"/>
      <c r="E649" s="167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6" t="s">
        <v>261</v>
      </c>
      <c r="B662" s="166"/>
      <c r="C662" s="166"/>
      <c r="D662" s="166"/>
      <c r="E662" s="166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6" t="s">
        <v>264</v>
      </c>
      <c r="B675" s="166"/>
      <c r="C675" s="166"/>
      <c r="D675" s="166"/>
      <c r="E675" s="166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7" t="s">
        <v>250</v>
      </c>
      <c r="B676" s="167"/>
      <c r="C676" s="167"/>
      <c r="D676" s="167"/>
      <c r="E676" s="167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6" t="s">
        <v>261</v>
      </c>
      <c r="B689" s="166"/>
      <c r="C689" s="166"/>
      <c r="D689" s="166"/>
      <c r="E689" s="166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6" t="s">
        <v>264</v>
      </c>
      <c r="B702" s="166"/>
      <c r="C702" s="166"/>
      <c r="D702" s="166"/>
      <c r="E702" s="166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7" t="s">
        <v>250</v>
      </c>
      <c r="B703" s="167"/>
      <c r="C703" s="167"/>
      <c r="D703" s="167"/>
      <c r="E703" s="167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6" t="s">
        <v>261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6" t="s">
        <v>264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7" t="s">
        <v>250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6" t="s">
        <v>261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6" t="s">
        <v>264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7" t="s">
        <v>250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6" t="s">
        <v>261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6" t="s">
        <v>264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7" t="s">
        <v>250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6" t="s">
        <v>261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6" t="s">
        <v>264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7" t="s">
        <v>250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6" t="s">
        <v>261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6" t="s">
        <v>264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7" t="s">
        <v>250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41" activePane="bottomLeft" state="frozen"/>
      <selection pane="bottomLeft" activeCell="L564" sqref="L564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299</v>
      </c>
      <c r="I1" s="86" t="s">
        <v>22</v>
      </c>
      <c r="J1" s="86" t="s">
        <v>300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300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301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302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303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304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305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306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307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308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0.11205439814511919</v>
      </c>
      <c r="R53" s="80" t="s">
        <v>309</v>
      </c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0.25094328703400692</v>
      </c>
      <c r="R54" s="2" t="s">
        <v>262</v>
      </c>
      <c r="S54" s="113">
        <v>352430</v>
      </c>
      <c r="T54" s="114"/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0.33566550925622973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301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310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311</v>
      </c>
      <c r="Q96" s="66" t="str">
        <f t="shared" ref="Q96:Q107" ca="1" si="22">IFERROR(IF(O96="","",IF(P96="",MOD(NOW()-O96,1),IF(P96&gt;=O96,P96-O96,P96+1-O96))),"")</f>
        <v/>
      </c>
      <c r="R96" s="80" t="s">
        <v>312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313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314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315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316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317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318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319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320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317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321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322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315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310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323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324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325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326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327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328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329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330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322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317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310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331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332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333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334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335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336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337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338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339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340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317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341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342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/>
      <c r="Q555" s="71">
        <f t="shared" ref="Q555:Q566" ca="1" si="144">IFERROR(IF(O555="","",IF(P555="",MOD(NOW()-O555,1),IF(P555&gt;=O555,P555-O555,P555+1-O555))),"")</f>
        <v>0.44191550926188938</v>
      </c>
      <c r="R555" s="80" t="s">
        <v>343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260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0.44191550926188938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0.76344328703966702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42" activePane="bottomLeft" state="frozen"/>
      <selection pane="bottomLeft" activeCell="G564" sqref="G564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299</v>
      </c>
      <c r="I1" s="86" t="s">
        <v>22</v>
      </c>
      <c r="J1" s="86" t="s">
        <v>300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300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344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304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345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310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344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344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346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347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348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349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350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351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352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318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310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353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354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321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321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355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356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357</v>
      </c>
      <c r="Q222" s="66" t="str">
        <f t="shared" ca="1" si="49"/>
        <v/>
      </c>
      <c r="R222" s="63" t="s">
        <v>358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359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328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360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329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310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361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332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362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363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364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364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365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310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366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351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367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368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369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310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370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371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39"/>
        <v>0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0</v>
      </c>
      <c r="I557" s="90">
        <f>IFERROR(IF($D557="","",VLOOKUP($D557,Cadastro!$C$4:$G$7,5,FALSE())),"")</f>
        <v>0.6</v>
      </c>
      <c r="J557" s="91">
        <f t="shared" si="139"/>
        <v>0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0</v>
      </c>
      <c r="I558" s="90">
        <f>IFERROR(IF($D558="","",VLOOKUP($D558,Cadastro!$C$4:$G$7,5,FALSE())),"")</f>
        <v>0.6</v>
      </c>
      <c r="J558" s="91">
        <f t="shared" si="139"/>
        <v>0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0</v>
      </c>
      <c r="I559" s="90">
        <f>IFERROR(IF($D559="","",VLOOKUP($D559,Cadastro!$C$4:$G$7,5,FALSE())),"")</f>
        <v>0.6</v>
      </c>
      <c r="J559" s="91">
        <f t="shared" si="139"/>
        <v>0</v>
      </c>
      <c r="K559" s="69">
        <f t="shared" si="140"/>
        <v>63</v>
      </c>
      <c r="L559" s="70" t="s">
        <v>29</v>
      </c>
      <c r="M559" s="70" t="s">
        <v>56</v>
      </c>
      <c r="N559" s="70" t="s">
        <v>218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310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0</v>
      </c>
      <c r="I560" s="90">
        <f>IFERROR(IF($D560="","",VLOOKUP($D560,Cadastro!$C$4:$G$7,5,FALSE())),"")</f>
        <v>0.6</v>
      </c>
      <c r="J560" s="91">
        <f t="shared" si="139"/>
        <v>0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208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0</v>
      </c>
      <c r="I561" s="90">
        <f>IFERROR(IF($D561="","",VLOOKUP($D561,Cadastro!$C$4:$G$7,5,FALSE())),"")</f>
        <v>0.6</v>
      </c>
      <c r="J561" s="91">
        <f t="shared" si="139"/>
        <v>0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0</v>
      </c>
      <c r="I562" s="90">
        <f>IFERROR(IF($D562="","",VLOOKUP($D562,Cadastro!$C$4:$G$7,5,FALSE())),"")</f>
        <v>0.6</v>
      </c>
      <c r="J562" s="91">
        <f t="shared" si="139"/>
        <v>0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210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0</v>
      </c>
      <c r="I563" s="90">
        <f>IFERROR(IF($D563="","",VLOOKUP($D563,Cadastro!$C$4:$G$7,5,FALSE())),"")</f>
        <v>0.6</v>
      </c>
      <c r="J563" s="91">
        <f t="shared" si="139"/>
        <v>0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0</v>
      </c>
      <c r="I564" s="90">
        <f>IFERROR(IF($D564="","",VLOOKUP($D564,Cadastro!$C$4:$G$7,5,FALSE())),"")</f>
        <v>0.6</v>
      </c>
      <c r="J564" s="91">
        <f t="shared" si="139"/>
        <v>0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372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260</v>
      </c>
      <c r="F565" s="88">
        <f>IFERROR(IF($D565="","",VLOOKUP($D565,Cadastro!$C$4:$E$7,3,FALSE())),"")</f>
        <v>0.24</v>
      </c>
      <c r="G565" s="89"/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39"/>
        <v/>
      </c>
      <c r="K565" s="69" t="str">
        <f t="shared" si="140"/>
        <v/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344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260</v>
      </c>
      <c r="F566" s="92">
        <f>IFERROR(IF($D566="","",VLOOKUP($D566,Cadastro!$C$4:$E$7,3,FALSE())),"")</f>
        <v>0.24</v>
      </c>
      <c r="G566" s="89"/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106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460.4</v>
      </c>
      <c r="L567" s="72"/>
      <c r="M567" s="72"/>
      <c r="N567" s="72"/>
      <c r="O567" s="72"/>
      <c r="P567" s="72"/>
      <c r="Q567" s="73">
        <f ca="1">IFERROR(SUM(Q555:Q566),"")</f>
        <v>7.9166666666666829E-2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115</v>
      </c>
      <c r="H568" s="108">
        <f>IFERROR(H554+H567,"")</f>
        <v>39.89</v>
      </c>
      <c r="I568" s="110"/>
      <c r="J568" s="111">
        <f>IFERROR(J554+J567,"")</f>
        <v>5.7441599999999999</v>
      </c>
      <c r="K568" s="1">
        <f>K554+K567</f>
        <v>498.2</v>
      </c>
      <c r="L568" s="76"/>
      <c r="M568" s="76"/>
      <c r="N568" s="76"/>
      <c r="O568" s="76"/>
      <c r="P568" s="76"/>
      <c r="Q568" s="77">
        <f ca="1">IFERROR(Q554+Q567,"")</f>
        <v>0.48958333333333354</v>
      </c>
      <c r="R568" s="1" t="s">
        <v>265</v>
      </c>
      <c r="S568" s="82">
        <f>IFERROR(S554+S567,"")</f>
        <v>39890</v>
      </c>
      <c r="T568" s="118">
        <f>IFERROR(J568,"")</f>
        <v>5.7441599999999999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5" zoomScaleNormal="85" workbookViewId="0">
      <pane ySplit="1" topLeftCell="A543" activePane="bottomLeft" state="frozen"/>
      <selection pane="bottomLeft" activeCell="L565" sqref="L565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299</v>
      </c>
      <c r="I1" s="86" t="s">
        <v>22</v>
      </c>
      <c r="J1" s="86" t="s">
        <v>300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300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373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307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344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374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375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376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377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378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379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344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344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380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381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310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344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382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383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318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384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385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386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387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388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389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390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391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392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393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394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395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396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397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398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399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400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401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332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402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403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404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405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406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400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407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366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408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409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410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0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411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42"/>
        <v>0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412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0</v>
      </c>
      <c r="I557" s="90">
        <f>IFERROR(IF($D557="","",VLOOKUP($D557,Cadastro!$C$4:$G$7,5,FALSE())),"")</f>
        <v>0.6</v>
      </c>
      <c r="J557" s="91">
        <f t="shared" si="142"/>
        <v>0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0</v>
      </c>
      <c r="I558" s="90">
        <f>IFERROR(IF($D558="","",VLOOKUP($D558,Cadastro!$C$4:$G$7,5,FALSE())),"")</f>
        <v>0.6</v>
      </c>
      <c r="J558" s="91">
        <f t="shared" si="142"/>
        <v>0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0</v>
      </c>
      <c r="I559" s="90">
        <f>IFERROR(IF($D559="","",VLOOKUP($D559,Cadastro!$C$4:$G$7,5,FALSE())),"")</f>
        <v>0.6</v>
      </c>
      <c r="J559" s="91">
        <f t="shared" si="142"/>
        <v>0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0</v>
      </c>
      <c r="I560" s="90">
        <f>IFERROR(IF($D560="","",VLOOKUP($D560,Cadastro!$C$4:$G$7,5,FALSE())),"")</f>
        <v>0.6</v>
      </c>
      <c r="J560" s="91">
        <f t="shared" si="142"/>
        <v>0</v>
      </c>
      <c r="K560" s="64">
        <f t="shared" si="143"/>
        <v>4.2</v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413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0</v>
      </c>
      <c r="I561" s="90">
        <f>IFERROR(IF($D561="","",VLOOKUP($D561,Cadastro!$C$4:$G$7,5,FALSE())),"")</f>
        <v>0.6</v>
      </c>
      <c r="J561" s="91">
        <f t="shared" si="142"/>
        <v>0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414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0</v>
      </c>
      <c r="I562" s="90">
        <f>IFERROR(IF($D562="","",VLOOKUP($D562,Cadastro!$C$4:$G$7,5,FALSE())),"")</f>
        <v>0.6</v>
      </c>
      <c r="J562" s="91">
        <f t="shared" si="142"/>
        <v>0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415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0</v>
      </c>
      <c r="I563" s="90">
        <f>IFERROR(IF($D563="","",VLOOKUP($D563,Cadastro!$C$4:$G$7,5,FALSE())),"")</f>
        <v>0.6</v>
      </c>
      <c r="J563" s="91">
        <f t="shared" si="142"/>
        <v>0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0</v>
      </c>
      <c r="I564" s="90">
        <f>IFERROR(IF($D564="","",VLOOKUP($D564,Cadastro!$C$4:$G$7,5,FALSE())),"")</f>
        <v>0.6</v>
      </c>
      <c r="J564" s="91">
        <f t="shared" si="142"/>
        <v>0</v>
      </c>
      <c r="K564" s="64">
        <f t="shared" si="143"/>
        <v>54.6</v>
      </c>
      <c r="L564" s="61" t="s">
        <v>29</v>
      </c>
      <c r="M564" s="61" t="s">
        <v>173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416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/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 t="str">
        <f t="shared" si="143"/>
        <v/>
      </c>
      <c r="L565" s="70" t="s">
        <v>28</v>
      </c>
      <c r="M565" s="70"/>
      <c r="N565" s="70"/>
      <c r="O565" s="65" t="s">
        <v>417</v>
      </c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/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99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418.20000000000005</v>
      </c>
      <c r="L567" s="72"/>
      <c r="M567" s="72"/>
      <c r="N567" s="72"/>
      <c r="O567" s="134"/>
      <c r="P567" s="134"/>
      <c r="Q567" s="73">
        <f ca="1">IFERROR(SUM(Q555:Q566),"")</f>
        <v>0.13124999999999987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230</v>
      </c>
      <c r="H568" s="108">
        <f>IFERROR(H554+H567,"")</f>
        <v>766.15</v>
      </c>
      <c r="I568" s="110"/>
      <c r="J568" s="111">
        <f>IFERROR(J554+J567,"")</f>
        <v>110.32559999999999</v>
      </c>
      <c r="K568" s="1">
        <f>K554+K567</f>
        <v>968.40000000000009</v>
      </c>
      <c r="L568" s="76"/>
      <c r="M568" s="76"/>
      <c r="N568" s="76"/>
      <c r="O568" s="135"/>
      <c r="P568" s="135"/>
      <c r="Q568" s="77">
        <f ca="1">IFERROR(Q554+Q567,"")</f>
        <v>0.28749999999999992</v>
      </c>
      <c r="R568" s="1" t="s">
        <v>265</v>
      </c>
      <c r="S568" s="82">
        <f>IFERROR(S554+S567,"")</f>
        <v>766150</v>
      </c>
      <c r="T568" s="118">
        <f>IFERROR(J568,"")</f>
        <v>110.32559999999999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2026-08-22T09:36:26Z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