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190" documentId="8_{C51EB6CB-002B-4D6B-B68F-DDEBDB4460C0}" xr6:coauthVersionLast="47" xr6:coauthVersionMax="47" xr10:uidLastSave="{9B669F87-0EF1-40F6-B8B4-9AF5FAA072B7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6" i="4" l="1"/>
  <c r="G317" i="4"/>
  <c r="G318" i="4"/>
  <c r="G319" i="4"/>
  <c r="G320" i="4"/>
  <c r="G321" i="4"/>
  <c r="G322" i="4"/>
  <c r="G323" i="4"/>
  <c r="F284" i="4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M322" i="4"/>
  <c r="M321" i="4"/>
  <c r="M320" i="4"/>
  <c r="M319" i="4"/>
  <c r="M318" i="4"/>
  <c r="M317" i="4"/>
  <c r="M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<sst xmlns="http://schemas.openxmlformats.org/spreadsheetml/2006/main" count="5902" uniqueCount="344">
  <si>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</si>
  <si>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</si>
  <si>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</si>
  <si>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</si>
  <si>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</si>
  <si>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</si>
  <si>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</si>
  <si>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</si>
  <si>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</si>
  <si>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</si>
  <si>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</si>
  <si>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</si>
  <si>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</si>
  <si>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</si>
  <si>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</si>
  <si>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</si>
  <si>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</si>
  <si>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</si>
  <si>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</si>
  <si>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</si>
  <si>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</si>
  <si>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</si>
  <si>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</si>
  <si>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</si>
  <si>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</si>
  <si>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</si>
  <si>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</si>
  <si>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</si>
  <si>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</si>
  <si>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</si>
  <si>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</si>
  <si>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</si>
  <si>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</si>
  <si>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</si>
  <si>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</si>
  <si>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</si>
  <si>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</si>
  <si>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</si>
  <si>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</si>
  <si>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</si>
  <si>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</si>
  <si>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</si>
  <si>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</si>
  <si>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</si>
  <si>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</si>
  <si>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</si>
  <si>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</si>
  <si>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</si>
  <si>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</si>
  <si>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</si>
  <si>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</si>
  <si>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</si>
  <si>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</si>
  <si>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</si>
  <si>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</si>
  <si>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</si>
  <si>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</si>
  <si>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</si>
  <si>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</si>
  <si>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</si>
  <si>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</si>
  <si>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</si>
  <si>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</si>
  <si>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</si>
  <si>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</si>
  <si>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</si>
  <si>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</si>
  <si>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</si>
  <si>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</si>
  <si>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</si>
  <si>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</si>
  <si>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</si>
  <si>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</si>
  <si>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</si>
  <si>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</si>
  <si>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</si>
  <si>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</si>
  <si>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</si>
  <si>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</si>
  <si>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</si>
  <si>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</si>
  <si>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</si>
  <si>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</si>
  <si>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</si>
  <si>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</si>
  <si>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</si>
  <si>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</si>
  <si>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</si>
  <si>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</si>
  <si>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</si>
  <si>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</si>
  <si>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</si>
  <si>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</si>
  <si>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</si>
  <si>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</si>
  <si>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</si>
  <si>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</si>
  <si>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</si>
  <si>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</si>
  <si>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</si>
  <si>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</si>
  <si>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</si>
  <si>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</si>
  <si>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</si>
  <si>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</si>
  <si>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</si>
  <si>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</si>
  <si>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</si>
  <si>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</si>
  <si>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</si>
  <si>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</si>
  <si>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</si>
  <si>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</si>
  <si>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</si>
  <si>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</si>
  <si>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</si>
  <si>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</si>
  <si>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</si>
  <si>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</si>
  <si>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</si>
  <si>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</si>
  <si>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</si>
  <si>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</si>
  <si>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</si>
  <si>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</si>
  <si>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</si>
  <si>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</si>
  <si>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</si>
  <si>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</si>
  <si>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</si>
  <si>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</si>
  <si>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</si>
  <si>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</si>
  <si>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</si>
  <si>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</si>
  <si>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</si>
  <si>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</si>
  <si>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</si>
  <si>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</si>
  <si>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</si>
  <si>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</si>
  <si>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</si>
  <si>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</si>
  <si>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</si>
  <si>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</si>
  <si>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</si>
  <si>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</si>
  <si>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</si>
  <si>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</si>
  <si>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</si>
  <si>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</si>
  <si>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</si>
  <si>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</si>
  <si>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</si>
  <si>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</si>
  <si>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</si>
  <si>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</si>
  <si>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</si>
  <si>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</si>
  <si>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</si>
  <si>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</si>
  <si>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</si>
  <si>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</si>
  <si>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</si>
  <si>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</si>
  <si>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</si>
  <si>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</si>
  <si>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</si>
  <si>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</si>
  <si>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</si>
  <si>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</si>
  <si>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</si>
  <si>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</si>
  <si>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</si>
  <si>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</si>
  <si>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</si>
  <si>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</si>
  <si>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</si>
  <si>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</si>
  <si>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</si>
  <si>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</si>
  <si>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</si>
  <si>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</si>
  <si>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</si>
  <si>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</si>
  <si>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</si>
  <si>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</si>
  <si>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</si>
  <si>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</si>
  <si>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</si>
  <si>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</si>
  <si>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</si>
  <si>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</si>
  <si>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</si>
  <si>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</si>
  <si>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</si>
  <si>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</si>
  <si>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</si>
  <si>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</si>
  <si>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</si>
  <si>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</si>
  <si>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</si>
  <si>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</si>
  <si>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</si>
  <si>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</si>
  <si>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</si>
  <si>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</si>
  <si>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</si>
  <si>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</si>
  <si>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</si>
  <si>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</si>
  <si>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</si>
  <si>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</si>
  <si>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</si>
  <si>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</si>
  <si>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</si>
  <si>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</si>
  <si>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</si>
  <si>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</si>
  <si>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</si>
  <si>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</si>
  <si>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</si>
  <si>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</si>
  <si>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</si>
  <si>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</si>
  <si>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</si>
  <si>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</si>
  <si>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</si>
  <si>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</si>
  <si>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</si>
  <si>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</si>
  <si>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</si>
  <si>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</si>
  <si>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</si>
  <si>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</si>
  <si>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</si>
  <si>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</si>
  <si>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</si>
  <si>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</si>
  <si>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</si>
  <si>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</si>
  <si>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</si>
  <si>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</si>
  <si>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</si>
  <si>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</si>
  <si>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</si>
  <si>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</si>
  <si>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</si>
  <si>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</si>
  <si>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</si>
  <si>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</si>
  <si>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</si>
  <si>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</si>
  <si>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</si>
  <si>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</si>
  <si>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</si>
  <si>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</si>
  <si>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</si>
  <si>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</si>
  <si>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 interno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</si>
  <si>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</si>
  <si>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3 viagens com caminhão</t>
  </si>
  <si>
    <t>serviço nos mancais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</si>
  <si>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</si>
  <si>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</si>
  <si>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</si>
  <si>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</si>
  <si>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</si>
  <si>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</si>
  <si>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</si>
  <si>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</si>
  <si>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</si>
  <si>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</si>
  <si>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</si>
  <si>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</si>
  <si>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</si>
  <si>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</si>
  <si>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</si>
  <si>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</si>
  <si>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</si>
  <si>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</si>
  <si>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</si>
  <si>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</si>
  <si>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</si>
  <si>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</si>
  <si>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</si>
  <si>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</si>
  <si>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</si>
  <si>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</si>
  <si>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</si>
  <si>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</si>
  <si>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</si>
  <si>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</si>
  <si>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lubrificação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</si>
  <si>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</si>
  <si>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</si>
  <si>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</si>
  <si>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</si>
  <si>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</si>
  <si>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</si>
  <si>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</si>
  <si>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</si>
  <si>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</si>
  <si>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</si>
  <si>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</si>
  <si>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</si>
  <si>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</si>
  <si>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</si>
  <si>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</si>
  <si>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</si>
  <si>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</si>
  <si>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forramento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</si>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</sst>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2631530</v>
      </c>
      <c r="D15" s="11">
        <f>IFERROR('Linha 1'!O325,"")</f>
        <v>1479900</v>
      </c>
      <c r="E15" s="11">
        <f>IFERROR('Linha 2'!O325,"")</f>
        <v>856930</v>
      </c>
      <c r="F15" s="11">
        <f>IFERROR('Linha 3'!O325,"")</f>
        <v>1998670</v>
      </c>
      <c r="G15" s="12">
        <f t="shared" si="0"/>
        <v>4335500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40061670</v>
      </c>
      <c r="D35" s="13">
        <f>IFERROR(SUM(D4:D34),"")</f>
        <v>14325530</v>
      </c>
      <c r="E35" s="13">
        <f>IFERROR(SUM(E4:E34),"")</f>
        <v>7129520</v>
      </c>
      <c r="F35" s="13">
        <f>IFERROR(SUM(F4:F34),"")</f>
        <v>17552120</v>
      </c>
      <c r="G35" s="13">
        <f>IFERROR(SUM(G4:G34),"")</f>
        <v>39007170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2" activePane="bottomLeft" state="frozen"/>
      <selection pane="bottomLeft" activeCell="L314" sqref="L314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>
        <v>0.79166666666666663</v>
      </c>
      <c r="M301" s="35">
        <f t="shared" ca="1" si="67"/>
        <v>7.4305555555555514E-2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 t="s">
        <v>260</v>
      </c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261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236</v>
      </c>
      <c r="O311" s="39">
        <v>2631530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234</v>
      </c>
      <c r="F312" s="27">
        <v>0</v>
      </c>
      <c r="G312" s="28">
        <f t="shared" ref="G312:G323" si="69">IF(F312="","",IF(E312="PC 17",F312*4.2,IF(E312="PC 19",F312*5,IF(E312="CB",F312*35,""))))</f>
        <v>0</v>
      </c>
      <c r="H312" s="26" t="s">
        <v>18</v>
      </c>
      <c r="I312" s="26" t="s">
        <v>23</v>
      </c>
      <c r="J312" s="26" t="s">
        <v>34</v>
      </c>
      <c r="K312" s="29">
        <v>0.79166666666666663</v>
      </c>
      <c r="L312" s="29">
        <v>0.89375000000000004</v>
      </c>
      <c r="M312" s="30">
        <f t="shared" ref="M312:M323" ca="1" si="70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0</v>
      </c>
      <c r="G313" s="28">
        <f t="shared" si="69"/>
        <v>0</v>
      </c>
      <c r="H313" s="33" t="s">
        <v>16</v>
      </c>
      <c r="I313" s="33"/>
      <c r="J313" s="33" t="s">
        <v>24</v>
      </c>
      <c r="K313" s="29">
        <v>0.21875</v>
      </c>
      <c r="L313" s="29">
        <v>0.25</v>
      </c>
      <c r="M313" s="35">
        <f t="shared" ca="1" si="70"/>
        <v>3.125E-2</v>
      </c>
      <c r="N313" s="46" t="s">
        <v>262</v>
      </c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234</v>
      </c>
      <c r="F314" s="27">
        <v>15</v>
      </c>
      <c r="G314" s="28">
        <f t="shared" si="69"/>
        <v>75</v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234</v>
      </c>
      <c r="F315" s="27">
        <v>25</v>
      </c>
      <c r="G315" s="28">
        <f t="shared" si="69"/>
        <v>125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234</v>
      </c>
      <c r="F316" s="27">
        <v>45</v>
      </c>
      <c r="G316" s="28">
        <f t="shared" si="69"/>
        <v>225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234</v>
      </c>
      <c r="F317" s="27">
        <v>35</v>
      </c>
      <c r="G317" s="28">
        <f t="shared" si="69"/>
        <v>175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234</v>
      </c>
      <c r="F318" s="27">
        <v>30</v>
      </c>
      <c r="G318" s="28">
        <f t="shared" si="69"/>
        <v>150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234</v>
      </c>
      <c r="F319" s="27">
        <v>30</v>
      </c>
      <c r="G319" s="28">
        <f t="shared" si="69"/>
        <v>150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234</v>
      </c>
      <c r="F320" s="27">
        <v>40</v>
      </c>
      <c r="G320" s="28">
        <f t="shared" si="69"/>
        <v>200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234</v>
      </c>
      <c r="F321" s="27">
        <v>45</v>
      </c>
      <c r="G321" s="28">
        <f t="shared" si="69"/>
        <v>225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234</v>
      </c>
      <c r="F322" s="27">
        <v>0</v>
      </c>
      <c r="G322" s="28">
        <f t="shared" si="69"/>
        <v>0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234</v>
      </c>
      <c r="F323" s="27">
        <v>35</v>
      </c>
      <c r="G323" s="28">
        <f t="shared" si="69"/>
        <v>175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240</v>
      </c>
      <c r="O325" s="48">
        <f>IFERROR(O311+O324,"")</f>
        <v>2631530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94" activePane="bottomLeft" state="frozen"/>
      <selection pane="bottomLeft" activeCell="O324" sqref="O324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270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0.16639479166042292</v>
      </c>
      <c r="N53" s="46" t="s">
        <v>271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0.30528368054931182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0.39000590277153413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263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272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273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274</v>
      </c>
      <c r="M96" s="30" t="str">
        <f t="shared" ref="M96:M107" ca="1" si="22">IFERROR(IF(K96="","",IF(L96="",MOD(NOW()-K96,1),IF(L96&gt;=K96,L96-K96,L96+1-K96))),"")</f>
        <v/>
      </c>
      <c r="N96" s="46" t="s">
        <v>275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276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277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278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279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280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281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283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280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284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285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278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272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286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287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288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289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290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291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292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>
        <v>0.7631944444444444</v>
      </c>
      <c r="M304" s="30">
        <f t="shared" ca="1" si="67"/>
        <v>6.9444444444444198E-3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169</v>
      </c>
      <c r="G311" s="36">
        <f>SUM(G299:G310)</f>
        <v>709.8</v>
      </c>
      <c r="H311" s="37"/>
      <c r="I311" s="37"/>
      <c r="J311" s="37"/>
      <c r="K311" s="37"/>
      <c r="L311" s="37"/>
      <c r="M311" s="38">
        <f ca="1">IFERROR(SUM(M299:M310),"")</f>
        <v>5.3472222222222143E-2</v>
      </c>
      <c r="N311" s="36" t="s">
        <v>236</v>
      </c>
      <c r="O311" s="77">
        <v>754870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22</v>
      </c>
      <c r="G312" s="28">
        <f t="shared" ref="G312:G323" si="69">IF(F312="","",IF(E312="PC 17",F312*4.2,IF(E312="PC 19",F312*5,IF(E312="CB",F312*24,""))))</f>
        <v>92.4</v>
      </c>
      <c r="H312" s="26" t="s">
        <v>19</v>
      </c>
      <c r="I312" s="26" t="s">
        <v>159</v>
      </c>
      <c r="J312" s="26" t="s">
        <v>27</v>
      </c>
      <c r="K312" s="29">
        <v>0.84722222222222221</v>
      </c>
      <c r="L312" s="29">
        <v>0.8569444444444444</v>
      </c>
      <c r="M312" s="30">
        <f t="shared" ref="M312:M323" ca="1" si="70">IFERROR(IF(K312="","",IF(L312="",MOD(NOW()-K312,1),IF(L312&gt;=K312,L312-K312,L312+1-K312))),"")</f>
        <v>9.7222222222221877E-3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13</v>
      </c>
      <c r="G313" s="34">
        <f t="shared" si="69"/>
        <v>65</v>
      </c>
      <c r="H313" s="33" t="s">
        <v>20</v>
      </c>
      <c r="I313" s="33" t="s">
        <v>39</v>
      </c>
      <c r="J313" s="33" t="s">
        <v>36</v>
      </c>
      <c r="K313" s="29">
        <v>0.90277777777777779</v>
      </c>
      <c r="L313" s="29">
        <v>0.91666666666666663</v>
      </c>
      <c r="M313" s="35">
        <f t="shared" ca="1" si="70"/>
        <v>1.388888888888884E-2</v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16</v>
      </c>
      <c r="G314" s="28">
        <f t="shared" si="69"/>
        <v>67.2</v>
      </c>
      <c r="H314" s="26" t="s">
        <v>18</v>
      </c>
      <c r="I314" s="26" t="s">
        <v>39</v>
      </c>
      <c r="J314" s="26" t="s">
        <v>156</v>
      </c>
      <c r="K314" s="29">
        <v>0.93402777777777779</v>
      </c>
      <c r="L314" s="29">
        <v>0.95138888888888884</v>
      </c>
      <c r="M314" s="30">
        <f t="shared" ca="1" si="70"/>
        <v>1.7361111111111049E-2</v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 t="s">
        <v>20</v>
      </c>
      <c r="I315" s="33" t="s">
        <v>39</v>
      </c>
      <c r="J315" s="33" t="s">
        <v>36</v>
      </c>
      <c r="K315" s="29">
        <v>2.6388888888888889E-2</v>
      </c>
      <c r="L315" s="29">
        <v>2.9861111111111113E-2</v>
      </c>
      <c r="M315" s="35">
        <f t="shared" ca="1" si="70"/>
        <v>3.4722222222222238E-3</v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34">
        <f t="shared" si="69"/>
        <v>84</v>
      </c>
      <c r="H316" s="26" t="s">
        <v>19</v>
      </c>
      <c r="I316" s="26" t="s">
        <v>159</v>
      </c>
      <c r="J316" s="26" t="s">
        <v>27</v>
      </c>
      <c r="K316" s="29">
        <v>9.3055555555555558E-2</v>
      </c>
      <c r="L316" s="29">
        <v>0.11319444444444444</v>
      </c>
      <c r="M316" s="30">
        <f t="shared" ca="1" si="70"/>
        <v>2.0138888888888887E-2</v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18</v>
      </c>
      <c r="G317" s="34">
        <f t="shared" si="69"/>
        <v>75.600000000000009</v>
      </c>
      <c r="H317" s="33" t="s">
        <v>18</v>
      </c>
      <c r="I317" s="33" t="s">
        <v>138</v>
      </c>
      <c r="J317" s="33" t="s">
        <v>100</v>
      </c>
      <c r="K317" s="29">
        <v>0.18402777777777779</v>
      </c>
      <c r="L317" s="29">
        <v>0.19097222222222221</v>
      </c>
      <c r="M317" s="35">
        <f t="shared" ca="1" si="70"/>
        <v>6.9444444444444198E-3</v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16</v>
      </c>
      <c r="G318" s="34">
        <f t="shared" si="69"/>
        <v>67.2</v>
      </c>
      <c r="H318" s="26" t="s">
        <v>17</v>
      </c>
      <c r="I318" s="26"/>
      <c r="J318" s="26" t="s">
        <v>25</v>
      </c>
      <c r="K318" s="29">
        <v>0.22083333333333333</v>
      </c>
      <c r="L318" s="29">
        <v>0.22847222222222222</v>
      </c>
      <c r="M318" s="30">
        <f t="shared" ca="1" si="70"/>
        <v>7.6388888888888895E-3</v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15</v>
      </c>
      <c r="G319" s="34">
        <f t="shared" si="69"/>
        <v>63</v>
      </c>
      <c r="H319" s="33" t="s">
        <v>17</v>
      </c>
      <c r="I319" s="33" t="s">
        <v>31</v>
      </c>
      <c r="J319" s="33" t="s">
        <v>49</v>
      </c>
      <c r="K319" s="29">
        <v>0.2326388888888889</v>
      </c>
      <c r="L319" s="29">
        <v>0.24166666666666667</v>
      </c>
      <c r="M319" s="35">
        <f t="shared" ca="1" si="70"/>
        <v>9.0277777777777735E-3</v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16</v>
      </c>
      <c r="G320" s="34">
        <f t="shared" si="69"/>
        <v>67.2</v>
      </c>
      <c r="H320" s="26" t="s">
        <v>17</v>
      </c>
      <c r="I320" s="26" t="s">
        <v>135</v>
      </c>
      <c r="J320" s="26" t="s">
        <v>49</v>
      </c>
      <c r="K320" s="29">
        <v>0.25069444444444444</v>
      </c>
      <c r="L320" s="29">
        <v>0.27430555555555558</v>
      </c>
      <c r="M320" s="30">
        <f t="shared" ca="1" si="70"/>
        <v>2.3611111111111138E-2</v>
      </c>
      <c r="N320" s="46" t="s">
        <v>293</v>
      </c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>
        <v>12</v>
      </c>
      <c r="G321" s="34">
        <f t="shared" si="69"/>
        <v>50.400000000000006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>
        <v>10</v>
      </c>
      <c r="G322" s="34">
        <f t="shared" si="69"/>
        <v>42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>
        <v>4</v>
      </c>
      <c r="G323" s="34">
        <f t="shared" si="69"/>
        <v>16.8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168</v>
      </c>
      <c r="G324" s="36">
        <f>SUM(G312:G323)</f>
        <v>716</v>
      </c>
      <c r="H324" s="37"/>
      <c r="I324" s="37"/>
      <c r="J324" s="37"/>
      <c r="K324" s="37"/>
      <c r="L324" s="37"/>
      <c r="M324" s="38">
        <f ca="1">IFERROR(SUM(M312:M323),"")</f>
        <v>0.11180555555555541</v>
      </c>
      <c r="N324" s="36" t="s">
        <v>236</v>
      </c>
      <c r="O324" s="77">
        <v>725030</v>
      </c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337</v>
      </c>
      <c r="G325" s="40">
        <f>G311+G324</f>
        <v>1425.8</v>
      </c>
      <c r="H325" s="41"/>
      <c r="I325" s="41"/>
      <c r="J325" s="41"/>
      <c r="K325" s="41"/>
      <c r="L325" s="41"/>
      <c r="M325" s="42">
        <f ca="1">IFERROR(M311+M324,"")</f>
        <v>0.16527777777777755</v>
      </c>
      <c r="N325" s="40" t="s">
        <v>240</v>
      </c>
      <c r="O325" s="83">
        <f>IFERROR(O311+O324,"")</f>
        <v>1479900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2" zoomScale="68" zoomScaleNormal="68" workbookViewId="0">
      <selection activeCell="O324" sqref="O324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300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301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302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281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272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284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306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307</v>
      </c>
      <c r="M222" s="30" t="str">
        <f t="shared" ca="1" si="49"/>
        <v/>
      </c>
      <c r="N222" s="27" t="s">
        <v>308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309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272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9.3478124996181577E-2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0.15528368055173714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0.21639479166284831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310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272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516.59999999999991</v>
      </c>
      <c r="H311" s="37"/>
      <c r="I311" s="37"/>
      <c r="J311" s="37"/>
      <c r="K311" s="37"/>
      <c r="L311" s="37"/>
      <c r="M311" s="38">
        <f ca="1">IFERROR(SUM(M299:M310),"")</f>
        <v>2.8472222222222288E-2</v>
      </c>
      <c r="N311" s="36" t="s">
        <v>236</v>
      </c>
      <c r="O311" s="39">
        <v>567440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8</v>
      </c>
      <c r="G312" s="28">
        <f t="shared" ref="G312:G323" si="69">IF(F312="","",IF(E312="PC 17",F312*4.2,IF(E312="PC 19",F312*5,IF(E312="CB",F312*24,""))))</f>
        <v>33.6</v>
      </c>
      <c r="H312" s="26" t="s">
        <v>19</v>
      </c>
      <c r="I312" s="26" t="s">
        <v>47</v>
      </c>
      <c r="J312" s="26" t="s">
        <v>27</v>
      </c>
      <c r="K312" s="29">
        <v>6.5972222222222224E-2</v>
      </c>
      <c r="L312" s="29">
        <v>7.9861111111111105E-2</v>
      </c>
      <c r="M312" s="30">
        <f t="shared" ref="M312:M323" ca="1" si="70">IFERROR(IF(K312="","",IF(L312="",MOD(NOW()-K312,1),IF(L312&gt;=K312,L312-K312,L312+1-K312))),"")</f>
        <v>1.3888888888888881E-2</v>
      </c>
      <c r="N312" s="27" t="s">
        <v>311</v>
      </c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4</v>
      </c>
      <c r="G313" s="34">
        <f t="shared" si="69"/>
        <v>20</v>
      </c>
      <c r="H313" s="33" t="s">
        <v>18</v>
      </c>
      <c r="I313" s="33" t="s">
        <v>138</v>
      </c>
      <c r="J313" s="33" t="s">
        <v>100</v>
      </c>
      <c r="K313" s="29">
        <v>0.18402777777777779</v>
      </c>
      <c r="L313" s="29">
        <v>0.19097222222222221</v>
      </c>
      <c r="M313" s="35">
        <f t="shared" ca="1" si="70"/>
        <v>6.9444444444444198E-3</v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10</v>
      </c>
      <c r="G314" s="28">
        <f t="shared" si="69"/>
        <v>42</v>
      </c>
      <c r="H314" s="26" t="s">
        <v>17</v>
      </c>
      <c r="I314" s="26"/>
      <c r="J314" s="26" t="s">
        <v>25</v>
      </c>
      <c r="K314" s="29">
        <v>0.22083333333333333</v>
      </c>
      <c r="L314" s="29">
        <v>0.22847222222222222</v>
      </c>
      <c r="M314" s="30">
        <f t="shared" ca="1" si="70"/>
        <v>7.6388888888888895E-3</v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 t="s">
        <v>17</v>
      </c>
      <c r="I315" s="33" t="s">
        <v>135</v>
      </c>
      <c r="J315" s="33" t="s">
        <v>49</v>
      </c>
      <c r="K315" s="29">
        <v>0.2326388888888889</v>
      </c>
      <c r="L315" s="29">
        <v>0.24166666666666667</v>
      </c>
      <c r="M315" s="35">
        <f t="shared" ca="1" si="70"/>
        <v>9.0277777777777735E-3</v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6</v>
      </c>
      <c r="G316" s="28">
        <f t="shared" si="69"/>
        <v>25.200000000000003</v>
      </c>
      <c r="H316" s="26" t="s">
        <v>17</v>
      </c>
      <c r="I316" s="26" t="s">
        <v>135</v>
      </c>
      <c r="J316" s="26" t="s">
        <v>49</v>
      </c>
      <c r="K316" s="29">
        <v>0.25069444444444444</v>
      </c>
      <c r="L316" s="29">
        <v>0.28125</v>
      </c>
      <c r="M316" s="30">
        <f t="shared" ca="1" si="70"/>
        <v>3.0555555555555558E-2</v>
      </c>
      <c r="N316" s="27" t="s">
        <v>293</v>
      </c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8</v>
      </c>
      <c r="G317" s="34">
        <f t="shared" si="69"/>
        <v>33.6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3</v>
      </c>
      <c r="G318" s="28">
        <f t="shared" si="69"/>
        <v>12.600000000000001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6</v>
      </c>
      <c r="G319" s="34">
        <f t="shared" si="69"/>
        <v>25.200000000000003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4</v>
      </c>
      <c r="G320" s="28">
        <f t="shared" si="69"/>
        <v>16.8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>
        <v>5</v>
      </c>
      <c r="G321" s="34">
        <f t="shared" si="69"/>
        <v>21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>
        <v>2</v>
      </c>
      <c r="G322" s="28">
        <f t="shared" si="69"/>
        <v>8.4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62</v>
      </c>
      <c r="G324" s="36">
        <f>SUM(G312:G323)</f>
        <v>263.59999999999997</v>
      </c>
      <c r="H324" s="37"/>
      <c r="I324" s="37"/>
      <c r="J324" s="37"/>
      <c r="K324" s="37"/>
      <c r="L324" s="37"/>
      <c r="M324" s="38">
        <f ca="1">IFERROR(SUM(M312:M323),"")</f>
        <v>6.8055555555555522E-2</v>
      </c>
      <c r="N324" s="36" t="s">
        <v>236</v>
      </c>
      <c r="O324" s="39">
        <v>289490</v>
      </c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185</v>
      </c>
      <c r="G325" s="40">
        <f>G311+G324</f>
        <v>780.19999999999982</v>
      </c>
      <c r="H325" s="41"/>
      <c r="I325" s="41"/>
      <c r="J325" s="41"/>
      <c r="K325" s="41"/>
      <c r="L325" s="41"/>
      <c r="M325" s="42">
        <f ca="1">IFERROR(M311+M324,"")</f>
        <v>9.652777777777781E-2</v>
      </c>
      <c r="N325" s="40" t="s">
        <v>240</v>
      </c>
      <c r="O325" s="48">
        <f>IFERROR(O311+O324,"")</f>
        <v>856930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0:E261 E29:E256 E263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85" zoomScaleNormal="85" workbookViewId="0">
      <pane ySplit="1" topLeftCell="A292" activePane="bottomLeft" state="frozen"/>
      <selection pane="bottomLeft" activeCell="O324" sqref="O324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312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313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314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316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317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318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319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320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272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321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322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281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323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325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326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327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328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329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330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331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332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333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334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335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336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301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337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338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339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340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341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342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343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10</v>
      </c>
      <c r="G310" s="28">
        <f t="shared" si="66"/>
        <v>42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192</v>
      </c>
      <c r="G311" s="36">
        <f>SUM(G299:G310)</f>
        <v>806.4</v>
      </c>
      <c r="H311" s="37"/>
      <c r="I311" s="37"/>
      <c r="J311" s="37"/>
      <c r="K311" s="61"/>
      <c r="L311" s="61"/>
      <c r="M311" s="38">
        <f ca="1">IFERROR(SUM(M299:M310),"")</f>
        <v>7.5694444444444453E-2</v>
      </c>
      <c r="N311" s="36" t="s">
        <v>236</v>
      </c>
      <c r="O311" s="39">
        <v>948950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23</v>
      </c>
      <c r="G312" s="28">
        <f t="shared" ref="G312:G323" si="69">IF(F312="","",IF(E312="PC 17",F312*4.2,IF(E312="PC 19",F312*5,IF(E312="CB",F312*24,""))))</f>
        <v>96.600000000000009</v>
      </c>
      <c r="H312" s="26" t="s">
        <v>20</v>
      </c>
      <c r="I312" s="26" t="s">
        <v>157</v>
      </c>
      <c r="J312" s="26" t="s">
        <v>74</v>
      </c>
      <c r="K312" s="29">
        <v>0.94097222222222221</v>
      </c>
      <c r="L312" s="29">
        <v>0.96875</v>
      </c>
      <c r="M312" s="30">
        <f t="shared" ref="M312:M323" ca="1" si="70">IFERROR(IF(K312="","",IF(L312="",MOD(NOW()-K312,1),IF(L312&gt;=K312,L312-K312,L312+1-K312))),"")</f>
        <v>2.777777777777779E-2</v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17</v>
      </c>
      <c r="G313" s="34">
        <f t="shared" si="69"/>
        <v>85</v>
      </c>
      <c r="H313" s="33" t="s">
        <v>19</v>
      </c>
      <c r="I313" s="33" t="s">
        <v>162</v>
      </c>
      <c r="J313" s="33" t="s">
        <v>27</v>
      </c>
      <c r="K313" s="29">
        <v>8.1250000000000003E-2</v>
      </c>
      <c r="L313" s="29">
        <v>9.5138888888888884E-2</v>
      </c>
      <c r="M313" s="35">
        <f t="shared" ca="1" si="70"/>
        <v>1.3888888888888881E-2</v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35</v>
      </c>
      <c r="G314" s="28">
        <f t="shared" si="69"/>
        <v>147</v>
      </c>
      <c r="H314" s="26" t="s">
        <v>17</v>
      </c>
      <c r="I314" s="26"/>
      <c r="J314" s="26" t="s">
        <v>25</v>
      </c>
      <c r="K314" s="29">
        <v>0.22083333333333333</v>
      </c>
      <c r="L314" s="29">
        <v>0.22847222222222222</v>
      </c>
      <c r="M314" s="30">
        <f t="shared" ca="1" si="70"/>
        <v>7.6388888888888895E-3</v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3</v>
      </c>
      <c r="G315" s="34">
        <f t="shared" si="69"/>
        <v>12.600000000000001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28">
        <f t="shared" si="69"/>
        <v>84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24</v>
      </c>
      <c r="G317" s="34">
        <f t="shared" si="69"/>
        <v>100.80000000000001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14</v>
      </c>
      <c r="G318" s="28">
        <f t="shared" si="69"/>
        <v>58.800000000000004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24</v>
      </c>
      <c r="G319" s="34">
        <f t="shared" si="69"/>
        <v>100.80000000000001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17</v>
      </c>
      <c r="G320" s="28">
        <f t="shared" si="69"/>
        <v>71.400000000000006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>
        <v>16</v>
      </c>
      <c r="G321" s="34">
        <f t="shared" si="69"/>
        <v>67.2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>
        <v>20</v>
      </c>
      <c r="G322" s="28">
        <f t="shared" si="69"/>
        <v>84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>
        <v>18</v>
      </c>
      <c r="G323" s="34">
        <f t="shared" si="69"/>
        <v>75.600000000000009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231</v>
      </c>
      <c r="G324" s="36">
        <f>SUM(G312:G323)</f>
        <v>983.8</v>
      </c>
      <c r="H324" s="37"/>
      <c r="I324" s="37"/>
      <c r="J324" s="37"/>
      <c r="K324" s="61"/>
      <c r="L324" s="61"/>
      <c r="M324" s="38">
        <f ca="1">IFERROR(SUM(M312:M323),"")</f>
        <v>4.9305555555555561E-2</v>
      </c>
      <c r="N324" s="36" t="s">
        <v>236</v>
      </c>
      <c r="O324" s="39">
        <v>1049720</v>
      </c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423</v>
      </c>
      <c r="G325" s="40">
        <f>G311+G324</f>
        <v>1790.1999999999998</v>
      </c>
      <c r="H325" s="41"/>
      <c r="I325" s="41"/>
      <c r="J325" s="41"/>
      <c r="K325" s="63"/>
      <c r="L325" s="63"/>
      <c r="M325" s="42">
        <f ca="1">IFERROR(M311+M324,"")</f>
        <v>0.125</v>
      </c>
      <c r="N325" s="40" t="s">
        <v>240</v>
      </c>
      <c r="O325" s="48">
        <f>IFERROR(O311+O324,"")</f>
        <v>1998670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2026-08-13T10:55:07Z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