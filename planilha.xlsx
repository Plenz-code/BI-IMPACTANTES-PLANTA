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168" documentId="8_{AF585B22-221D-4780-BB9C-493D365A6A02}" xr6:coauthVersionLast="47" xr6:coauthVersionMax="47" xr10:uidLastSave="{37FDF32A-B5F0-4F3C-A092-2BD9B75C41C1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<sst xmlns="http://schemas.openxmlformats.org/spreadsheetml/2006/main" count="9659" uniqueCount="383">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</sst>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F630" sqref="F6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210</v>
      </c>
      <c r="G635" s="36">
        <f>SUM(G623:G634)</f>
        <v>1050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210</v>
      </c>
      <c r="G649" s="40">
        <f>G635+G648</f>
        <v>1050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13" activePane="bottomLeft" state="frozen"/>
      <selection pane="bottomLeft" activeCell="L625" sqref="L6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0.35932766203768551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0.5169665509265744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0.62668877314879656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0.33779988426249474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0.50863321759582814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0.65377210648471706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/>
      <c r="I625" s="33"/>
      <c r="J625" s="33"/>
      <c r="K625" s="29"/>
      <c r="L625" s="29"/>
      <c r="M625" s="35" t="str">
        <f t="shared" ref="M625:M634" ca="1" si="140">IFERROR(IF(K625="","",IF(L625="",MOD(NOW()-K625,1),IF(L625&gt;=K625,L625-K625,L625+1-K625))),"")</f>
        <v/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58</v>
      </c>
      <c r="G635" s="36">
        <f>SUM(G623:G634)</f>
        <v>243.6</v>
      </c>
      <c r="H635" s="37"/>
      <c r="I635" s="37"/>
      <c r="J635" s="37"/>
      <c r="K635" s="37"/>
      <c r="L635" s="37"/>
      <c r="M635" s="38">
        <f ca="1">IFERROR(SUM(M623:M634),"")</f>
        <v>0.95833333333333315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58</v>
      </c>
      <c r="G649" s="40">
        <f>G635+G648</f>
        <v>243.6</v>
      </c>
      <c r="H649" s="41"/>
      <c r="I649" s="41"/>
      <c r="J649" s="41"/>
      <c r="K649" s="41"/>
      <c r="L649" s="41"/>
      <c r="M649" s="42">
        <f ca="1">IFERROR(M635+M648,"")</f>
        <v>0.95833333333333315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29" sqref="F6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07" activePane="bottomLeft" state="frozen"/>
      <selection pane="bottomLeft" activeCell="K627" sqref="K6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0.34960543982015224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0.54891099537570787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0.91627210648681889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>
        <v>0.59861111111111109</v>
      </c>
      <c r="L626" s="29"/>
      <c r="M626" s="30">
        <f t="shared" ca="1" si="139"/>
        <v>2.9988426103955135E-4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81</v>
      </c>
      <c r="G635" s="36">
        <f>SUM(G623:G634)</f>
        <v>340.20000000000005</v>
      </c>
      <c r="H635" s="37"/>
      <c r="I635" s="37"/>
      <c r="J635" s="37"/>
      <c r="K635" s="61"/>
      <c r="L635" s="61"/>
      <c r="M635" s="38">
        <f ca="1">IFERROR(SUM(M623:M634),"")</f>
        <v>2.1133217594372977E-2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81</v>
      </c>
      <c r="G649" s="40">
        <f>G635+G648</f>
        <v>340.20000000000005</v>
      </c>
      <c r="H649" s="41"/>
      <c r="I649" s="41"/>
      <c r="J649" s="41"/>
      <c r="K649" s="63"/>
      <c r="L649" s="63"/>
      <c r="M649" s="42">
        <f ca="1">IFERROR(M635+M648,"")</f>
        <v>2.1133217594372977E-2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2026-07-24T18:22:37Z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