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611" documentId="8_{C51EB6CB-002B-4D6B-B68F-DDEBDB4460C0}" xr6:coauthVersionLast="47" xr6:coauthVersionMax="47" xr10:uidLastSave="{9B9C29E0-067D-4E50-85F7-314DD03BA09C}"/>
  <bookViews>
    <workbookView xWindow="-108" yWindow="-108" windowWidth="23256" windowHeight="12456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176" i="6" l="1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<sst xmlns="http://schemas.openxmlformats.org/spreadsheetml/2006/main" count="4685" uniqueCount="316">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</sst>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10" t="s">
        <v>0</v>
      </c>
      <c r="B1" s="110"/>
      <c r="C1" s="110"/>
      <c r="D1" s="110"/>
      <c r="E1" s="110"/>
      <c r="F1" s="110"/>
      <c r="G1" s="110"/>
    </row>
    <row r="2" spans="1:7" ht="24.75" customHeight="1">
      <c r="A2" s="111"/>
      <c r="B2" s="111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2165620</v>
      </c>
      <c r="D12" s="8">
        <f>IFERROR('Linha 1'!O244,"")</f>
        <v>503310</v>
      </c>
      <c r="E12" s="8">
        <f>IFERROR('Linha 2'!O244,"")</f>
        <v>329640</v>
      </c>
      <c r="F12" s="8">
        <f>IFERROR('Linha 3'!O244,"")</f>
        <v>755220</v>
      </c>
      <c r="G12" s="9">
        <f t="shared" si="0"/>
        <v>1588170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2" t="s">
        <v>9</v>
      </c>
      <c r="B35" s="112"/>
      <c r="C35" s="13">
        <f>IFERROR(SUM(C4:C34),"")</f>
        <v>29446500</v>
      </c>
      <c r="D35" s="13">
        <f>IFERROR(SUM(D4:D34),"")</f>
        <v>8827170</v>
      </c>
      <c r="E35" s="13">
        <f>IFERROR(SUM(E4:E34),"")</f>
        <v>4207220</v>
      </c>
      <c r="F35" s="13">
        <f>IFERROR(SUM(F4:F34),"")</f>
        <v>11603970</v>
      </c>
      <c r="G35" s="13">
        <f>IFERROR(SUM(G4:G34),"")</f>
        <v>24638360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3" t="s">
        <v>10</v>
      </c>
      <c r="B1" s="113"/>
      <c r="C1" s="113"/>
      <c r="D1" s="113"/>
      <c r="E1" s="113"/>
      <c r="F1" s="113"/>
      <c r="G1" s="113"/>
      <c r="H1" s="114"/>
      <c r="I1" s="115" t="s">
        <v>11</v>
      </c>
      <c r="J1" s="115"/>
      <c r="K1" s="115"/>
      <c r="L1" s="115"/>
      <c r="M1" s="115"/>
    </row>
    <row r="2" spans="1:13" ht="4.5" customHeight="1">
      <c r="H2" s="114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4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4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4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4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4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4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4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4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4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4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4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4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4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4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4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4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4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4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4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4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4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4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4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4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4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4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4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4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4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4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4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4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4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4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4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4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4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4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4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4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4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4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4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4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4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4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4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4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4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4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4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4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4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4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4"/>
      <c r="I57" s="17"/>
      <c r="J57" s="17"/>
      <c r="K57" s="17" t="s">
        <v>50</v>
      </c>
      <c r="L57" s="17"/>
      <c r="M57" s="17"/>
    </row>
    <row r="58" spans="1:13" ht="15" customHeight="1">
      <c r="H58" s="114"/>
      <c r="I58" s="16"/>
      <c r="J58" s="16"/>
      <c r="K58" s="16" t="s">
        <v>207</v>
      </c>
      <c r="L58" s="16"/>
      <c r="M58" s="16"/>
    </row>
    <row r="59" spans="1:13" ht="15" customHeight="1">
      <c r="H59" s="114"/>
      <c r="I59" s="17"/>
      <c r="J59" s="17"/>
      <c r="K59" s="17" t="s">
        <v>208</v>
      </c>
      <c r="L59" s="17"/>
      <c r="M59" s="17"/>
    </row>
    <row r="60" spans="1:13" ht="15" customHeight="1">
      <c r="H60" s="114"/>
      <c r="I60" s="16"/>
      <c r="J60" s="16"/>
      <c r="K60" s="86" t="s">
        <v>105</v>
      </c>
      <c r="L60" s="16"/>
      <c r="M60" s="16"/>
    </row>
    <row r="61" spans="1:13" ht="15" customHeight="1">
      <c r="H61" s="114"/>
      <c r="I61" s="17"/>
      <c r="J61" s="17"/>
      <c r="K61" s="17" t="s">
        <v>209</v>
      </c>
      <c r="L61" s="17"/>
      <c r="M61" s="17"/>
    </row>
    <row r="62" spans="1:13" ht="15" customHeight="1">
      <c r="H62" s="114"/>
      <c r="I62" s="16"/>
      <c r="J62" s="16"/>
      <c r="K62" s="16" t="s">
        <v>210</v>
      </c>
      <c r="L62" s="16"/>
      <c r="M62" s="16"/>
    </row>
    <row r="63" spans="1:13" ht="15" customHeight="1">
      <c r="H63" s="114"/>
      <c r="I63" s="17"/>
      <c r="J63" s="17"/>
      <c r="K63" s="17" t="s">
        <v>211</v>
      </c>
      <c r="L63" s="17"/>
      <c r="M63" s="17"/>
    </row>
    <row r="64" spans="1:13" ht="15" customHeight="1">
      <c r="H64" s="114"/>
      <c r="I64" s="16"/>
      <c r="J64" s="16"/>
      <c r="K64" s="16" t="s">
        <v>212</v>
      </c>
      <c r="L64" s="16"/>
      <c r="M64" s="16"/>
    </row>
    <row r="65" spans="8:13" ht="15" customHeight="1">
      <c r="H65" s="114"/>
      <c r="I65" s="17"/>
      <c r="J65" s="17"/>
      <c r="K65" s="17" t="s">
        <v>213</v>
      </c>
      <c r="L65" s="17"/>
      <c r="M65" s="17"/>
    </row>
    <row r="66" spans="8:13" ht="15" customHeight="1">
      <c r="H66" s="114"/>
      <c r="I66" s="16"/>
      <c r="J66" s="16"/>
      <c r="K66" s="16" t="s">
        <v>214</v>
      </c>
      <c r="L66" s="16"/>
      <c r="M66" s="16"/>
    </row>
    <row r="67" spans="8:13" ht="15" customHeight="1">
      <c r="H67" s="114"/>
      <c r="I67" s="17"/>
      <c r="J67" s="17"/>
      <c r="K67" s="17" t="s">
        <v>215</v>
      </c>
      <c r="L67" s="17"/>
      <c r="M67" s="17"/>
    </row>
    <row r="68" spans="8:13" ht="15" customHeight="1">
      <c r="H68" s="114"/>
      <c r="I68" s="16"/>
      <c r="J68" s="16"/>
      <c r="K68" s="16" t="s">
        <v>216</v>
      </c>
      <c r="L68" s="16"/>
      <c r="M68" s="16"/>
    </row>
    <row r="69" spans="8:13" ht="15" customHeight="1">
      <c r="H69" s="114"/>
      <c r="I69" s="17"/>
      <c r="J69" s="17"/>
      <c r="K69" s="17" t="s">
        <v>217</v>
      </c>
      <c r="L69" s="17"/>
      <c r="M69" s="17"/>
    </row>
    <row r="70" spans="8:13" ht="15" customHeight="1">
      <c r="H70" s="114"/>
      <c r="I70" s="16"/>
      <c r="J70" s="16"/>
      <c r="K70" s="16" t="s">
        <v>218</v>
      </c>
      <c r="L70" s="16"/>
      <c r="M70" s="16"/>
    </row>
    <row r="71" spans="8:13" ht="15" customHeight="1">
      <c r="H71" s="114"/>
      <c r="I71" s="17"/>
      <c r="J71" s="17"/>
      <c r="K71" s="17" t="s">
        <v>219</v>
      </c>
      <c r="L71" s="17"/>
      <c r="M71" s="17"/>
    </row>
    <row r="72" spans="8:13" ht="15" customHeight="1">
      <c r="H72" s="114"/>
      <c r="I72" s="16"/>
      <c r="J72" s="16"/>
      <c r="K72" s="16" t="s">
        <v>220</v>
      </c>
      <c r="L72" s="16"/>
      <c r="M72" s="16"/>
    </row>
    <row r="73" spans="8:13" ht="15" customHeight="1">
      <c r="H73" s="114"/>
      <c r="I73" s="17"/>
      <c r="J73" s="17"/>
      <c r="K73" s="17" t="s">
        <v>221</v>
      </c>
      <c r="L73" s="17"/>
      <c r="M73" s="17"/>
    </row>
    <row r="74" spans="8:13" ht="15" customHeight="1">
      <c r="H74" s="114"/>
      <c r="I74" s="16"/>
      <c r="J74" s="16"/>
      <c r="K74" s="16" t="s">
        <v>222</v>
      </c>
      <c r="L74" s="16"/>
      <c r="M74" s="16"/>
    </row>
    <row r="75" spans="8:13" ht="15" customHeight="1">
      <c r="H75" s="114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215" activePane="bottomLeft" state="frozen"/>
      <selection pane="bottomLeft" activeCell="J232" sqref="J232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235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233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233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236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235</v>
      </c>
      <c r="O27" s="39">
        <v>997910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239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233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240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233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236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235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233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233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233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233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235</v>
      </c>
      <c r="O54" s="39">
        <v>981310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239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233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235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233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242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235</v>
      </c>
      <c r="O81" s="39">
        <v>1547910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239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233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233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243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235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244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3156240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239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235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235</v>
      </c>
      <c r="O135" s="39">
        <v>2875180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239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245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233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233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233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235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233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233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233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233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235</v>
      </c>
      <c r="O162" s="44">
        <v>842000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239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247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233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235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248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235</v>
      </c>
      <c r="O189" s="39">
        <v>1901630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239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233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233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250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235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45">
        <v>1852295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239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251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234</v>
      </c>
      <c r="B230" s="88"/>
      <c r="C230" s="88"/>
      <c r="D230" s="59"/>
      <c r="E230" s="89">
        <f>SUM(E218:E229)</f>
        <v>0</v>
      </c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235</v>
      </c>
      <c r="O230" s="39">
        <v>2165620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233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20</v>
      </c>
      <c r="I231" s="33" t="s">
        <v>23</v>
      </c>
      <c r="J231" s="33" t="s">
        <v>202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233</v>
      </c>
      <c r="F232" s="27">
        <v>37</v>
      </c>
      <c r="G232" s="28">
        <f t="shared" si="51"/>
        <v>185</v>
      </c>
      <c r="H232" s="26" t="s">
        <v>20</v>
      </c>
      <c r="I232" s="26" t="s">
        <v>23</v>
      </c>
      <c r="J232" s="26" t="s">
        <v>134</v>
      </c>
      <c r="K232" s="29">
        <v>0.95833333333333337</v>
      </c>
      <c r="L232" s="29"/>
      <c r="M232" s="30">
        <f t="shared" ca="1" si="52"/>
        <v>4.0510185179300606E-2</v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233</v>
      </c>
      <c r="F233" s="27">
        <v>16</v>
      </c>
      <c r="G233" s="34">
        <f t="shared" si="51"/>
        <v>80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7.1065740734856164E-2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0.15023240740152272</v>
      </c>
      <c r="N244" s="40" t="s">
        <v>239</v>
      </c>
      <c r="O244" s="48">
        <f>IFERROR(O230+O243,"")</f>
        <v>2165620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16" t="s">
        <v>238</v>
      </c>
      <c r="B811" s="117"/>
      <c r="C811" s="117"/>
      <c r="D811" s="117"/>
      <c r="E811" s="118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2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210" activePane="bottomLeft" state="frozen"/>
      <selection pane="bottomLeft" activeCell="F236" sqref="F23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252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253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254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235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249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249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249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249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255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249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256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249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249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249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249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249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235</v>
      </c>
      <c r="O27" s="77">
        <v>549860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239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235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249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249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249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249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257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249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258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249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249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259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249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0.87731574073404772</v>
      </c>
      <c r="N53" s="46" t="s">
        <v>260</v>
      </c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1.0162046296229366</v>
      </c>
      <c r="N54" s="36" t="s">
        <v>235</v>
      </c>
      <c r="O54" s="84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1.1009268518451589</v>
      </c>
      <c r="N55" s="40" t="s">
        <v>239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252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235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249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249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249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249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249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261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249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249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249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235</v>
      </c>
      <c r="O81" s="54">
        <v>634210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239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262</v>
      </c>
      <c r="E83" s="59" t="s">
        <v>249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209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235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263</v>
      </c>
      <c r="M96" s="30" t="str">
        <f t="shared" ref="M96:M107" ca="1" si="22">IFERROR(IF(K96="","",IF(L96="",MOD(NOW()-K96,1),IF(L96&gt;=K96,L96-K96,L96+1-K96))),"")</f>
        <v/>
      </c>
      <c r="N96" s="46" t="s">
        <v>264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236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265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266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236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235</v>
      </c>
      <c r="O108" s="54">
        <v>456830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239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267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235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235</v>
      </c>
      <c r="O135" s="54">
        <v>756720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239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249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268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249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249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269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249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249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249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249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270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249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249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235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271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235</v>
      </c>
      <c r="O162" s="54">
        <v>501750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239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249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249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249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249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249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249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249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249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249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249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235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249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249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272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249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269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273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249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249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235</v>
      </c>
      <c r="O189" s="77">
        <v>362530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239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274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267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235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235</v>
      </c>
      <c r="O216" s="77">
        <v>609740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239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261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236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275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>
        <v>13</v>
      </c>
      <c r="G223" s="34">
        <f t="shared" si="48"/>
        <v>54.6</v>
      </c>
      <c r="H223" s="33" t="s">
        <v>18</v>
      </c>
      <c r="I223" s="33" t="s">
        <v>135</v>
      </c>
      <c r="J223" s="33"/>
      <c r="K223" s="29">
        <v>0.67777777777777781</v>
      </c>
      <c r="L223" s="29">
        <v>0.68472222222222223</v>
      </c>
      <c r="M223" s="35">
        <f t="shared" ca="1" si="49"/>
        <v>6.9444444444444198E-3</v>
      </c>
      <c r="N223" s="46" t="s">
        <v>276</v>
      </c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>
        <v>10</v>
      </c>
      <c r="G224" s="28">
        <f t="shared" si="48"/>
        <v>42</v>
      </c>
      <c r="H224" s="26" t="s">
        <v>18</v>
      </c>
      <c r="I224" s="26" t="s">
        <v>135</v>
      </c>
      <c r="J224" s="26" t="s">
        <v>61</v>
      </c>
      <c r="K224" s="29">
        <v>0.69930555555555551</v>
      </c>
      <c r="L224" s="29">
        <v>0.71111111111111114</v>
      </c>
      <c r="M224" s="30">
        <f t="shared" ca="1" si="49"/>
        <v>1.1805555555555625E-2</v>
      </c>
      <c r="N224" s="46" t="s">
        <v>277</v>
      </c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249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249</v>
      </c>
      <c r="F226" s="27">
        <v>12</v>
      </c>
      <c r="G226" s="28">
        <f t="shared" si="48"/>
        <v>50.400000000000006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249</v>
      </c>
      <c r="F227" s="27">
        <v>10</v>
      </c>
      <c r="G227" s="34">
        <f t="shared" si="48"/>
        <v>42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249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249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7" t="s">
        <v>234</v>
      </c>
      <c r="B230" s="108"/>
      <c r="C230" s="108"/>
      <c r="D230" s="108"/>
      <c r="E230" s="109">
        <f>SUM(E218:E229)</f>
        <v>0</v>
      </c>
      <c r="F230" s="36">
        <f>SUM(F218:F229)</f>
        <v>134</v>
      </c>
      <c r="G230" s="36">
        <f>SUM(G218:G229)</f>
        <v>566.80000000000007</v>
      </c>
      <c r="H230" s="37"/>
      <c r="I230" s="37"/>
      <c r="J230" s="37"/>
      <c r="K230" s="37"/>
      <c r="L230" s="37"/>
      <c r="M230" s="38">
        <f ca="1">IFERROR(SUM(M218:M229),"")</f>
        <v>0.14930555555555569</v>
      </c>
      <c r="N230" s="36" t="s">
        <v>235</v>
      </c>
      <c r="O230" s="77">
        <v>503310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249</v>
      </c>
      <c r="F231" s="27">
        <v>15</v>
      </c>
      <c r="G231" s="34">
        <f t="shared" ref="G231:G242" si="51">IF(F231="","",IF(E231="PC 17",F231*4.2,IF(E231="PC 19",F231*5,IF(E231="CB",F231*24,""))))</f>
        <v>63</v>
      </c>
      <c r="H231" s="33" t="s">
        <v>20</v>
      </c>
      <c r="I231" s="33" t="s">
        <v>39</v>
      </c>
      <c r="J231" s="33" t="s">
        <v>36</v>
      </c>
      <c r="K231" s="29">
        <v>0.81111111111111112</v>
      </c>
      <c r="L231" s="29">
        <v>0.83680555555555558</v>
      </c>
      <c r="M231" s="35">
        <f t="shared" ref="M231:M242" ca="1" si="52">IFERROR(IF(K231="","",IF(L231="",MOD(NOW()-K231,1),IF(L231&gt;=K231,L231-K231,L231+1-K231))),"")</f>
        <v>2.5694444444444464E-2</v>
      </c>
      <c r="N231" s="46" t="s">
        <v>236</v>
      </c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233</v>
      </c>
      <c r="F232" s="27">
        <v>11</v>
      </c>
      <c r="G232" s="28">
        <f t="shared" si="51"/>
        <v>55</v>
      </c>
      <c r="H232" s="26" t="s">
        <v>19</v>
      </c>
      <c r="I232" s="26" t="s">
        <v>159</v>
      </c>
      <c r="J232" s="26" t="s">
        <v>27</v>
      </c>
      <c r="K232" s="29">
        <v>0.94722222222222219</v>
      </c>
      <c r="L232" s="29">
        <v>0.96805555555555556</v>
      </c>
      <c r="M232" s="30">
        <f t="shared" ca="1" si="52"/>
        <v>2.083333333333337E-2</v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249</v>
      </c>
      <c r="F233" s="27">
        <v>13</v>
      </c>
      <c r="G233" s="34">
        <f t="shared" si="51"/>
        <v>54.6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233</v>
      </c>
      <c r="F234" s="27">
        <v>8</v>
      </c>
      <c r="G234" s="28">
        <f t="shared" si="51"/>
        <v>40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233</v>
      </c>
      <c r="F235" s="27">
        <v>10</v>
      </c>
      <c r="G235" s="34">
        <f t="shared" si="51"/>
        <v>50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233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233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233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233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233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233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57</v>
      </c>
      <c r="G243" s="36">
        <f>SUM(G231:G242)</f>
        <v>262.60000000000002</v>
      </c>
      <c r="H243" s="37"/>
      <c r="I243" s="37"/>
      <c r="J243" s="37"/>
      <c r="K243" s="37"/>
      <c r="L243" s="37"/>
      <c r="M243" s="38">
        <f ca="1">IFERROR(SUM(M231:M242),"")</f>
        <v>4.6527777777777835E-2</v>
      </c>
      <c r="N243" s="36" t="s">
        <v>235</v>
      </c>
      <c r="O243" s="77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191</v>
      </c>
      <c r="G244" s="40">
        <f>G230+G243</f>
        <v>829.40000000000009</v>
      </c>
      <c r="H244" s="41"/>
      <c r="I244" s="41"/>
      <c r="J244" s="41"/>
      <c r="K244" s="41"/>
      <c r="L244" s="41"/>
      <c r="M244" s="42">
        <f ca="1">IFERROR(M230+M243,"")</f>
        <v>0.19583333333333353</v>
      </c>
      <c r="N244" s="40" t="s">
        <v>239</v>
      </c>
      <c r="O244" s="83">
        <f>IFERROR(O230+O243,"")</f>
        <v>503310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77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77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77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77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77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77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77"/>
    </row>
    <row r="433" spans="1:15" ht="18" customHeight="1">
      <c r="A433" s="92" t="s">
        <v>238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77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77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77"/>
    </row>
    <row r="514" spans="1:15" ht="18" customHeight="1">
      <c r="A514" s="92" t="s">
        <v>238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77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77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77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77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77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77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77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77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84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09" zoomScale="50" zoomScaleNormal="50" workbookViewId="0">
      <selection activeCell="F236" sqref="F23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235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278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249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249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255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249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279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249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249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249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249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249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249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235</v>
      </c>
      <c r="O27" s="39">
        <v>358000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239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235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278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278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235</v>
      </c>
      <c r="O54" s="39">
        <v>279980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239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249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249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249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249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249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280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249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249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249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249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235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281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235</v>
      </c>
      <c r="O81" s="39">
        <v>185920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239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282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283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235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284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235</v>
      </c>
      <c r="O108" s="39">
        <v>434370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239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235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285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235</v>
      </c>
      <c r="O135" s="39">
        <v>416350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239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286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270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235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261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235</v>
      </c>
      <c r="O162" s="39">
        <v>169760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239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287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235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288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273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273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235</v>
      </c>
      <c r="O189" s="39">
        <v>72220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239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235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289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235</v>
      </c>
      <c r="O216" s="39">
        <v>148720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239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>
        <v>7</v>
      </c>
      <c r="G221" s="34">
        <f t="shared" si="48"/>
        <v>29.400000000000002</v>
      </c>
      <c r="H221" s="33" t="s">
        <v>18</v>
      </c>
      <c r="I221" s="33" t="s">
        <v>135</v>
      </c>
      <c r="J221" s="33" t="s">
        <v>100</v>
      </c>
      <c r="K221" s="29">
        <v>0.67777777777777781</v>
      </c>
      <c r="L221" s="29">
        <v>0.68472222222222223</v>
      </c>
      <c r="M221" s="35">
        <f t="shared" ca="1" si="49"/>
        <v>6.9444444444444198E-3</v>
      </c>
      <c r="N221" s="27" t="s">
        <v>290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5</v>
      </c>
      <c r="G222" s="28">
        <f t="shared" si="48"/>
        <v>25</v>
      </c>
      <c r="H222" s="26" t="s">
        <v>18</v>
      </c>
      <c r="I222" s="26" t="s">
        <v>135</v>
      </c>
      <c r="J222" s="26" t="s">
        <v>61</v>
      </c>
      <c r="K222" s="29">
        <v>0.69930555555555551</v>
      </c>
      <c r="L222" s="29" t="s">
        <v>291</v>
      </c>
      <c r="M222" s="30" t="str">
        <f t="shared" ca="1" si="49"/>
        <v/>
      </c>
      <c r="N222" s="27" t="s">
        <v>292</v>
      </c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>
        <v>7</v>
      </c>
      <c r="G223" s="34">
        <f t="shared" si="48"/>
        <v>29.400000000000002</v>
      </c>
      <c r="H223" s="33" t="s">
        <v>19</v>
      </c>
      <c r="I223" s="33" t="s">
        <v>47</v>
      </c>
      <c r="J223" s="33" t="s">
        <v>27</v>
      </c>
      <c r="K223" s="29">
        <v>0.72430555555555554</v>
      </c>
      <c r="L223" s="29"/>
      <c r="M223" s="35">
        <f t="shared" ca="1" si="49"/>
        <v>0.27453796295594657</v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249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249</v>
      </c>
      <c r="F226" s="27">
        <v>3</v>
      </c>
      <c r="G226" s="28">
        <f t="shared" si="48"/>
        <v>12.600000000000001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249</v>
      </c>
      <c r="F227" s="27">
        <v>2</v>
      </c>
      <c r="G227" s="34">
        <f t="shared" si="48"/>
        <v>8.4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249</v>
      </c>
      <c r="F228" s="27">
        <v>2</v>
      </c>
      <c r="G228" s="28">
        <f t="shared" si="48"/>
        <v>8.4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249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77</v>
      </c>
      <c r="G230" s="36">
        <f>SUM(G218:G229)</f>
        <v>327.39999999999998</v>
      </c>
      <c r="H230" s="37"/>
      <c r="I230" s="37"/>
      <c r="J230" s="37"/>
      <c r="K230" s="37"/>
      <c r="L230" s="37"/>
      <c r="M230" s="38">
        <f ca="1">IFERROR(SUM(M218:M229),"")</f>
        <v>0.33287129628927992</v>
      </c>
      <c r="N230" s="36" t="s">
        <v>235</v>
      </c>
      <c r="O230" s="39">
        <v>329640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249</v>
      </c>
      <c r="F231" s="27">
        <v>9</v>
      </c>
      <c r="G231" s="34">
        <f t="shared" ref="G231:G242" si="51">IF(F231="","",IF(E231="PC 17",F231*4.2,IF(E231="PC 19",F231*5,IF(E231="CB",F231*24,""))))</f>
        <v>37.800000000000004</v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233</v>
      </c>
      <c r="F232" s="27">
        <v>7</v>
      </c>
      <c r="G232" s="28">
        <f t="shared" si="51"/>
        <v>35</v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249</v>
      </c>
      <c r="F233" s="27">
        <v>2</v>
      </c>
      <c r="G233" s="34">
        <f t="shared" si="51"/>
        <v>8.4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233</v>
      </c>
      <c r="F234" s="27">
        <v>1</v>
      </c>
      <c r="G234" s="28">
        <f t="shared" si="51"/>
        <v>5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233</v>
      </c>
      <c r="F235" s="27">
        <v>7</v>
      </c>
      <c r="G235" s="34">
        <f t="shared" si="51"/>
        <v>35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233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233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233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233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233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233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26</v>
      </c>
      <c r="G243" s="36">
        <f>SUM(G231:G242)</f>
        <v>121.20000000000002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103</v>
      </c>
      <c r="G244" s="40">
        <f>G230+G243</f>
        <v>448.6</v>
      </c>
      <c r="H244" s="41"/>
      <c r="I244" s="41"/>
      <c r="J244" s="41"/>
      <c r="K244" s="41"/>
      <c r="L244" s="41"/>
      <c r="M244" s="42">
        <f ca="1">IFERROR(M230+M243,"")</f>
        <v>0.33287129628927992</v>
      </c>
      <c r="N244" s="40" t="s">
        <v>239</v>
      </c>
      <c r="O244" s="48">
        <f>IFERROR(O230+O243,"")</f>
        <v>329640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209" activePane="bottomLeft" state="frozen"/>
      <selection pane="bottomLeft" activeCell="F236" sqref="F236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64.855468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235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249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293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249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258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249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278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249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294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249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249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249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295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249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249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235</v>
      </c>
      <c r="O27" s="39">
        <v>491520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239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249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249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249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249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249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249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249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249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249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249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1" t="s">
        <v>234</v>
      </c>
      <c r="B41" s="102"/>
      <c r="C41" s="102"/>
      <c r="D41" s="102"/>
      <c r="E41" s="103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235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296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235</v>
      </c>
      <c r="O54" s="39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239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297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298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235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216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299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278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249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235</v>
      </c>
      <c r="O81" s="39">
        <v>612410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239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235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278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235</v>
      </c>
      <c r="O108" s="39">
        <v>956070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239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216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221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221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300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235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301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261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278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235</v>
      </c>
      <c r="O135" s="39">
        <v>912240</v>
      </c>
    </row>
    <row r="136" spans="1:18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239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302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303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270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234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235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304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305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235</v>
      </c>
      <c r="O162" s="39">
        <v>573230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239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306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235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307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235</v>
      </c>
      <c r="O189" s="39">
        <v>692750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239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308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235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309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6</v>
      </c>
      <c r="G205" s="34">
        <f t="shared" si="45"/>
        <v>25.200000000000003</v>
      </c>
      <c r="H205" s="33" t="s">
        <v>20</v>
      </c>
      <c r="I205" s="57" t="s">
        <v>310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311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235</v>
      </c>
      <c r="O216" s="45">
        <v>607180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239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312</v>
      </c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313</v>
      </c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249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249</v>
      </c>
      <c r="F226" s="27">
        <v>16</v>
      </c>
      <c r="G226" s="28">
        <f t="shared" si="48"/>
        <v>67.2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249</v>
      </c>
      <c r="F227" s="27">
        <v>15</v>
      </c>
      <c r="G227" s="34">
        <f t="shared" si="48"/>
        <v>63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249</v>
      </c>
      <c r="F228" s="27">
        <v>17</v>
      </c>
      <c r="G228" s="28">
        <f t="shared" si="48"/>
        <v>71.400000000000006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249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169</v>
      </c>
      <c r="G230" s="36">
        <f>SUM(G218:G229)</f>
        <v>725.80000000000007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235</v>
      </c>
      <c r="O230" s="39">
        <v>755220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249</v>
      </c>
      <c r="F231" s="27">
        <v>18</v>
      </c>
      <c r="G231" s="34">
        <f t="shared" ref="G231:G242" si="51">IF(F231="","",IF(E231="PC 17",F231*4.2,IF(E231="PC 19",F231*5,IF(E231="CB",F231*24,""))))</f>
        <v>75.600000000000009</v>
      </c>
      <c r="H231" s="33" t="s">
        <v>20</v>
      </c>
      <c r="I231" s="33" t="s">
        <v>57</v>
      </c>
      <c r="J231" s="33" t="s">
        <v>36</v>
      </c>
      <c r="K231" s="29">
        <v>0.81458333333333333</v>
      </c>
      <c r="L231" s="29">
        <v>0.85624999999999996</v>
      </c>
      <c r="M231" s="35">
        <f t="shared" ref="M231:M242" ca="1" si="52">IFERROR(IF(K231="","",IF(L231="",MOD(NOW()-K231,1),IF(L231&gt;=K231,L231-K231,L231+1-K231))),"")</f>
        <v>4.166666666666663E-2</v>
      </c>
      <c r="N231" s="27" t="s">
        <v>314</v>
      </c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233</v>
      </c>
      <c r="F232" s="27">
        <v>5</v>
      </c>
      <c r="G232" s="28">
        <f t="shared" si="51"/>
        <v>25</v>
      </c>
      <c r="H232" s="26" t="s">
        <v>20</v>
      </c>
      <c r="I232" s="26" t="s">
        <v>57</v>
      </c>
      <c r="J232" s="26" t="s">
        <v>56</v>
      </c>
      <c r="K232" s="29">
        <v>0.88749999999999996</v>
      </c>
      <c r="L232" s="29">
        <v>0.90347222222222223</v>
      </c>
      <c r="M232" s="30">
        <f t="shared" ca="1" si="52"/>
        <v>1.5972222222222276E-2</v>
      </c>
      <c r="N232" s="27" t="s">
        <v>315</v>
      </c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249</v>
      </c>
      <c r="F233" s="27">
        <v>7</v>
      </c>
      <c r="G233" s="34">
        <f t="shared" si="51"/>
        <v>29.400000000000002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233</v>
      </c>
      <c r="F234" s="27">
        <v>11</v>
      </c>
      <c r="G234" s="28">
        <f t="shared" si="51"/>
        <v>55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233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233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233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233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233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233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233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56</v>
      </c>
      <c r="G243" s="36">
        <f>SUM(G231:G242)</f>
        <v>260</v>
      </c>
      <c r="H243" s="37"/>
      <c r="I243" s="37"/>
      <c r="J243" s="37"/>
      <c r="K243" s="61"/>
      <c r="L243" s="61"/>
      <c r="M243" s="38">
        <f ca="1">IFERROR(SUM(M231:M242),"")</f>
        <v>5.7638888888888906E-2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225</v>
      </c>
      <c r="G244" s="40">
        <f>G230+G243</f>
        <v>985.80000000000007</v>
      </c>
      <c r="H244" s="41"/>
      <c r="I244" s="41"/>
      <c r="J244" s="41"/>
      <c r="K244" s="63"/>
      <c r="L244" s="63"/>
      <c r="M244" s="42">
        <f ca="1">IFERROR(M230+M243,"")</f>
        <v>0.11180555555555566</v>
      </c>
      <c r="N244" s="40" t="s">
        <v>239</v>
      </c>
      <c r="O244" s="48">
        <f>IFERROR(O230+O243,"")</f>
        <v>755220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1" t="s">
        <v>234</v>
      </c>
      <c r="B338" s="102"/>
      <c r="C338" s="102"/>
      <c r="D338" s="102"/>
      <c r="E338" s="103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235</v>
      </c>
      <c r="O432" s="39"/>
    </row>
    <row r="433" spans="1:17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235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239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2026-08-10T03:58:46Z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