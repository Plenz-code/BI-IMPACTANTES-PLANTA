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14" documentId="13_ncr:1_{A6DBCFB4-28D9-4249-9038-216934055CA6}" xr6:coauthVersionLast="47" xr6:coauthVersionMax="47" xr10:uidLastSave="{9637ABF2-1857-4F0C-82C0-9CD457B2578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07" i="5" l="1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<sst xmlns="http://schemas.openxmlformats.org/spreadsheetml/2006/main" count="8966" uniqueCount="401">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</sst>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E530" sqref="E530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47</v>
      </c>
      <c r="G540" s="2">
        <f>SUM(G528:G539)</f>
        <v>235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235</v>
      </c>
      <c r="G541" s="1">
        <f>G527+G540</f>
        <v>1116.5999999999999</v>
      </c>
      <c r="H541" s="76"/>
      <c r="I541" s="76"/>
      <c r="J541" s="76"/>
      <c r="K541" s="76"/>
      <c r="L541" s="76"/>
      <c r="M541" s="77">
        <f ca="1">IFERROR(M527+M540,"")</f>
        <v>4.5138888888888951E-2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N529" sqref="N529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0.81305266203708015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0.95194155092596788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1.0366637731481907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/>
      <c r="Q529" s="71">
        <f t="shared" ca="1" si="136"/>
        <v>1.2471064837882295E-3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259</v>
      </c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171.60000000000002</v>
      </c>
      <c r="L540" s="72"/>
      <c r="M540" s="72"/>
      <c r="N540" s="72"/>
      <c r="O540" s="72"/>
      <c r="P540" s="72"/>
      <c r="Q540" s="73">
        <f ca="1">IFERROR(SUM(Q528:Q539),"")</f>
        <v>1.3052662039343854E-2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217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997.00000000000011</v>
      </c>
      <c r="L541" s="76"/>
      <c r="M541" s="76"/>
      <c r="N541" s="76"/>
      <c r="O541" s="76"/>
      <c r="P541" s="76"/>
      <c r="Q541" s="77">
        <f ca="1">IFERROR(Q527+Q540,"")</f>
        <v>7.7635995372677125E-2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abSelected="1" zoomScale="80" zoomScaleNormal="80" workbookViewId="0">
      <pane ySplit="1" topLeftCell="A515" activePane="bottomLeft" state="frozen"/>
      <selection pane="bottomLeft" activeCell="N530" sqref="N530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/>
      <c r="Q530" s="66">
        <f t="shared" ca="1" si="133"/>
        <v>1.9415509304963052E-3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/>
      <c r="F531" s="88">
        <f>IFERROR(IF($D531="","",VLOOKUP($D531,Cadastro!$C$4:$E$7,3,FALSE())),"")</f>
        <v>0.24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/>
      <c r="F532" s="88">
        <f>IFERROR(IF($D532="","",VLOOKUP($D532,Cadastro!$C$4:$E$7,3,FALSE())),"")</f>
        <v>0.24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/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35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151</v>
      </c>
      <c r="L540" s="72"/>
      <c r="M540" s="72"/>
      <c r="N540" s="72"/>
      <c r="O540" s="72"/>
      <c r="P540" s="72"/>
      <c r="Q540" s="73">
        <f ca="1">IFERROR(SUM(Q528:Q539),"")</f>
        <v>1.1663773152718493E-2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112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500</v>
      </c>
      <c r="L541" s="76"/>
      <c r="M541" s="76"/>
      <c r="N541" s="76"/>
      <c r="O541" s="76"/>
      <c r="P541" s="76"/>
      <c r="Q541" s="77">
        <f ca="1">IFERROR(Q527+Q540,"")</f>
        <v>8.0413773152718415E-2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17" activePane="bottomLeft" state="frozen"/>
      <selection pane="bottomLeft" activeCell="G531" sqref="G531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31</v>
      </c>
      <c r="E531" s="87"/>
      <c r="F531" s="88">
        <f>IFERROR(IF($D531="","",VLOOKUP($D531,Cadastro!$C$4:$E$7,3,FALSE())),"")</f>
        <v>0.35</v>
      </c>
      <c r="G531" s="89"/>
      <c r="H531" s="88" t="str">
        <f>IFERROR(IF($G531="","",$G531*$S$540/$G$540/Cadastro!$E$33),"")</f>
        <v/>
      </c>
      <c r="I531" s="90">
        <f>IFERROR(IF($D531="","",VLOOKUP($D531,Cadastro!$C$4:$G$7,5,FALSE())),"")</f>
        <v>0.6</v>
      </c>
      <c r="J531" s="91" t="str">
        <f t="shared" si="134"/>
        <v/>
      </c>
      <c r="K531" s="69" t="str">
        <f t="shared" si="135"/>
        <v/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31</v>
      </c>
      <c r="E532" s="87"/>
      <c r="F532" s="88">
        <f>IFERROR(IF($D532="","",VLOOKUP($D532,Cadastro!$C$4:$E$7,3,FALSE())),"")</f>
        <v>0.35</v>
      </c>
      <c r="G532" s="89"/>
      <c r="H532" s="88" t="str">
        <f>IFERROR(IF($G532="","",$G532*$S$540/$G$540/Cadastro!$E$33),"")</f>
        <v/>
      </c>
      <c r="I532" s="90">
        <f>IFERROR(IF($D532="","",VLOOKUP($D532,Cadastro!$C$4:$G$7,5,FALSE())),"")</f>
        <v>0.6</v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31</v>
      </c>
      <c r="E533" s="87"/>
      <c r="F533" s="88">
        <f>IFERROR(IF($D533="","",VLOOKUP($D533,Cadastro!$C$4:$E$7,3,FALSE())),"")</f>
        <v>0.35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31</v>
      </c>
      <c r="E534" s="87"/>
      <c r="F534" s="88">
        <f>IFERROR(IF($D534="","",VLOOKUP($D534,Cadastro!$C$4:$E$7,3,FALSE())),"")</f>
        <v>0.35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31</v>
      </c>
      <c r="E535" s="87"/>
      <c r="F535" s="88">
        <f>IFERROR(IF($D535="","",VLOOKUP($D535,Cadastro!$C$4:$E$7,3,FALSE())),"")</f>
        <v>0.35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/>
      <c r="F536" s="88">
        <f>IFERROR(IF($D536="","",VLOOKUP($D536,Cadastro!$C$4:$E$7,3,FALSE())),"")</f>
        <v>0.35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/>
      <c r="F537" s="88">
        <f>IFERROR(IF($D537="","",VLOOKUP($D537,Cadastro!$C$4:$E$7,3,FALSE())),"")</f>
        <v>0.35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/>
      <c r="F538" s="88">
        <f>IFERROR(IF($D538="","",VLOOKUP($D538,Cadastro!$C$4:$E$7,3,FALSE())),"")</f>
        <v>0.35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/>
      <c r="F539" s="92">
        <f>IFERROR(IF($D539="","",VLOOKUP($D539,Cadastro!$C$4:$E$7,3,FALSE())),"")</f>
        <v>0.35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46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208.4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243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1109.4000000000001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2026-08-21T02:26:02Z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