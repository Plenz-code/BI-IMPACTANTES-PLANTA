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02" documentId="8_{C51EB6CB-002B-4D6B-B68F-DDEBDB4460C0}" xr6:coauthVersionLast="47" xr6:coauthVersionMax="47" xr10:uidLastSave="{E9B03F87-31AE-42B3-A09E-9E960855F1C2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<sst xmlns="http://schemas.openxmlformats.org/spreadsheetml/2006/main" count="2609" uniqueCount="265">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</sst>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9" activePane="bottomLeft" state="frozen"/>
      <selection pane="bottomLeft" activeCell="F99" sqref="F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104</v>
      </c>
      <c r="G108" s="36">
        <f>SUM(G96:G107)</f>
        <v>520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413</v>
      </c>
      <c r="G109" s="40">
        <f>G95+G108</f>
        <v>2065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97" sqref="F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0.79601388888841029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0.93490277777729913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1.0196249999995215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>
        <v>3</v>
      </c>
      <c r="G96" s="34" t="str">
        <f t="shared" ref="G96:G107" si="21">IF(F96="","",IF(E96="PC 17",F96*4.2,IF(E96="PC 19",F96*5,IF(E96="CB",F96*24,""))))</f>
        <v/>
      </c>
      <c r="H96" s="26" t="s">
        <v>18</v>
      </c>
      <c r="I96" s="26" t="s">
        <v>138</v>
      </c>
      <c r="J96" s="26"/>
      <c r="K96" s="29">
        <v>0.79166666666666663</v>
      </c>
      <c r="L96" s="29"/>
      <c r="M96" s="30">
        <f t="shared" ref="M96:M107" ca="1" si="22">IFERROR(IF(K96="","",IF(L96="",MOD(NOW()-K96,1),IF(L96&gt;=K96,L96-K96,L96+1-K96))),"")</f>
        <v>0.12587500000518048</v>
      </c>
      <c r="N96" s="46" t="s">
        <v>251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0.12587500000518048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99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0.34254166667184721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E100" sqref="E1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/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</v>
      </c>
      <c r="G108" s="36">
        <f>SUM(G96:G107)</f>
        <v>21</v>
      </c>
      <c r="H108" s="37"/>
      <c r="I108" s="37"/>
      <c r="J108" s="37"/>
      <c r="K108" s="37"/>
      <c r="L108" s="37"/>
      <c r="M108" s="38">
        <f ca="1">IFERROR(SUM(M96:M107),"")</f>
        <v>6.2499999999999778E-3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53</v>
      </c>
      <c r="G109" s="40">
        <f>G95+G108</f>
        <v>222.6</v>
      </c>
      <c r="H109" s="41"/>
      <c r="I109" s="41"/>
      <c r="J109" s="41"/>
      <c r="K109" s="41"/>
      <c r="L109" s="41"/>
      <c r="M109" s="42">
        <f ca="1">IFERROR(M95+M108,"")</f>
        <v>0.16249999999999998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98" sqref="F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40</v>
      </c>
      <c r="G108" s="36">
        <f>SUM(G96:G107)</f>
        <v>168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223</v>
      </c>
      <c r="G109" s="40">
        <f>G95+G108</f>
        <v>936.6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2026-08-05T02:01:47Z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