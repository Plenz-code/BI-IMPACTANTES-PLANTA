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508" documentId="8_{AF585B22-221D-4780-BB9C-493D365A6A02}" xr6:coauthVersionLast="47" xr6:coauthVersionMax="47" xr10:uidLastSave="{30163C9E-7686-4F41-A39C-9BF5344BF127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<sst xmlns="http://schemas.openxmlformats.org/spreadsheetml/2006/main" count="3441" uniqueCount="261">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</sst>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1946430</v>
      </c>
      <c r="D10" s="8">
        <f>IFERROR('Linha 1'!O190,"")</f>
        <v>0</v>
      </c>
      <c r="E10" s="8">
        <f>IFERROR('Linha 2'!O190,"")</f>
        <v>190950</v>
      </c>
      <c r="F10" s="8">
        <f>IFERROR('Linha 3'!O190,"")</f>
        <v>500370</v>
      </c>
      <c r="G10" s="9">
        <f t="shared" si="0"/>
        <v>691320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17077500</v>
      </c>
      <c r="D35" s="13">
        <f>IFERROR(SUM(D4:D34),"")</f>
        <v>7238930</v>
      </c>
      <c r="E35" s="13">
        <f>IFERROR(SUM(E4:E34),"")</f>
        <v>3891340</v>
      </c>
      <c r="F35" s="13">
        <f>IFERROR(SUM(F4:F34),"")</f>
        <v>7231960</v>
      </c>
      <c r="G35" s="13">
        <f>IFERROR(SUM(G4:G34),"")</f>
        <v>18362230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G80" sqref="G8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61" activePane="bottomLeft" state="frozen"/>
      <selection pane="bottomLeft" activeCell="F187" sqref="F18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0" t="s">
        <v>208</v>
      </c>
      <c r="B14" s="91"/>
      <c r="C14" s="91"/>
      <c r="D14" s="91"/>
      <c r="E14" s="9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0" t="s">
        <v>210</v>
      </c>
      <c r="B27" s="91"/>
      <c r="C27" s="91"/>
      <c r="D27" s="91"/>
      <c r="E27" s="9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87" t="s">
        <v>211</v>
      </c>
      <c r="B28" s="88"/>
      <c r="C28" s="88"/>
      <c r="D28" s="88"/>
      <c r="E28" s="8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0" t="s">
        <v>208</v>
      </c>
      <c r="B41" s="91"/>
      <c r="C41" s="91"/>
      <c r="D41" s="91"/>
      <c r="E41" s="9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0" t="s">
        <v>210</v>
      </c>
      <c r="B54" s="91"/>
      <c r="C54" s="91"/>
      <c r="D54" s="91"/>
      <c r="E54" s="9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87" t="s">
        <v>211</v>
      </c>
      <c r="B55" s="88"/>
      <c r="C55" s="88"/>
      <c r="D55" s="88"/>
      <c r="E55" s="8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0" t="s">
        <v>208</v>
      </c>
      <c r="B68" s="91"/>
      <c r="C68" s="91"/>
      <c r="D68" s="91"/>
      <c r="E68" s="9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0" t="s">
        <v>210</v>
      </c>
      <c r="B81" s="91"/>
      <c r="C81" s="91"/>
      <c r="D81" s="91"/>
      <c r="E81" s="92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87" t="s">
        <v>211</v>
      </c>
      <c r="B82" s="88"/>
      <c r="C82" s="88"/>
      <c r="D82" s="88"/>
      <c r="E82" s="8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0" t="s">
        <v>208</v>
      </c>
      <c r="B95" s="91"/>
      <c r="C95" s="91"/>
      <c r="D95" s="91"/>
      <c r="E95" s="92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0" t="s">
        <v>210</v>
      </c>
      <c r="B108" s="91"/>
      <c r="C108" s="91"/>
      <c r="D108" s="91"/>
      <c r="E108" s="9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87" t="s">
        <v>211</v>
      </c>
      <c r="B109" s="88"/>
      <c r="C109" s="88"/>
      <c r="D109" s="88"/>
      <c r="E109" s="8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0" t="s">
        <v>208</v>
      </c>
      <c r="B122" s="91"/>
      <c r="C122" s="91"/>
      <c r="D122" s="91"/>
      <c r="E122" s="92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0" t="s">
        <v>210</v>
      </c>
      <c r="B135" s="91"/>
      <c r="C135" s="91"/>
      <c r="D135" s="91"/>
      <c r="E135" s="92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87" t="s">
        <v>211</v>
      </c>
      <c r="B136" s="88"/>
      <c r="C136" s="88"/>
      <c r="D136" s="88"/>
      <c r="E136" s="8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208</v>
      </c>
      <c r="B149" s="91"/>
      <c r="C149" s="91"/>
      <c r="D149" s="91"/>
      <c r="E149" s="92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210</v>
      </c>
      <c r="B162" s="91"/>
      <c r="C162" s="91"/>
      <c r="D162" s="91"/>
      <c r="E162" s="92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87" t="s">
        <v>211</v>
      </c>
      <c r="B163" s="88"/>
      <c r="C163" s="88"/>
      <c r="D163" s="88"/>
      <c r="E163" s="8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208</v>
      </c>
      <c r="B176" s="91"/>
      <c r="C176" s="91"/>
      <c r="D176" s="91"/>
      <c r="E176" s="92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206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206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210</v>
      </c>
      <c r="B189" s="91"/>
      <c r="C189" s="91"/>
      <c r="D189" s="91"/>
      <c r="E189" s="92">
        <f>SUM(E177:E188)</f>
        <v>0</v>
      </c>
      <c r="F189" s="36">
        <f>SUM(F177:F188)</f>
        <v>331</v>
      </c>
      <c r="G189" s="36">
        <f>SUM(G177:G188)</f>
        <v>1655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87" t="s">
        <v>211</v>
      </c>
      <c r="B190" s="88"/>
      <c r="C190" s="88"/>
      <c r="D190" s="88"/>
      <c r="E190" s="89">
        <f>E176+E189</f>
        <v>0</v>
      </c>
      <c r="F190" s="40">
        <f>F176+F189</f>
        <v>676</v>
      </c>
      <c r="G190" s="40">
        <f>G176+G189</f>
        <v>3380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1946430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208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0" t="s">
        <v>210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87" t="s">
        <v>211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0" t="s">
        <v>208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0" t="s">
        <v>210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87" t="s">
        <v>211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0" t="s">
        <v>208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0" t="s">
        <v>210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87" t="s">
        <v>211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0" t="s">
        <v>208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0" t="s">
        <v>210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87" t="s">
        <v>211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0" t="s">
        <v>208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0" t="s">
        <v>210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87" t="s">
        <v>211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0" t="s">
        <v>208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0" t="s">
        <v>210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87" t="s">
        <v>211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0" t="s">
        <v>208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0" t="s">
        <v>210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87" t="s">
        <v>211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0" t="s">
        <v>208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0" t="s">
        <v>210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87" t="s">
        <v>211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0" t="s">
        <v>208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0" t="s">
        <v>210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87" t="s">
        <v>211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0" t="s">
        <v>208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0" t="s">
        <v>210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87" t="s">
        <v>211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0" t="s">
        <v>208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0" t="s">
        <v>210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87" t="s">
        <v>211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0" t="s">
        <v>208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0" t="s">
        <v>210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87" t="s">
        <v>211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0" t="s">
        <v>208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0" t="s">
        <v>210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87" t="s">
        <v>211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0" t="s">
        <v>208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0" t="s">
        <v>210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87" t="s">
        <v>211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0" t="s">
        <v>208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0" t="s">
        <v>210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87" t="s">
        <v>211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0" t="s">
        <v>208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0" t="s">
        <v>210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87" t="s">
        <v>211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0" t="s">
        <v>208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0" t="s">
        <v>210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87" t="s">
        <v>211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0" t="s">
        <v>208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0" t="s">
        <v>210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87" t="s">
        <v>211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0" t="s">
        <v>208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0" t="s">
        <v>210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87" t="s">
        <v>211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0" t="s">
        <v>208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0" t="s">
        <v>210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87" t="s">
        <v>211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0" t="s">
        <v>208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0" t="s">
        <v>210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87" t="s">
        <v>211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0" t="s">
        <v>208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0" t="s">
        <v>210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87" t="s">
        <v>211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0" t="s">
        <v>208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0" t="s">
        <v>210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87" t="s">
        <v>211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60" activePane="bottomLeft" state="frozen"/>
      <selection pane="bottomLeft" activeCell="K178" sqref="K17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0" t="s">
        <v>208</v>
      </c>
      <c r="B14" s="91"/>
      <c r="C14" s="91"/>
      <c r="D14" s="91"/>
      <c r="E14" s="9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0" t="s">
        <v>210</v>
      </c>
      <c r="B27" s="91"/>
      <c r="C27" s="91"/>
      <c r="D27" s="91"/>
      <c r="E27" s="9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87" t="s">
        <v>211</v>
      </c>
      <c r="B28" s="88"/>
      <c r="C28" s="88"/>
      <c r="D28" s="88"/>
      <c r="E28" s="8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0" t="s">
        <v>208</v>
      </c>
      <c r="B41" s="91"/>
      <c r="C41" s="91"/>
      <c r="D41" s="91"/>
      <c r="E41" s="9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0" t="s">
        <v>210</v>
      </c>
      <c r="B54" s="91"/>
      <c r="C54" s="91"/>
      <c r="D54" s="91"/>
      <c r="E54" s="9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87" t="s">
        <v>211</v>
      </c>
      <c r="B55" s="88"/>
      <c r="C55" s="88"/>
      <c r="D55" s="88"/>
      <c r="E55" s="8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0" t="s">
        <v>208</v>
      </c>
      <c r="B68" s="91"/>
      <c r="C68" s="91"/>
      <c r="D68" s="91"/>
      <c r="E68" s="9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0" t="s">
        <v>210</v>
      </c>
      <c r="B81" s="91"/>
      <c r="C81" s="91"/>
      <c r="D81" s="91"/>
      <c r="E81" s="92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87" t="s">
        <v>211</v>
      </c>
      <c r="B82" s="88"/>
      <c r="C82" s="88"/>
      <c r="D82" s="88"/>
      <c r="E82" s="8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0" t="s">
        <v>208</v>
      </c>
      <c r="B95" s="91"/>
      <c r="C95" s="91"/>
      <c r="D95" s="91"/>
      <c r="E95" s="92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0" t="s">
        <v>210</v>
      </c>
      <c r="B108" s="91"/>
      <c r="C108" s="91"/>
      <c r="D108" s="91"/>
      <c r="E108" s="92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87" t="s">
        <v>211</v>
      </c>
      <c r="B109" s="88"/>
      <c r="C109" s="88"/>
      <c r="D109" s="88"/>
      <c r="E109" s="8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0" t="s">
        <v>208</v>
      </c>
      <c r="B122" s="91"/>
      <c r="C122" s="91"/>
      <c r="D122" s="91"/>
      <c r="E122" s="92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0" t="s">
        <v>210</v>
      </c>
      <c r="B135" s="91"/>
      <c r="C135" s="91"/>
      <c r="D135" s="91"/>
      <c r="E135" s="92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87" t="s">
        <v>211</v>
      </c>
      <c r="B136" s="88"/>
      <c r="C136" s="88"/>
      <c r="D136" s="88"/>
      <c r="E136" s="8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0" t="s">
        <v>208</v>
      </c>
      <c r="B149" s="91"/>
      <c r="C149" s="91"/>
      <c r="D149" s="91"/>
      <c r="E149" s="92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0" t="s">
        <v>210</v>
      </c>
      <c r="B162" s="91"/>
      <c r="C162" s="91"/>
      <c r="D162" s="91"/>
      <c r="E162" s="92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87" t="s">
        <v>211</v>
      </c>
      <c r="B163" s="88"/>
      <c r="C163" s="88"/>
      <c r="D163" s="88"/>
      <c r="E163" s="8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0" t="s">
        <v>208</v>
      </c>
      <c r="B176" s="91"/>
      <c r="C176" s="91"/>
      <c r="D176" s="91"/>
      <c r="E176" s="9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/>
      <c r="M177" s="35">
        <f t="shared" ref="M177:M188" ca="1" si="40">IFERROR(IF(K177="","",IF(L177="",MOD(NOW()-K177,1),IF(L177&gt;=K177,L177-K177,L177+1-K177))),"")</f>
        <v>0.39723020833480405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0" t="s">
        <v>210</v>
      </c>
      <c r="B189" s="91"/>
      <c r="C189" s="91"/>
      <c r="D189" s="91"/>
      <c r="E189" s="9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0.39723020833480405</v>
      </c>
      <c r="N189" s="36" t="s">
        <v>209</v>
      </c>
      <c r="O189" s="78"/>
    </row>
    <row r="190" spans="1:15" ht="18" customHeight="1">
      <c r="A190" s="87" t="s">
        <v>211</v>
      </c>
      <c r="B190" s="88"/>
      <c r="C190" s="88"/>
      <c r="D190" s="88"/>
      <c r="E190" s="8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0.89723020833480405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0" t="s">
        <v>208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0" t="s">
        <v>210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87" t="s">
        <v>211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0" t="s">
        <v>208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0" t="s">
        <v>210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87" t="s">
        <v>211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0" t="s">
        <v>208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0" t="s">
        <v>210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87" t="s">
        <v>211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0" t="s">
        <v>208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0" t="s">
        <v>210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87" t="s">
        <v>211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0" t="s">
        <v>208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0" t="s">
        <v>210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87" t="s">
        <v>211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0" t="s">
        <v>208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0" t="s">
        <v>210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87" t="s">
        <v>211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0" t="s">
        <v>208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0" t="s">
        <v>210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87" t="s">
        <v>211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0" t="s">
        <v>208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0" t="s">
        <v>210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87" t="s">
        <v>211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0" t="s">
        <v>208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0" t="s">
        <v>210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87" t="s">
        <v>211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0" t="s">
        <v>208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0" t="s">
        <v>210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87" t="s">
        <v>211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0" t="s">
        <v>208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0" t="s">
        <v>210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87" t="s">
        <v>211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0" t="s">
        <v>208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0" t="s">
        <v>210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87" t="s">
        <v>211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0" t="s">
        <v>208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0" t="s">
        <v>210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87" t="s">
        <v>211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0" t="s">
        <v>208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0" t="s">
        <v>210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87" t="s">
        <v>211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0" t="s">
        <v>208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0" t="s">
        <v>210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87" t="s">
        <v>211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0" t="s">
        <v>208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0" t="s">
        <v>210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87" t="s">
        <v>211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0" t="s">
        <v>208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0" t="s">
        <v>210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87" t="s">
        <v>211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0" t="s">
        <v>208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0" t="s">
        <v>210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87" t="s">
        <v>211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0" t="s">
        <v>208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0" t="s">
        <v>210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87" t="s">
        <v>211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0" t="s">
        <v>208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0" t="s">
        <v>210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87" t="s">
        <v>211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0" t="s">
        <v>208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0" t="s">
        <v>210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87" t="s">
        <v>211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0" t="s">
        <v>208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0" t="s">
        <v>210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87" t="s">
        <v>211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0" t="s">
        <v>208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0" t="s">
        <v>210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87" t="s">
        <v>211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65" activePane="bottomLeft" state="frozen"/>
      <selection pane="bottomLeft" activeCell="J169" sqref="J16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0" t="s">
        <v>208</v>
      </c>
      <c r="B14" s="91"/>
      <c r="C14" s="91"/>
      <c r="D14" s="91"/>
      <c r="E14" s="9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0" t="s">
        <v>210</v>
      </c>
      <c r="B27" s="91"/>
      <c r="C27" s="91"/>
      <c r="D27" s="91"/>
      <c r="E27" s="9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87" t="s">
        <v>211</v>
      </c>
      <c r="B28" s="88"/>
      <c r="C28" s="88"/>
      <c r="D28" s="88"/>
      <c r="E28" s="8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0" t="s">
        <v>208</v>
      </c>
      <c r="B41" s="91"/>
      <c r="C41" s="91"/>
      <c r="D41" s="91"/>
      <c r="E41" s="9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0" t="s">
        <v>210</v>
      </c>
      <c r="B54" s="91"/>
      <c r="C54" s="91"/>
      <c r="D54" s="91"/>
      <c r="E54" s="9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87" t="s">
        <v>211</v>
      </c>
      <c r="B55" s="88"/>
      <c r="C55" s="88"/>
      <c r="D55" s="88"/>
      <c r="E55" s="8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0" t="s">
        <v>208</v>
      </c>
      <c r="B68" s="91"/>
      <c r="C68" s="91"/>
      <c r="D68" s="91"/>
      <c r="E68" s="9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0" t="s">
        <v>210</v>
      </c>
      <c r="B81" s="91"/>
      <c r="C81" s="91"/>
      <c r="D81" s="91"/>
      <c r="E81" s="92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87" t="s">
        <v>211</v>
      </c>
      <c r="B82" s="88"/>
      <c r="C82" s="88"/>
      <c r="D82" s="88"/>
      <c r="E82" s="8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0" t="s">
        <v>208</v>
      </c>
      <c r="B95" s="91"/>
      <c r="C95" s="91"/>
      <c r="D95" s="91"/>
      <c r="E95" s="92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0" t="s">
        <v>210</v>
      </c>
      <c r="B108" s="91"/>
      <c r="C108" s="91"/>
      <c r="D108" s="91"/>
      <c r="E108" s="92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87" t="s">
        <v>211</v>
      </c>
      <c r="B109" s="88"/>
      <c r="C109" s="88"/>
      <c r="D109" s="88"/>
      <c r="E109" s="8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0" t="s">
        <v>208</v>
      </c>
      <c r="B122" s="91"/>
      <c r="C122" s="91"/>
      <c r="D122" s="91"/>
      <c r="E122" s="92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0" t="s">
        <v>210</v>
      </c>
      <c r="B135" s="91"/>
      <c r="C135" s="91"/>
      <c r="D135" s="91"/>
      <c r="E135" s="92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87" t="s">
        <v>211</v>
      </c>
      <c r="B136" s="88"/>
      <c r="C136" s="88"/>
      <c r="D136" s="88"/>
      <c r="E136" s="8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208</v>
      </c>
      <c r="B149" s="91"/>
      <c r="C149" s="91"/>
      <c r="D149" s="91"/>
      <c r="E149" s="92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210</v>
      </c>
      <c r="B162" s="91"/>
      <c r="C162" s="91"/>
      <c r="D162" s="91"/>
      <c r="E162" s="92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87" t="s">
        <v>211</v>
      </c>
      <c r="B163" s="88"/>
      <c r="C163" s="88"/>
      <c r="D163" s="88"/>
      <c r="E163" s="8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208</v>
      </c>
      <c r="B176" s="91"/>
      <c r="C176" s="91"/>
      <c r="D176" s="91"/>
      <c r="E176" s="92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3</v>
      </c>
      <c r="G178" s="28">
        <f t="shared" si="39"/>
        <v>12.600000000000001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210</v>
      </c>
      <c r="B189" s="91"/>
      <c r="C189" s="91"/>
      <c r="D189" s="91"/>
      <c r="E189" s="92">
        <f>SUM(E177:E188)</f>
        <v>0</v>
      </c>
      <c r="F189" s="36">
        <f>SUM(F177:F188)</f>
        <v>111</v>
      </c>
      <c r="G189" s="36">
        <f>SUM(G177:G188)</f>
        <v>466.20000000000005</v>
      </c>
      <c r="H189" s="37"/>
      <c r="I189" s="37"/>
      <c r="J189" s="37"/>
      <c r="K189" s="37"/>
      <c r="L189" s="37"/>
      <c r="M189" s="38">
        <f ca="1">IFERROR(SUM(M177:M188),"")</f>
        <v>3.4722222222222099E-3</v>
      </c>
      <c r="N189" s="36" t="s">
        <v>209</v>
      </c>
      <c r="O189" s="39"/>
    </row>
    <row r="190" spans="1:15" ht="18" customHeight="1">
      <c r="A190" s="87" t="s">
        <v>211</v>
      </c>
      <c r="B190" s="88"/>
      <c r="C190" s="88"/>
      <c r="D190" s="88"/>
      <c r="E190" s="89">
        <f>E176+E189</f>
        <v>0</v>
      </c>
      <c r="F190" s="40">
        <f>F176+F189</f>
        <v>195</v>
      </c>
      <c r="G190" s="40">
        <f>G176+G189</f>
        <v>821.40000000000009</v>
      </c>
      <c r="H190" s="41"/>
      <c r="I190" s="41"/>
      <c r="J190" s="41"/>
      <c r="K190" s="41"/>
      <c r="L190" s="41"/>
      <c r="M190" s="42">
        <f ca="1">IFERROR(M176+M189,"")</f>
        <v>3.6111111111111149E-2</v>
      </c>
      <c r="N190" s="40" t="s">
        <v>212</v>
      </c>
      <c r="O190" s="43">
        <f>IFERROR(O176+O189,"")</f>
        <v>190950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208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0" t="s">
        <v>210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87" t="s">
        <v>211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0" t="s">
        <v>208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0" t="s">
        <v>210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87" t="s">
        <v>211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0" t="s">
        <v>208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0" t="s">
        <v>210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87" t="s">
        <v>211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0" t="s">
        <v>208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0" t="s">
        <v>210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87" t="s">
        <v>211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0" t="s">
        <v>208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0" t="s">
        <v>210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87" t="s">
        <v>211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0" t="s">
        <v>208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0" t="s">
        <v>210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87" t="s">
        <v>211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0" t="s">
        <v>208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0" t="s">
        <v>210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87" t="s">
        <v>211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0" t="s">
        <v>208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0" t="s">
        <v>210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87" t="s">
        <v>211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0" t="s">
        <v>208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0" t="s">
        <v>210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87" t="s">
        <v>211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0" t="s">
        <v>208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0" t="s">
        <v>210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87" t="s">
        <v>211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0" t="s">
        <v>208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0" t="s">
        <v>210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87" t="s">
        <v>211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0" t="s">
        <v>208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0" t="s">
        <v>210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87" t="s">
        <v>211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0" t="s">
        <v>208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0" t="s">
        <v>210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87" t="s">
        <v>211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0" t="s">
        <v>208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0" t="s">
        <v>210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87" t="s">
        <v>211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0" t="s">
        <v>208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0" t="s">
        <v>210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87" t="s">
        <v>211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0" t="s">
        <v>208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0" t="s">
        <v>210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87" t="s">
        <v>211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0" t="s">
        <v>208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0" t="s">
        <v>210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87" t="s">
        <v>211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0" t="s">
        <v>208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0" t="s">
        <v>210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87" t="s">
        <v>211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0" t="s">
        <v>208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0" t="s">
        <v>210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87" t="s">
        <v>211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0" t="s">
        <v>208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0" t="s">
        <v>210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87" t="s">
        <v>211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0" t="s">
        <v>208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0" t="s">
        <v>210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87" t="s">
        <v>211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0" t="s">
        <v>208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0" t="s">
        <v>210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87" t="s">
        <v>211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0" t="s">
        <v>208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0" t="s">
        <v>210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87" t="s">
        <v>211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61" activePane="bottomLeft" state="frozen"/>
      <selection pane="bottomLeft" activeCell="F180" sqref="F18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0" t="s">
        <v>208</v>
      </c>
      <c r="B14" s="91"/>
      <c r="C14" s="91"/>
      <c r="D14" s="91"/>
      <c r="E14" s="9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0" t="s">
        <v>210</v>
      </c>
      <c r="B27" s="91"/>
      <c r="C27" s="91"/>
      <c r="D27" s="91"/>
      <c r="E27" s="9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87" t="s">
        <v>211</v>
      </c>
      <c r="B28" s="88"/>
      <c r="C28" s="88"/>
      <c r="D28" s="88"/>
      <c r="E28" s="8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0" t="s">
        <v>208</v>
      </c>
      <c r="B41" s="91"/>
      <c r="C41" s="91"/>
      <c r="D41" s="91"/>
      <c r="E41" s="9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0" t="s">
        <v>210</v>
      </c>
      <c r="B54" s="91"/>
      <c r="C54" s="91"/>
      <c r="D54" s="91"/>
      <c r="E54" s="9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87" t="s">
        <v>211</v>
      </c>
      <c r="B55" s="88"/>
      <c r="C55" s="88"/>
      <c r="D55" s="88"/>
      <c r="E55" s="8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248</v>
      </c>
      <c r="L58" s="29">
        <v>0.54097222222222219</v>
      </c>
      <c r="M58" s="30" t="str">
        <f t="shared" ca="1" si="13"/>
        <v/>
      </c>
      <c r="N58" s="27" t="s">
        <v>249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0" t="s">
        <v>208</v>
      </c>
      <c r="B68" s="91"/>
      <c r="C68" s="91"/>
      <c r="D68" s="91"/>
      <c r="E68" s="9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0" t="s">
        <v>210</v>
      </c>
      <c r="B81" s="91"/>
      <c r="C81" s="91"/>
      <c r="D81" s="91"/>
      <c r="E81" s="92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87" t="s">
        <v>211</v>
      </c>
      <c r="B82" s="88"/>
      <c r="C82" s="88"/>
      <c r="D82" s="88"/>
      <c r="E82" s="8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0" t="s">
        <v>208</v>
      </c>
      <c r="B95" s="91"/>
      <c r="C95" s="91"/>
      <c r="D95" s="91"/>
      <c r="E95" s="92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0" t="s">
        <v>210</v>
      </c>
      <c r="B108" s="91"/>
      <c r="C108" s="91"/>
      <c r="D108" s="91"/>
      <c r="E108" s="92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87" t="s">
        <v>211</v>
      </c>
      <c r="B109" s="88"/>
      <c r="C109" s="88"/>
      <c r="D109" s="88"/>
      <c r="E109" s="8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0" t="s">
        <v>208</v>
      </c>
      <c r="B122" s="91"/>
      <c r="C122" s="91"/>
      <c r="D122" s="91"/>
      <c r="E122" s="92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0.93959131944575347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0" t="s">
        <v>210</v>
      </c>
      <c r="B135" s="91"/>
      <c r="C135" s="91"/>
      <c r="D135" s="91"/>
      <c r="E135" s="92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1.1388968750013091</v>
      </c>
      <c r="N135" s="36" t="s">
        <v>209</v>
      </c>
      <c r="O135" s="39">
        <v>729290</v>
      </c>
    </row>
    <row r="136" spans="1:18" ht="18" customHeight="1">
      <c r="A136" s="87" t="s">
        <v>211</v>
      </c>
      <c r="B136" s="88"/>
      <c r="C136" s="88"/>
      <c r="D136" s="88"/>
      <c r="E136" s="8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1.5062579861124201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208</v>
      </c>
      <c r="B149" s="91"/>
      <c r="C149" s="91"/>
      <c r="D149" s="91"/>
      <c r="E149" s="92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210</v>
      </c>
      <c r="B162" s="91"/>
      <c r="C162" s="91"/>
      <c r="D162" s="91"/>
      <c r="E162" s="92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87" t="s">
        <v>211</v>
      </c>
      <c r="B163" s="88"/>
      <c r="C163" s="88"/>
      <c r="D163" s="88"/>
      <c r="E163" s="8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208</v>
      </c>
      <c r="B176" s="91"/>
      <c r="C176" s="91"/>
      <c r="D176" s="91"/>
      <c r="E176" s="92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154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16</v>
      </c>
      <c r="G178" s="28">
        <f t="shared" si="39"/>
        <v>67.2</v>
      </c>
      <c r="H178" s="26" t="s">
        <v>20</v>
      </c>
      <c r="I178" s="26" t="s">
        <v>133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20</v>
      </c>
      <c r="G179" s="34">
        <f t="shared" si="39"/>
        <v>84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210</v>
      </c>
      <c r="B189" s="91"/>
      <c r="C189" s="91"/>
      <c r="D189" s="91"/>
      <c r="E189" s="92">
        <f>SUM(E177:E188)</f>
        <v>0</v>
      </c>
      <c r="F189" s="36">
        <f>SUM(F177:F188)</f>
        <v>171</v>
      </c>
      <c r="G189" s="36">
        <f>SUM(G177:G188)</f>
        <v>718.19999999999993</v>
      </c>
      <c r="H189" s="37"/>
      <c r="I189" s="37"/>
      <c r="J189" s="37"/>
      <c r="K189" s="61"/>
      <c r="L189" s="61"/>
      <c r="M189" s="38">
        <f ca="1">IFERROR(SUM(M177:M188),"")</f>
        <v>3.4722222222222238E-2</v>
      </c>
      <c r="N189" s="36" t="s">
        <v>209</v>
      </c>
      <c r="O189" s="39"/>
    </row>
    <row r="190" spans="1:15" ht="18" customHeight="1">
      <c r="A190" s="87" t="s">
        <v>211</v>
      </c>
      <c r="B190" s="88"/>
      <c r="C190" s="88"/>
      <c r="D190" s="88"/>
      <c r="E190" s="89">
        <f>E176+E189</f>
        <v>0</v>
      </c>
      <c r="F190" s="40">
        <f>F176+F189</f>
        <v>340</v>
      </c>
      <c r="G190" s="40">
        <f>G176+G189</f>
        <v>1438.4</v>
      </c>
      <c r="H190" s="41"/>
      <c r="I190" s="41"/>
      <c r="J190" s="41"/>
      <c r="K190" s="63"/>
      <c r="L190" s="63"/>
      <c r="M190" s="42">
        <f ca="1">IFERROR(M176+M189,"")</f>
        <v>9.791666666666668E-2</v>
      </c>
      <c r="N190" s="40" t="s">
        <v>212</v>
      </c>
      <c r="O190" s="43">
        <f>IFERROR(O176+O189,"")</f>
        <v>500370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208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0" t="s">
        <v>210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87" t="s">
        <v>211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0" t="s">
        <v>208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0" t="s">
        <v>210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87" t="s">
        <v>211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0" t="s">
        <v>208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0" t="s">
        <v>210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87" t="s">
        <v>211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0" t="s">
        <v>208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0" t="s">
        <v>210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87" t="s">
        <v>211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0" t="s">
        <v>208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0" t="s">
        <v>210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87" t="s">
        <v>211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0" t="s">
        <v>208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0" t="s">
        <v>210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87" t="s">
        <v>211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0" t="s">
        <v>208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0" t="s">
        <v>210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87" t="s">
        <v>211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0" t="s">
        <v>208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0" t="s">
        <v>210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87" t="s">
        <v>211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0" t="s">
        <v>208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0" t="s">
        <v>210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87" t="s">
        <v>211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0" t="s">
        <v>208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0" t="s">
        <v>210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87" t="s">
        <v>211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0" t="s">
        <v>208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0" t="s">
        <v>210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87" t="s">
        <v>211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0" t="s">
        <v>208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0" t="s">
        <v>210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87" t="s">
        <v>211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0" t="s">
        <v>208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0" t="s">
        <v>210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87" t="s">
        <v>211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0" t="s">
        <v>208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0" t="s">
        <v>210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87" t="s">
        <v>211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0" t="s">
        <v>208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0" t="s">
        <v>210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87" t="s">
        <v>211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0" t="s">
        <v>208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0" t="s">
        <v>210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87" t="s">
        <v>211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0" t="s">
        <v>208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0" t="s">
        <v>210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87" t="s">
        <v>211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0" t="s">
        <v>208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0" t="s">
        <v>210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87" t="s">
        <v>211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0" t="s">
        <v>208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0" t="s">
        <v>210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87" t="s">
        <v>211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0" t="s">
        <v>208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0" t="s">
        <v>210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87" t="s">
        <v>211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0" t="s">
        <v>208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0" t="s">
        <v>210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87" t="s">
        <v>211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0" t="s">
        <v>208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0" t="s">
        <v>210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87" t="s">
        <v>211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0" t="s">
        <v>208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0" t="s">
        <v>210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87" t="s">
        <v>211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2026-07-08T08:32:31Z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