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4094" documentId="8_{C51EB6CB-002B-4D6B-B68F-DDEBDB4460C0}" xr6:coauthVersionLast="47" xr6:coauthVersionMax="47" xr10:uidLastSave="{63AFDF68-AEBB-46D2-92F7-7E1F00ECED4B}"/>
  <bookViews>
    <workbookView xWindow="-108" yWindow="-108" windowWidth="23256" windowHeight="12456" tabRatio="500" firstSheet="4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176" i="6" l="1"/>
  <c r="G137" i="4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<sst xmlns="http://schemas.openxmlformats.org/spreadsheetml/2006/main" count="4299" uniqueCount="303">
  <si>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</si>
  <si>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</si>
  <si>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</si>
  <si>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</si>
  <si>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</si>
  <si>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</si>
  <si>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</si>
  <si>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</si>
  <si>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</si>
  <si>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</si>
  <si>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</si>
  <si>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</si>
  <si>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</si>
  <si>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</si>
  <si>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</si>
  <si>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</si>
  <si>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</si>
  <si>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</si>
  <si>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</si>
  <si>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</si>
  <si>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</si>
  <si>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</si>
  <si>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</si>
  <si>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</si>
  <si>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</si>
  <si>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</si>
  <si>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</si>
  <si>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</si>
  <si>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</si>
  <si>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</si>
  <si>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</si>
  <si>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</si>
  <si>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</si>
  <si>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</si>
  <si>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</si>
  <si>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</si>
  <si>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</si>
  <si>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</si>
  <si>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</si>
  <si>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</si>
  <si>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</si>
  <si>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</si>
  <si>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</si>
  <si>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</si>
  <si>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</si>
  <si>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</si>
  <si>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</si>
  <si>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</si>
  <si>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</si>
  <si>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</si>
  <si>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</si>
  <si>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</si>
  <si>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</si>
  <si>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</si>
  <si>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</si>
  <si>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</si>
  <si>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</si>
  <si>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</si>
  <si>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</si>
  <si>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</si>
  <si>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</si>
  <si>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</si>
  <si>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</si>
  <si>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</si>
  <si>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</si>
  <si>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</si>
  <si>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</si>
  <si>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</si>
  <si>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</si>
  <si>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</si>
  <si>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</si>
  <si>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</si>
  <si>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</si>
  <si>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</si>
  <si>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</si>
  <si>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</si>
  <si>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</si>
  <si>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</si>
  <si>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</si>
  <si>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</si>
  <si>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</si>
  <si>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</si>
  <si>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</si>
  <si>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</si>
  <si>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</si>
  <si>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</si>
  <si>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</si>
  <si>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</si>
  <si>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</si>
  <si>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</si>
  <si>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</si>
  <si>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</si>
  <si>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</si>
  <si>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</si>
  <si>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</si>
  <si>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</si>
  <si>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</si>
  <si>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</si>
  <si>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</si>
  <si>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</si>
  <si>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</si>
  <si>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</si>
  <si>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</si>
  <si>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</si>
  <si>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</si>
  <si>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</si>
  <si>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</si>
  <si>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</si>
  <si>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</si>
  <si>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</si>
  <si>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</si>
  <si>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</si>
  <si>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</si>
  <si>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</si>
  <si>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</si>
  <si>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</si>
  <si>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</si>
  <si>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</si>
  <si>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</si>
  <si>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</si>
  <si>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</si>
  <si>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</si>
  <si>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</si>
  <si>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</si>
  <si>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</si>
  <si>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</si>
  <si>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</si>
  <si>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</si>
  <si>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</si>
  <si>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</si>
  <si>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</si>
  <si>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</si>
  <si>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</si>
  <si>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</si>
  <si>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</si>
  <si>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</si>
  <si>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</si>
  <si>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</si>
  <si>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</si>
  <si>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</si>
  <si>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</si>
  <si>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</si>
  <si>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</si>
  <si>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</si>
  <si>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</si>
  <si>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</si>
  <si>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</si>
  <si>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</si>
  <si>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</si>
  <si>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</si>
  <si>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</si>
  <si>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</si>
  <si>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</si>
  <si>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</si>
  <si>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</si>
  <si>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</si>
  <si>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</si>
  <si>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</si>
  <si>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</si>
  <si>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</si>
  <si>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</si>
  <si>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</si>
  <si>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</si>
  <si>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</si>
  <si>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</si>
  <si>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</si>
  <si>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</si>
  <si>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</si>
  <si>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</si>
  <si>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</si>
  <si>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</si>
  <si>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</si>
  <si>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</si>
  <si>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</si>
  <si>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</si>
  <si>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</si>
  <si>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</si>
  <si>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</si>
  <si>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</si>
  <si>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</si>
  <si>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</si>
  <si>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</si>
  <si>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</si>
  <si>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</si>
  <si>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</si>
  <si>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</si>
  <si>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</si>
  <si>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</si>
  <si>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</si>
  <si>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</si>
  <si>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</si>
  <si>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</si>
  <si>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</si>
  <si>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</si>
  <si>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</si>
  <si>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</si>
  <si>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</si>
  <si>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</si>
  <si>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</si>
  <si>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</si>
  <si>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</si>
  <si>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</si>
  <si>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</si>
  <si>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</si>
  <si>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</si>
  <si>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</si>
  <si>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</si>
  <si>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</si>
  <si>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</si>
  <si>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</si>
  <si>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</si>
  <si>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</si>
  <si>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</si>
  <si>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</si>
  <si>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</si>
  <si>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</si>
  <si>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</si>
  <si>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</si>
  <si>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</si>
  <si>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</si>
  <si>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</si>
  <si>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</si>
  <si>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</si>
  <si>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</si>
  <si>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</si>
  <si>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</si>
  <si>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</si>
  <si>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</si>
  <si>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</si>
  <si>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</si>
  <si>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</si>
  <si>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</si>
  <si>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</si>
  <si>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</si>
  <si>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</si>
  <si>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</si>
  <si>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</si>
  <si>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</si>
  <si>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</si>
  <si>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</si>
  <si>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</si>
  <si>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</si>
  <si>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</si>
  <si>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</si>
  <si>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</si>
  <si>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</si>
  <si>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</si>
  <si>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</si>
  <si>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</si>
  <si>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</si>
  <si>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>troca de faca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</si>
  <si>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</si>
  <si>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</si>
  <si>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</si>
  <si>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</si>
  <si>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</si>
  <si>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</si>
  <si>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</si>
  <si>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</si>
  <si>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</si>
  <si>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</si>
  <si>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</si>
  <si>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</si>
  <si>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</si>
  <si>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</si>
  <si>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</si>
  <si>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</si>
  <si>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</si>
  <si>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</si>
  <si>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</si>
  <si>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</si>
  <si>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desosbtrucao nos bicos do hidrociclone</t>
  </si>
  <si>
    <t>desobstrucao nos bicos do hidrociclone</t>
  </si>
  <si>
    <t>troca de martelo mm1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</si>
  <si>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</si>
  <si>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</si>
  <si>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</si>
  <si>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</si>
  <si>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</si>
  <si>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</si>
  <si>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</si>
  <si>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</si>
  <si>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</si>
  <si>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</si>
  <si>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</si>
  <si>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 xml:space="preserve">um seviso de solda nas grelhas 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</si>
  <si>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</si>
  <si>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</si>
  <si>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</si>
  <si>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</si>
  <si>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</si>
  <si>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</si>
  <si>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</si>
  <si>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</si>
  <si>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</si>
  <si>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</si>
  <si>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</si>
  <si>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</si>
  <si>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</si>
  <si>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</si>
  <si>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</si>
  <si>
    <t>troca de martelo mm4 e mm5</t>
  </si>
  <si>
    <t>liberado ja mais ta rodando so com o moinho 4 so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</si>
</sst>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3" sqref="G2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7" t="s">
        <v>0</v>
      </c>
      <c r="B1" s="107"/>
      <c r="C1" s="107"/>
      <c r="D1" s="107"/>
      <c r="E1" s="107"/>
      <c r="F1" s="107"/>
      <c r="G1" s="107"/>
    </row>
    <row r="2" spans="1:7" ht="24.75" customHeight="1">
      <c r="A2" s="108"/>
      <c r="B2" s="10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4836450</v>
      </c>
      <c r="D10" s="8">
        <f>IFERROR('Linha 1'!O190,"")</f>
        <v>728820</v>
      </c>
      <c r="E10" s="8">
        <f>IFERROR('Linha 2'!O190,"")</f>
        <v>343570</v>
      </c>
      <c r="F10" s="8">
        <f>IFERROR('Linha 3'!O190,"")</f>
        <v>1352150</v>
      </c>
      <c r="G10" s="9">
        <f t="shared" si="0"/>
        <v>2424540</v>
      </c>
    </row>
    <row r="11" spans="1:7" ht="15.75" customHeight="1">
      <c r="A11" s="10">
        <v>8</v>
      </c>
      <c r="B11" s="73">
        <v>46242</v>
      </c>
      <c r="C11" s="11">
        <f>IFERROR(Britador!O217,"")</f>
        <v>1392300</v>
      </c>
      <c r="D11" s="11">
        <f>IFERROR('Linha 1'!O217,"")</f>
        <v>601390</v>
      </c>
      <c r="E11" s="11">
        <f>IFERROR('Linha 2'!O217,"")</f>
        <v>92510</v>
      </c>
      <c r="F11" s="11">
        <f>IFERROR('Linha 3'!O217,"")</f>
        <v>790070</v>
      </c>
      <c r="G11" s="12">
        <f t="shared" si="0"/>
        <v>1483970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9" t="s">
        <v>9</v>
      </c>
      <c r="B35" s="109"/>
      <c r="C35" s="13">
        <f>IFERROR(SUM(C4:C34),"")</f>
        <v>25428585</v>
      </c>
      <c r="D35" s="13">
        <f>IFERROR(SUM(D4:D34),"")</f>
        <v>7714120</v>
      </c>
      <c r="E35" s="13">
        <f>IFERROR(SUM(E4:E34),"")</f>
        <v>3728860</v>
      </c>
      <c r="F35" s="13">
        <f>IFERROR(SUM(F4:F34),"")</f>
        <v>10241570</v>
      </c>
      <c r="G35" s="13">
        <f>IFERROR(SUM(G4:G34),"")</f>
        <v>21684550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0" t="s">
        <v>10</v>
      </c>
      <c r="B1" s="110"/>
      <c r="C1" s="110"/>
      <c r="D1" s="110"/>
      <c r="E1" s="110"/>
      <c r="F1" s="110"/>
      <c r="G1" s="110"/>
      <c r="H1" s="111"/>
      <c r="I1" s="112" t="s">
        <v>11</v>
      </c>
      <c r="J1" s="112"/>
      <c r="K1" s="112"/>
      <c r="L1" s="112"/>
      <c r="M1" s="112"/>
    </row>
    <row r="2" spans="1:13" ht="4.5" customHeight="1">
      <c r="H2" s="11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1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1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1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1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1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1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1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1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1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1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1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1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1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1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1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1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1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1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1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1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1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1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1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1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1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1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1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1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1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1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1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1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1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1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1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1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1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1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1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1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1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1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1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1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1"/>
      <c r="I57" s="17"/>
      <c r="J57" s="17"/>
      <c r="K57" s="17" t="s">
        <v>50</v>
      </c>
      <c r="L57" s="17"/>
      <c r="M57" s="17"/>
    </row>
    <row r="58" spans="1:13" ht="15" customHeight="1">
      <c r="H58" s="111"/>
      <c r="I58" s="16"/>
      <c r="J58" s="16"/>
      <c r="K58" s="16" t="s">
        <v>207</v>
      </c>
      <c r="L58" s="16"/>
      <c r="M58" s="16"/>
    </row>
    <row r="59" spans="1:13" ht="15" customHeight="1">
      <c r="H59" s="111"/>
      <c r="I59" s="17"/>
      <c r="J59" s="17"/>
      <c r="K59" s="17" t="s">
        <v>208</v>
      </c>
      <c r="L59" s="17"/>
      <c r="M59" s="17"/>
    </row>
    <row r="60" spans="1:13" ht="15" customHeight="1">
      <c r="H60" s="111"/>
      <c r="I60" s="16"/>
      <c r="J60" s="16"/>
      <c r="K60" s="86" t="s">
        <v>105</v>
      </c>
      <c r="L60" s="16"/>
      <c r="M60" s="16"/>
    </row>
    <row r="61" spans="1:13" ht="15" customHeight="1">
      <c r="H61" s="111"/>
      <c r="I61" s="17"/>
      <c r="J61" s="17"/>
      <c r="K61" s="17" t="s">
        <v>209</v>
      </c>
      <c r="L61" s="17"/>
      <c r="M61" s="17"/>
    </row>
    <row r="62" spans="1:13" ht="15" customHeight="1">
      <c r="H62" s="111"/>
      <c r="I62" s="16"/>
      <c r="J62" s="16"/>
      <c r="K62" s="16" t="s">
        <v>210</v>
      </c>
      <c r="L62" s="16"/>
      <c r="M62" s="16"/>
    </row>
    <row r="63" spans="1:13" ht="15" customHeight="1">
      <c r="H63" s="111"/>
      <c r="I63" s="17"/>
      <c r="J63" s="17"/>
      <c r="K63" s="17" t="s">
        <v>211</v>
      </c>
      <c r="L63" s="17"/>
      <c r="M63" s="17"/>
    </row>
    <row r="64" spans="1:13" ht="15" customHeight="1">
      <c r="H64" s="111"/>
      <c r="I64" s="16"/>
      <c r="J64" s="16"/>
      <c r="K64" s="16" t="s">
        <v>212</v>
      </c>
      <c r="L64" s="16"/>
      <c r="M64" s="16"/>
    </row>
    <row r="65" spans="8:13" ht="15" customHeight="1">
      <c r="H65" s="111"/>
      <c r="I65" s="17"/>
      <c r="J65" s="17"/>
      <c r="K65" s="17" t="s">
        <v>213</v>
      </c>
      <c r="L65" s="17"/>
      <c r="M65" s="17"/>
    </row>
    <row r="66" spans="8:13" ht="15" customHeight="1">
      <c r="H66" s="111"/>
      <c r="I66" s="16"/>
      <c r="J66" s="16"/>
      <c r="K66" s="16" t="s">
        <v>214</v>
      </c>
      <c r="L66" s="16"/>
      <c r="M66" s="16"/>
    </row>
    <row r="67" spans="8:13" ht="15" customHeight="1">
      <c r="H67" s="111"/>
      <c r="I67" s="17"/>
      <c r="J67" s="17"/>
      <c r="K67" s="17" t="s">
        <v>215</v>
      </c>
      <c r="L67" s="17"/>
      <c r="M67" s="17"/>
    </row>
    <row r="68" spans="8:13" ht="15" customHeight="1">
      <c r="H68" s="111"/>
      <c r="I68" s="16"/>
      <c r="J68" s="16"/>
      <c r="K68" s="16" t="s">
        <v>216</v>
      </c>
      <c r="L68" s="16"/>
      <c r="M68" s="16"/>
    </row>
    <row r="69" spans="8:13" ht="15" customHeight="1">
      <c r="H69" s="111"/>
      <c r="I69" s="17"/>
      <c r="J69" s="17"/>
      <c r="K69" s="17" t="s">
        <v>217</v>
      </c>
      <c r="L69" s="17"/>
      <c r="M69" s="17"/>
    </row>
    <row r="70" spans="8:13" ht="15" customHeight="1">
      <c r="H70" s="111"/>
      <c r="I70" s="16"/>
      <c r="J70" s="16"/>
      <c r="K70" s="16" t="s">
        <v>218</v>
      </c>
      <c r="L70" s="16"/>
      <c r="M70" s="16"/>
    </row>
    <row r="71" spans="8:13" ht="15" customHeight="1">
      <c r="H71" s="111"/>
      <c r="I71" s="17"/>
      <c r="J71" s="17"/>
      <c r="K71" s="17" t="s">
        <v>219</v>
      </c>
      <c r="L71" s="17"/>
      <c r="M71" s="17"/>
    </row>
    <row r="72" spans="8:13" ht="15" customHeight="1">
      <c r="H72" s="111"/>
      <c r="I72" s="16"/>
      <c r="J72" s="16"/>
      <c r="K72" s="16" t="s">
        <v>220</v>
      </c>
      <c r="L72" s="16"/>
      <c r="M72" s="16"/>
    </row>
    <row r="73" spans="8:13" ht="15" customHeight="1">
      <c r="H73" s="111"/>
      <c r="I73" s="17"/>
      <c r="J73" s="17"/>
      <c r="K73" s="17" t="s">
        <v>221</v>
      </c>
      <c r="L73" s="17"/>
      <c r="M73" s="17"/>
    </row>
    <row r="74" spans="8:13" ht="15" customHeight="1">
      <c r="H74" s="111"/>
      <c r="I74" s="16"/>
      <c r="J74" s="16"/>
      <c r="K74" s="16" t="s">
        <v>222</v>
      </c>
      <c r="L74" s="16"/>
      <c r="M74" s="16"/>
    </row>
    <row r="75" spans="8:13" ht="15" customHeight="1">
      <c r="H75" s="11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89" activePane="bottomLeft" state="frozen"/>
      <selection pane="bottomLeft" activeCell="F205" sqref="F205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7.5703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4.6527777777777779E-2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>
        <v>18</v>
      </c>
      <c r="G182" s="28">
        <f t="shared" si="39"/>
        <v>90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>
        <v>15</v>
      </c>
      <c r="G183" s="34">
        <f t="shared" si="39"/>
        <v>75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>
        <v>53</v>
      </c>
      <c r="G184" s="28">
        <f t="shared" si="39"/>
        <v>265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47</v>
      </c>
      <c r="G185" s="34">
        <f t="shared" si="39"/>
        <v>197.4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>
        <v>29</v>
      </c>
      <c r="G186" s="28">
        <f t="shared" si="39"/>
        <v>145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>
        <v>36</v>
      </c>
      <c r="G187" s="34">
        <f t="shared" si="39"/>
        <v>180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>
        <v>20</v>
      </c>
      <c r="G188" s="28">
        <f t="shared" si="39"/>
        <v>100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400</v>
      </c>
      <c r="G189" s="36">
        <f>SUM(G177:G188)</f>
        <v>1962.4</v>
      </c>
      <c r="H189" s="37"/>
      <c r="I189" s="37"/>
      <c r="J189" s="37"/>
      <c r="K189" s="37"/>
      <c r="L189" s="37"/>
      <c r="M189" s="38">
        <f ca="1">IFERROR(SUM(M177:M188),"")</f>
        <v>4.6527777777777779E-2</v>
      </c>
      <c r="N189" s="36" t="s">
        <v>235</v>
      </c>
      <c r="O189" s="39">
        <v>1901630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802</v>
      </c>
      <c r="G190" s="40">
        <f>G176+G189</f>
        <v>3972.4</v>
      </c>
      <c r="H190" s="41"/>
      <c r="I190" s="41"/>
      <c r="J190" s="41"/>
      <c r="K190" s="41"/>
      <c r="L190" s="41"/>
      <c r="M190" s="42">
        <f ca="1">IFERROR(M176+M189,"")</f>
        <v>0.12708333333333333</v>
      </c>
      <c r="N190" s="40" t="s">
        <v>239</v>
      </c>
      <c r="O190" s="43">
        <f>IFERROR(O176+O189,"")</f>
        <v>4836450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233</v>
      </c>
      <c r="F191" s="27">
        <v>35</v>
      </c>
      <c r="G191" s="34">
        <f t="shared" ref="G191:G202" si="42">IF(F191="","",IF(E191="PC 17",F191*4.2,IF(E191="PC 19",F191*5,IF(E191="CB",F191*35,""))))</f>
        <v>175</v>
      </c>
      <c r="H191" s="33" t="s">
        <v>20</v>
      </c>
      <c r="I191" s="33" t="s">
        <v>23</v>
      </c>
      <c r="J191" s="33" t="s">
        <v>36</v>
      </c>
      <c r="K191" s="29">
        <v>0.34930555555555554</v>
      </c>
      <c r="L191" s="29">
        <v>0.37569444444444444</v>
      </c>
      <c r="M191" s="35">
        <f t="shared" ref="M191:M202" ca="1" si="43">IFERROR(IF(K191="","",IF(L191="",MOD(NOW()-K191,1),IF(L191&gt;=K191,L191-K191,L191+1-K191))),"")</f>
        <v>2.6388888888888906E-2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233</v>
      </c>
      <c r="F192" s="27">
        <v>15</v>
      </c>
      <c r="G192" s="28">
        <f t="shared" si="42"/>
        <v>75</v>
      </c>
      <c r="H192" s="26" t="s">
        <v>20</v>
      </c>
      <c r="I192" s="26" t="s">
        <v>23</v>
      </c>
      <c r="J192" s="26" t="s">
        <v>36</v>
      </c>
      <c r="K192" s="29">
        <v>0.43333333333333335</v>
      </c>
      <c r="L192" s="29">
        <v>0.45833333333333331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233</v>
      </c>
      <c r="F193" s="27">
        <v>20</v>
      </c>
      <c r="G193" s="34">
        <f t="shared" si="42"/>
        <v>100</v>
      </c>
      <c r="H193" s="33" t="s">
        <v>20</v>
      </c>
      <c r="I193" s="33" t="s">
        <v>23</v>
      </c>
      <c r="J193" s="33" t="s">
        <v>36</v>
      </c>
      <c r="K193" s="29">
        <v>0.60416666666666663</v>
      </c>
      <c r="L193" s="29">
        <v>0.68055555555555558</v>
      </c>
      <c r="M193" s="35">
        <f t="shared" ca="1" si="43"/>
        <v>7.6388888888888951E-2</v>
      </c>
      <c r="N193" s="27" t="s">
        <v>250</v>
      </c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233</v>
      </c>
      <c r="F194" s="27">
        <v>10</v>
      </c>
      <c r="G194" s="28">
        <f t="shared" si="42"/>
        <v>50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233</v>
      </c>
      <c r="F195" s="27">
        <v>0</v>
      </c>
      <c r="G195" s="34">
        <f t="shared" si="42"/>
        <v>0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233</v>
      </c>
      <c r="F196" s="27">
        <v>63</v>
      </c>
      <c r="G196" s="28">
        <f t="shared" si="42"/>
        <v>315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233</v>
      </c>
      <c r="F197" s="27">
        <v>53</v>
      </c>
      <c r="G197" s="34">
        <f t="shared" si="42"/>
        <v>265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233</v>
      </c>
      <c r="F198" s="27">
        <v>10</v>
      </c>
      <c r="G198" s="28">
        <f t="shared" si="42"/>
        <v>50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233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233</v>
      </c>
      <c r="F200" s="27">
        <v>10</v>
      </c>
      <c r="G200" s="28">
        <f t="shared" si="42"/>
        <v>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233</v>
      </c>
      <c r="F201" s="27">
        <v>20</v>
      </c>
      <c r="G201" s="34">
        <f t="shared" si="42"/>
        <v>100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233</v>
      </c>
      <c r="F202" s="27">
        <v>15</v>
      </c>
      <c r="G202" s="28">
        <f t="shared" si="42"/>
        <v>75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251</v>
      </c>
      <c r="G203" s="36">
        <f>SUM(G191:G202)</f>
        <v>1255</v>
      </c>
      <c r="H203" s="37"/>
      <c r="I203" s="37"/>
      <c r="J203" s="37"/>
      <c r="K203" s="37"/>
      <c r="L203" s="37"/>
      <c r="M203" s="38">
        <f ca="1">IFERROR(SUM(M191:M202),"")</f>
        <v>0.12777777777777782</v>
      </c>
      <c r="N203" s="36" t="s">
        <v>235</v>
      </c>
      <c r="O203" s="45">
        <v>1392300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233</v>
      </c>
      <c r="F204" s="27">
        <v>37</v>
      </c>
      <c r="G204" s="28">
        <f t="shared" ref="G204:G215" si="45">IF(F204="","",IF(E204="PC 17",F204*4.2,IF(E204="PC 19",F204*5,IF(E204="CB",F204*35,""))))</f>
        <v>185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233</v>
      </c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233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233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233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233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233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233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233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233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233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233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37</v>
      </c>
      <c r="G216" s="36">
        <f>SUM(G204:G215)</f>
        <v>185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288</v>
      </c>
      <c r="G217" s="40">
        <f>G203+G216</f>
        <v>1440</v>
      </c>
      <c r="H217" s="41"/>
      <c r="I217" s="41"/>
      <c r="J217" s="41"/>
      <c r="K217" s="41"/>
      <c r="L217" s="41"/>
      <c r="M217" s="42">
        <f ca="1">IFERROR(M203+M216,"")</f>
        <v>0.12777777777777782</v>
      </c>
      <c r="N217" s="40" t="s">
        <v>239</v>
      </c>
      <c r="O217" s="48">
        <f>IFERROR(O203+O216,"")</f>
        <v>1392300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3" t="s">
        <v>238</v>
      </c>
      <c r="B811" s="114"/>
      <c r="C811" s="114"/>
      <c r="D811" s="114"/>
      <c r="E811" s="115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84" activePane="bottomLeft" state="frozen"/>
      <selection pane="bottomLeft" activeCell="F205" sqref="F20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48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251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252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253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254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255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256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257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258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0.73640601851366227</v>
      </c>
      <c r="N53" s="46" t="s">
        <v>259</v>
      </c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0.87529490740255111</v>
      </c>
      <c r="N54" s="36" t="s">
        <v>235</v>
      </c>
      <c r="O54" s="84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0.96001712962477348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251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260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261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262</v>
      </c>
      <c r="M96" s="30" t="str">
        <f t="shared" ref="M96:M107" ca="1" si="22">IFERROR(IF(K96="","",IF(L96="",MOD(NOW()-K96,1),IF(L96&gt;=K96,L96-K96,L96+1-K96))),"")</f>
        <v/>
      </c>
      <c r="N96" s="46" t="s">
        <v>263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264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265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266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267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268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269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270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 t="s">
        <v>20</v>
      </c>
      <c r="I180" s="26" t="s">
        <v>149</v>
      </c>
      <c r="J180" s="26" t="s">
        <v>134</v>
      </c>
      <c r="K180" s="29">
        <v>4.5138888888888888E-2</v>
      </c>
      <c r="L180" s="29">
        <v>7.013888888888889E-2</v>
      </c>
      <c r="M180" s="30">
        <f t="shared" ca="1" si="40"/>
        <v>2.5000000000000001E-2</v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 t="s">
        <v>20</v>
      </c>
      <c r="I181" s="33"/>
      <c r="J181" s="33" t="s">
        <v>74</v>
      </c>
      <c r="K181" s="29">
        <v>8.3333333333333329E-2</v>
      </c>
      <c r="L181" s="29">
        <v>0.15486111111111112</v>
      </c>
      <c r="M181" s="35">
        <f t="shared" ca="1" si="40"/>
        <v>7.1527777777777787E-2</v>
      </c>
      <c r="N181" s="46" t="s">
        <v>271</v>
      </c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 t="s">
        <v>20</v>
      </c>
      <c r="I182" s="26"/>
      <c r="J182" s="26" t="s">
        <v>74</v>
      </c>
      <c r="K182" s="29">
        <v>0.18958333333333333</v>
      </c>
      <c r="L182" s="29">
        <v>0.2326388888888889</v>
      </c>
      <c r="M182" s="30">
        <f t="shared" ca="1" si="40"/>
        <v>4.3055555555555569E-2</v>
      </c>
      <c r="N182" s="46" t="s">
        <v>268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13</v>
      </c>
      <c r="G183" s="34">
        <f t="shared" si="39"/>
        <v>54.6</v>
      </c>
      <c r="H183" s="33" t="s">
        <v>20</v>
      </c>
      <c r="I183" s="33"/>
      <c r="J183" s="33" t="s">
        <v>74</v>
      </c>
      <c r="K183" s="29">
        <v>0.23958333333333334</v>
      </c>
      <c r="L183" s="29">
        <v>0.28611111111111109</v>
      </c>
      <c r="M183" s="35">
        <f t="shared" ca="1" si="40"/>
        <v>4.6527777777777751E-2</v>
      </c>
      <c r="N183" s="46" t="s">
        <v>272</v>
      </c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>
        <v>0</v>
      </c>
      <c r="G184" s="28">
        <f t="shared" si="39"/>
        <v>0</v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3</v>
      </c>
      <c r="G185" s="34">
        <f t="shared" si="39"/>
        <v>12.600000000000001</v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>
        <v>10</v>
      </c>
      <c r="G186" s="28">
        <f t="shared" si="39"/>
        <v>42</v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0</v>
      </c>
      <c r="G187" s="34">
        <f t="shared" si="39"/>
        <v>0</v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84</v>
      </c>
      <c r="G189" s="36">
        <f>SUM(G177:G188)</f>
        <v>352.80000000000007</v>
      </c>
      <c r="H189" s="37"/>
      <c r="I189" s="37"/>
      <c r="J189" s="37"/>
      <c r="K189" s="37"/>
      <c r="L189" s="37"/>
      <c r="M189" s="38">
        <f ca="1">IFERROR(SUM(M177:M188),"")</f>
        <v>0.28819444444444464</v>
      </c>
      <c r="N189" s="36" t="s">
        <v>235</v>
      </c>
      <c r="O189" s="77">
        <v>362530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153</v>
      </c>
      <c r="G190" s="40">
        <f>G176+G189</f>
        <v>642.60000000000014</v>
      </c>
      <c r="H190" s="41"/>
      <c r="I190" s="41"/>
      <c r="J190" s="41"/>
      <c r="K190" s="41"/>
      <c r="L190" s="41"/>
      <c r="M190" s="42">
        <f ca="1">IFERROR(M176+M189,"")</f>
        <v>0.37083333333333357</v>
      </c>
      <c r="N190" s="40" t="s">
        <v>239</v>
      </c>
      <c r="O190" s="82">
        <f>IFERROR(O176+O189,"")</f>
        <v>728820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2</v>
      </c>
      <c r="G191" s="34">
        <f t="shared" ref="G191:G202" si="42">IF(F191="","",IF(E191="PC 17",F191*4.2,IF(E191="PC 19",F191*5,IF(E191="CB",F191*24,""))))</f>
        <v>8.4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46" t="s">
        <v>273</v>
      </c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17</v>
      </c>
      <c r="G192" s="28">
        <f t="shared" si="42"/>
        <v>71.400000000000006</v>
      </c>
      <c r="H192" s="26" t="s">
        <v>20</v>
      </c>
      <c r="I192" s="26" t="s">
        <v>149</v>
      </c>
      <c r="J192" s="26" t="s">
        <v>182</v>
      </c>
      <c r="K192" s="29">
        <v>0.47499999999999998</v>
      </c>
      <c r="L192" s="29">
        <v>0.4861111111111111</v>
      </c>
      <c r="M192" s="30">
        <f t="shared" ca="1" si="43"/>
        <v>1.1111111111111127E-2</v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16</v>
      </c>
      <c r="G193" s="34">
        <f t="shared" si="42"/>
        <v>67.2</v>
      </c>
      <c r="H193" s="33" t="s">
        <v>20</v>
      </c>
      <c r="I193" s="33" t="s">
        <v>149</v>
      </c>
      <c r="J193" s="26" t="s">
        <v>182</v>
      </c>
      <c r="K193" s="29">
        <v>0.50694444444444442</v>
      </c>
      <c r="L193" s="29">
        <v>0.53333333333333333</v>
      </c>
      <c r="M193" s="35">
        <f t="shared" ca="1" si="43"/>
        <v>2.6388888888888906E-2</v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20</v>
      </c>
      <c r="G194" s="28">
        <f t="shared" si="42"/>
        <v>84</v>
      </c>
      <c r="H194" s="26" t="s">
        <v>20</v>
      </c>
      <c r="I194" s="26" t="s">
        <v>39</v>
      </c>
      <c r="J194" s="26" t="s">
        <v>36</v>
      </c>
      <c r="K194" s="29">
        <v>0.5625</v>
      </c>
      <c r="L194" s="29">
        <v>0.56944444444444442</v>
      </c>
      <c r="M194" s="30">
        <f t="shared" ca="1" si="43"/>
        <v>6.9444444444444198E-3</v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5</v>
      </c>
      <c r="G195" s="34">
        <f t="shared" si="42"/>
        <v>21</v>
      </c>
      <c r="H195" s="33" t="s">
        <v>20</v>
      </c>
      <c r="I195" s="33" t="s">
        <v>39</v>
      </c>
      <c r="J195" s="33" t="s">
        <v>36</v>
      </c>
      <c r="K195" s="29">
        <v>0.60416666666666663</v>
      </c>
      <c r="L195" s="29">
        <v>0.63472222222222219</v>
      </c>
      <c r="M195" s="35">
        <f t="shared" ca="1" si="43"/>
        <v>3.0555555555555558E-2</v>
      </c>
      <c r="N195" s="46" t="s">
        <v>266</v>
      </c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13</v>
      </c>
      <c r="G196" s="28">
        <f t="shared" si="42"/>
        <v>54.6</v>
      </c>
      <c r="H196" s="26" t="s">
        <v>18</v>
      </c>
      <c r="I196" s="26" t="s">
        <v>39</v>
      </c>
      <c r="J196" s="26" t="s">
        <v>166</v>
      </c>
      <c r="K196" s="29">
        <v>0.67361111111111116</v>
      </c>
      <c r="L196" s="29">
        <v>0.68125000000000002</v>
      </c>
      <c r="M196" s="30">
        <f t="shared" ca="1" si="43"/>
        <v>7.6388888888888618E-3</v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10</v>
      </c>
      <c r="G197" s="34">
        <f t="shared" si="42"/>
        <v>42</v>
      </c>
      <c r="H197" s="33" t="s">
        <v>20</v>
      </c>
      <c r="I197" s="33" t="s">
        <v>123</v>
      </c>
      <c r="J197" s="33" t="s">
        <v>114</v>
      </c>
      <c r="K197" s="29">
        <v>0.71666666666666667</v>
      </c>
      <c r="L197" s="29">
        <v>0.72499999999999998</v>
      </c>
      <c r="M197" s="35">
        <f t="shared" ca="1" si="43"/>
        <v>8.3333333333333037E-3</v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9</v>
      </c>
      <c r="G198" s="28">
        <f t="shared" si="42"/>
        <v>37.800000000000004</v>
      </c>
      <c r="H198" s="26" t="s">
        <v>20</v>
      </c>
      <c r="I198" s="26" t="s">
        <v>123</v>
      </c>
      <c r="J198" s="33" t="s">
        <v>114</v>
      </c>
      <c r="K198" s="29">
        <v>0.7368055555555556</v>
      </c>
      <c r="L198" s="29">
        <v>0.74444444444444446</v>
      </c>
      <c r="M198" s="30">
        <f t="shared" ca="1" si="43"/>
        <v>7.6388888888888618E-3</v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9</v>
      </c>
      <c r="G199" s="34">
        <f t="shared" si="42"/>
        <v>37.800000000000004</v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19</v>
      </c>
      <c r="G200" s="28">
        <f t="shared" si="42"/>
        <v>79.8</v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7</v>
      </c>
      <c r="G202" s="28">
        <f t="shared" si="42"/>
        <v>29.400000000000002</v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133</v>
      </c>
      <c r="G203" s="36">
        <f>SUM(G191:G202)</f>
        <v>558.6</v>
      </c>
      <c r="H203" s="37"/>
      <c r="I203" s="37"/>
      <c r="J203" s="37"/>
      <c r="K203" s="37"/>
      <c r="L203" s="37"/>
      <c r="M203" s="38">
        <f ca="1">IFERROR(SUM(M191:M202),"")</f>
        <v>0.14027777777777767</v>
      </c>
      <c r="N203" s="36" t="s">
        <v>235</v>
      </c>
      <c r="O203" s="77">
        <v>601390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16</v>
      </c>
      <c r="G204" s="28">
        <f t="shared" ref="G204:G215" si="45">IF(F204="","",IF(E204="PC 17",F204*4.2,IF(E204="PC 19",F204*5,IF(E204="CB",F204*24,""))))</f>
        <v>67.2</v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16</v>
      </c>
      <c r="G216" s="36">
        <f>SUM(G204:G215)</f>
        <v>67.2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149</v>
      </c>
      <c r="G217" s="40">
        <f>G203+G216</f>
        <v>625.80000000000007</v>
      </c>
      <c r="H217" s="41"/>
      <c r="I217" s="41"/>
      <c r="J217" s="41"/>
      <c r="K217" s="41"/>
      <c r="L217" s="41"/>
      <c r="M217" s="42">
        <f ca="1">IFERROR(M203+M216,"")</f>
        <v>0.14027777777777767</v>
      </c>
      <c r="N217" s="40" t="s">
        <v>239</v>
      </c>
      <c r="O217" s="83">
        <f>IFERROR(O203+O216,"")</f>
        <v>601390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16" t="s">
        <v>234</v>
      </c>
      <c r="B230" s="117"/>
      <c r="C230" s="117"/>
      <c r="D230" s="117"/>
      <c r="E230" s="11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76" zoomScale="50" zoomScaleNormal="50" workbookViewId="0">
      <selection activeCell="F205" sqref="F205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7.1406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274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254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275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4" t="s">
        <v>237</v>
      </c>
      <c r="B27" s="105"/>
      <c r="C27" s="105"/>
      <c r="D27" s="105"/>
      <c r="E27" s="106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4" t="s">
        <v>234</v>
      </c>
      <c r="B41" s="105"/>
      <c r="C41" s="105"/>
      <c r="D41" s="105"/>
      <c r="E41" s="106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260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274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274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277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278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279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280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281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282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269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4" t="s">
        <v>234</v>
      </c>
      <c r="B149" s="105"/>
      <c r="C149" s="105"/>
      <c r="D149" s="105"/>
      <c r="E149" s="106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260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283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284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 t="s">
        <v>20</v>
      </c>
      <c r="I181" s="33" t="s">
        <v>149</v>
      </c>
      <c r="J181" s="33" t="s">
        <v>134</v>
      </c>
      <c r="K181" s="29">
        <v>4.5138888888888888E-2</v>
      </c>
      <c r="L181" s="29">
        <v>7.013888888888889E-2</v>
      </c>
      <c r="M181" s="35">
        <f t="shared" ca="1" si="40"/>
        <v>2.5000000000000001E-2</v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 t="s">
        <v>20</v>
      </c>
      <c r="I182" s="26"/>
      <c r="J182" s="26" t="s">
        <v>74</v>
      </c>
      <c r="K182" s="29">
        <v>8.3333333333333329E-2</v>
      </c>
      <c r="L182" s="29">
        <v>0.15486111111111112</v>
      </c>
      <c r="M182" s="30">
        <f t="shared" ca="1" si="40"/>
        <v>7.1527777777777787E-2</v>
      </c>
      <c r="N182" s="27" t="s">
        <v>272</v>
      </c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</v>
      </c>
      <c r="G183" s="34">
        <f t="shared" si="39"/>
        <v>4.2</v>
      </c>
      <c r="H183" s="33" t="s">
        <v>20</v>
      </c>
      <c r="I183" s="33" t="s">
        <v>47</v>
      </c>
      <c r="J183" s="33" t="s">
        <v>51</v>
      </c>
      <c r="K183" s="29">
        <v>0.16666666666666666</v>
      </c>
      <c r="L183" s="29">
        <v>0.1701388888888889</v>
      </c>
      <c r="M183" s="35">
        <f t="shared" ca="1" si="40"/>
        <v>3.4722222222222376E-3</v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0</v>
      </c>
      <c r="G184" s="28">
        <f t="shared" si="39"/>
        <v>0</v>
      </c>
      <c r="H184" s="26" t="s">
        <v>20</v>
      </c>
      <c r="I184" s="26"/>
      <c r="J184" s="26" t="s">
        <v>74</v>
      </c>
      <c r="K184" s="29">
        <v>0.18958333333333333</v>
      </c>
      <c r="L184" s="29">
        <v>0.1986111111111111</v>
      </c>
      <c r="M184" s="30">
        <f t="shared" ca="1" si="40"/>
        <v>9.0277777777777735E-3</v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2</v>
      </c>
      <c r="G185" s="34">
        <f t="shared" si="39"/>
        <v>8.4</v>
      </c>
      <c r="H185" s="33" t="s">
        <v>20</v>
      </c>
      <c r="I185" s="33"/>
      <c r="J185" s="33" t="s">
        <v>74</v>
      </c>
      <c r="K185" s="29">
        <v>0.23958333333333334</v>
      </c>
      <c r="L185" s="29">
        <v>0.28611111111111109</v>
      </c>
      <c r="M185" s="35">
        <f t="shared" ca="1" si="40"/>
        <v>4.6527777777777751E-2</v>
      </c>
      <c r="N185" s="27" t="s">
        <v>272</v>
      </c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3</v>
      </c>
      <c r="G186" s="28">
        <f t="shared" si="39"/>
        <v>12.600000000000001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4</v>
      </c>
      <c r="G187" s="34">
        <f t="shared" si="39"/>
        <v>16.8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0</v>
      </c>
      <c r="G188" s="28">
        <f t="shared" si="39"/>
        <v>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19</v>
      </c>
      <c r="G189" s="36">
        <f>SUM(G177:G188)</f>
        <v>79.8</v>
      </c>
      <c r="H189" s="37"/>
      <c r="I189" s="37"/>
      <c r="J189" s="37"/>
      <c r="K189" s="37"/>
      <c r="L189" s="37"/>
      <c r="M189" s="38">
        <f ca="1">IFERROR(SUM(M177:M188),"")</f>
        <v>0.31736111111111109</v>
      </c>
      <c r="N189" s="36" t="s">
        <v>235</v>
      </c>
      <c r="O189" s="39">
        <v>72220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84</v>
      </c>
      <c r="G190" s="40">
        <f>G176+G189</f>
        <v>352.8</v>
      </c>
      <c r="H190" s="41"/>
      <c r="I190" s="41"/>
      <c r="J190" s="41"/>
      <c r="K190" s="41"/>
      <c r="L190" s="41"/>
      <c r="M190" s="42">
        <f ca="1">IFERROR(M176+M189,"")</f>
        <v>0.40208333333333335</v>
      </c>
      <c r="N190" s="40" t="s">
        <v>239</v>
      </c>
      <c r="O190" s="43">
        <f>IFERROR(O176+O189,"")</f>
        <v>343570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0</v>
      </c>
      <c r="G191" s="34">
        <f t="shared" ref="G191:G202" si="42">IF(F191="","",IF(E191="PC 17",F191*4.2,IF(E191="PC 19",F191*5,IF(E191="CB",F191*24,""))))</f>
        <v>0</v>
      </c>
      <c r="H191" s="33" t="s">
        <v>20</v>
      </c>
      <c r="I191" s="33" t="s">
        <v>149</v>
      </c>
      <c r="J191" s="33" t="s">
        <v>182</v>
      </c>
      <c r="K191" s="29">
        <v>0.29166666666666669</v>
      </c>
      <c r="L191" s="29">
        <v>0.33333333333333331</v>
      </c>
      <c r="M191" s="35">
        <f t="shared" ref="M191:M202" ca="1" si="43">IFERROR(IF(K191="","",IF(L191="",MOD(NOW()-K191,1),IF(L191&gt;=K191,L191-K191,L191+1-K191))),"")</f>
        <v>4.166666666666663E-2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2</v>
      </c>
      <c r="G192" s="28">
        <f t="shared" si="42"/>
        <v>8.4</v>
      </c>
      <c r="H192" s="26" t="s">
        <v>20</v>
      </c>
      <c r="I192" s="26" t="s">
        <v>47</v>
      </c>
      <c r="J192" s="33" t="s">
        <v>36</v>
      </c>
      <c r="K192" s="29">
        <v>0.38472222222222224</v>
      </c>
      <c r="L192" s="29">
        <v>0.40972222222222221</v>
      </c>
      <c r="M192" s="30">
        <f t="shared" ca="1" si="43"/>
        <v>2.4999999999999967E-2</v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0</v>
      </c>
      <c r="G193" s="34">
        <f t="shared" si="42"/>
        <v>0</v>
      </c>
      <c r="H193" s="33" t="s">
        <v>19</v>
      </c>
      <c r="I193" s="33" t="s">
        <v>47</v>
      </c>
      <c r="J193" s="33" t="s">
        <v>27</v>
      </c>
      <c r="K193" s="29">
        <v>0.43055555555555558</v>
      </c>
      <c r="L193" s="29">
        <v>0.44583333333333336</v>
      </c>
      <c r="M193" s="35">
        <f t="shared" ca="1" si="43"/>
        <v>1.5277777777777779E-2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2</v>
      </c>
      <c r="G194" s="28">
        <f t="shared" si="42"/>
        <v>8.4</v>
      </c>
      <c r="H194" s="26" t="s">
        <v>20</v>
      </c>
      <c r="I194" s="26" t="s">
        <v>149</v>
      </c>
      <c r="J194" s="26" t="s">
        <v>182</v>
      </c>
      <c r="K194" s="29">
        <v>0.47499999999999998</v>
      </c>
      <c r="L194" s="29">
        <v>0.4861111111111111</v>
      </c>
      <c r="M194" s="30">
        <f t="shared" ca="1" si="43"/>
        <v>1.1111111111111127E-2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0</v>
      </c>
      <c r="G195" s="34">
        <f t="shared" si="42"/>
        <v>0</v>
      </c>
      <c r="H195" s="33" t="s">
        <v>20</v>
      </c>
      <c r="I195" s="33" t="s">
        <v>149</v>
      </c>
      <c r="J195" s="26" t="s">
        <v>182</v>
      </c>
      <c r="K195" s="29">
        <v>0.50694444444444442</v>
      </c>
      <c r="L195" s="29">
        <v>0.53333333333333333</v>
      </c>
      <c r="M195" s="35">
        <f t="shared" ca="1" si="43"/>
        <v>2.6388888888888906E-2</v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0</v>
      </c>
      <c r="G196" s="28">
        <f t="shared" si="42"/>
        <v>0</v>
      </c>
      <c r="H196" s="26" t="s">
        <v>19</v>
      </c>
      <c r="I196" s="26" t="s">
        <v>47</v>
      </c>
      <c r="J196" s="26" t="s">
        <v>78</v>
      </c>
      <c r="K196" s="29">
        <v>0.58750000000000002</v>
      </c>
      <c r="L196" s="29">
        <v>0.59375</v>
      </c>
      <c r="M196" s="30">
        <f t="shared" ca="1" si="43"/>
        <v>6.2499999999999778E-3</v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2</v>
      </c>
      <c r="G197" s="34">
        <f t="shared" si="42"/>
        <v>8.4</v>
      </c>
      <c r="H197" s="33" t="s">
        <v>20</v>
      </c>
      <c r="I197" s="33" t="s">
        <v>47</v>
      </c>
      <c r="J197" s="33" t="s">
        <v>51</v>
      </c>
      <c r="K197" s="29">
        <v>0.6069444444444444</v>
      </c>
      <c r="L197" s="29">
        <v>0.61319444444444449</v>
      </c>
      <c r="M197" s="35">
        <f t="shared" ca="1" si="43"/>
        <v>6.2500000000000888E-3</v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3</v>
      </c>
      <c r="G198" s="28">
        <f t="shared" si="42"/>
        <v>12.600000000000001</v>
      </c>
      <c r="H198" s="26" t="s">
        <v>19</v>
      </c>
      <c r="I198" s="26" t="s">
        <v>47</v>
      </c>
      <c r="J198" s="33" t="s">
        <v>78</v>
      </c>
      <c r="K198" s="29">
        <v>0.625</v>
      </c>
      <c r="L198" s="29">
        <v>0.63194444444444442</v>
      </c>
      <c r="M198" s="30">
        <f t="shared" ca="1" si="43"/>
        <v>6.9444444444444198E-3</v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0</v>
      </c>
      <c r="G199" s="34">
        <f t="shared" si="42"/>
        <v>0</v>
      </c>
      <c r="H199" s="33" t="s">
        <v>19</v>
      </c>
      <c r="I199" s="33" t="s">
        <v>47</v>
      </c>
      <c r="J199" s="33" t="s">
        <v>78</v>
      </c>
      <c r="K199" s="29">
        <v>0.68402777777777779</v>
      </c>
      <c r="L199" s="29">
        <v>0.69097222222222221</v>
      </c>
      <c r="M199" s="35">
        <f t="shared" ca="1" si="43"/>
        <v>6.9444444444444198E-3</v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4</v>
      </c>
      <c r="G200" s="28">
        <f t="shared" si="42"/>
        <v>16.8</v>
      </c>
      <c r="H200" s="26" t="s">
        <v>20</v>
      </c>
      <c r="I200" s="26" t="s">
        <v>123</v>
      </c>
      <c r="J200" s="26" t="s">
        <v>114</v>
      </c>
      <c r="K200" s="29">
        <v>0.71666666666666667</v>
      </c>
      <c r="L200" s="29">
        <v>0.72499999999999998</v>
      </c>
      <c r="M200" s="30">
        <f t="shared" ca="1" si="43"/>
        <v>8.3333333333333037E-3</v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0</v>
      </c>
      <c r="G201" s="34">
        <f t="shared" si="42"/>
        <v>0</v>
      </c>
      <c r="H201" s="33" t="s">
        <v>20</v>
      </c>
      <c r="I201" s="33" t="s">
        <v>123</v>
      </c>
      <c r="J201" s="33" t="s">
        <v>114</v>
      </c>
      <c r="K201" s="29">
        <v>0.7368055555555556</v>
      </c>
      <c r="L201" s="29">
        <v>0.74444444444444446</v>
      </c>
      <c r="M201" s="35">
        <f t="shared" ca="1" si="43"/>
        <v>7.6388888888888618E-3</v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2</v>
      </c>
      <c r="G202" s="28">
        <f t="shared" si="42"/>
        <v>8.4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15</v>
      </c>
      <c r="G203" s="36">
        <f>SUM(G191:G202)</f>
        <v>63.000000000000007</v>
      </c>
      <c r="H203" s="37"/>
      <c r="I203" s="37"/>
      <c r="J203" s="37"/>
      <c r="K203" s="37"/>
      <c r="L203" s="37"/>
      <c r="M203" s="38">
        <f ca="1">IFERROR(SUM(M191:M202),"")</f>
        <v>0.16180555555555548</v>
      </c>
      <c r="N203" s="36" t="s">
        <v>235</v>
      </c>
      <c r="O203" s="39">
        <v>92510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2</v>
      </c>
      <c r="G204" s="28">
        <f t="shared" ref="G204:G215" si="45">IF(F204="","",IF(E204="PC 17",F204*4.2,IF(E204="PC 19",F204*5,IF(E204="CB",F204*24,""))))</f>
        <v>8.4</v>
      </c>
      <c r="H204" s="26" t="s">
        <v>20</v>
      </c>
      <c r="I204" s="26" t="s">
        <v>47</v>
      </c>
      <c r="J204" s="26" t="s">
        <v>51</v>
      </c>
      <c r="K204" s="29">
        <v>0.79166666666666663</v>
      </c>
      <c r="L204" s="29">
        <v>0.79791666666666672</v>
      </c>
      <c r="M204" s="30">
        <f t="shared" ref="M204:M215" ca="1" si="46">IFERROR(IF(K204="","",IF(L204="",MOD(NOW()-K204,1),IF(L204&gt;=K204,L204-K204,L204+1-K204))),"")</f>
        <v>6.2500000000000888E-3</v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/>
      <c r="G205" s="34" t="str">
        <f t="shared" si="45"/>
        <v/>
      </c>
      <c r="H205" s="33" t="s">
        <v>20</v>
      </c>
      <c r="I205" s="33" t="s">
        <v>47</v>
      </c>
      <c r="J205" s="33" t="s">
        <v>56</v>
      </c>
      <c r="K205" s="29">
        <v>0.80833333333333335</v>
      </c>
      <c r="L205" s="29">
        <v>0.85763888888888884</v>
      </c>
      <c r="M205" s="35">
        <f t="shared" ca="1" si="46"/>
        <v>4.9305555555555491E-2</v>
      </c>
      <c r="N205" s="27" t="s">
        <v>285</v>
      </c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2</v>
      </c>
      <c r="G216" s="36">
        <f>SUM(G204:G215)</f>
        <v>8.4</v>
      </c>
      <c r="H216" s="37"/>
      <c r="I216" s="37"/>
      <c r="J216" s="37"/>
      <c r="K216" s="37"/>
      <c r="L216" s="37"/>
      <c r="M216" s="38">
        <f ca="1">IFERROR(SUM(M204:M215),"")</f>
        <v>5.555555555555558E-2</v>
      </c>
      <c r="N216" s="36" t="s">
        <v>235</v>
      </c>
      <c r="O216" s="39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17</v>
      </c>
      <c r="G217" s="40">
        <f>G203+G216</f>
        <v>71.400000000000006</v>
      </c>
      <c r="H217" s="41"/>
      <c r="I217" s="41"/>
      <c r="J217" s="41"/>
      <c r="K217" s="41"/>
      <c r="L217" s="41"/>
      <c r="M217" s="42">
        <f ca="1">IFERROR(M203+M216,"")</f>
        <v>0.21736111111111106</v>
      </c>
      <c r="N217" s="40" t="s">
        <v>239</v>
      </c>
      <c r="O217" s="48">
        <f>IFERROR(O203+O216,"")</f>
        <v>92510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4" t="s">
        <v>234</v>
      </c>
      <c r="B338" s="105"/>
      <c r="C338" s="105"/>
      <c r="D338" s="105"/>
      <c r="E338" s="106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4" t="s">
        <v>234</v>
      </c>
      <c r="B365" s="105"/>
      <c r="C365" s="105"/>
      <c r="D365" s="105"/>
      <c r="E365" s="106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86" activePane="bottomLeft" state="frozen"/>
      <selection pane="bottomLeft" activeCell="H205" sqref="H205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4" t="s">
        <v>234</v>
      </c>
      <c r="B14" s="105"/>
      <c r="C14" s="105"/>
      <c r="D14" s="105"/>
      <c r="E14" s="106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286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257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274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287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288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4" t="s">
        <v>237</v>
      </c>
      <c r="B27" s="105"/>
      <c r="C27" s="105"/>
      <c r="D27" s="105"/>
      <c r="E27" s="106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1" t="s">
        <v>238</v>
      </c>
      <c r="B28" s="102"/>
      <c r="C28" s="102"/>
      <c r="D28" s="102"/>
      <c r="E28" s="103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4" t="s">
        <v>234</v>
      </c>
      <c r="B41" s="105"/>
      <c r="C41" s="105"/>
      <c r="D41" s="105"/>
      <c r="E41" s="106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289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4" t="s">
        <v>237</v>
      </c>
      <c r="B54" s="105"/>
      <c r="C54" s="105"/>
      <c r="D54" s="105"/>
      <c r="E54" s="106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1" t="s">
        <v>238</v>
      </c>
      <c r="B55" s="102"/>
      <c r="C55" s="102"/>
      <c r="D55" s="102"/>
      <c r="E55" s="103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290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291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4" t="s">
        <v>234</v>
      </c>
      <c r="B68" s="105"/>
      <c r="C68" s="105"/>
      <c r="D68" s="105"/>
      <c r="E68" s="106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292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274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4" t="s">
        <v>237</v>
      </c>
      <c r="B81" s="105"/>
      <c r="C81" s="105"/>
      <c r="D81" s="105"/>
      <c r="E81" s="106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1" t="s">
        <v>238</v>
      </c>
      <c r="B82" s="102"/>
      <c r="C82" s="102"/>
      <c r="D82" s="102"/>
      <c r="E82" s="103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4" t="s">
        <v>234</v>
      </c>
      <c r="B95" s="105"/>
      <c r="C95" s="105"/>
      <c r="D95" s="105"/>
      <c r="E95" s="106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274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4" t="s">
        <v>237</v>
      </c>
      <c r="B108" s="105"/>
      <c r="C108" s="105"/>
      <c r="D108" s="105"/>
      <c r="E108" s="106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1" t="s">
        <v>238</v>
      </c>
      <c r="B109" s="102"/>
      <c r="C109" s="102"/>
      <c r="D109" s="102"/>
      <c r="E109" s="103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293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4" t="s">
        <v>234</v>
      </c>
      <c r="B122" s="105"/>
      <c r="C122" s="105"/>
      <c r="D122" s="105"/>
      <c r="E122" s="106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294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260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274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4" t="s">
        <v>237</v>
      </c>
      <c r="B135" s="105"/>
      <c r="C135" s="105"/>
      <c r="D135" s="105"/>
      <c r="E135" s="106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1" t="s">
        <v>238</v>
      </c>
      <c r="B136" s="102"/>
      <c r="C136" s="102"/>
      <c r="D136" s="102"/>
      <c r="E136" s="103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295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296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269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297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298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4" t="s">
        <v>237</v>
      </c>
      <c r="B162" s="105"/>
      <c r="C162" s="105"/>
      <c r="D162" s="105"/>
      <c r="E162" s="106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1" t="s">
        <v>238</v>
      </c>
      <c r="B163" s="102"/>
      <c r="C163" s="102"/>
      <c r="D163" s="102"/>
      <c r="E163" s="103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299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4" t="s">
        <v>234</v>
      </c>
      <c r="B176" s="105"/>
      <c r="C176" s="105"/>
      <c r="D176" s="105"/>
      <c r="E176" s="106">
        <f>SUM(E164:E175)</f>
        <v>0</v>
      </c>
      <c r="F176" s="36">
        <f>SUM(F164:F175)</f>
        <v>162</v>
      </c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300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>
        <v>4.1666666666666664E-2</v>
      </c>
      <c r="M178" s="30">
        <f t="shared" ca="1" si="40"/>
        <v>7.3611111111111183E-2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 t="s">
        <v>19</v>
      </c>
      <c r="I179" s="33" t="s">
        <v>162</v>
      </c>
      <c r="J179" s="26" t="s">
        <v>27</v>
      </c>
      <c r="K179" s="29">
        <v>0.1076388888888889</v>
      </c>
      <c r="L179" s="29">
        <v>0.12847222222222221</v>
      </c>
      <c r="M179" s="35">
        <f t="shared" ca="1" si="40"/>
        <v>2.0833333333333315E-2</v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>
        <v>16</v>
      </c>
      <c r="G183" s="34">
        <f t="shared" si="39"/>
        <v>67.2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>
        <v>9</v>
      </c>
      <c r="G184" s="28">
        <f t="shared" si="39"/>
        <v>37.800000000000004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>
        <v>19</v>
      </c>
      <c r="G185" s="34">
        <f t="shared" si="39"/>
        <v>79.8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>
        <v>20</v>
      </c>
      <c r="G186" s="28">
        <f t="shared" si="39"/>
        <v>84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>
        <v>18</v>
      </c>
      <c r="G187" s="34">
        <f t="shared" si="39"/>
        <v>75.600000000000009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>
        <v>8</v>
      </c>
      <c r="G188" s="28">
        <f t="shared" si="39"/>
        <v>33.6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4" t="s">
        <v>237</v>
      </c>
      <c r="B189" s="105"/>
      <c r="C189" s="105"/>
      <c r="D189" s="105"/>
      <c r="E189" s="106">
        <f>SUM(E177:E188)</f>
        <v>0</v>
      </c>
      <c r="F189" s="36">
        <f>SUM(F177:F188)</f>
        <v>162</v>
      </c>
      <c r="G189" s="36">
        <f>SUM(G177:G188)</f>
        <v>680.40000000000009</v>
      </c>
      <c r="H189" s="37"/>
      <c r="I189" s="37"/>
      <c r="J189" s="37"/>
      <c r="K189" s="61"/>
      <c r="L189" s="61"/>
      <c r="M189" s="38">
        <f ca="1">IFERROR(SUM(M177:M188),"")</f>
        <v>0.12361111111111117</v>
      </c>
      <c r="N189" s="36" t="s">
        <v>235</v>
      </c>
      <c r="O189" s="39">
        <v>692750</v>
      </c>
    </row>
    <row r="190" spans="1:15" ht="18" customHeight="1">
      <c r="A190" s="101" t="s">
        <v>238</v>
      </c>
      <c r="B190" s="102"/>
      <c r="C190" s="102"/>
      <c r="D190" s="102"/>
      <c r="E190" s="103">
        <f>E176+E189</f>
        <v>0</v>
      </c>
      <c r="F190" s="40">
        <f>F176+F189</f>
        <v>324</v>
      </c>
      <c r="G190" s="40">
        <f>G176+G189</f>
        <v>1360.8000000000002</v>
      </c>
      <c r="H190" s="41"/>
      <c r="I190" s="41"/>
      <c r="J190" s="41"/>
      <c r="K190" s="63"/>
      <c r="L190" s="63"/>
      <c r="M190" s="42">
        <f ca="1">IFERROR(M176+M189,"")</f>
        <v>0.25625000000000014</v>
      </c>
      <c r="N190" s="40" t="s">
        <v>239</v>
      </c>
      <c r="O190" s="43">
        <f>IFERROR(O176+O189,"")</f>
        <v>1352150</v>
      </c>
    </row>
    <row r="191" spans="1:15" ht="15" customHeight="1">
      <c r="A191" s="69">
        <v>46242</v>
      </c>
      <c r="B191" s="32">
        <v>0.33333333333333298</v>
      </c>
      <c r="C191" s="33" t="s">
        <v>21</v>
      </c>
      <c r="D191" s="62" t="s">
        <v>30</v>
      </c>
      <c r="E191" s="62" t="s">
        <v>249</v>
      </c>
      <c r="F191" s="27">
        <v>15</v>
      </c>
      <c r="G191" s="34">
        <f t="shared" ref="G191:G202" si="42">IF(F191="","",IF(E191="PC 17",F191*4.2,IF(E191="PC 19",F191*5,IF(E191="CB",F191*24,""))))</f>
        <v>63</v>
      </c>
      <c r="H191" s="33" t="s">
        <v>19</v>
      </c>
      <c r="I191" s="33" t="s">
        <v>162</v>
      </c>
      <c r="J191" s="33" t="s">
        <v>27</v>
      </c>
      <c r="K191" s="29">
        <v>0.29166666666666669</v>
      </c>
      <c r="L191" s="29">
        <v>0.31111111111111112</v>
      </c>
      <c r="M191" s="35">
        <f t="shared" ref="M191:M202" ca="1" si="43">IFERROR(IF(K191="","",IF(L191="",MOD(NOW()-K191,1),IF(L191&gt;=K191,L191-K191,L191+1-K191))),"")</f>
        <v>1.9444444444444431E-2</v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 t="s">
        <v>21</v>
      </c>
      <c r="D192" s="62" t="s">
        <v>30</v>
      </c>
      <c r="E192" s="62" t="s">
        <v>249</v>
      </c>
      <c r="F192" s="27">
        <v>15</v>
      </c>
      <c r="G192" s="28">
        <f t="shared" si="42"/>
        <v>63</v>
      </c>
      <c r="H192" s="26" t="s">
        <v>18</v>
      </c>
      <c r="I192" s="26" t="s">
        <v>52</v>
      </c>
      <c r="J192" s="33" t="s">
        <v>156</v>
      </c>
      <c r="K192" s="29">
        <v>0.55138888888888893</v>
      </c>
      <c r="L192" s="29">
        <v>0.58750000000000002</v>
      </c>
      <c r="M192" s="30">
        <f t="shared" ca="1" si="43"/>
        <v>3.6111111111111094E-2</v>
      </c>
      <c r="N192" s="27" t="s">
        <v>301</v>
      </c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 t="s">
        <v>21</v>
      </c>
      <c r="D193" s="62" t="s">
        <v>30</v>
      </c>
      <c r="E193" s="62" t="s">
        <v>249</v>
      </c>
      <c r="F193" s="27">
        <v>14</v>
      </c>
      <c r="G193" s="34">
        <f t="shared" si="42"/>
        <v>58.800000000000004</v>
      </c>
      <c r="H193" s="33" t="s">
        <v>20</v>
      </c>
      <c r="I193" s="33" t="s">
        <v>57</v>
      </c>
      <c r="J193" s="33" t="s">
        <v>28</v>
      </c>
      <c r="K193" s="29">
        <v>0.67013888888888884</v>
      </c>
      <c r="L193" s="29">
        <v>0.67638888888888893</v>
      </c>
      <c r="M193" s="35">
        <f t="shared" ca="1" si="43"/>
        <v>6.2500000000000888E-3</v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 t="s">
        <v>21</v>
      </c>
      <c r="D194" s="62" t="s">
        <v>30</v>
      </c>
      <c r="E194" s="62" t="s">
        <v>249</v>
      </c>
      <c r="F194" s="27">
        <v>18</v>
      </c>
      <c r="G194" s="28">
        <f t="shared" si="42"/>
        <v>75.600000000000009</v>
      </c>
      <c r="H194" s="26" t="s">
        <v>20</v>
      </c>
      <c r="I194" s="26" t="s">
        <v>157</v>
      </c>
      <c r="J194" s="26" t="s">
        <v>74</v>
      </c>
      <c r="K194" s="29">
        <v>0.69861111111111107</v>
      </c>
      <c r="L194" s="29">
        <v>0.70486111111111116</v>
      </c>
      <c r="M194" s="30">
        <f t="shared" ca="1" si="43"/>
        <v>6.2500000000000888E-3</v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 t="s">
        <v>21</v>
      </c>
      <c r="D195" s="62" t="s">
        <v>30</v>
      </c>
      <c r="E195" s="62" t="s">
        <v>249</v>
      </c>
      <c r="F195" s="27">
        <v>10</v>
      </c>
      <c r="G195" s="34">
        <f t="shared" si="42"/>
        <v>42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 t="s">
        <v>21</v>
      </c>
      <c r="D196" s="62" t="s">
        <v>30</v>
      </c>
      <c r="E196" s="62" t="s">
        <v>249</v>
      </c>
      <c r="F196" s="27">
        <v>17</v>
      </c>
      <c r="G196" s="28">
        <f t="shared" si="42"/>
        <v>71.400000000000006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 t="s">
        <v>21</v>
      </c>
      <c r="D197" s="62" t="s">
        <v>30</v>
      </c>
      <c r="E197" s="62" t="s">
        <v>249</v>
      </c>
      <c r="F197" s="27">
        <v>0</v>
      </c>
      <c r="G197" s="34">
        <f t="shared" si="42"/>
        <v>0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 t="s">
        <v>21</v>
      </c>
      <c r="D198" s="62" t="s">
        <v>30</v>
      </c>
      <c r="E198" s="62" t="s">
        <v>249</v>
      </c>
      <c r="F198" s="27">
        <v>16</v>
      </c>
      <c r="G198" s="28">
        <f t="shared" si="42"/>
        <v>67.2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 t="s">
        <v>21</v>
      </c>
      <c r="D199" s="62" t="s">
        <v>30</v>
      </c>
      <c r="E199" s="62" t="s">
        <v>249</v>
      </c>
      <c r="F199" s="27">
        <v>17</v>
      </c>
      <c r="G199" s="34">
        <f t="shared" si="42"/>
        <v>71.400000000000006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 t="s">
        <v>21</v>
      </c>
      <c r="D200" s="62" t="s">
        <v>30</v>
      </c>
      <c r="E200" s="62" t="s">
        <v>249</v>
      </c>
      <c r="F200" s="27">
        <v>20</v>
      </c>
      <c r="G200" s="28">
        <f t="shared" si="42"/>
        <v>84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 t="s">
        <v>21</v>
      </c>
      <c r="D201" s="62" t="s">
        <v>30</v>
      </c>
      <c r="E201" s="62" t="s">
        <v>249</v>
      </c>
      <c r="F201" s="27">
        <v>10</v>
      </c>
      <c r="G201" s="34">
        <f t="shared" si="42"/>
        <v>42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 t="s">
        <v>21</v>
      </c>
      <c r="D202" s="62" t="s">
        <v>30</v>
      </c>
      <c r="E202" s="62" t="s">
        <v>249</v>
      </c>
      <c r="F202" s="27">
        <v>9</v>
      </c>
      <c r="G202" s="28">
        <f t="shared" si="42"/>
        <v>37.800000000000004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4" t="s">
        <v>234</v>
      </c>
      <c r="B203" s="105"/>
      <c r="C203" s="105"/>
      <c r="D203" s="105"/>
      <c r="E203" s="106">
        <f>SUM(E191:E202)</f>
        <v>0</v>
      </c>
      <c r="F203" s="36">
        <f>SUM(F191:F202)</f>
        <v>161</v>
      </c>
      <c r="G203" s="36">
        <f>SUM(G191:G202)</f>
        <v>676.2</v>
      </c>
      <c r="H203" s="37"/>
      <c r="I203" s="37"/>
      <c r="J203" s="37"/>
      <c r="K203" s="61"/>
      <c r="L203" s="61"/>
      <c r="M203" s="38">
        <f ca="1">IFERROR(SUM(M191:M202),"")</f>
        <v>6.8055555555555702E-2</v>
      </c>
      <c r="N203" s="36" t="s">
        <v>235</v>
      </c>
      <c r="O203" s="45">
        <v>790070</v>
      </c>
    </row>
    <row r="204" spans="1:15" ht="15" customHeight="1">
      <c r="A204" s="68">
        <v>46242</v>
      </c>
      <c r="B204" s="25">
        <v>0.83333333333333304</v>
      </c>
      <c r="C204" s="26" t="s">
        <v>45</v>
      </c>
      <c r="D204" s="59" t="s">
        <v>30</v>
      </c>
      <c r="E204" s="59" t="s">
        <v>249</v>
      </c>
      <c r="F204" s="27">
        <v>14</v>
      </c>
      <c r="G204" s="28">
        <f t="shared" ref="G204:G215" si="45">IF(F204="","",IF(E204="PC 17",F204*4.2,IF(E204="PC 19",F204*5,IF(E204="CB",F204*24,""))))</f>
        <v>58.800000000000004</v>
      </c>
      <c r="H204" s="26" t="s">
        <v>18</v>
      </c>
      <c r="I204" s="33" t="s">
        <v>57</v>
      </c>
      <c r="J204" s="26" t="s">
        <v>34</v>
      </c>
      <c r="K204" s="29">
        <v>0.8125</v>
      </c>
      <c r="L204" s="29"/>
      <c r="M204" s="30">
        <f t="shared" ref="M204:M215" ca="1" si="46">IFERROR(IF(K204="","",IF(L204="",MOD(NOW()-K204,1),IF(L204&gt;=K204,L204-K204,L204+1-K204))),"")</f>
        <v>4.5433796294673812E-2</v>
      </c>
      <c r="N204" s="27" t="s">
        <v>302</v>
      </c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 t="s">
        <v>45</v>
      </c>
      <c r="D205" s="59" t="s">
        <v>30</v>
      </c>
      <c r="E205" s="59" t="s">
        <v>249</v>
      </c>
      <c r="F205" s="27"/>
      <c r="G205" s="34" t="str">
        <f t="shared" si="45"/>
        <v/>
      </c>
      <c r="H205" s="33" t="s">
        <v>20</v>
      </c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 t="s">
        <v>45</v>
      </c>
      <c r="D206" s="59" t="s">
        <v>30</v>
      </c>
      <c r="E206" s="59" t="s">
        <v>249</v>
      </c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 t="s">
        <v>45</v>
      </c>
      <c r="D207" s="59" t="s">
        <v>30</v>
      </c>
      <c r="E207" s="59" t="s">
        <v>249</v>
      </c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 t="s">
        <v>45</v>
      </c>
      <c r="D208" s="59" t="s">
        <v>30</v>
      </c>
      <c r="E208" s="59" t="s">
        <v>249</v>
      </c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 t="s">
        <v>45</v>
      </c>
      <c r="D209" s="59" t="s">
        <v>30</v>
      </c>
      <c r="E209" s="59" t="s">
        <v>249</v>
      </c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 t="s">
        <v>45</v>
      </c>
      <c r="D210" s="59" t="s">
        <v>30</v>
      </c>
      <c r="E210" s="59" t="s">
        <v>249</v>
      </c>
      <c r="F210" s="27"/>
      <c r="G210" s="28"/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 t="s">
        <v>45</v>
      </c>
      <c r="D211" s="59" t="s">
        <v>30</v>
      </c>
      <c r="E211" s="59" t="s">
        <v>249</v>
      </c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 t="s">
        <v>45</v>
      </c>
      <c r="D212" s="59" t="s">
        <v>30</v>
      </c>
      <c r="E212" s="59" t="s">
        <v>249</v>
      </c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 t="s">
        <v>45</v>
      </c>
      <c r="D213" s="59" t="s">
        <v>30</v>
      </c>
      <c r="E213" s="59" t="s">
        <v>249</v>
      </c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 t="s">
        <v>45</v>
      </c>
      <c r="D214" s="59" t="s">
        <v>30</v>
      </c>
      <c r="E214" s="59" t="s">
        <v>249</v>
      </c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 t="s">
        <v>45</v>
      </c>
      <c r="D215" s="59" t="s">
        <v>30</v>
      </c>
      <c r="E215" s="59" t="s">
        <v>249</v>
      </c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4" t="s">
        <v>237</v>
      </c>
      <c r="B216" s="105"/>
      <c r="C216" s="105"/>
      <c r="D216" s="105"/>
      <c r="E216" s="106">
        <f>SUM(E204:E215)</f>
        <v>0</v>
      </c>
      <c r="F216" s="36">
        <f>SUM(F204:F215)</f>
        <v>14</v>
      </c>
      <c r="G216" s="36">
        <f>SUM(G204:G215)</f>
        <v>58.800000000000004</v>
      </c>
      <c r="H216" s="37"/>
      <c r="I216" s="37"/>
      <c r="J216" s="37"/>
      <c r="K216" s="61"/>
      <c r="L216" s="61"/>
      <c r="M216" s="38">
        <f ca="1">IFERROR(SUM(M204:M215),"")</f>
        <v>4.5433796294673812E-2</v>
      </c>
      <c r="N216" s="36" t="s">
        <v>235</v>
      </c>
      <c r="O216" s="45"/>
    </row>
    <row r="217" spans="1:15" ht="18" customHeight="1">
      <c r="A217" s="101" t="s">
        <v>238</v>
      </c>
      <c r="B217" s="102"/>
      <c r="C217" s="102"/>
      <c r="D217" s="102"/>
      <c r="E217" s="103">
        <f>E203+E216</f>
        <v>0</v>
      </c>
      <c r="F217" s="40">
        <f>F203+F216</f>
        <v>175</v>
      </c>
      <c r="G217" s="40">
        <f>G203+G216</f>
        <v>735</v>
      </c>
      <c r="H217" s="41"/>
      <c r="I217" s="41"/>
      <c r="J217" s="41"/>
      <c r="K217" s="63"/>
      <c r="L217" s="63"/>
      <c r="M217" s="42">
        <f ca="1">IFERROR(M203+M216,"")</f>
        <v>0.11348935185022951</v>
      </c>
      <c r="N217" s="40" t="s">
        <v>239</v>
      </c>
      <c r="O217" s="48">
        <f>IFERROR(O203+O216,"")</f>
        <v>790070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4" t="s">
        <v>234</v>
      </c>
      <c r="B230" s="105"/>
      <c r="C230" s="105"/>
      <c r="D230" s="105"/>
      <c r="E230" s="106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4" t="s">
        <v>237</v>
      </c>
      <c r="B243" s="105"/>
      <c r="C243" s="105"/>
      <c r="D243" s="105"/>
      <c r="E243" s="106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1" t="s">
        <v>238</v>
      </c>
      <c r="B244" s="102"/>
      <c r="C244" s="102"/>
      <c r="D244" s="102"/>
      <c r="E244" s="103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4" t="s">
        <v>234</v>
      </c>
      <c r="B257" s="105"/>
      <c r="C257" s="105"/>
      <c r="D257" s="105"/>
      <c r="E257" s="106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4" t="s">
        <v>237</v>
      </c>
      <c r="B270" s="105"/>
      <c r="C270" s="105"/>
      <c r="D270" s="105"/>
      <c r="E270" s="106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1" t="s">
        <v>238</v>
      </c>
      <c r="B271" s="102"/>
      <c r="C271" s="102"/>
      <c r="D271" s="102"/>
      <c r="E271" s="103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4" t="s">
        <v>234</v>
      </c>
      <c r="B284" s="105"/>
      <c r="C284" s="105"/>
      <c r="D284" s="105"/>
      <c r="E284" s="106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4" t="s">
        <v>237</v>
      </c>
      <c r="B297" s="105"/>
      <c r="C297" s="105"/>
      <c r="D297" s="105"/>
      <c r="E297" s="106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1" t="s">
        <v>238</v>
      </c>
      <c r="B298" s="102"/>
      <c r="C298" s="102"/>
      <c r="D298" s="102"/>
      <c r="E298" s="103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4" t="s">
        <v>234</v>
      </c>
      <c r="B311" s="105"/>
      <c r="C311" s="105"/>
      <c r="D311" s="105"/>
      <c r="E311" s="106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4" t="s">
        <v>237</v>
      </c>
      <c r="B324" s="105"/>
      <c r="C324" s="105"/>
      <c r="D324" s="105"/>
      <c r="E324" s="106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1" t="s">
        <v>238</v>
      </c>
      <c r="B325" s="102"/>
      <c r="C325" s="102"/>
      <c r="D325" s="102"/>
      <c r="E325" s="103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4" t="s">
        <v>234</v>
      </c>
      <c r="B338" s="105"/>
      <c r="C338" s="105"/>
      <c r="D338" s="105"/>
      <c r="E338" s="106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4" t="s">
        <v>237</v>
      </c>
      <c r="B351" s="105"/>
      <c r="C351" s="105"/>
      <c r="D351" s="105"/>
      <c r="E351" s="106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1" t="s">
        <v>238</v>
      </c>
      <c r="B352" s="102"/>
      <c r="C352" s="102"/>
      <c r="D352" s="102"/>
      <c r="E352" s="103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4" t="s">
        <v>237</v>
      </c>
      <c r="B378" s="105"/>
      <c r="C378" s="105"/>
      <c r="D378" s="105"/>
      <c r="E378" s="106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1" t="s">
        <v>238</v>
      </c>
      <c r="B379" s="102"/>
      <c r="C379" s="102"/>
      <c r="D379" s="102"/>
      <c r="E379" s="103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4" t="s">
        <v>234</v>
      </c>
      <c r="B392" s="105"/>
      <c r="C392" s="105"/>
      <c r="D392" s="105"/>
      <c r="E392" s="106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4" t="s">
        <v>237</v>
      </c>
      <c r="B405" s="105"/>
      <c r="C405" s="105"/>
      <c r="D405" s="105"/>
      <c r="E405" s="106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1" t="s">
        <v>238</v>
      </c>
      <c r="B406" s="102"/>
      <c r="C406" s="102"/>
      <c r="D406" s="102"/>
      <c r="E406" s="103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4" t="s">
        <v>234</v>
      </c>
      <c r="B419" s="105"/>
      <c r="C419" s="105"/>
      <c r="D419" s="105"/>
      <c r="E419" s="106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4" t="s">
        <v>237</v>
      </c>
      <c r="B432" s="105"/>
      <c r="C432" s="105"/>
      <c r="D432" s="105"/>
      <c r="E432" s="106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1" t="s">
        <v>238</v>
      </c>
      <c r="B433" s="102"/>
      <c r="C433" s="102"/>
      <c r="D433" s="102"/>
      <c r="E433" s="103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4" t="s">
        <v>234</v>
      </c>
      <c r="B446" s="105"/>
      <c r="C446" s="105"/>
      <c r="D446" s="105"/>
      <c r="E446" s="106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4" t="s">
        <v>237</v>
      </c>
      <c r="B459" s="105"/>
      <c r="C459" s="105"/>
      <c r="D459" s="105"/>
      <c r="E459" s="106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1" t="s">
        <v>238</v>
      </c>
      <c r="B460" s="102"/>
      <c r="C460" s="102"/>
      <c r="D460" s="102"/>
      <c r="E460" s="103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4" t="s">
        <v>234</v>
      </c>
      <c r="B473" s="105"/>
      <c r="C473" s="105"/>
      <c r="D473" s="105"/>
      <c r="E473" s="106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4" t="s">
        <v>237</v>
      </c>
      <c r="B486" s="105"/>
      <c r="C486" s="105"/>
      <c r="D486" s="105"/>
      <c r="E486" s="106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1" t="s">
        <v>238</v>
      </c>
      <c r="B487" s="102"/>
      <c r="C487" s="102"/>
      <c r="D487" s="102"/>
      <c r="E487" s="103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4" t="s">
        <v>234</v>
      </c>
      <c r="B500" s="105"/>
      <c r="C500" s="105"/>
      <c r="D500" s="105"/>
      <c r="E500" s="106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4" t="s">
        <v>237</v>
      </c>
      <c r="B513" s="105"/>
      <c r="C513" s="105"/>
      <c r="D513" s="105"/>
      <c r="E513" s="106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1" t="s">
        <v>238</v>
      </c>
      <c r="B514" s="102"/>
      <c r="C514" s="102"/>
      <c r="D514" s="102"/>
      <c r="E514" s="103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4" t="s">
        <v>234</v>
      </c>
      <c r="B527" s="105"/>
      <c r="C527" s="105"/>
      <c r="D527" s="105"/>
      <c r="E527" s="106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4" t="s">
        <v>237</v>
      </c>
      <c r="B540" s="105"/>
      <c r="C540" s="105"/>
      <c r="D540" s="105"/>
      <c r="E540" s="106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1" t="s">
        <v>238</v>
      </c>
      <c r="B541" s="102"/>
      <c r="C541" s="102"/>
      <c r="D541" s="102"/>
      <c r="E541" s="103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4" t="s">
        <v>234</v>
      </c>
      <c r="B554" s="105"/>
      <c r="C554" s="105"/>
      <c r="D554" s="105"/>
      <c r="E554" s="106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4" t="s">
        <v>237</v>
      </c>
      <c r="B567" s="105"/>
      <c r="C567" s="105"/>
      <c r="D567" s="105"/>
      <c r="E567" s="106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1" t="s">
        <v>238</v>
      </c>
      <c r="B568" s="102"/>
      <c r="C568" s="102"/>
      <c r="D568" s="102"/>
      <c r="E568" s="103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4" t="s">
        <v>234</v>
      </c>
      <c r="B581" s="105"/>
      <c r="C581" s="105"/>
      <c r="D581" s="105"/>
      <c r="E581" s="106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4" t="s">
        <v>237</v>
      </c>
      <c r="B594" s="105"/>
      <c r="C594" s="105"/>
      <c r="D594" s="105"/>
      <c r="E594" s="106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1" t="s">
        <v>238</v>
      </c>
      <c r="B595" s="102"/>
      <c r="C595" s="102"/>
      <c r="D595" s="102"/>
      <c r="E595" s="103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4" t="s">
        <v>234</v>
      </c>
      <c r="B608" s="105"/>
      <c r="C608" s="105"/>
      <c r="D608" s="105"/>
      <c r="E608" s="106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4" t="s">
        <v>237</v>
      </c>
      <c r="B621" s="105"/>
      <c r="C621" s="105"/>
      <c r="D621" s="105"/>
      <c r="E621" s="106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1" t="s">
        <v>238</v>
      </c>
      <c r="B622" s="102"/>
      <c r="C622" s="102"/>
      <c r="D622" s="102"/>
      <c r="E622" s="103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4" t="s">
        <v>234</v>
      </c>
      <c r="B635" s="105"/>
      <c r="C635" s="105"/>
      <c r="D635" s="105"/>
      <c r="E635" s="106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4" t="s">
        <v>237</v>
      </c>
      <c r="B648" s="105"/>
      <c r="C648" s="105"/>
      <c r="D648" s="105"/>
      <c r="E648" s="106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1" t="s">
        <v>238</v>
      </c>
      <c r="B649" s="102"/>
      <c r="C649" s="102"/>
      <c r="D649" s="102"/>
      <c r="E649" s="103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4" t="s">
        <v>234</v>
      </c>
      <c r="B662" s="105"/>
      <c r="C662" s="105"/>
      <c r="D662" s="105"/>
      <c r="E662" s="106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4" t="s">
        <v>237</v>
      </c>
      <c r="B675" s="105"/>
      <c r="C675" s="105"/>
      <c r="D675" s="105"/>
      <c r="E675" s="106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1" t="s">
        <v>238</v>
      </c>
      <c r="B676" s="102"/>
      <c r="C676" s="102"/>
      <c r="D676" s="102"/>
      <c r="E676" s="103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4" t="s">
        <v>234</v>
      </c>
      <c r="B689" s="105"/>
      <c r="C689" s="105"/>
      <c r="D689" s="105"/>
      <c r="E689" s="106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4" t="s">
        <v>237</v>
      </c>
      <c r="B702" s="105"/>
      <c r="C702" s="105"/>
      <c r="D702" s="105"/>
      <c r="E702" s="106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1" t="s">
        <v>238</v>
      </c>
      <c r="B703" s="102"/>
      <c r="C703" s="102"/>
      <c r="D703" s="102"/>
      <c r="E703" s="103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4" t="s">
        <v>234</v>
      </c>
      <c r="B716" s="105"/>
      <c r="C716" s="105"/>
      <c r="D716" s="105"/>
      <c r="E716" s="106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4" t="s">
        <v>237</v>
      </c>
      <c r="B729" s="105"/>
      <c r="C729" s="105"/>
      <c r="D729" s="105"/>
      <c r="E729" s="106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1" t="s">
        <v>238</v>
      </c>
      <c r="B730" s="102"/>
      <c r="C730" s="102"/>
      <c r="D730" s="102"/>
      <c r="E730" s="103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4" t="s">
        <v>234</v>
      </c>
      <c r="B743" s="105"/>
      <c r="C743" s="105"/>
      <c r="D743" s="105"/>
      <c r="E743" s="106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4" t="s">
        <v>237</v>
      </c>
      <c r="B756" s="105"/>
      <c r="C756" s="105"/>
      <c r="D756" s="105"/>
      <c r="E756" s="106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1" t="s">
        <v>238</v>
      </c>
      <c r="B757" s="102"/>
      <c r="C757" s="102"/>
      <c r="D757" s="102"/>
      <c r="E757" s="103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4" t="s">
        <v>234</v>
      </c>
      <c r="B770" s="105"/>
      <c r="C770" s="105"/>
      <c r="D770" s="105"/>
      <c r="E770" s="106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4" t="s">
        <v>237</v>
      </c>
      <c r="B783" s="105"/>
      <c r="C783" s="105"/>
      <c r="D783" s="105"/>
      <c r="E783" s="106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1" t="s">
        <v>238</v>
      </c>
      <c r="B784" s="102"/>
      <c r="C784" s="102"/>
      <c r="D784" s="102"/>
      <c r="E784" s="103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4" t="s">
        <v>234</v>
      </c>
      <c r="B797" s="105"/>
      <c r="C797" s="105"/>
      <c r="D797" s="105"/>
      <c r="E797" s="106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4" t="s">
        <v>237</v>
      </c>
      <c r="B810" s="105"/>
      <c r="C810" s="105"/>
      <c r="D810" s="105"/>
      <c r="E810" s="106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1" t="s">
        <v>238</v>
      </c>
      <c r="B811" s="102"/>
      <c r="C811" s="102"/>
      <c r="D811" s="102"/>
      <c r="E811" s="103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4" t="s">
        <v>234</v>
      </c>
      <c r="B824" s="105"/>
      <c r="C824" s="105"/>
      <c r="D824" s="105"/>
      <c r="E824" s="106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4" t="s">
        <v>237</v>
      </c>
      <c r="B837" s="105"/>
      <c r="C837" s="105"/>
      <c r="D837" s="105"/>
      <c r="E837" s="106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1" t="s">
        <v>238</v>
      </c>
      <c r="B838" s="102"/>
      <c r="C838" s="102"/>
      <c r="D838" s="102"/>
      <c r="E838" s="103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I206:I900 I2:I204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288F5DF9-2BBC-43A5-A79A-7C7087BA3892}"/>
</file>

<file path=customXml/itemProps3.xml><?xml version="1.0" encoding="utf-8"?>
<ds:datastoreItem xmlns:ds="http://schemas.openxmlformats.org/officeDocument/2006/customXml" ds:itemID="{60A38338-7112-4F45-BCE1-49C5EC8DDAF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2026-08-09T00:35:49Z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