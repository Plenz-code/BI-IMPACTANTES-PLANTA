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9313" documentId="8_{AF585B22-221D-4780-BB9C-493D365A6A02}" xr6:coauthVersionLast="47" xr6:coauthVersionMax="47" xr10:uidLastSave="{8D81C28E-2F24-45B7-8DC4-A0B8689F6A4E}"/>
  <bookViews>
    <workbookView xWindow="-110" yWindow="-110" windowWidth="25820" windowHeight="1550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<sst xmlns="http://schemas.openxmlformats.org/spreadsheetml/2006/main" count="8175" uniqueCount="357">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</sst>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0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7" sqref="G27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4" t="s">
        <v>0</v>
      </c>
      <c r="B1" s="104"/>
      <c r="C1" s="104"/>
      <c r="D1" s="104"/>
      <c r="E1" s="104"/>
      <c r="F1" s="104"/>
      <c r="G1" s="104"/>
    </row>
    <row r="2" spans="1:7" ht="24.75" customHeight="1">
      <c r="A2" s="105"/>
      <c r="B2" s="105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6" t="s">
        <v>9</v>
      </c>
      <c r="B35" s="106"/>
      <c r="C35" s="13">
        <f>IFERROR(SUM(C4:C34),"")</f>
        <v>59982441</v>
      </c>
      <c r="D35" s="13">
        <f>IFERROR(SUM(D4:D34),"")</f>
        <v>22393340</v>
      </c>
      <c r="E35" s="13">
        <f>IFERROR(SUM(E4:E34),"")</f>
        <v>13410270</v>
      </c>
      <c r="F35" s="13">
        <f>IFERROR(SUM(F4:F34),"")</f>
        <v>26874360</v>
      </c>
      <c r="G35" s="13">
        <f>IFERROR(SUM(G4:G34),"")</f>
        <v>62677970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7" t="s">
        <v>10</v>
      </c>
      <c r="B1" s="107"/>
      <c r="C1" s="107"/>
      <c r="D1" s="107"/>
      <c r="E1" s="107"/>
      <c r="F1" s="107"/>
      <c r="G1" s="107"/>
      <c r="H1" s="108"/>
      <c r="I1" s="109" t="s">
        <v>11</v>
      </c>
      <c r="J1" s="109"/>
      <c r="K1" s="109"/>
      <c r="L1" s="109"/>
      <c r="M1" s="109"/>
    </row>
    <row r="2" spans="1:13" ht="4.5" customHeight="1">
      <c r="H2" s="108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8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8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8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8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8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8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8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8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8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8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8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8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8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8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8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8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8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8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8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8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8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8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8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8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8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8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8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8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8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8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8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8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8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8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8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8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8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8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8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8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8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8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8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8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8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8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8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8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8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8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8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8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8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8"/>
      <c r="I56" s="16"/>
      <c r="J56" s="16"/>
      <c r="K56" s="16" t="s">
        <v>202</v>
      </c>
      <c r="L56" s="16"/>
      <c r="M56" s="16"/>
    </row>
    <row r="57" spans="1:13" ht="15" customHeight="1">
      <c r="H57" s="108"/>
      <c r="I57" s="17"/>
      <c r="J57" s="17"/>
      <c r="K57" s="17" t="s">
        <v>50</v>
      </c>
      <c r="L57" s="17"/>
      <c r="M57" s="17"/>
    </row>
    <row r="58" spans="1:13" ht="15" customHeight="1">
      <c r="H58" s="108"/>
      <c r="I58" s="16"/>
      <c r="J58" s="16"/>
      <c r="K58" s="16" t="s">
        <v>203</v>
      </c>
      <c r="L58" s="16"/>
      <c r="M58" s="16"/>
    </row>
    <row r="59" spans="1:13" ht="15" customHeight="1">
      <c r="H59" s="108"/>
      <c r="I59" s="17"/>
      <c r="J59" s="17"/>
      <c r="K59" s="17" t="s">
        <v>204</v>
      </c>
      <c r="L59" s="17"/>
      <c r="M59" s="17"/>
    </row>
    <row r="60" spans="1:13" ht="15" customHeight="1">
      <c r="H60" s="108"/>
      <c r="I60" s="16"/>
      <c r="J60" s="16"/>
      <c r="K60" s="86" t="s">
        <v>105</v>
      </c>
      <c r="L60" s="16"/>
      <c r="M60" s="16"/>
    </row>
    <row r="61" spans="1:13" ht="15" customHeight="1">
      <c r="H61" s="108"/>
      <c r="I61" s="17"/>
      <c r="J61" s="17"/>
      <c r="K61" s="17" t="s">
        <v>205</v>
      </c>
      <c r="L61" s="17"/>
      <c r="M61" s="17"/>
    </row>
    <row r="62" spans="1:13" ht="15" customHeight="1">
      <c r="H62" s="108"/>
      <c r="I62" s="16"/>
      <c r="J62" s="16"/>
      <c r="K62" s="16" t="s">
        <v>206</v>
      </c>
      <c r="L62" s="16"/>
      <c r="M62" s="16"/>
    </row>
    <row r="63" spans="1:13" ht="15" customHeight="1">
      <c r="H63" s="108"/>
      <c r="I63" s="17"/>
      <c r="J63" s="17"/>
      <c r="K63" s="17" t="s">
        <v>207</v>
      </c>
      <c r="L63" s="17"/>
      <c r="M63" s="17"/>
    </row>
    <row r="64" spans="1:13" ht="15" customHeight="1">
      <c r="H64" s="108"/>
      <c r="I64" s="16"/>
      <c r="J64" s="16"/>
      <c r="K64" s="16" t="s">
        <v>208</v>
      </c>
      <c r="L64" s="16"/>
      <c r="M64" s="16"/>
    </row>
    <row r="65" spans="8:13" ht="15" customHeight="1">
      <c r="H65" s="108"/>
      <c r="I65" s="17"/>
      <c r="J65" s="17"/>
      <c r="K65" s="17" t="s">
        <v>209</v>
      </c>
      <c r="L65" s="17"/>
      <c r="M65" s="17"/>
    </row>
    <row r="66" spans="8:13" ht="15" customHeight="1">
      <c r="H66" s="108"/>
      <c r="I66" s="16"/>
      <c r="J66" s="16"/>
      <c r="K66" s="16" t="s">
        <v>210</v>
      </c>
      <c r="L66" s="16"/>
      <c r="M66" s="16"/>
    </row>
    <row r="67" spans="8:13" ht="15" customHeight="1">
      <c r="H67" s="108"/>
      <c r="I67" s="17"/>
      <c r="J67" s="17"/>
      <c r="K67" s="17" t="s">
        <v>211</v>
      </c>
      <c r="L67" s="17"/>
      <c r="M67" s="17"/>
    </row>
    <row r="68" spans="8:13" ht="15" customHeight="1">
      <c r="H68" s="108"/>
      <c r="I68" s="16"/>
      <c r="J68" s="16"/>
      <c r="K68" s="16" t="s">
        <v>212</v>
      </c>
      <c r="L68" s="16"/>
      <c r="M68" s="16"/>
    </row>
    <row r="69" spans="8:13" ht="15" customHeight="1">
      <c r="H69" s="108"/>
      <c r="I69" s="17"/>
      <c r="J69" s="17"/>
      <c r="K69" s="17" t="s">
        <v>213</v>
      </c>
      <c r="L69" s="17"/>
      <c r="M69" s="17"/>
    </row>
    <row r="70" spans="8:13" ht="15" customHeight="1">
      <c r="H70" s="108"/>
      <c r="I70" s="16"/>
      <c r="J70" s="16"/>
      <c r="K70" s="16" t="s">
        <v>214</v>
      </c>
      <c r="L70" s="16"/>
      <c r="M70" s="16"/>
    </row>
    <row r="71" spans="8:13" ht="15" customHeight="1">
      <c r="H71" s="108"/>
      <c r="I71" s="17"/>
      <c r="J71" s="17"/>
      <c r="K71" s="17" t="s">
        <v>215</v>
      </c>
      <c r="L71" s="17"/>
      <c r="M71" s="17"/>
    </row>
    <row r="72" spans="8:13" ht="15" customHeight="1">
      <c r="H72" s="108"/>
      <c r="I72" s="16"/>
      <c r="J72" s="16"/>
      <c r="K72" s="16" t="s">
        <v>216</v>
      </c>
      <c r="L72" s="16"/>
      <c r="M72" s="16"/>
    </row>
    <row r="73" spans="8:13" ht="15" customHeight="1">
      <c r="H73" s="108"/>
      <c r="I73" s="17"/>
      <c r="J73" s="17"/>
      <c r="K73" s="17"/>
      <c r="L73" s="17"/>
      <c r="M73" s="17"/>
    </row>
    <row r="74" spans="8:13" ht="15" customHeight="1">
      <c r="H74" s="108"/>
      <c r="I74" s="16"/>
      <c r="J74" s="16"/>
      <c r="K74" s="16"/>
      <c r="L74" s="16"/>
      <c r="M74" s="16"/>
    </row>
    <row r="75" spans="8:13" ht="15" customHeight="1">
      <c r="H75" s="108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96" activePane="bottomLeft" state="frozen"/>
      <selection pane="bottomLeft" activeCell="G521" sqref="G521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8.285156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227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229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231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231</v>
      </c>
      <c r="O27" s="39">
        <v>1183060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234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235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231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231</v>
      </c>
      <c r="O54" s="39">
        <v>959290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234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231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236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231</v>
      </c>
      <c r="O81" s="39">
        <v>878050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234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231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1700000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234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231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231</v>
      </c>
      <c r="O135" s="39">
        <v>862330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234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231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231</v>
      </c>
      <c r="O162" s="44">
        <v>1546080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234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228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231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>
        <v>2355810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234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228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231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231</v>
      </c>
      <c r="O216" s="45">
        <v>2013260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234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231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231</v>
      </c>
      <c r="O243" s="39">
        <v>1545480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234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231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>
        <v>1182690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234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231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241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242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242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242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242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242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242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242</v>
      </c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231</v>
      </c>
      <c r="O297" s="39">
        <v>1843460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234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228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243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244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231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245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245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245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245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>
        <v>1940000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234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228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231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228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231</v>
      </c>
      <c r="O351" s="39">
        <v>701874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234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228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247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231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228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231</v>
      </c>
      <c r="O378" s="39">
        <v>1088710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234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228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228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248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228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249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228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228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228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228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228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228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228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228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231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228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228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250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228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228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228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228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228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228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228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228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228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231</v>
      </c>
      <c r="O405" s="39">
        <v>1202270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234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228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251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228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228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252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228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228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228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228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228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253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253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228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231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228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228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228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228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228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228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228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228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228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228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>
        <v>1801910</v>
      </c>
    </row>
    <row r="433" spans="1:15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234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228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228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228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228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228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228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228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228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228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231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255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255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255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255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255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255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255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255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255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255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255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255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231</v>
      </c>
      <c r="O459" s="39">
        <v>2675000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234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>
        <v>2310070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228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228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228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228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228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231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228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228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228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228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228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228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228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228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228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228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>
        <v>1298429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234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228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256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228</v>
      </c>
      <c r="F516" s="27">
        <v>0</v>
      </c>
      <c r="G516" s="28">
        <f t="shared" si="114"/>
        <v>0</v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228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228</v>
      </c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228</v>
      </c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228</v>
      </c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228</v>
      </c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228</v>
      </c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228</v>
      </c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228</v>
      </c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228</v>
      </c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228</v>
      </c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30</v>
      </c>
      <c r="G527" s="36">
        <f>SUM(G515:G526)</f>
        <v>150</v>
      </c>
      <c r="H527" s="37"/>
      <c r="I527" s="37"/>
      <c r="J527" s="37"/>
      <c r="K527" s="37"/>
      <c r="L527" s="37"/>
      <c r="M527" s="38">
        <f ca="1">IFERROR(SUM(M515:M526),"")</f>
        <v>8.5416666666666696E-2</v>
      </c>
      <c r="N527" s="36" t="s">
        <v>231</v>
      </c>
      <c r="O527" s="39"/>
    </row>
    <row r="528" spans="1:15" ht="15" customHeight="1">
      <c r="A528" s="68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30</v>
      </c>
      <c r="G541" s="40">
        <f>G527+G540</f>
        <v>150</v>
      </c>
      <c r="H541" s="41"/>
      <c r="I541" s="41"/>
      <c r="J541" s="41"/>
      <c r="K541" s="41"/>
      <c r="L541" s="41"/>
      <c r="M541" s="42">
        <f ca="1">IFERROR(M527+M540,"")</f>
        <v>8.5416666666666696E-2</v>
      </c>
      <c r="N541" s="40" t="s">
        <v>234</v>
      </c>
      <c r="O541" s="48">
        <f>IFERROR(O527+O540,"")</f>
        <v>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59" t="s">
        <v>228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509" activePane="bottomLeft" state="frozen"/>
      <selection pane="bottomLeft" activeCell="K519" sqref="K51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231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231</v>
      </c>
      <c r="O27" s="77">
        <v>393200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234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257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231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258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255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84">
        <v>276360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234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259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260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231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231</v>
      </c>
      <c r="O81" s="54">
        <v>787860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234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231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263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264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231</v>
      </c>
      <c r="O108" s="54">
        <v>1087080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234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265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231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266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246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267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231</v>
      </c>
      <c r="O135" s="54">
        <v>794480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234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269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231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231</v>
      </c>
      <c r="O162" s="54">
        <v>882280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234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231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231</v>
      </c>
      <c r="O189" s="77"/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234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231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273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274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231</v>
      </c>
      <c r="O216" s="77">
        <v>648410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234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276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230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231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271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231</v>
      </c>
      <c r="O243" s="77">
        <v>849060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234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278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231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231</v>
      </c>
      <c r="O270" s="77">
        <v>625070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234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279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280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231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231</v>
      </c>
      <c r="O297" s="77">
        <v>761660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234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282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231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283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284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231</v>
      </c>
      <c r="O324" s="77">
        <v>524410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234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231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286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287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231</v>
      </c>
      <c r="O351" s="77">
        <v>598420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234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231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0.19083252314885613</v>
      </c>
      <c r="N377" s="46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0.34847141203774501</v>
      </c>
      <c r="N378" s="36" t="s">
        <v>231</v>
      </c>
      <c r="O378" s="77">
        <v>511980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0.45819363425996718</v>
      </c>
      <c r="N379" s="40" t="s">
        <v>234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271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288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231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255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289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246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231</v>
      </c>
      <c r="O405" s="77">
        <v>552440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234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255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231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0.16930474537366536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0.34013807870699875</v>
      </c>
      <c r="N432" s="36" t="s">
        <v>231</v>
      </c>
      <c r="O432" s="77">
        <v>484540</v>
      </c>
    </row>
    <row r="433" spans="1:15" ht="18" customHeight="1">
      <c r="A433" s="93" t="s">
        <v>233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0.48527696759588762</v>
      </c>
      <c r="N433" s="40" t="s">
        <v>234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292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231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293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231</v>
      </c>
      <c r="O459" s="77">
        <v>631190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234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294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295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296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231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297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231</v>
      </c>
      <c r="O486" s="77">
        <v>969510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234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298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130</v>
      </c>
      <c r="G500" s="36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231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124</v>
      </c>
      <c r="G513" s="36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231</v>
      </c>
      <c r="O513" s="77">
        <v>556040</v>
      </c>
    </row>
    <row r="514" spans="1:15" ht="18" customHeight="1">
      <c r="A514" s="93" t="s">
        <v>233</v>
      </c>
      <c r="B514" s="91"/>
      <c r="C514" s="91"/>
      <c r="D514" s="91"/>
      <c r="E514" s="91"/>
      <c r="F514" s="40">
        <f>F500+F513</f>
        <v>254</v>
      </c>
      <c r="G514" s="40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234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/>
      <c r="G518" s="28" t="str">
        <f t="shared" si="114"/>
        <v/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/>
      <c r="M518" s="30">
        <f t="shared" ca="1" si="115"/>
        <v>5.5474537657573819E-4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55</v>
      </c>
      <c r="G527" s="36">
        <f>SUM(G515:G526)</f>
        <v>231.00000000000003</v>
      </c>
      <c r="H527" s="37"/>
      <c r="I527" s="37"/>
      <c r="J527" s="37"/>
      <c r="K527" s="37"/>
      <c r="L527" s="37"/>
      <c r="M527" s="38">
        <f ca="1">IFERROR(SUM(M515:M526),"")</f>
        <v>2.2776967598797992E-2</v>
      </c>
      <c r="N527" s="36" t="s">
        <v>231</v>
      </c>
      <c r="O527" s="77"/>
    </row>
    <row r="528" spans="1:15" ht="15" customHeight="1">
      <c r="A528" s="68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77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55</v>
      </c>
      <c r="G541" s="40">
        <f>G527+G540</f>
        <v>231.00000000000003</v>
      </c>
      <c r="H541" s="41"/>
      <c r="I541" s="41"/>
      <c r="J541" s="41"/>
      <c r="K541" s="41"/>
      <c r="L541" s="41"/>
      <c r="M541" s="42">
        <f ca="1">IFERROR(M527+M540,"")</f>
        <v>2.2776967598797992E-2</v>
      </c>
      <c r="N541" s="40" t="s">
        <v>234</v>
      </c>
      <c r="O541" s="83">
        <f>IFERROR(O527+O540,"")</f>
        <v>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77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77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 E513:E514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501" zoomScale="50" zoomScaleNormal="50" workbookViewId="0">
      <selection activeCell="J515" sqref="J51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27.855468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299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300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231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231</v>
      </c>
      <c r="O27" s="39">
        <v>308500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234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301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231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39">
        <v>124290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234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302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231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293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231</v>
      </c>
      <c r="O81" s="39">
        <v>396340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234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303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231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231</v>
      </c>
      <c r="O108" s="39">
        <v>41230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234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231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231</v>
      </c>
      <c r="O135" s="39">
        <v>381250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234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304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270</v>
      </c>
      <c r="K141" s="29">
        <v>0.71597222222222223</v>
      </c>
      <c r="L141" s="29" t="s">
        <v>305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231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306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231</v>
      </c>
      <c r="O162" s="39">
        <v>337120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234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307</v>
      </c>
      <c r="N166" s="27" t="s">
        <v>308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231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231</v>
      </c>
      <c r="O189" s="39">
        <v>747210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234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309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231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231</v>
      </c>
      <c r="O216" s="39">
        <v>468430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234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231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231</v>
      </c>
      <c r="O243" s="39">
        <v>575930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234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231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310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311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231</v>
      </c>
      <c r="O270" s="39">
        <v>483510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234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231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313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231</v>
      </c>
      <c r="O297" s="39">
        <v>487980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234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231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315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316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231</v>
      </c>
      <c r="O324" s="39">
        <v>609460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234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317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304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231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231</v>
      </c>
      <c r="O351" s="39">
        <v>437940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234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255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255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231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231</v>
      </c>
      <c r="O378" s="39">
        <v>473310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234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255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255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255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255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255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255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255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255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255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231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231</v>
      </c>
      <c r="O405" s="39">
        <v>507450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234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255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255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255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255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255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255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255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228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228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255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255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231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231</v>
      </c>
      <c r="O432" s="39">
        <v>229150</v>
      </c>
    </row>
    <row r="433" spans="1:15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234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318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231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231</v>
      </c>
      <c r="O459" s="39">
        <v>409980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234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228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228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228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228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231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231</v>
      </c>
      <c r="O486" s="39">
        <v>341550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234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319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228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231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231</v>
      </c>
      <c r="O513" s="39">
        <v>276610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234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7</v>
      </c>
      <c r="G516" s="28">
        <f t="shared" si="114"/>
        <v>29.400000000000002</v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6</v>
      </c>
      <c r="G517" s="34">
        <f t="shared" si="114"/>
        <v>25.200000000000003</v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22</v>
      </c>
      <c r="G527" s="36">
        <f>SUM(G515:G526)</f>
        <v>92.4</v>
      </c>
      <c r="H527" s="37"/>
      <c r="I527" s="37"/>
      <c r="J527" s="37"/>
      <c r="K527" s="37"/>
      <c r="L527" s="37"/>
      <c r="M527" s="38">
        <f ca="1">IFERROR(SUM(M515:M526),"")</f>
        <v>8.3333333333333592E-3</v>
      </c>
      <c r="N527" s="36" t="s">
        <v>231</v>
      </c>
      <c r="O527" s="39"/>
    </row>
    <row r="528" spans="1:15" ht="15" customHeight="1">
      <c r="A528" s="68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22</v>
      </c>
      <c r="G541" s="40">
        <f>G527+G540</f>
        <v>92.4</v>
      </c>
      <c r="H541" s="41"/>
      <c r="I541" s="41"/>
      <c r="J541" s="41"/>
      <c r="K541" s="41"/>
      <c r="L541" s="41"/>
      <c r="M541" s="42">
        <f ca="1">IFERROR(M527+M540,"")</f>
        <v>8.3333333333333592E-3</v>
      </c>
      <c r="N541" s="40" t="s">
        <v>234</v>
      </c>
      <c r="O541" s="48">
        <f>IFERROR(O527+O540,"")</f>
        <v>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493" activePane="bottomLeft" state="frozen"/>
      <selection pane="bottomLeft" activeCell="J515" sqref="J515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50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320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293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231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321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231</v>
      </c>
      <c r="O27" s="39">
        <v>202230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234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322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323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231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231</v>
      </c>
      <c r="O54" s="39">
        <v>473910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234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324</v>
      </c>
      <c r="L58" s="29">
        <v>0.54097222222222219</v>
      </c>
      <c r="M58" s="30" t="str">
        <f t="shared" ca="1" si="13"/>
        <v/>
      </c>
      <c r="N58" s="27" t="s">
        <v>325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231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299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326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327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328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329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231</v>
      </c>
      <c r="O81" s="39">
        <v>565120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234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330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231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231</v>
      </c>
      <c r="O108" s="39">
        <v>558590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234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331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231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332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333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0.18111030093132285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268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0.38041585648687848</v>
      </c>
      <c r="N135" s="36" t="s">
        <v>231</v>
      </c>
      <c r="O135" s="39">
        <v>729290</v>
      </c>
    </row>
    <row r="136" spans="1:18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0.74777696759798951</v>
      </c>
      <c r="N136" s="40" t="s">
        <v>234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334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231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304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335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231</v>
      </c>
      <c r="O162" s="39">
        <v>697320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234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255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336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231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231</v>
      </c>
      <c r="O189" s="39">
        <v>973580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234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337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338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231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339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231</v>
      </c>
      <c r="O216" s="45">
        <v>1060630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234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340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341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342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231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343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231</v>
      </c>
      <c r="O243" s="39">
        <v>982340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234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344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231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231</v>
      </c>
      <c r="O270" s="39">
        <v>1208450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234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231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231</v>
      </c>
      <c r="O297" s="39">
        <v>1049090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234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345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231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265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231</v>
      </c>
      <c r="O324" s="39">
        <v>1063720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234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293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8" t="s">
        <v>230</v>
      </c>
      <c r="B338" s="99"/>
      <c r="C338" s="99"/>
      <c r="D338" s="99"/>
      <c r="E338" s="100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231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346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347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231</v>
      </c>
      <c r="O351" s="39">
        <v>696140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234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304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231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255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255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255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348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231</v>
      </c>
      <c r="O378" s="39">
        <v>704750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234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349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336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231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350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351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231</v>
      </c>
      <c r="O405" s="39">
        <v>958130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234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231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352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231</v>
      </c>
      <c r="O432" s="39">
        <v>605220</v>
      </c>
    </row>
    <row r="433" spans="1:17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234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231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353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231</v>
      </c>
      <c r="O459" s="39">
        <v>615330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234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354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355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329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231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231</v>
      </c>
      <c r="O486" s="39">
        <v>1120830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234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329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228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228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228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255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255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255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255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255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231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356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231</v>
      </c>
      <c r="O513" s="39">
        <v>416720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234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216</v>
      </c>
      <c r="K515" s="29">
        <v>0.29166666666666669</v>
      </c>
      <c r="L515" s="29"/>
      <c r="M515" s="35">
        <f t="shared" ref="M515:M526" ca="1" si="115">IFERROR(IF(K515="","",IF(L515="",MOD(NOW()-K515,1),IF(L515&gt;=K515,L515-K515,L515+1-K515))),"")</f>
        <v>0.13874918982037343</v>
      </c>
      <c r="N515" s="27"/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0.13874918982037343</v>
      </c>
      <c r="N527" s="36" t="s">
        <v>231</v>
      </c>
      <c r="O527" s="39"/>
    </row>
    <row r="528" spans="1:15" ht="15" customHeight="1">
      <c r="A528" s="68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0.13874918982037343</v>
      </c>
      <c r="N541" s="40" t="s">
        <v>234</v>
      </c>
      <c r="O541" s="48">
        <f>IFERROR(O527+O540,"")</f>
        <v>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2026-07-20T14:20:49Z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