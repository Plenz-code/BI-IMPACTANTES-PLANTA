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6" documentId="8_{C51EB6CB-002B-4D6B-B68F-DDEBDB4460C0}" xr6:coauthVersionLast="47" xr6:coauthVersionMax="47" xr10:uidLastSave="{6D7E0B0E-8CC8-4721-9ED0-E8C9D0538925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<sst xmlns="http://schemas.openxmlformats.org/spreadsheetml/2006/main" count="1447" uniqueCount="245">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</sst>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2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2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2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2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2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2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2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2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2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2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2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2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2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2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2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2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2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2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2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2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2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2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2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2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2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2"/>
      <c r="I56" s="16"/>
      <c r="J56" s="16"/>
      <c r="K56" s="16" t="s">
        <v>202</v>
      </c>
      <c r="L56" s="16"/>
      <c r="M56" s="16"/>
    </row>
    <row r="57" spans="1:13" ht="15" customHeight="1">
      <c r="H57" s="112"/>
      <c r="I57" s="17"/>
      <c r="J57" s="17"/>
      <c r="K57" s="17" t="s">
        <v>50</v>
      </c>
      <c r="L57" s="17"/>
      <c r="M57" s="17"/>
    </row>
    <row r="58" spans="1:13" ht="15" customHeight="1">
      <c r="H58" s="112"/>
      <c r="I58" s="16"/>
      <c r="J58" s="16"/>
      <c r="K58" s="16" t="s">
        <v>203</v>
      </c>
      <c r="L58" s="16"/>
      <c r="M58" s="16"/>
    </row>
    <row r="59" spans="1:13" ht="15" customHeight="1">
      <c r="H59" s="112"/>
      <c r="I59" s="17"/>
      <c r="J59" s="17"/>
      <c r="K59" s="17" t="s">
        <v>204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205</v>
      </c>
      <c r="L61" s="17"/>
      <c r="M61" s="17"/>
    </row>
    <row r="62" spans="1:13" ht="15" customHeight="1">
      <c r="H62" s="112"/>
      <c r="I62" s="16"/>
      <c r="J62" s="16"/>
      <c r="K62" s="16" t="s">
        <v>206</v>
      </c>
      <c r="L62" s="16"/>
      <c r="M62" s="16"/>
    </row>
    <row r="63" spans="1:13" ht="15" customHeight="1">
      <c r="H63" s="112"/>
      <c r="I63" s="17"/>
      <c r="J63" s="17"/>
      <c r="K63" s="17" t="s">
        <v>207</v>
      </c>
      <c r="L63" s="17"/>
      <c r="M63" s="17"/>
    </row>
    <row r="64" spans="1:13" ht="15" customHeight="1">
      <c r="H64" s="112"/>
      <c r="I64" s="16"/>
      <c r="J64" s="16"/>
      <c r="K64" s="16" t="s">
        <v>208</v>
      </c>
      <c r="L64" s="16"/>
      <c r="M64" s="16"/>
    </row>
    <row r="65" spans="8:13" ht="15" customHeight="1">
      <c r="H65" s="112"/>
      <c r="I65" s="17"/>
      <c r="J65" s="17"/>
      <c r="K65" s="17" t="s">
        <v>209</v>
      </c>
      <c r="L65" s="17"/>
      <c r="M65" s="17"/>
    </row>
    <row r="66" spans="8:13" ht="15" customHeight="1">
      <c r="H66" s="112"/>
      <c r="I66" s="16"/>
      <c r="J66" s="16"/>
      <c r="K66" s="16" t="s">
        <v>210</v>
      </c>
      <c r="L66" s="16"/>
      <c r="M66" s="16"/>
    </row>
    <row r="67" spans="8:13" ht="15" customHeight="1">
      <c r="H67" s="112"/>
      <c r="I67" s="17"/>
      <c r="J67" s="17"/>
      <c r="K67" s="17" t="s">
        <v>211</v>
      </c>
      <c r="L67" s="17"/>
      <c r="M67" s="17"/>
    </row>
    <row r="68" spans="8:13" ht="15" customHeight="1">
      <c r="H68" s="112"/>
      <c r="I68" s="16"/>
      <c r="J68" s="16"/>
      <c r="K68" s="16" t="s">
        <v>212</v>
      </c>
      <c r="L68" s="16"/>
      <c r="M68" s="16"/>
    </row>
    <row r="69" spans="8:13" ht="15" customHeight="1">
      <c r="H69" s="112"/>
      <c r="I69" s="17"/>
      <c r="J69" s="17"/>
      <c r="K69" s="17" t="s">
        <v>213</v>
      </c>
      <c r="L69" s="17"/>
      <c r="M69" s="17"/>
    </row>
    <row r="70" spans="8:13" ht="15" customHeight="1">
      <c r="H70" s="112"/>
      <c r="I70" s="16"/>
      <c r="J70" s="16"/>
      <c r="K70" s="16" t="s">
        <v>214</v>
      </c>
      <c r="L70" s="16"/>
      <c r="M70" s="16"/>
    </row>
    <row r="71" spans="8:13" ht="15" customHeight="1">
      <c r="H71" s="112"/>
      <c r="I71" s="17"/>
      <c r="J71" s="17"/>
      <c r="K71" s="17" t="s">
        <v>215</v>
      </c>
      <c r="L71" s="17"/>
      <c r="M71" s="17"/>
    </row>
    <row r="72" spans="8:13" ht="15" customHeight="1">
      <c r="H72" s="112"/>
      <c r="I72" s="16"/>
      <c r="J72" s="16"/>
      <c r="K72" s="16" t="s">
        <v>216</v>
      </c>
      <c r="L72" s="16"/>
      <c r="M72" s="16"/>
    </row>
    <row r="73" spans="8:13" ht="15" customHeight="1">
      <c r="H73" s="112"/>
      <c r="I73" s="17"/>
      <c r="J73" s="17"/>
      <c r="K73" s="17"/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" activePane="bottomLeft" state="frozen"/>
      <selection pane="bottomLeft" activeCell="J17" sqref="J1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/>
      <c r="M17" s="35">
        <f t="shared" ca="1" si="4"/>
        <v>6.0601851873798296E-4</v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0.11380046296318244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0.17977268518540465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99" t="s">
        <v>231</v>
      </c>
      <c r="B811" s="100"/>
      <c r="C811" s="100"/>
      <c r="D811" s="100"/>
      <c r="E811" s="101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25" sqref="F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238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106</v>
      </c>
      <c r="G27" s="36">
        <f>SUM(G15:G26)</f>
        <v>445.2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218</v>
      </c>
      <c r="G28" s="40">
        <f>G14+G27</f>
        <v>915.6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G24" sqref="G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>
        <v>20</v>
      </c>
      <c r="G23" s="34">
        <f t="shared" si="3"/>
        <v>84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84</v>
      </c>
      <c r="G27" s="36">
        <f>SUM(G15:G26)</f>
        <v>352.79999999999995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25" sqref="F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244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118</v>
      </c>
      <c r="G27" s="36">
        <f>SUM(G15:G26)</f>
        <v>495.6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248</v>
      </c>
      <c r="G28" s="40">
        <f>G14+G27</f>
        <v>1041.6000000000001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5" t="s">
        <v>228</v>
      </c>
      <c r="B338" s="106"/>
      <c r="C338" s="106"/>
      <c r="D338" s="106"/>
      <c r="E338" s="107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2026-08-02T10:20:57Z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