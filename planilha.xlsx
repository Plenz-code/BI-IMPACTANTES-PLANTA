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608" documentId="8_{1D11E9C4-FEA4-4128-910F-91CB6BBF9255}" xr6:coauthVersionLast="47" xr6:coauthVersionMax="47" xr10:uidLastSave="{365F40F8-CD54-418F-A067-DB18B5FBEF43}"/>
  <bookViews>
    <workbookView xWindow="-110" yWindow="-110" windowWidth="25820" windowHeight="15500" tabRatio="500" firstSheet="2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6" i="5" l="1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<sst xmlns="http://schemas.openxmlformats.org/spreadsheetml/2006/main" count="8057" uniqueCount="366">
  <si>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</si>
  <si>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</si>
  <si>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</si>
  <si>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</si>
  <si>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</si>
  <si>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</si>
  <si>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</si>
  <si>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</si>
  <si>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</si>
  <si>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</si>
  <si>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</si>
  <si>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</si>
  <si>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</si>
  <si>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</si>
  <si>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</si>
  <si>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</si>
  <si>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</si>
  <si>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</si>
  <si>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</si>
  <si>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</si>
  <si>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</si>
  <si>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</si>
  <si>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</si>
  <si>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</si>
  <si>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</si>
  <si>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</si>
  <si>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</si>
  <si>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</si>
  <si>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</si>
  <si>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</si>
  <si>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</si>
  <si>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</si>
  <si>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</si>
  <si>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</si>
  <si>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</si>
  <si>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</si>
  <si>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</si>
  <si>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</si>
  <si>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</si>
  <si>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</si>
  <si>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</si>
  <si>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</si>
  <si>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</si>
  <si>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</si>
  <si>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</si>
  <si>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</si>
  <si>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</si>
  <si>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</si>
  <si>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</si>
  <si>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</si>
  <si>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</si>
  <si>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</si>
  <si>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</si>
  <si>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</si>
  <si>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</si>
  <si>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</si>
  <si>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</si>
  <si>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</si>
  <si>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</si>
  <si>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</si>
  <si>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</si>
  <si>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</si>
  <si>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</si>
  <si>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</si>
  <si>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</si>
  <si>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</si>
  <si>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</si>
  <si>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</si>
  <si>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</si>
  <si>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</si>
  <si>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</si>
  <si>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</si>
  <si>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</si>
  <si>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</si>
  <si>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</si>
  <si>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</si>
  <si>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</si>
  <si>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</si>
  <si>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</si>
  <si>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</si>
  <si>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</si>
  <si>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</si>
  <si>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</si>
  <si>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</si>
  <si>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</si>
  <si>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</si>
  <si>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</si>
  <si>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</si>
  <si>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</si>
  <si>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</si>
  <si>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</si>
  <si>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</si>
  <si>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</si>
  <si>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</si>
  <si>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</si>
  <si>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</si>
  <si>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</si>
  <si>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</si>
  <si>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</si>
  <si>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</si>
  <si>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</si>
  <si>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</si>
  <si>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</si>
  <si>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</si>
  <si>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</si>
  <si>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</si>
  <si>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</si>
  <si>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</si>
  <si>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</si>
  <si>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</si>
  <si>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</si>
  <si>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</si>
  <si>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</si>
  <si>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</si>
  <si>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</si>
  <si>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</si>
  <si>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</si>
  <si>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</si>
  <si>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</si>
  <si>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</si>
  <si>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</si>
  <si>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</si>
  <si>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</si>
  <si>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</si>
  <si>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</si>
  <si>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</si>
  <si>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</si>
  <si>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</si>
  <si>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</si>
  <si>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</si>
  <si>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</si>
  <si>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</si>
  <si>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</si>
  <si>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</si>
  <si>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</si>
  <si>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</si>
  <si>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</si>
  <si>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</si>
  <si>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</si>
  <si>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</si>
  <si>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</si>
  <si>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</si>
  <si>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</si>
  <si>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</si>
  <si>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</si>
  <si>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</si>
  <si>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</si>
  <si>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</si>
  <si>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</si>
  <si>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</si>
  <si>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</si>
  <si>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</si>
  <si>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</si>
  <si>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</si>
  <si>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</si>
  <si>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</si>
  <si>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</si>
  <si>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</si>
  <si>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</si>
  <si>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</si>
  <si>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</si>
  <si>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</si>
  <si>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</si>
  <si>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</si>
  <si>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</si>
  <si>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</si>
  <si>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</si>
  <si>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</si>
  <si>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</si>
  <si>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</si>
  <si>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</si>
  <si>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</si>
  <si>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</si>
  <si>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</si>
  <si>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</si>
  <si>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</si>
  <si>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</si>
  <si>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</si>
  <si>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</si>
  <si>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</si>
  <si>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</si>
  <si>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</si>
  <si>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</si>
  <si>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</si>
  <si>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</si>
  <si>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</si>
  <si>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</si>
  <si>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</si>
  <si>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</si>
  <si>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</si>
  <si>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</si>
  <si>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</si>
  <si>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</si>
  <si>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</si>
  <si>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</si>
  <si>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</si>
  <si>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</si>
  <si>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</si>
  <si>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</si>
  <si>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</si>
  <si>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</si>
  <si>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</si>
  <si>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</si>
  <si>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</si>
  <si>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</si>
  <si>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</si>
  <si>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</si>
  <si>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</si>
  <si>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</si>
  <si>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</si>
  <si>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</si>
  <si>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</si>
  <si>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</si>
  <si>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</si>
  <si>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</si>
  <si>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</si>
  <si>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</si>
  <si>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</si>
  <si>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</si>
  <si>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</si>
  <si>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</si>
  <si>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</si>
  <si>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</si>
  <si>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</si>
  <si>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</si>
  <si>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</si>
  <si>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</si>
  <si>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</si>
  <si>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</si>
  <si>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</si>
  <si>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</si>
  <si>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</si>
  <si>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</si>
  <si>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</si>
  <si>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</si>
  <si>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</si>
  <si>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</si>
  <si>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</si>
  <si>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</si>
  <si>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</si>
  <si>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</si>
  <si>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</si>
  <si>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</si>
  <si>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</si>
  <si>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</si>
  <si>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</si>
  <si>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</si>
  <si>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</si>
  <si>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</si>
  <si>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</si>
  <si>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</si>
  <si>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</si>
  <si>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</si>
  <si>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</si>
  <si>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</si>
  <si>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</si>
  <si>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</si>
  <si>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</si>
  <si>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</si>
  <si>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</si>
  <si>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</si>
  <si>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</si>
  <si>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</si>
  <si>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</si>
  <si>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</si>
  <si>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</si>
  <si>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</si>
  <si>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</si>
  <si>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</si>
  <si>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</si>
  <si>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</si>
  <si>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</si>
  <si>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</si>
  <si>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</si>
  <si>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</si>
  <si>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</si>
  <si>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</si>
  <si>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</si>
  <si>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</si>
  <si>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</si>
  <si>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</si>
  <si>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</si>
  <si>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</si>
  <si>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</si>
  <si>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</si>
  <si>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</si>
  <si>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</si>
  <si>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</si>
  <si>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</si>
  <si>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</si>
  <si>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</si>
  <si>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</si>
  <si>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</si>
  <si>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</si>
  <si>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</si>
  <si>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</si>
  <si>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</si>
  <si>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pola 1 e  4 e rejeito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</si>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</sst>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9" t="s">
        <v>0</v>
      </c>
      <c r="B1" s="99"/>
      <c r="C1" s="99"/>
      <c r="D1" s="99"/>
      <c r="E1" s="99"/>
      <c r="F1" s="99"/>
      <c r="G1" s="99"/>
    </row>
    <row r="2" spans="1:7" ht="25.35" customHeight="1">
      <c r="A2" s="100"/>
      <c r="B2" s="100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1" t="s">
        <v>9</v>
      </c>
      <c r="B34" s="101"/>
      <c r="C34" s="55">
        <f t="shared" ref="C34:G34" si="1">IFERROR(SUM(C4:C33),"")</f>
        <v>45945830</v>
      </c>
      <c r="D34" s="55">
        <f t="shared" si="1"/>
        <v>23390500</v>
      </c>
      <c r="E34" s="55">
        <f t="shared" si="1"/>
        <v>9211370</v>
      </c>
      <c r="F34" s="55">
        <f t="shared" si="1"/>
        <v>26341455</v>
      </c>
      <c r="G34" s="55">
        <f t="shared" si="1"/>
        <v>58943325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2" t="s">
        <v>10</v>
      </c>
      <c r="B1" s="102"/>
      <c r="C1" s="102"/>
      <c r="D1" s="102"/>
      <c r="E1" s="102"/>
      <c r="F1" s="102"/>
      <c r="G1" s="102"/>
      <c r="H1" s="103"/>
      <c r="I1" s="104" t="s">
        <v>11</v>
      </c>
      <c r="J1" s="104"/>
      <c r="K1" s="104"/>
      <c r="L1" s="104"/>
      <c r="M1" s="104"/>
    </row>
    <row r="2" spans="1:13" ht="4.5" customHeight="1">
      <c r="H2" s="103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3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3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3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3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3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3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3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3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3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3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3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3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3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3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3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3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3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3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3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3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3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3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3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3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3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3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3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3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3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3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3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3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3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3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3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3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3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3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3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3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3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3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3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3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3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3"/>
      <c r="I48" s="3"/>
      <c r="J48" s="3"/>
      <c r="K48" s="3" t="s">
        <v>175</v>
      </c>
      <c r="L48" s="3"/>
      <c r="M48" s="3"/>
    </row>
    <row r="49" spans="1:13" ht="18" customHeight="1">
      <c r="H49" s="103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3"/>
      <c r="I50" s="3"/>
      <c r="J50" s="3"/>
      <c r="K50" s="3"/>
      <c r="L50" s="3"/>
      <c r="M50" s="3"/>
    </row>
    <row r="51" spans="1:13" ht="24" customHeight="1">
      <c r="H51" s="103"/>
      <c r="I51" s="4"/>
      <c r="J51" s="4"/>
      <c r="K51" s="4"/>
      <c r="L51" s="4"/>
      <c r="M51" s="4"/>
    </row>
    <row r="52" spans="1:13" ht="24" customHeight="1">
      <c r="H52" s="103"/>
      <c r="I52" s="3"/>
      <c r="J52" s="3"/>
      <c r="K52" s="3"/>
      <c r="L52" s="3"/>
      <c r="M52" s="3"/>
    </row>
    <row r="53" spans="1:13" ht="36" customHeight="1">
      <c r="H53" s="103"/>
      <c r="I53" s="4"/>
      <c r="J53" s="4"/>
      <c r="K53" s="4"/>
      <c r="L53" s="4"/>
      <c r="M53" s="4"/>
    </row>
    <row r="54" spans="1:13" ht="15" customHeight="1">
      <c r="H54" s="103"/>
      <c r="I54" s="3"/>
      <c r="J54" s="3"/>
      <c r="K54" s="3"/>
      <c r="L54" s="3"/>
      <c r="M54" s="3"/>
    </row>
    <row r="55" spans="1:13" ht="15" customHeight="1">
      <c r="H55" s="103"/>
      <c r="I55" s="4"/>
      <c r="J55" s="4"/>
      <c r="K55" s="4"/>
      <c r="L55" s="4"/>
      <c r="M55" s="4"/>
    </row>
    <row r="56" spans="1:13" ht="15" customHeight="1">
      <c r="H56" s="103"/>
      <c r="I56" s="3"/>
      <c r="J56" s="3"/>
      <c r="K56" s="3"/>
      <c r="L56" s="3"/>
      <c r="M56" s="3"/>
    </row>
    <row r="57" spans="1:13" ht="15" customHeight="1">
      <c r="H57" s="103"/>
      <c r="I57" s="4"/>
      <c r="J57" s="4"/>
      <c r="K57" s="4"/>
      <c r="L57" s="4"/>
      <c r="M57" s="4"/>
    </row>
    <row r="58" spans="1:13" ht="15" customHeight="1">
      <c r="H58" s="103"/>
      <c r="I58" s="3"/>
      <c r="J58" s="3"/>
      <c r="K58" s="3"/>
      <c r="L58" s="3"/>
      <c r="M58" s="3"/>
    </row>
    <row r="59" spans="1:13" ht="15" customHeight="1">
      <c r="H59" s="103"/>
      <c r="I59" s="4"/>
      <c r="J59" s="4"/>
      <c r="K59" s="4"/>
      <c r="L59" s="4"/>
      <c r="M59" s="4"/>
    </row>
    <row r="60" spans="1:13" ht="15" customHeight="1">
      <c r="H60" s="103"/>
      <c r="I60" s="3"/>
      <c r="J60" s="3"/>
      <c r="K60" s="3"/>
      <c r="L60" s="3"/>
      <c r="M60" s="3"/>
    </row>
    <row r="61" spans="1:13" ht="15" customHeight="1">
      <c r="H61" s="103"/>
      <c r="I61" s="4"/>
      <c r="J61" s="4"/>
      <c r="K61" s="4"/>
      <c r="L61" s="4"/>
      <c r="M61" s="4"/>
    </row>
    <row r="62" spans="1:13" ht="15" customHeight="1">
      <c r="H62" s="103"/>
      <c r="I62" s="3"/>
      <c r="J62" s="3"/>
      <c r="K62" s="3"/>
      <c r="L62" s="3"/>
      <c r="M62" s="3"/>
    </row>
    <row r="63" spans="1:13" ht="15" customHeight="1">
      <c r="H63" s="103"/>
      <c r="I63" s="4"/>
      <c r="J63" s="4"/>
      <c r="K63" s="4"/>
      <c r="L63" s="4"/>
      <c r="M63" s="4"/>
    </row>
    <row r="64" spans="1:13" ht="15" customHeight="1">
      <c r="H64" s="103"/>
      <c r="I64" s="3"/>
      <c r="J64" s="3"/>
      <c r="K64" s="3"/>
      <c r="L64" s="3"/>
      <c r="M64" s="3"/>
    </row>
    <row r="65" spans="8:13" ht="15" customHeight="1">
      <c r="H65" s="103"/>
      <c r="I65" s="4"/>
      <c r="J65" s="4"/>
      <c r="K65" s="4"/>
      <c r="L65" s="4"/>
      <c r="M65" s="4"/>
    </row>
    <row r="66" spans="8:13" ht="15" customHeight="1">
      <c r="H66" s="103"/>
      <c r="I66" s="3"/>
      <c r="J66" s="3"/>
      <c r="K66" s="3"/>
      <c r="L66" s="3"/>
      <c r="M66" s="3"/>
    </row>
    <row r="67" spans="8:13" ht="15" customHeight="1">
      <c r="H67" s="103"/>
      <c r="I67" s="4"/>
      <c r="J67" s="4"/>
      <c r="K67" s="4"/>
      <c r="L67" s="4"/>
      <c r="M67" s="4"/>
    </row>
    <row r="68" spans="8:13" ht="15" customHeight="1">
      <c r="H68" s="103"/>
      <c r="I68" s="3"/>
      <c r="J68" s="3"/>
      <c r="K68" s="3"/>
      <c r="L68" s="3"/>
      <c r="M68" s="3"/>
    </row>
    <row r="69" spans="8:13" ht="15" customHeight="1">
      <c r="H69" s="103"/>
      <c r="I69" s="4"/>
      <c r="J69" s="4"/>
      <c r="K69" s="4"/>
      <c r="L69" s="4"/>
      <c r="M69" s="4"/>
    </row>
    <row r="70" spans="8:13" ht="15" customHeight="1">
      <c r="H70" s="103"/>
      <c r="I70" s="3"/>
      <c r="J70" s="3"/>
      <c r="K70" s="3"/>
      <c r="L70" s="3"/>
      <c r="M70" s="3"/>
    </row>
    <row r="71" spans="8:13" ht="15" customHeight="1">
      <c r="H71" s="103"/>
      <c r="I71" s="4"/>
      <c r="J71" s="4"/>
      <c r="K71" s="4"/>
      <c r="L71" s="4"/>
      <c r="M71" s="4"/>
    </row>
    <row r="72" spans="8:13" ht="15" customHeight="1">
      <c r="H72" s="103"/>
      <c r="I72" s="3"/>
      <c r="J72" s="3"/>
      <c r="K72" s="3"/>
      <c r="L72" s="3"/>
      <c r="M72" s="3"/>
    </row>
    <row r="73" spans="8:13" ht="15" customHeight="1">
      <c r="H73" s="103"/>
      <c r="I73" s="4"/>
      <c r="J73" s="4"/>
      <c r="K73" s="4"/>
      <c r="L73" s="4"/>
      <c r="M73" s="4"/>
    </row>
    <row r="74" spans="8:13" ht="15" customHeight="1">
      <c r="H74" s="103"/>
      <c r="I74" s="3"/>
      <c r="J74" s="3"/>
      <c r="K74" s="3"/>
      <c r="L74" s="3"/>
      <c r="M74" s="3"/>
    </row>
    <row r="75" spans="8:13" ht="15" customHeight="1">
      <c r="H75" s="103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15" activePane="bottomLeft" state="frozen"/>
      <selection pane="bottomLeft" activeCell="E739" sqref="E73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165</v>
      </c>
      <c r="F743" s="19">
        <f>SUM(F731:F742)</f>
        <v>825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10"/>
      <c r="D756" s="82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10"/>
      <c r="D757" s="22"/>
      <c r="E757" s="22">
        <f>E743+E756</f>
        <v>165</v>
      </c>
      <c r="F757" s="22">
        <f>F743+F756</f>
        <v>825</v>
      </c>
      <c r="G757" s="21"/>
      <c r="H757" s="21"/>
      <c r="I757" s="21"/>
      <c r="J757" s="21"/>
      <c r="K757" s="21"/>
      <c r="L757" s="73">
        <f>IFERROR(L743+L756,"")</f>
        <v>0.15069444444444452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10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C759:C900 C447:C757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01" zoomScale="85" zoomScaleNormal="85" workbookViewId="0">
      <selection activeCell="E740" sqref="E74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6" t="s">
        <v>188</v>
      </c>
      <c r="B716" s="107"/>
      <c r="C716" s="107"/>
      <c r="D716" s="108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/>
      <c r="H732" s="10"/>
      <c r="I732" s="16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82</v>
      </c>
      <c r="F743" s="19">
        <f>SUM(F731:F742)</f>
        <v>328</v>
      </c>
      <c r="G743" s="18"/>
      <c r="H743" s="18"/>
      <c r="I743" s="18"/>
      <c r="J743" s="18"/>
      <c r="K743" s="18"/>
      <c r="L743" s="72">
        <f>IFERROR(SUM(L731:L742),"")</f>
        <v>0.16249999999999998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82</v>
      </c>
      <c r="F757" s="22">
        <f>F743+F756</f>
        <v>328</v>
      </c>
      <c r="G757" s="21"/>
      <c r="H757" s="21"/>
      <c r="I757" s="21"/>
      <c r="J757" s="21"/>
      <c r="K757" s="21"/>
      <c r="L757" s="73">
        <f>IFERROR(L743+L756,"")</f>
        <v>0.16249999999999998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40" sqref="E740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298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299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300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301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302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303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304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305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105" t="s">
        <v>188</v>
      </c>
      <c r="B446" s="105"/>
      <c r="C446" s="105"/>
      <c r="D446" s="105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306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307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308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105" t="s">
        <v>188</v>
      </c>
      <c r="B581" s="105"/>
      <c r="C581" s="105"/>
      <c r="D581" s="105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309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310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311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312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105" t="s">
        <v>188</v>
      </c>
      <c r="B662" s="105"/>
      <c r="C662" s="105"/>
      <c r="D662" s="105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313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0.64236111111111116</v>
      </c>
      <c r="K732" s="13">
        <v>0.64583333333333337</v>
      </c>
      <c r="L732" s="70">
        <f t="shared" si="163"/>
        <v>3.4722222222222099E-3</v>
      </c>
      <c r="M732" s="11" t="s">
        <v>314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22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22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22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22</v>
      </c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22</v>
      </c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29</v>
      </c>
      <c r="F743" s="19">
        <f>SUM(F731:F742)</f>
        <v>116</v>
      </c>
      <c r="G743" s="18"/>
      <c r="H743" s="18"/>
      <c r="I743" s="18"/>
      <c r="J743" s="18"/>
      <c r="K743" s="18"/>
      <c r="L743" s="72">
        <f>IFERROR(SUM(L731:L742),"")</f>
        <v>0.20763888888888893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29</v>
      </c>
      <c r="F757" s="22">
        <f>F743+F756</f>
        <v>116</v>
      </c>
      <c r="G757" s="21"/>
      <c r="H757" s="21"/>
      <c r="I757" s="21"/>
      <c r="J757" s="21"/>
      <c r="K757" s="21"/>
      <c r="L757" s="73">
        <f>IFERROR(L743+L756,"")</f>
        <v>0.20763888888888893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105" t="s">
        <v>188</v>
      </c>
      <c r="B797" s="105"/>
      <c r="C797" s="105"/>
      <c r="D797" s="105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105" t="s">
        <v>190</v>
      </c>
      <c r="B810" s="105"/>
      <c r="C810" s="105"/>
      <c r="D810" s="105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09" activePane="bottomLeft" state="frozen"/>
      <selection pane="bottomLeft" activeCell="E740" sqref="E740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315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316</v>
      </c>
      <c r="I2" s="10" t="s">
        <v>317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316</v>
      </c>
      <c r="I3" s="16" t="s">
        <v>317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316</v>
      </c>
      <c r="I4" s="10" t="s">
        <v>317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316</v>
      </c>
      <c r="I5" s="16" t="s">
        <v>317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316</v>
      </c>
      <c r="I6" s="10" t="s">
        <v>317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316</v>
      </c>
      <c r="I7" s="16" t="s">
        <v>317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316</v>
      </c>
      <c r="I8" s="10" t="s">
        <v>317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316</v>
      </c>
      <c r="I9" s="16" t="s">
        <v>317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316</v>
      </c>
      <c r="I10" s="10" t="s">
        <v>317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316</v>
      </c>
      <c r="I11" s="16" t="s">
        <v>317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316</v>
      </c>
      <c r="I12" s="10" t="s">
        <v>317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316</v>
      </c>
      <c r="I13" s="16" t="s">
        <v>317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105" t="s">
        <v>188</v>
      </c>
      <c r="B14" s="105"/>
      <c r="C14" s="105"/>
      <c r="D14" s="105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318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5" t="s">
        <v>190</v>
      </c>
      <c r="B27" s="105"/>
      <c r="C27" s="105"/>
      <c r="D27" s="105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319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320</v>
      </c>
      <c r="I33" s="16" t="s">
        <v>321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322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5" t="s">
        <v>188</v>
      </c>
      <c r="B41" s="105"/>
      <c r="C41" s="105"/>
      <c r="D41" s="105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5" t="s">
        <v>190</v>
      </c>
      <c r="B54" s="105"/>
      <c r="C54" s="105"/>
      <c r="D54" s="105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105" t="s">
        <v>188</v>
      </c>
      <c r="B68" s="105"/>
      <c r="C68" s="105"/>
      <c r="D68" s="105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322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105" t="s">
        <v>190</v>
      </c>
      <c r="B81" s="105"/>
      <c r="C81" s="105"/>
      <c r="D81" s="105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105" t="s">
        <v>188</v>
      </c>
      <c r="B95" s="105"/>
      <c r="C95" s="105"/>
      <c r="D95" s="105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323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105" t="s">
        <v>190</v>
      </c>
      <c r="B108" s="105"/>
      <c r="C108" s="105"/>
      <c r="D108" s="105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105" t="s">
        <v>188</v>
      </c>
      <c r="B122" s="105"/>
      <c r="C122" s="105"/>
      <c r="D122" s="105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105" t="s">
        <v>190</v>
      </c>
      <c r="B135" s="105"/>
      <c r="C135" s="105"/>
      <c r="D135" s="105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105" t="s">
        <v>188</v>
      </c>
      <c r="B149" s="105"/>
      <c r="C149" s="105"/>
      <c r="D149" s="105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105" t="s">
        <v>190</v>
      </c>
      <c r="B162" s="105"/>
      <c r="C162" s="105"/>
      <c r="D162" s="105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105" t="s">
        <v>188</v>
      </c>
      <c r="B176" s="105"/>
      <c r="C176" s="105"/>
      <c r="D176" s="105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105" t="s">
        <v>190</v>
      </c>
      <c r="B189" s="105"/>
      <c r="C189" s="105"/>
      <c r="D189" s="105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324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105" t="s">
        <v>188</v>
      </c>
      <c r="B203" s="105"/>
      <c r="C203" s="105"/>
      <c r="D203" s="105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105" t="s">
        <v>190</v>
      </c>
      <c r="B216" s="105"/>
      <c r="C216" s="105"/>
      <c r="D216" s="105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325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105" t="s">
        <v>188</v>
      </c>
      <c r="B230" s="105"/>
      <c r="C230" s="105"/>
      <c r="D230" s="105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105" t="s">
        <v>190</v>
      </c>
      <c r="B243" s="105"/>
      <c r="C243" s="105"/>
      <c r="D243" s="105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326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105" t="s">
        <v>188</v>
      </c>
      <c r="B257" s="105"/>
      <c r="C257" s="105"/>
      <c r="D257" s="105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105" t="s">
        <v>190</v>
      </c>
      <c r="B270" s="105"/>
      <c r="C270" s="105"/>
      <c r="D270" s="105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327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105" t="s">
        <v>188</v>
      </c>
      <c r="B284" s="105"/>
      <c r="C284" s="105"/>
      <c r="D284" s="105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328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329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330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105" t="s">
        <v>190</v>
      </c>
      <c r="B297" s="105"/>
      <c r="C297" s="105"/>
      <c r="D297" s="105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329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331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302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105" t="s">
        <v>188</v>
      </c>
      <c r="B311" s="105"/>
      <c r="C311" s="105"/>
      <c r="D311" s="105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332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332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332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333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105" t="s">
        <v>190</v>
      </c>
      <c r="B324" s="105"/>
      <c r="C324" s="105"/>
      <c r="D324" s="105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105" t="s">
        <v>188</v>
      </c>
      <c r="B338" s="105"/>
      <c r="C338" s="105"/>
      <c r="D338" s="105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334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105" t="s">
        <v>190</v>
      </c>
      <c r="B351" s="105"/>
      <c r="C351" s="105"/>
      <c r="D351" s="105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335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336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304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105" t="s">
        <v>188</v>
      </c>
      <c r="B365" s="105"/>
      <c r="C365" s="105"/>
      <c r="D365" s="105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105" t="s">
        <v>190</v>
      </c>
      <c r="B378" s="105"/>
      <c r="C378" s="105"/>
      <c r="D378" s="105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105" t="s">
        <v>188</v>
      </c>
      <c r="B392" s="105"/>
      <c r="C392" s="105"/>
      <c r="D392" s="105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105" t="s">
        <v>190</v>
      </c>
      <c r="B405" s="105"/>
      <c r="C405" s="105"/>
      <c r="D405" s="105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337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338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339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105" t="s">
        <v>188</v>
      </c>
      <c r="B419" s="105"/>
      <c r="C419" s="105"/>
      <c r="D419" s="105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105" t="s">
        <v>190</v>
      </c>
      <c r="B432" s="105"/>
      <c r="C432" s="105"/>
      <c r="D432" s="105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105" t="s">
        <v>188</v>
      </c>
      <c r="B446" s="105"/>
      <c r="C446" s="105"/>
      <c r="D446" s="105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329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329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105" t="s">
        <v>190</v>
      </c>
      <c r="B459" s="105"/>
      <c r="C459" s="105"/>
      <c r="D459" s="105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105" t="s">
        <v>188</v>
      </c>
      <c r="B473" s="105"/>
      <c r="C473" s="105"/>
      <c r="D473" s="105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340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341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342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105" t="s">
        <v>190</v>
      </c>
      <c r="B486" s="105"/>
      <c r="C486" s="105"/>
      <c r="D486" s="105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105" t="s">
        <v>188</v>
      </c>
      <c r="B500" s="105"/>
      <c r="C500" s="105"/>
      <c r="D500" s="105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343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344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105" t="s">
        <v>190</v>
      </c>
      <c r="B513" s="105"/>
      <c r="C513" s="105"/>
      <c r="D513" s="105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105" t="s">
        <v>188</v>
      </c>
      <c r="B527" s="105"/>
      <c r="C527" s="105"/>
      <c r="D527" s="105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345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346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105" t="s">
        <v>190</v>
      </c>
      <c r="B540" s="105"/>
      <c r="C540" s="105"/>
      <c r="D540" s="105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347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348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105" t="s">
        <v>188</v>
      </c>
      <c r="B554" s="105"/>
      <c r="C554" s="105"/>
      <c r="D554" s="105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349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105" t="s">
        <v>190</v>
      </c>
      <c r="B567" s="105"/>
      <c r="C567" s="105"/>
      <c r="D567" s="105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350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351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352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105" t="s">
        <v>190</v>
      </c>
      <c r="B594" s="105"/>
      <c r="C594" s="105"/>
      <c r="D594" s="105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353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105" t="s">
        <v>188</v>
      </c>
      <c r="B608" s="105"/>
      <c r="C608" s="105"/>
      <c r="D608" s="105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354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105" t="s">
        <v>190</v>
      </c>
      <c r="B621" s="105"/>
      <c r="C621" s="105"/>
      <c r="D621" s="105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341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105" t="s">
        <v>188</v>
      </c>
      <c r="B635" s="105"/>
      <c r="C635" s="105"/>
      <c r="D635" s="105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355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356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105" t="s">
        <v>190</v>
      </c>
      <c r="B648" s="105"/>
      <c r="C648" s="105"/>
      <c r="D648" s="105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357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105" t="s">
        <v>190</v>
      </c>
      <c r="B675" s="105"/>
      <c r="C675" s="105"/>
      <c r="D675" s="105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105" t="s">
        <v>188</v>
      </c>
      <c r="B689" s="105"/>
      <c r="C689" s="105"/>
      <c r="D689" s="105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358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359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105" t="s">
        <v>190</v>
      </c>
      <c r="B702" s="105"/>
      <c r="C702" s="105"/>
      <c r="D702" s="105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360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361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362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105" t="s">
        <v>188</v>
      </c>
      <c r="B716" s="105"/>
      <c r="C716" s="105"/>
      <c r="D716" s="105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363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364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105" t="s">
        <v>190</v>
      </c>
      <c r="B729" s="105"/>
      <c r="C729" s="105"/>
      <c r="D729" s="105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365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0.64236111111111116</v>
      </c>
      <c r="K733" s="13">
        <v>0.64583333333333337</v>
      </c>
      <c r="L733" s="71">
        <f t="shared" si="164"/>
        <v>3.4722222222222099E-3</v>
      </c>
      <c r="M733" s="11" t="s">
        <v>314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105" t="s">
        <v>188</v>
      </c>
      <c r="B743" s="105"/>
      <c r="C743" s="105"/>
      <c r="D743" s="105"/>
      <c r="E743" s="19">
        <f>SUM(E731:E742)</f>
        <v>97</v>
      </c>
      <c r="F743" s="19">
        <f>SUM(F731:F742)</f>
        <v>388</v>
      </c>
      <c r="G743" s="38"/>
      <c r="H743" s="38"/>
      <c r="I743" s="38"/>
      <c r="J743" s="38"/>
      <c r="K743" s="38"/>
      <c r="L743" s="72">
        <f>IFERROR(SUM(L731:L742),"")</f>
        <v>0.10763888888888884</v>
      </c>
      <c r="M743" s="19" t="s">
        <v>189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105" t="s">
        <v>190</v>
      </c>
      <c r="B756" s="105"/>
      <c r="C756" s="105"/>
      <c r="D756" s="105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97</v>
      </c>
      <c r="F757" s="22">
        <f>F743+F756</f>
        <v>388</v>
      </c>
      <c r="G757" s="39"/>
      <c r="H757" s="39"/>
      <c r="I757" s="39"/>
      <c r="J757" s="39"/>
      <c r="K757" s="39"/>
      <c r="L757" s="73">
        <f>IFERROR(L743+L756,"")</f>
        <v>0.10763888888888884</v>
      </c>
      <c r="M757" s="22" t="s">
        <v>192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105" t="s">
        <v>188</v>
      </c>
      <c r="B770" s="105"/>
      <c r="C770" s="105"/>
      <c r="D770" s="105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105" t="s">
        <v>190</v>
      </c>
      <c r="B783" s="105"/>
      <c r="C783" s="105"/>
      <c r="D783" s="105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2026-06-28T20:14:54Z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