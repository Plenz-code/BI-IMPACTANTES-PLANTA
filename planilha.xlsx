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77" documentId="8_{AF585B22-221D-4780-BB9C-493D365A6A02}" xr6:coauthVersionLast="47" xr6:coauthVersionMax="47" xr10:uidLastSave="{8178922E-CA63-4ED3-BB51-A7DC5E554BF5}"/>
  <bookViews>
    <workbookView xWindow="-28920" yWindow="-120" windowWidth="29040" windowHeight="1572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11" i="3" l="1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10" i="3"/>
  <c r="G309" i="3"/>
  <c r="G308" i="3"/>
  <c r="G307" i="3"/>
  <c r="G306" i="3"/>
  <c r="G305" i="3"/>
  <c r="G304" i="3"/>
  <c r="G303" i="3"/>
  <c r="G302" i="3"/>
  <c r="G301" i="3"/>
  <c r="G311" i="3" s="1"/>
  <c r="G300" i="3"/>
  <c r="G299" i="3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<sst xmlns="http://schemas.openxmlformats.org/spreadsheetml/2006/main" count="5499" uniqueCount="307">
  <si>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</si>
  <si>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</si>
  <si>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</si>
  <si>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</si>
  <si>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</si>
  <si>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</si>
  <si>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</si>
  <si>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</si>
  <si>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</si>
  <si>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</si>
  <si>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</si>
  <si>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</si>
  <si>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</si>
  <si>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</si>
  <si>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</si>
  <si>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</si>
  <si>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</si>
  <si>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</si>
  <si>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</si>
  <si>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</si>
  <si>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</si>
  <si>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</si>
  <si>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</si>
  <si>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</si>
  <si>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</si>
  <si>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</si>
  <si>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</si>
  <si>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</si>
  <si>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</si>
  <si>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</si>
  <si>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</si>
  <si>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</si>
  <si>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</si>
  <si>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</si>
  <si>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</si>
  <si>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</si>
  <si>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</si>
  <si>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</si>
  <si>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</si>
  <si>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</si>
  <si>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</si>
  <si>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</si>
  <si>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</si>
  <si>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</si>
  <si>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</si>
  <si>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</si>
  <si>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</si>
  <si>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</si>
  <si>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</si>
  <si>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</si>
  <si>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</si>
  <si>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</si>
  <si>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</si>
  <si>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</si>
  <si>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</si>
  <si>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</si>
  <si>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</si>
  <si>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</si>
  <si>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</si>
  <si>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</si>
  <si>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</si>
  <si>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</si>
  <si>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</si>
  <si>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</si>
  <si>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</si>
  <si>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</si>
  <si>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</si>
  <si>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</si>
  <si>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</si>
  <si>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</si>
  <si>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</si>
  <si>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</si>
  <si>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</si>
  <si>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</si>
  <si>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</si>
  <si>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</si>
  <si>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</si>
  <si>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</si>
  <si>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</si>
  <si>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</si>
  <si>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</si>
  <si>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</si>
  <si>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</si>
  <si>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</si>
  <si>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</si>
  <si>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</si>
  <si>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</si>
  <si>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</si>
  <si>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</si>
  <si>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</si>
  <si>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</si>
  <si>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</si>
  <si>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</si>
  <si>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</si>
  <si>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</si>
  <si>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</si>
  <si>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</si>
  <si>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</si>
  <si>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</si>
  <si>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</si>
  <si>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</si>
  <si>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</si>
  <si>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</si>
  <si>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</si>
  <si>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</si>
  <si>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</si>
  <si>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</si>
  <si>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</si>
  <si>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</si>
  <si>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</si>
  <si>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</si>
  <si>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</si>
  <si>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</si>
  <si>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</si>
  <si>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</si>
  <si>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</si>
  <si>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</si>
  <si>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</si>
  <si>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</si>
  <si>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</si>
  <si>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</si>
  <si>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</si>
  <si>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</si>
  <si>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</si>
  <si>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</si>
  <si>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</si>
  <si>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</si>
  <si>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</si>
  <si>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</si>
  <si>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</si>
  <si>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</si>
  <si>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</si>
  <si>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</si>
  <si>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</si>
  <si>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</si>
  <si>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</si>
  <si>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</si>
  <si>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</si>
  <si>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</si>
  <si>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</si>
  <si>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</si>
  <si>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</si>
  <si>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</si>
  <si>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</si>
  <si>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</si>
  <si>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</si>
  <si>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</si>
  <si>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</si>
  <si>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</si>
  <si>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</si>
  <si>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</si>
  <si>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</si>
  <si>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</si>
  <si>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</si>
  <si>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</si>
  <si>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</si>
  <si>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</si>
  <si>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</si>
  <si>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</si>
  <si>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</si>
  <si>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</si>
  <si>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</si>
  <si>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</si>
  <si>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</si>
  <si>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</si>
  <si>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</si>
  <si>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</si>
  <si>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</si>
  <si>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</si>
  <si>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</si>
  <si>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</si>
  <si>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</si>
  <si>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</si>
  <si>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</si>
  <si>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</si>
  <si>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</si>
  <si>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</si>
  <si>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</si>
  <si>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</si>
  <si>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</si>
  <si>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</si>
  <si>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</si>
  <si>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</si>
  <si>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</si>
  <si>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</si>
  <si>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</si>
  <si>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</si>
  <si>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</si>
  <si>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</si>
  <si>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</si>
  <si>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</si>
  <si>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</si>
  <si>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</si>
  <si>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</si>
  <si>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</si>
  <si>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</si>
  <si>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</si>
  <si>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</si>
  <si>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</si>
  <si>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</si>
  <si>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</si>
  <si>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</si>
  <si>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</si>
  <si>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</si>
  <si>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</si>
  <si>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</si>
  <si>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</si>
  <si>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</si>
  <si>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</si>
  <si>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</si>
  <si>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</si>
  <si>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</si>
  <si>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</si>
  <si>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</si>
  <si>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</si>
  <si>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</si>
  <si>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</si>
  <si>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</si>
  <si>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</si>
  <si>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</si>
  <si>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</si>
  <si>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</si>
  <si>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</si>
  <si>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</si>
  <si>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</si>
  <si>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</si>
  <si>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</si>
  <si>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</si>
  <si>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</si>
  <si>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</si>
  <si>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</si>
  <si>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</si>
  <si>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</si>
  <si>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</si>
  <si>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</si>
  <si>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</si>
  <si>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</si>
  <si>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</si>
  <si>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</si>
  <si>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</si>
  <si>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</si>
  <si>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</si>
  <si>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</si>
  <si>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</si>
  <si>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</si>
  <si>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</si>
  <si>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</si>
  <si>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</si>
  <si>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</si>
  <si>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</si>
  <si>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</si>
  <si>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</si>
  <si>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</si>
  <si>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</si>
  <si>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</si>
  <si>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</si>
  <si>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</si>
  <si>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</si>
  <si>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</si>
  <si>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</si>
  <si>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</si>
  <si>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</si>
  <si>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</si>
  <si>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</si>
  <si>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</si>
  <si>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</si>
  <si>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</si>
  <si>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</si>
  <si>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</si>
  <si>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</si>
  <si>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</si>
  <si>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</si>
  <si>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</si>
  <si>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</si>
  <si>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</si>
  <si>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</si>
  <si>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</si>
  <si>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</si>
  <si>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</si>
  <si>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</si>
  <si>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</si>
  <si>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</si>
  <si>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</si>
  <si>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</si>
  <si>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</si>
  <si>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</si>
  <si>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</si>
  <si>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</si>
  <si>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</si>
  <si>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</si>
  <si>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</si>
  <si>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</si>
  <si>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</si>
  <si>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</si>
  <si>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</si>
  <si>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</si>
  <si>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</si>
  <si>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</si>
  <si>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</si>
  <si>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</si>
  <si>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</si>
  <si>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</si>
  <si>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</si>
  <si>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</si>
  <si>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</si>
  <si>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</si>
  <si>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 xml:space="preserve">troca de balata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</si>
</sst>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21" sqref="N21"/>
    </sheetView>
  </sheetViews>
  <sheetFormatPr defaultColWidth="8.5703125" defaultRowHeight="15" x14ac:dyDescent="0.2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 x14ac:dyDescent="0.25">
      <c r="A1" s="97" t="s">
        <v>0</v>
      </c>
      <c r="B1" s="97"/>
      <c r="C1" s="97"/>
      <c r="D1" s="97"/>
      <c r="E1" s="97"/>
      <c r="F1" s="97"/>
      <c r="G1" s="97"/>
    </row>
    <row r="2" spans="1:7" ht="24.75" customHeight="1" x14ac:dyDescent="0.25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25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 x14ac:dyDescent="0.25">
      <c r="H2" s="101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 x14ac:dyDescent="0.25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 x14ac:dyDescent="0.25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 x14ac:dyDescent="0.25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 x14ac:dyDescent="0.25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 x14ac:dyDescent="0.25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 x14ac:dyDescent="0.25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 x14ac:dyDescent="0.25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 x14ac:dyDescent="0.25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 x14ac:dyDescent="0.25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 x14ac:dyDescent="0.25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 x14ac:dyDescent="0.25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 x14ac:dyDescent="0.25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 x14ac:dyDescent="0.25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 x14ac:dyDescent="0.25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 x14ac:dyDescent="0.25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 x14ac:dyDescent="0.25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 x14ac:dyDescent="0.25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 x14ac:dyDescent="0.25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 x14ac:dyDescent="0.25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 x14ac:dyDescent="0.25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 x14ac:dyDescent="0.25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 x14ac:dyDescent="0.25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 x14ac:dyDescent="0.25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 x14ac:dyDescent="0.25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 x14ac:dyDescent="0.25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 x14ac:dyDescent="0.25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 x14ac:dyDescent="0.25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 x14ac:dyDescent="0.25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 x14ac:dyDescent="0.25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 x14ac:dyDescent="0.25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 x14ac:dyDescent="0.25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 x14ac:dyDescent="0.25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 x14ac:dyDescent="0.25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 x14ac:dyDescent="0.25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 x14ac:dyDescent="0.25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 x14ac:dyDescent="0.25">
      <c r="H53" s="101"/>
      <c r="I53" s="17"/>
      <c r="J53" s="17"/>
      <c r="K53" s="17" t="s">
        <v>194</v>
      </c>
      <c r="L53" s="17"/>
      <c r="M53" s="17"/>
    </row>
    <row r="54" spans="1:13" ht="15" customHeight="1" x14ac:dyDescent="0.25">
      <c r="H54" s="101"/>
      <c r="I54" s="16"/>
      <c r="J54" s="16"/>
      <c r="K54" s="16" t="s">
        <v>195</v>
      </c>
      <c r="L54" s="16"/>
      <c r="M54" s="16"/>
    </row>
    <row r="55" spans="1:13" ht="15" customHeight="1" x14ac:dyDescent="0.25">
      <c r="H55" s="101"/>
      <c r="I55" s="17"/>
      <c r="J55" s="17"/>
      <c r="K55" s="17" t="s">
        <v>196</v>
      </c>
      <c r="L55" s="17"/>
      <c r="M55" s="17"/>
    </row>
    <row r="56" spans="1:13" ht="15" customHeight="1" x14ac:dyDescent="0.25">
      <c r="H56" s="101"/>
      <c r="I56" s="16"/>
      <c r="J56" s="16"/>
      <c r="K56" s="16" t="s">
        <v>197</v>
      </c>
      <c r="L56" s="16"/>
      <c r="M56" s="16"/>
    </row>
    <row r="57" spans="1:13" ht="15" customHeight="1" x14ac:dyDescent="0.25">
      <c r="H57" s="101"/>
      <c r="I57" s="17"/>
      <c r="J57" s="17"/>
      <c r="K57" s="17" t="s">
        <v>50</v>
      </c>
      <c r="L57" s="17"/>
      <c r="M57" s="17"/>
    </row>
    <row r="58" spans="1:13" ht="15" customHeight="1" x14ac:dyDescent="0.25">
      <c r="H58" s="101"/>
      <c r="I58" s="16"/>
      <c r="J58" s="16"/>
      <c r="K58" s="16" t="s">
        <v>198</v>
      </c>
      <c r="L58" s="16"/>
      <c r="M58" s="16"/>
    </row>
    <row r="59" spans="1:13" ht="15" customHeight="1" x14ac:dyDescent="0.25">
      <c r="H59" s="101"/>
      <c r="I59" s="17"/>
      <c r="J59" s="17"/>
      <c r="K59" s="17" t="s">
        <v>199</v>
      </c>
      <c r="L59" s="17"/>
      <c r="M59" s="17"/>
    </row>
    <row r="60" spans="1:13" ht="15" customHeight="1" x14ac:dyDescent="0.25">
      <c r="H60" s="101"/>
      <c r="I60" s="16"/>
      <c r="J60" s="16"/>
      <c r="K60" s="87" t="s">
        <v>105</v>
      </c>
      <c r="L60" s="16"/>
      <c r="M60" s="16"/>
    </row>
    <row r="61" spans="1:13" ht="15" customHeight="1" x14ac:dyDescent="0.25">
      <c r="H61" s="101"/>
      <c r="I61" s="17"/>
      <c r="J61" s="17"/>
      <c r="K61" s="17" t="s">
        <v>200</v>
      </c>
      <c r="L61" s="17"/>
      <c r="M61" s="17"/>
    </row>
    <row r="62" spans="1:13" ht="15" customHeight="1" x14ac:dyDescent="0.25">
      <c r="H62" s="101"/>
      <c r="I62" s="16"/>
      <c r="J62" s="16"/>
      <c r="K62" s="16" t="s">
        <v>201</v>
      </c>
      <c r="L62" s="16"/>
      <c r="M62" s="16"/>
    </row>
    <row r="63" spans="1:13" ht="15" customHeight="1" x14ac:dyDescent="0.25">
      <c r="H63" s="101"/>
      <c r="I63" s="17"/>
      <c r="J63" s="17"/>
      <c r="K63" s="17" t="s">
        <v>202</v>
      </c>
      <c r="L63" s="17"/>
      <c r="M63" s="17"/>
    </row>
    <row r="64" spans="1:13" ht="15" customHeight="1" x14ac:dyDescent="0.25">
      <c r="H64" s="101"/>
      <c r="I64" s="16"/>
      <c r="J64" s="16"/>
      <c r="K64" s="16" t="s">
        <v>203</v>
      </c>
      <c r="L64" s="16"/>
      <c r="M64" s="16"/>
    </row>
    <row r="65" spans="8:13" ht="15" customHeight="1" x14ac:dyDescent="0.25">
      <c r="H65" s="101"/>
      <c r="I65" s="17"/>
      <c r="J65" s="17"/>
      <c r="K65" s="17"/>
      <c r="L65" s="17"/>
      <c r="M65" s="17"/>
    </row>
    <row r="66" spans="8:13" ht="15" customHeight="1" x14ac:dyDescent="0.25">
      <c r="H66" s="101"/>
      <c r="I66" s="16"/>
      <c r="J66" s="16"/>
      <c r="K66" s="16"/>
      <c r="L66" s="16"/>
      <c r="M66" s="16"/>
    </row>
    <row r="67" spans="8:13" ht="15" customHeight="1" x14ac:dyDescent="0.25">
      <c r="H67" s="101"/>
      <c r="I67" s="17"/>
      <c r="J67" s="17"/>
      <c r="K67" s="17"/>
      <c r="L67" s="17"/>
      <c r="M67" s="17"/>
    </row>
    <row r="68" spans="8:13" ht="15" customHeight="1" x14ac:dyDescent="0.25">
      <c r="H68" s="101"/>
      <c r="I68" s="16"/>
      <c r="J68" s="16"/>
      <c r="K68" s="16"/>
      <c r="L68" s="16"/>
      <c r="M68" s="16"/>
    </row>
    <row r="69" spans="8:13" ht="15" customHeight="1" x14ac:dyDescent="0.25">
      <c r="H69" s="101"/>
      <c r="I69" s="17"/>
      <c r="J69" s="17"/>
      <c r="K69" s="17"/>
      <c r="L69" s="17"/>
      <c r="M69" s="17"/>
    </row>
    <row r="70" spans="8:13" ht="15" customHeight="1" x14ac:dyDescent="0.25">
      <c r="H70" s="101"/>
      <c r="I70" s="16"/>
      <c r="J70" s="16"/>
      <c r="K70" s="16"/>
      <c r="L70" s="16"/>
      <c r="M70" s="16"/>
    </row>
    <row r="71" spans="8:13" ht="15" customHeight="1" x14ac:dyDescent="0.25">
      <c r="H71" s="101"/>
      <c r="I71" s="17"/>
      <c r="J71" s="17"/>
      <c r="K71" s="17"/>
      <c r="L71" s="17"/>
      <c r="M71" s="17"/>
    </row>
    <row r="72" spans="8:13" ht="15" customHeight="1" x14ac:dyDescent="0.25">
      <c r="H72" s="101"/>
      <c r="I72" s="16"/>
      <c r="J72" s="16"/>
      <c r="K72" s="16"/>
      <c r="L72" s="16"/>
      <c r="M72" s="16"/>
    </row>
    <row r="73" spans="8:13" ht="15" customHeight="1" x14ac:dyDescent="0.25">
      <c r="H73" s="101"/>
      <c r="I73" s="17"/>
      <c r="J73" s="17"/>
      <c r="K73" s="17"/>
      <c r="L73" s="17"/>
      <c r="M73" s="17"/>
    </row>
    <row r="74" spans="8:13" ht="15" customHeight="1" x14ac:dyDescent="0.25">
      <c r="H74" s="101"/>
      <c r="I74" s="16"/>
      <c r="J74" s="16"/>
      <c r="K74" s="16"/>
      <c r="L74" s="16"/>
      <c r="M74" s="16"/>
    </row>
    <row r="75" spans="8:13" ht="15" customHeight="1" x14ac:dyDescent="0.25">
      <c r="H75" s="101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85" zoomScaleNormal="85" workbookViewId="0">
      <pane ySplit="1" topLeftCell="A298" activePane="bottomLeft" state="frozen"/>
      <selection pane="bottomLeft" activeCell="G320" sqref="G320"/>
    </sheetView>
  </sheetViews>
  <sheetFormatPr defaultColWidth="8.5703125" defaultRowHeight="15" x14ac:dyDescent="0.2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 x14ac:dyDescent="0.25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 x14ac:dyDescent="0.25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 x14ac:dyDescent="0.25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 x14ac:dyDescent="0.25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 x14ac:dyDescent="0.25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 x14ac:dyDescent="0.25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 x14ac:dyDescent="0.25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 x14ac:dyDescent="0.25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 x14ac:dyDescent="0.25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 x14ac:dyDescent="0.2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 x14ac:dyDescent="0.25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 x14ac:dyDescent="0.2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 x14ac:dyDescent="0.2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 x14ac:dyDescent="0.25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 x14ac:dyDescent="0.2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 x14ac:dyDescent="0.2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 x14ac:dyDescent="0.25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 x14ac:dyDescent="0.25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 x14ac:dyDescent="0.2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 x14ac:dyDescent="0.2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 x14ac:dyDescent="0.25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 x14ac:dyDescent="0.25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18</v>
      </c>
      <c r="G338" s="36">
        <f>SUM(G326:G337)</f>
        <v>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 x14ac:dyDescent="0.25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18</v>
      </c>
      <c r="G352" s="40">
        <f>G338+G351</f>
        <v>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 x14ac:dyDescent="0.25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 x14ac:dyDescent="0.25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 x14ac:dyDescent="0.25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 x14ac:dyDescent="0.25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 x14ac:dyDescent="0.25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 x14ac:dyDescent="0.25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 x14ac:dyDescent="0.25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 x14ac:dyDescent="0.25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 x14ac:dyDescent="0.25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 x14ac:dyDescent="0.25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 x14ac:dyDescent="0.25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 x14ac:dyDescent="0.25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 x14ac:dyDescent="0.25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 x14ac:dyDescent="0.25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25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25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25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70" zoomScaleNormal="70" workbookViewId="0">
      <pane ySplit="1" topLeftCell="A301" activePane="bottomLeft" state="frozen"/>
      <selection pane="bottomLeft" activeCell="N314" sqref="N314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 x14ac:dyDescent="0.25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 x14ac:dyDescent="0.25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 x14ac:dyDescent="0.25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 x14ac:dyDescent="0.25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 x14ac:dyDescent="0.25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 x14ac:dyDescent="0.25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 x14ac:dyDescent="0.25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 x14ac:dyDescent="0.25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 x14ac:dyDescent="0.25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 x14ac:dyDescent="0.2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 x14ac:dyDescent="0.25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 x14ac:dyDescent="0.2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 x14ac:dyDescent="0.2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 x14ac:dyDescent="0.25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 x14ac:dyDescent="0.2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 x14ac:dyDescent="0.2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 x14ac:dyDescent="0.25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 x14ac:dyDescent="0.2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 x14ac:dyDescent="0.2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 x14ac:dyDescent="0.25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 x14ac:dyDescent="0.25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 x14ac:dyDescent="0.25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 x14ac:dyDescent="0.25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 x14ac:dyDescent="0.25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 x14ac:dyDescent="0.25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 x14ac:dyDescent="0.25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 x14ac:dyDescent="0.25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 x14ac:dyDescent="0.25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 x14ac:dyDescent="0.25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 x14ac:dyDescent="0.25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 x14ac:dyDescent="0.25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 x14ac:dyDescent="0.25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 x14ac:dyDescent="0.25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 x14ac:dyDescent="0.25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 x14ac:dyDescent="0.25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 x14ac:dyDescent="0.25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25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25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25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8" zoomScale="85" zoomScaleNormal="85" workbookViewId="0">
      <selection activeCell="Y315" sqref="Y315"/>
    </sheetView>
  </sheetViews>
  <sheetFormatPr defaultColWidth="8.5703125" defaultRowHeight="15" x14ac:dyDescent="0.2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 x14ac:dyDescent="0.25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 x14ac:dyDescent="0.25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 x14ac:dyDescent="0.25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 x14ac:dyDescent="0.25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 x14ac:dyDescent="0.25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 x14ac:dyDescent="0.25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 x14ac:dyDescent="0.25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 x14ac:dyDescent="0.25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 x14ac:dyDescent="0.25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 x14ac:dyDescent="0.2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 x14ac:dyDescent="0.25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 x14ac:dyDescent="0.2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 x14ac:dyDescent="0.2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 x14ac:dyDescent="0.2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 x14ac:dyDescent="0.2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 x14ac:dyDescent="0.25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 x14ac:dyDescent="0.2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 x14ac:dyDescent="0.2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 x14ac:dyDescent="0.2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 x14ac:dyDescent="0.2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 x14ac:dyDescent="0.25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 x14ac:dyDescent="0.2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 x14ac:dyDescent="0.2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 x14ac:dyDescent="0.25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 x14ac:dyDescent="0.25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/>
      <c r="M326" s="30">
        <f t="shared" ref="M326:M337" ca="1" si="73">IFERROR(IF(K326="","",IF(L326="",MOD(NOW()-K326,1),IF(L326&gt;=K326,L326-K326,L326+1-K326))),"")</f>
        <v>1.13604166690493E-2</v>
      </c>
      <c r="N326" s="27" t="s">
        <v>306</v>
      </c>
      <c r="O326" s="47"/>
    </row>
    <row r="327" spans="1:15" ht="15" customHeight="1" x14ac:dyDescent="0.25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1.13604166690493E-2</v>
      </c>
      <c r="N338" s="36" t="s">
        <v>218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 x14ac:dyDescent="0.25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1.13604166690493E-2</v>
      </c>
      <c r="N352" s="40" t="s">
        <v>221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 x14ac:dyDescent="0.25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 x14ac:dyDescent="0.25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25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 x14ac:dyDescent="0.25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 x14ac:dyDescent="0.25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 x14ac:dyDescent="0.25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 x14ac:dyDescent="0.25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 x14ac:dyDescent="0.25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 x14ac:dyDescent="0.25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 x14ac:dyDescent="0.25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 x14ac:dyDescent="0.25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 x14ac:dyDescent="0.25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 x14ac:dyDescent="0.25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 x14ac:dyDescent="0.25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 x14ac:dyDescent="0.25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25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25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25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70" zoomScaleNormal="70" workbookViewId="0">
      <pane ySplit="1" topLeftCell="A302" activePane="bottomLeft" state="frozen"/>
      <selection pane="bottomLeft" activeCell="F327" sqref="F327"/>
    </sheetView>
  </sheetViews>
  <sheetFormatPr defaultColWidth="8.5703125" defaultRowHeight="15" x14ac:dyDescent="0.2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 x14ac:dyDescent="0.25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 x14ac:dyDescent="0.25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 x14ac:dyDescent="0.25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 x14ac:dyDescent="0.25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 x14ac:dyDescent="0.25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 x14ac:dyDescent="0.25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 x14ac:dyDescent="0.25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 x14ac:dyDescent="0.25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 x14ac:dyDescent="0.25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 x14ac:dyDescent="0.25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 x14ac:dyDescent="0.25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 x14ac:dyDescent="0.25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 x14ac:dyDescent="0.25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 x14ac:dyDescent="0.25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 x14ac:dyDescent="0.25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 x14ac:dyDescent="0.25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 x14ac:dyDescent="0.25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 x14ac:dyDescent="0.25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 x14ac:dyDescent="0.25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 x14ac:dyDescent="0.25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 x14ac:dyDescent="0.25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 x14ac:dyDescent="0.25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 x14ac:dyDescent="0.25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 x14ac:dyDescent="0.25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 x14ac:dyDescent="0.25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 x14ac:dyDescent="0.25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 x14ac:dyDescent="0.25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 x14ac:dyDescent="0.25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 x14ac:dyDescent="0.25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0.11274930556101026</v>
      </c>
      <c r="N128" s="27"/>
      <c r="O128" s="60"/>
    </row>
    <row r="129" spans="1:18" ht="15" customHeight="1" x14ac:dyDescent="0.25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 x14ac:dyDescent="0.25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0.31205486111656588</v>
      </c>
      <c r="N135" s="36" t="s">
        <v>218</v>
      </c>
      <c r="O135" s="39">
        <v>729290</v>
      </c>
    </row>
    <row r="136" spans="1:18" ht="18" customHeight="1" x14ac:dyDescent="0.25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0.67941597222767691</v>
      </c>
      <c r="N136" s="40" t="s">
        <v>221</v>
      </c>
      <c r="O136" s="48">
        <f>IFERROR(O122+O135,"")</f>
        <v>1003740</v>
      </c>
    </row>
    <row r="137" spans="1:18" ht="15" customHeight="1" x14ac:dyDescent="0.25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 x14ac:dyDescent="0.25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 x14ac:dyDescent="0.25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 x14ac:dyDescent="0.25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 x14ac:dyDescent="0.25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 x14ac:dyDescent="0.25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 x14ac:dyDescent="0.25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 x14ac:dyDescent="0.25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 x14ac:dyDescent="0.25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 x14ac:dyDescent="0.25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 x14ac:dyDescent="0.25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 x14ac:dyDescent="0.25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 x14ac:dyDescent="0.25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 x14ac:dyDescent="0.25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 x14ac:dyDescent="0.25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 x14ac:dyDescent="0.25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 x14ac:dyDescent="0.25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 x14ac:dyDescent="0.25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 x14ac:dyDescent="0.25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 x14ac:dyDescent="0.25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 x14ac:dyDescent="0.25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 x14ac:dyDescent="0.25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 x14ac:dyDescent="0.25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 x14ac:dyDescent="0.25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 x14ac:dyDescent="0.25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 x14ac:dyDescent="0.25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 x14ac:dyDescent="0.25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 x14ac:dyDescent="0.25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 x14ac:dyDescent="0.25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 x14ac:dyDescent="0.25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 x14ac:dyDescent="0.25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 x14ac:dyDescent="0.25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 x14ac:dyDescent="0.25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 x14ac:dyDescent="0.25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/>
      <c r="G327" s="34" t="str">
        <f>IF(F327="","",IF(#REF!="PC 17",F327*4.2,IF(#REF!="PC 19",F327*5,"")))</f>
        <v/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91" t="s">
        <v>217</v>
      </c>
      <c r="B338" s="92"/>
      <c r="C338" s="92"/>
      <c r="D338" s="92"/>
      <c r="E338" s="93">
        <f>SUM(E327:E337)</f>
        <v>0</v>
      </c>
      <c r="F338" s="36">
        <f>SUM(F326:F337)</f>
        <v>20</v>
      </c>
      <c r="G338" s="36">
        <f>SUM(G326:G337)</f>
        <v>84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 x14ac:dyDescent="0.25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 x14ac:dyDescent="0.25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20</v>
      </c>
      <c r="G352" s="40">
        <f>G338+G351</f>
        <v>84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 x14ac:dyDescent="0.25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 x14ac:dyDescent="0.25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 x14ac:dyDescent="0.25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 x14ac:dyDescent="0.25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 x14ac:dyDescent="0.25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 x14ac:dyDescent="0.25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 x14ac:dyDescent="0.25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 x14ac:dyDescent="0.25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 x14ac:dyDescent="0.25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 x14ac:dyDescent="0.25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 x14ac:dyDescent="0.25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 x14ac:dyDescent="0.25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 x14ac:dyDescent="0.25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 x14ac:dyDescent="0.25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 x14ac:dyDescent="0.25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 x14ac:dyDescent="0.25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 x14ac:dyDescent="0.25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 x14ac:dyDescent="0.25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 x14ac:dyDescent="0.25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 x14ac:dyDescent="0.25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 x14ac:dyDescent="0.25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 x14ac:dyDescent="0.25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 x14ac:dyDescent="0.25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25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25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25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25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25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25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25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25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25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25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25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25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 x14ac:dyDescent="0.25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 x14ac:dyDescent="0.25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 x14ac:dyDescent="0.25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 x14ac:dyDescent="0.25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 x14ac:dyDescent="0.25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 x14ac:dyDescent="0.25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 x14ac:dyDescent="0.25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 x14ac:dyDescent="0.25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 x14ac:dyDescent="0.25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 x14ac:dyDescent="0.25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 x14ac:dyDescent="0.25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 x14ac:dyDescent="0.25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 x14ac:dyDescent="0.25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 x14ac:dyDescent="0.25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 x14ac:dyDescent="0.25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 x14ac:dyDescent="0.25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 x14ac:dyDescent="0.25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 x14ac:dyDescent="0.25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 x14ac:dyDescent="0.25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 x14ac:dyDescent="0.25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 x14ac:dyDescent="0.25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 x14ac:dyDescent="0.25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 x14ac:dyDescent="0.25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 x14ac:dyDescent="0.25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 x14ac:dyDescent="0.25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 x14ac:dyDescent="0.25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 x14ac:dyDescent="0.25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 x14ac:dyDescent="0.25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2026-07-13T12:43:41Z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