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04" documentId="8_{AF585B22-221D-4780-BB9C-493D365A6A02}" xr6:coauthVersionLast="47" xr6:coauthVersionMax="47" xr10:uidLastSave="{1F5B4365-4F1F-4AC0-82F4-AD2F90367C7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<sst xmlns="http://schemas.openxmlformats.org/spreadsheetml/2006/main" count="7474" uniqueCount="346">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</sst>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48" activePane="bottomLeft" state="frozen"/>
      <selection pane="bottomLeft" activeCell="H467" sqref="H4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H471" sqref="H47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0.12987175925809424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0.28751064814698313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0.39723287036920529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0.10834398148290347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0.27917731481623687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0.42431620370512574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18</v>
      </c>
      <c r="I461" s="33" t="s">
        <v>31</v>
      </c>
      <c r="J461" s="33"/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20</v>
      </c>
      <c r="G473" s="36">
        <f>SUM(G461:G472)</f>
        <v>100</v>
      </c>
      <c r="H473" s="37"/>
      <c r="I473" s="37"/>
      <c r="J473" s="37"/>
      <c r="K473" s="37"/>
      <c r="L473" s="37"/>
      <c r="M473" s="38">
        <f ca="1">IFERROR(SUM(M461:M472),"")</f>
        <v>2.4305555555555525E-2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20</v>
      </c>
      <c r="G487" s="40">
        <f>G473+G486</f>
        <v>100</v>
      </c>
      <c r="H487" s="41"/>
      <c r="I487" s="41"/>
      <c r="J487" s="41"/>
      <c r="K487" s="41"/>
      <c r="L487" s="41"/>
      <c r="M487" s="42">
        <f ca="1">IFERROR(M473+M486,"")</f>
        <v>2.4305555555555525E-2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44" zoomScale="50" zoomScaleNormal="50" workbookViewId="0">
      <selection activeCell="J461" sqref="J4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299</v>
      </c>
      <c r="N166" s="27" t="s">
        <v>300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/>
      <c r="G461" s="34" t="str">
        <f t="shared" ref="G461:G472" si="102">IF(F461="","",IF(E461="PC 17",F461*4.2,IF(E461="PC 19",F461*5,"")))</f>
        <v/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N462" sqref="N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315</v>
      </c>
      <c r="L58" s="29">
        <v>0.54097222222222219</v>
      </c>
      <c r="M58" s="30" t="str">
        <f t="shared" ca="1" si="13"/>
        <v/>
      </c>
      <c r="N58" s="27" t="s">
        <v>316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0.12014953704056097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0.3194550925961166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0.68681620370722762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341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342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343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/>
      <c r="M461" s="35">
        <f t="shared" ref="M461:M472" ca="1" si="103">IFERROR(IF(K461="","",IF(L461="",MOD(NOW()-K461,1),IF(L461&gt;=K461,L461-K461,L461+1-K461))),"")</f>
        <v>4.3066203703347128E-2</v>
      </c>
      <c r="N461" s="27" t="s">
        <v>345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4.3066203703347128E-2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4.3066203703347128E-2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2026-07-18T12:52:08Z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