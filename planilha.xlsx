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94" documentId="8_{C51EB6CB-002B-4D6B-B68F-DDEBDB4460C0}" xr6:coauthVersionLast="47" xr6:coauthVersionMax="47" xr10:uidLastSave="{2CAB5F1E-4C89-49F7-AA3A-055CC4E5A371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<sst xmlns="http://schemas.openxmlformats.org/spreadsheetml/2006/main" count="5866" uniqueCount="341">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</sst>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8" sqref="F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0.94766319444170222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1.0865520833305911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1.1712743055528134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95</v>
      </c>
      <c r="G324" s="36">
        <f>SUM(G312:G323)</f>
        <v>409.40000000000003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264</v>
      </c>
      <c r="G325" s="40">
        <f>G311+G324</f>
        <v>1119.2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J312" sqref="J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0.87474652777746087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0.93655208333301643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0.99766319444412765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/>
      <c r="M312" s="30">
        <f t="shared" ref="M312:M323" ca="1" si="70">IFERROR(IF(K312="","",IF(L312="",MOD(NOW()-K312,1),IF(L312&gt;=K312,L312-K312,L312+1-K312))),"")</f>
        <v>3.2187500037252903E-3</v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42</v>
      </c>
      <c r="G324" s="36">
        <f>SUM(G312:G323)</f>
        <v>179.6</v>
      </c>
      <c r="H324" s="37"/>
      <c r="I324" s="37"/>
      <c r="J324" s="37"/>
      <c r="K324" s="37"/>
      <c r="L324" s="37"/>
      <c r="M324" s="38">
        <f ca="1">IFERROR(SUM(M312:M323),"")</f>
        <v>3.2187500037252903E-3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165</v>
      </c>
      <c r="G325" s="40">
        <f>G311+G324</f>
        <v>696.19999999999993</v>
      </c>
      <c r="H325" s="41"/>
      <c r="I325" s="41"/>
      <c r="J325" s="41"/>
      <c r="K325" s="41"/>
      <c r="L325" s="41"/>
      <c r="M325" s="42">
        <f ca="1">IFERROR(M311+M324,"")</f>
        <v>3.1690972225947578E-2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122</v>
      </c>
      <c r="G324" s="36">
        <f>SUM(G312:G323)</f>
        <v>526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314</v>
      </c>
      <c r="G325" s="40">
        <f>G311+G324</f>
        <v>1332.4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2026-08-13T05:39:51Z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