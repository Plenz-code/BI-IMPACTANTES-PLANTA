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" documentId="8_{C51EB6CB-002B-4D6B-B68F-DDEBDB4460C0}" xr6:coauthVersionLast="47" xr6:coauthVersionMax="47" xr10:uidLastSave="{EFAFB359-8FF4-4BF7-8D01-38918C1FB3AF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<sst xmlns="http://schemas.openxmlformats.org/spreadsheetml/2006/main" count="1219" uniqueCount="237">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</sst>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J2" sqref="J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/>
      <c r="M2" s="30">
        <f ca="1">IFERROR(IF(K2="","",IF(L2="",MOD(NOW()-K2,1),IF(L2&gt;=K2,L2-K2,L2+1-K2))),"")</f>
        <v>3.2735416665673256E-2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169</v>
      </c>
      <c r="G14" s="36">
        <f>SUM(G2:G13)</f>
        <v>845</v>
      </c>
      <c r="H14" s="37"/>
      <c r="I14" s="37"/>
      <c r="J14" s="37"/>
      <c r="K14" s="37"/>
      <c r="L14" s="37"/>
      <c r="M14" s="38">
        <f ca="1">IFERROR(SUM(M2:M13),"")</f>
        <v>3.2735416665673256E-2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169</v>
      </c>
      <c r="G28" s="40">
        <f>G14+G27</f>
        <v>845</v>
      </c>
      <c r="H28" s="41"/>
      <c r="I28" s="41"/>
      <c r="J28" s="41"/>
      <c r="K28" s="41"/>
      <c r="L28" s="41"/>
      <c r="M28" s="42">
        <f ca="1">IFERROR(M14+M27,"")</f>
        <v>3.2735416665673256E-2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103</v>
      </c>
      <c r="G14" s="36">
        <f>SUM(G2:G13)</f>
        <v>432.6</v>
      </c>
      <c r="H14" s="37"/>
      <c r="I14" s="37"/>
      <c r="J14" s="37"/>
      <c r="K14" s="37"/>
      <c r="L14" s="37"/>
      <c r="M14" s="38">
        <f ca="1">IFERROR(SUM(M2:M13),"")</f>
        <v>0.17638888888888876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103</v>
      </c>
      <c r="G28" s="40">
        <f>G14+G27</f>
        <v>432.6</v>
      </c>
      <c r="H28" s="41"/>
      <c r="I28" s="41"/>
      <c r="J28" s="41"/>
      <c r="K28" s="41"/>
      <c r="L28" s="41"/>
      <c r="M28" s="42">
        <f ca="1">IFERROR(M14+M27,"")</f>
        <v>0.17638888888888876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L4" sqref="L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73</v>
      </c>
      <c r="G14" s="36">
        <f>SUM(G2:G13)</f>
        <v>306.60000000000002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73</v>
      </c>
      <c r="G28" s="40">
        <f>G14+G27</f>
        <v>306.60000000000002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108</v>
      </c>
      <c r="G14" s="36">
        <f>SUM(G2:G13)</f>
        <v>453.6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108</v>
      </c>
      <c r="G28" s="40">
        <f>G14+G27</f>
        <v>453.6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2026-08-01T21:50:40Z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