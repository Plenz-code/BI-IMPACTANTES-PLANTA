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720" documentId="13_ncr:1_{0A10D8D4-8450-4366-8075-B53B08E6B7EA}" xr6:coauthVersionLast="47" xr6:coauthVersionMax="47" xr10:uidLastSave="{16F9E041-F5C6-403E-8946-D4983AD0ADC5}"/>
  <bookViews>
    <workbookView xWindow="-28920" yWindow="-60" windowWidth="29040" windowHeight="1572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7" i="6" l="1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<sst xmlns="http://schemas.openxmlformats.org/spreadsheetml/2006/main" count="6147" uniqueCount="341">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</sst>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3" fontId="29" fillId="11" borderId="2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</row>
    <row r="2" spans="1:10" ht="24.75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65" t="s">
        <v>12</v>
      </c>
      <c r="B35" s="165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13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14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9"/>
      <c r="N58" s="16"/>
      <c r="O58" s="16"/>
      <c r="P58" s="16" t="s">
        <v>214</v>
      </c>
      <c r="Q58" s="16"/>
      <c r="R58" s="16"/>
    </row>
    <row r="59" spans="1:18" ht="15" customHeight="1">
      <c r="M59" s="169"/>
      <c r="N59" s="17"/>
      <c r="O59" s="17"/>
      <c r="P59" s="17" t="s">
        <v>215</v>
      </c>
      <c r="Q59" s="17"/>
      <c r="R59" s="17"/>
    </row>
    <row r="60" spans="1:18" ht="15" customHeight="1">
      <c r="M60" s="169"/>
      <c r="N60" s="16"/>
      <c r="O60" s="16"/>
      <c r="P60" s="77" t="s">
        <v>110</v>
      </c>
      <c r="Q60" s="16"/>
      <c r="R60" s="16"/>
    </row>
    <row r="61" spans="1:18" ht="15" customHeight="1">
      <c r="M61" s="169"/>
      <c r="N61" s="17"/>
      <c r="O61" s="17"/>
      <c r="P61" s="17" t="s">
        <v>216</v>
      </c>
      <c r="Q61" s="17"/>
      <c r="R61" s="17"/>
    </row>
    <row r="62" spans="1:18" ht="15" customHeight="1">
      <c r="M62" s="169"/>
      <c r="N62" s="16"/>
      <c r="O62" s="16"/>
      <c r="P62" s="16" t="s">
        <v>217</v>
      </c>
      <c r="Q62" s="16"/>
      <c r="R62" s="16"/>
    </row>
    <row r="63" spans="1:18" ht="15" customHeight="1">
      <c r="M63" s="169"/>
      <c r="N63" s="17"/>
      <c r="O63" s="17"/>
      <c r="P63" s="17" t="s">
        <v>218</v>
      </c>
      <c r="Q63" s="17"/>
      <c r="R63" s="17"/>
    </row>
    <row r="64" spans="1:18" ht="15" customHeight="1">
      <c r="M64" s="169"/>
      <c r="N64" s="16"/>
      <c r="O64" s="16"/>
      <c r="P64" s="16" t="s">
        <v>219</v>
      </c>
      <c r="Q64" s="16"/>
      <c r="R64" s="16"/>
    </row>
    <row r="65" spans="13:18" ht="15" customHeight="1">
      <c r="M65" s="169"/>
      <c r="N65" s="17"/>
      <c r="O65" s="17"/>
      <c r="P65" s="17" t="s">
        <v>220</v>
      </c>
      <c r="Q65" s="17"/>
      <c r="R65" s="17"/>
    </row>
    <row r="66" spans="13:18" ht="15" customHeight="1">
      <c r="M66" s="169"/>
      <c r="N66" s="16"/>
      <c r="O66" s="16"/>
      <c r="P66" s="16" t="s">
        <v>221</v>
      </c>
      <c r="Q66" s="16"/>
      <c r="R66" s="16"/>
    </row>
    <row r="67" spans="13:18" ht="15" customHeight="1">
      <c r="M67" s="169"/>
      <c r="N67" s="17"/>
      <c r="O67" s="17"/>
      <c r="P67" s="17" t="s">
        <v>222</v>
      </c>
      <c r="Q67" s="17"/>
      <c r="R67" s="17"/>
    </row>
    <row r="68" spans="13:18" ht="15" customHeight="1">
      <c r="M68" s="169"/>
      <c r="N68" s="16"/>
      <c r="O68" s="16"/>
      <c r="P68" s="16" t="s">
        <v>223</v>
      </c>
      <c r="Q68" s="16"/>
      <c r="R68" s="16"/>
    </row>
    <row r="69" spans="13:18" ht="15" customHeight="1">
      <c r="M69" s="169"/>
      <c r="N69" s="17"/>
      <c r="O69" s="17"/>
      <c r="P69" s="17" t="s">
        <v>224</v>
      </c>
      <c r="Q69" s="17"/>
      <c r="R69" s="17"/>
    </row>
    <row r="70" spans="13:18" ht="15" customHeight="1">
      <c r="M70" s="169"/>
      <c r="N70" s="16"/>
      <c r="O70" s="16"/>
      <c r="P70" s="16" t="s">
        <v>225</v>
      </c>
      <c r="Q70" s="16"/>
      <c r="R70" s="16"/>
    </row>
    <row r="71" spans="13:18" ht="15" customHeight="1">
      <c r="M71" s="169"/>
      <c r="N71" s="17"/>
      <c r="O71" s="17"/>
      <c r="P71" s="17" t="s">
        <v>226</v>
      </c>
      <c r="Q71" s="17"/>
      <c r="R71" s="17"/>
    </row>
    <row r="72" spans="13:18" ht="15" customHeight="1">
      <c r="M72" s="169"/>
      <c r="N72" s="16"/>
      <c r="O72" s="16"/>
      <c r="P72" s="16" t="s">
        <v>227</v>
      </c>
      <c r="Q72" s="16"/>
      <c r="R72" s="16"/>
    </row>
    <row r="73" spans="13:18" ht="15" customHeight="1">
      <c r="M73" s="169"/>
      <c r="N73" s="17"/>
      <c r="O73" s="17"/>
      <c r="P73" s="17" t="s">
        <v>228</v>
      </c>
      <c r="Q73" s="17"/>
      <c r="R73" s="17"/>
    </row>
    <row r="74" spans="13:18" ht="15" customHeight="1">
      <c r="M74" s="169"/>
      <c r="N74" s="16"/>
      <c r="O74" s="16"/>
      <c r="P74" s="16" t="s">
        <v>229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F347" sqref="F34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1" t="s">
        <v>241</v>
      </c>
      <c r="B14" s="162"/>
      <c r="C14" s="162"/>
      <c r="D14" s="162"/>
      <c r="E14" s="16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1" t="s">
        <v>244</v>
      </c>
      <c r="B27" s="162"/>
      <c r="C27" s="162"/>
      <c r="D27" s="162"/>
      <c r="E27" s="16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8" t="s">
        <v>245</v>
      </c>
      <c r="B28" s="159"/>
      <c r="C28" s="159"/>
      <c r="D28" s="159"/>
      <c r="E28" s="16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1" t="s">
        <v>241</v>
      </c>
      <c r="B41" s="162"/>
      <c r="C41" s="162"/>
      <c r="D41" s="162"/>
      <c r="E41" s="16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1" t="s">
        <v>244</v>
      </c>
      <c r="B54" s="162"/>
      <c r="C54" s="162"/>
      <c r="D54" s="162"/>
      <c r="E54" s="16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8" t="s">
        <v>245</v>
      </c>
      <c r="B55" s="159"/>
      <c r="C55" s="159"/>
      <c r="D55" s="159"/>
      <c r="E55" s="16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1" t="s">
        <v>241</v>
      </c>
      <c r="B68" s="162"/>
      <c r="C68" s="162"/>
      <c r="D68" s="162"/>
      <c r="E68" s="16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1" t="s">
        <v>244</v>
      </c>
      <c r="B81" s="162"/>
      <c r="C81" s="162"/>
      <c r="D81" s="162"/>
      <c r="E81" s="16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8" t="s">
        <v>245</v>
      </c>
      <c r="B82" s="159"/>
      <c r="C82" s="159"/>
      <c r="D82" s="159"/>
      <c r="E82" s="16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1" t="s">
        <v>241</v>
      </c>
      <c r="B95" s="162"/>
      <c r="C95" s="162"/>
      <c r="D95" s="162"/>
      <c r="E95" s="16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1" t="s">
        <v>244</v>
      </c>
      <c r="B108" s="162"/>
      <c r="C108" s="162"/>
      <c r="D108" s="162"/>
      <c r="E108" s="16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8" t="s">
        <v>245</v>
      </c>
      <c r="B109" s="159"/>
      <c r="C109" s="159"/>
      <c r="D109" s="159"/>
      <c r="E109" s="16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1" t="s">
        <v>241</v>
      </c>
      <c r="B122" s="162"/>
      <c r="C122" s="162"/>
      <c r="D122" s="162"/>
      <c r="E122" s="16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1" t="s">
        <v>244</v>
      </c>
      <c r="B135" s="162"/>
      <c r="C135" s="162"/>
      <c r="D135" s="162"/>
      <c r="E135" s="16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8" t="s">
        <v>245</v>
      </c>
      <c r="B136" s="159"/>
      <c r="C136" s="159"/>
      <c r="D136" s="159"/>
      <c r="E136" s="16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1" t="s">
        <v>241</v>
      </c>
      <c r="B149" s="162"/>
      <c r="C149" s="162"/>
      <c r="D149" s="162"/>
      <c r="E149" s="16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1" t="s">
        <v>244</v>
      </c>
      <c r="B162" s="162"/>
      <c r="C162" s="162"/>
      <c r="D162" s="162"/>
      <c r="E162" s="16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8" t="s">
        <v>245</v>
      </c>
      <c r="B163" s="159"/>
      <c r="C163" s="159"/>
      <c r="D163" s="159"/>
      <c r="E163" s="16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1" t="s">
        <v>241</v>
      </c>
      <c r="B176" s="162"/>
      <c r="C176" s="162"/>
      <c r="D176" s="162"/>
      <c r="E176" s="16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1" t="s">
        <v>244</v>
      </c>
      <c r="B189" s="162"/>
      <c r="C189" s="162"/>
      <c r="D189" s="162"/>
      <c r="E189" s="16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8" t="s">
        <v>245</v>
      </c>
      <c r="B190" s="159"/>
      <c r="C190" s="159"/>
      <c r="D190" s="159"/>
      <c r="E190" s="16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1" t="s">
        <v>241</v>
      </c>
      <c r="B203" s="162"/>
      <c r="C203" s="162"/>
      <c r="D203" s="162"/>
      <c r="E203" s="16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1" t="s">
        <v>244</v>
      </c>
      <c r="B216" s="162"/>
      <c r="C216" s="162"/>
      <c r="D216" s="162"/>
      <c r="E216" s="16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8" t="s">
        <v>245</v>
      </c>
      <c r="B217" s="159"/>
      <c r="C217" s="159"/>
      <c r="D217" s="159"/>
      <c r="E217" s="16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2" t="s">
        <v>241</v>
      </c>
      <c r="B230" s="153"/>
      <c r="C230" s="153"/>
      <c r="D230" s="153"/>
      <c r="E230" s="15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1" t="s">
        <v>244</v>
      </c>
      <c r="B243" s="162"/>
      <c r="C243" s="162"/>
      <c r="D243" s="162"/>
      <c r="E243" s="16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8" t="s">
        <v>245</v>
      </c>
      <c r="B244" s="159"/>
      <c r="C244" s="159"/>
      <c r="D244" s="159"/>
      <c r="E244" s="16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1" t="s">
        <v>241</v>
      </c>
      <c r="B257" s="162"/>
      <c r="C257" s="162"/>
      <c r="D257" s="162"/>
      <c r="E257" s="163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1" t="s">
        <v>244</v>
      </c>
      <c r="B270" s="162"/>
      <c r="C270" s="162"/>
      <c r="D270" s="162"/>
      <c r="E270" s="163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8" t="s">
        <v>245</v>
      </c>
      <c r="B271" s="159"/>
      <c r="C271" s="159"/>
      <c r="D271" s="159"/>
      <c r="E271" s="16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1" t="s">
        <v>241</v>
      </c>
      <c r="B284" s="162"/>
      <c r="C284" s="162"/>
      <c r="D284" s="162"/>
      <c r="E284" s="163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1" t="s">
        <v>244</v>
      </c>
      <c r="B297" s="162"/>
      <c r="C297" s="162"/>
      <c r="D297" s="162"/>
      <c r="E297" s="163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8" t="s">
        <v>245</v>
      </c>
      <c r="B298" s="159"/>
      <c r="C298" s="159"/>
      <c r="D298" s="159"/>
      <c r="E298" s="16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1" t="s">
        <v>241</v>
      </c>
      <c r="B311" s="162"/>
      <c r="C311" s="162"/>
      <c r="D311" s="162"/>
      <c r="E311" s="163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1" t="s">
        <v>244</v>
      </c>
      <c r="B324" s="162"/>
      <c r="C324" s="162"/>
      <c r="D324" s="162"/>
      <c r="E324" s="163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8" t="s">
        <v>245</v>
      </c>
      <c r="B325" s="159"/>
      <c r="C325" s="159"/>
      <c r="D325" s="159"/>
      <c r="E325" s="16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1" t="s">
        <v>241</v>
      </c>
      <c r="B338" s="162"/>
      <c r="C338" s="162"/>
      <c r="D338" s="162"/>
      <c r="E338" s="163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1" t="s">
        <v>244</v>
      </c>
      <c r="B351" s="162"/>
      <c r="C351" s="162"/>
      <c r="D351" s="162"/>
      <c r="E351" s="163">
        <f>SUM(E339:E350)</f>
        <v>0</v>
      </c>
      <c r="F351" s="36">
        <f>SUM(F339:F350)</f>
        <v>240</v>
      </c>
      <c r="G351" s="36">
        <f>SUM(G339:G350)</f>
        <v>1200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/>
    </row>
    <row r="352" spans="1:15" ht="18" customHeight="1">
      <c r="A352" s="158" t="s">
        <v>245</v>
      </c>
      <c r="B352" s="159"/>
      <c r="C352" s="159"/>
      <c r="D352" s="159"/>
      <c r="E352" s="160">
        <f>E338+E351</f>
        <v>0</v>
      </c>
      <c r="F352" s="40">
        <f>F338+F351</f>
        <v>472</v>
      </c>
      <c r="G352" s="40">
        <f>G338+G351</f>
        <v>2360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1" t="s">
        <v>241</v>
      </c>
      <c r="B365" s="162"/>
      <c r="C365" s="162"/>
      <c r="D365" s="162"/>
      <c r="E365" s="16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1" t="s">
        <v>244</v>
      </c>
      <c r="B378" s="162"/>
      <c r="C378" s="162"/>
      <c r="D378" s="162"/>
      <c r="E378" s="16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8" t="s">
        <v>245</v>
      </c>
      <c r="B379" s="159"/>
      <c r="C379" s="159"/>
      <c r="D379" s="159"/>
      <c r="E379" s="160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1" t="s">
        <v>241</v>
      </c>
      <c r="B392" s="162"/>
      <c r="C392" s="162"/>
      <c r="D392" s="162"/>
      <c r="E392" s="16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1" t="s">
        <v>244</v>
      </c>
      <c r="B405" s="162"/>
      <c r="C405" s="162"/>
      <c r="D405" s="162"/>
      <c r="E405" s="16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8" t="s">
        <v>245</v>
      </c>
      <c r="B406" s="159"/>
      <c r="C406" s="159"/>
      <c r="D406" s="159"/>
      <c r="E406" s="16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1" t="s">
        <v>241</v>
      </c>
      <c r="B419" s="162"/>
      <c r="C419" s="162"/>
      <c r="D419" s="162"/>
      <c r="E419" s="16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1" t="s">
        <v>244</v>
      </c>
      <c r="B432" s="162"/>
      <c r="C432" s="162"/>
      <c r="D432" s="162"/>
      <c r="E432" s="16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8" t="s">
        <v>245</v>
      </c>
      <c r="B433" s="159"/>
      <c r="C433" s="159"/>
      <c r="D433" s="159"/>
      <c r="E433" s="16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1" t="s">
        <v>241</v>
      </c>
      <c r="B446" s="162"/>
      <c r="C446" s="162"/>
      <c r="D446" s="162"/>
      <c r="E446" s="16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1" t="s">
        <v>244</v>
      </c>
      <c r="B459" s="162"/>
      <c r="C459" s="162"/>
      <c r="D459" s="162"/>
      <c r="E459" s="16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8" t="s">
        <v>245</v>
      </c>
      <c r="B460" s="159"/>
      <c r="C460" s="159"/>
      <c r="D460" s="159"/>
      <c r="E460" s="16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1" t="s">
        <v>241</v>
      </c>
      <c r="B473" s="162"/>
      <c r="C473" s="162"/>
      <c r="D473" s="162"/>
      <c r="E473" s="16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1" t="s">
        <v>244</v>
      </c>
      <c r="B486" s="162"/>
      <c r="C486" s="162"/>
      <c r="D486" s="162"/>
      <c r="E486" s="16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8" t="s">
        <v>245</v>
      </c>
      <c r="B487" s="159"/>
      <c r="C487" s="159"/>
      <c r="D487" s="159"/>
      <c r="E487" s="16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1" t="s">
        <v>241</v>
      </c>
      <c r="B500" s="162"/>
      <c r="C500" s="162"/>
      <c r="D500" s="162"/>
      <c r="E500" s="16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1" t="s">
        <v>244</v>
      </c>
      <c r="B513" s="162"/>
      <c r="C513" s="162"/>
      <c r="D513" s="162"/>
      <c r="E513" s="16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8" t="s">
        <v>245</v>
      </c>
      <c r="B514" s="159"/>
      <c r="C514" s="159"/>
      <c r="D514" s="159"/>
      <c r="E514" s="16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1" t="s">
        <v>241</v>
      </c>
      <c r="B527" s="162"/>
      <c r="C527" s="162"/>
      <c r="D527" s="162"/>
      <c r="E527" s="16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1" t="s">
        <v>244</v>
      </c>
      <c r="B540" s="162"/>
      <c r="C540" s="162"/>
      <c r="D540" s="162"/>
      <c r="E540" s="16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8" t="s">
        <v>245</v>
      </c>
      <c r="B541" s="159"/>
      <c r="C541" s="159"/>
      <c r="D541" s="159"/>
      <c r="E541" s="16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1" t="s">
        <v>241</v>
      </c>
      <c r="B554" s="162"/>
      <c r="C554" s="162"/>
      <c r="D554" s="162"/>
      <c r="E554" s="16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1" t="s">
        <v>244</v>
      </c>
      <c r="B567" s="162"/>
      <c r="C567" s="162"/>
      <c r="D567" s="162"/>
      <c r="E567" s="16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8" t="s">
        <v>245</v>
      </c>
      <c r="B568" s="159"/>
      <c r="C568" s="159"/>
      <c r="D568" s="159"/>
      <c r="E568" s="16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1" t="s">
        <v>241</v>
      </c>
      <c r="B581" s="162"/>
      <c r="C581" s="162"/>
      <c r="D581" s="162"/>
      <c r="E581" s="16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1" t="s">
        <v>244</v>
      </c>
      <c r="B594" s="162"/>
      <c r="C594" s="162"/>
      <c r="D594" s="162"/>
      <c r="E594" s="16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8" t="s">
        <v>245</v>
      </c>
      <c r="B595" s="159"/>
      <c r="C595" s="159"/>
      <c r="D595" s="159"/>
      <c r="E595" s="16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1" t="s">
        <v>241</v>
      </c>
      <c r="B608" s="162"/>
      <c r="C608" s="162"/>
      <c r="D608" s="162"/>
      <c r="E608" s="16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1" t="s">
        <v>244</v>
      </c>
      <c r="B621" s="162"/>
      <c r="C621" s="162"/>
      <c r="D621" s="162"/>
      <c r="E621" s="16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8" t="s">
        <v>245</v>
      </c>
      <c r="B622" s="159"/>
      <c r="C622" s="159"/>
      <c r="D622" s="159"/>
      <c r="E622" s="16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1" t="s">
        <v>241</v>
      </c>
      <c r="B635" s="162"/>
      <c r="C635" s="162"/>
      <c r="D635" s="162"/>
      <c r="E635" s="16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1" t="s">
        <v>244</v>
      </c>
      <c r="B648" s="162"/>
      <c r="C648" s="162"/>
      <c r="D648" s="162"/>
      <c r="E648" s="16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8" t="s">
        <v>245</v>
      </c>
      <c r="B649" s="159"/>
      <c r="C649" s="159"/>
      <c r="D649" s="159"/>
      <c r="E649" s="16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1" t="s">
        <v>241</v>
      </c>
      <c r="B662" s="162"/>
      <c r="C662" s="162"/>
      <c r="D662" s="162"/>
      <c r="E662" s="16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1" t="s">
        <v>244</v>
      </c>
      <c r="B675" s="162"/>
      <c r="C675" s="162"/>
      <c r="D675" s="162"/>
      <c r="E675" s="16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8" t="s">
        <v>245</v>
      </c>
      <c r="B676" s="159"/>
      <c r="C676" s="159"/>
      <c r="D676" s="159"/>
      <c r="E676" s="16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1" t="s">
        <v>241</v>
      </c>
      <c r="B689" s="162"/>
      <c r="C689" s="162"/>
      <c r="D689" s="162"/>
      <c r="E689" s="16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1" t="s">
        <v>244</v>
      </c>
      <c r="B702" s="162"/>
      <c r="C702" s="162"/>
      <c r="D702" s="162"/>
      <c r="E702" s="16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8" t="s">
        <v>245</v>
      </c>
      <c r="B703" s="159"/>
      <c r="C703" s="159"/>
      <c r="D703" s="159"/>
      <c r="E703" s="16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1" t="s">
        <v>241</v>
      </c>
      <c r="B716" s="162"/>
      <c r="C716" s="162"/>
      <c r="D716" s="162"/>
      <c r="E716" s="16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1" t="s">
        <v>244</v>
      </c>
      <c r="B729" s="162"/>
      <c r="C729" s="162"/>
      <c r="D729" s="162"/>
      <c r="E729" s="16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8" t="s">
        <v>245</v>
      </c>
      <c r="B730" s="159"/>
      <c r="C730" s="159"/>
      <c r="D730" s="159"/>
      <c r="E730" s="16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1" t="s">
        <v>241</v>
      </c>
      <c r="B743" s="162"/>
      <c r="C743" s="162"/>
      <c r="D743" s="162"/>
      <c r="E743" s="16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1" t="s">
        <v>244</v>
      </c>
      <c r="B756" s="162"/>
      <c r="C756" s="162"/>
      <c r="D756" s="162"/>
      <c r="E756" s="16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8" t="s">
        <v>245</v>
      </c>
      <c r="B757" s="159"/>
      <c r="C757" s="159"/>
      <c r="D757" s="159"/>
      <c r="E757" s="16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1" t="s">
        <v>241</v>
      </c>
      <c r="B770" s="162"/>
      <c r="C770" s="162"/>
      <c r="D770" s="162"/>
      <c r="E770" s="16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1" t="s">
        <v>244</v>
      </c>
      <c r="B783" s="162"/>
      <c r="C783" s="162"/>
      <c r="D783" s="162"/>
      <c r="E783" s="16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8" t="s">
        <v>245</v>
      </c>
      <c r="B784" s="159"/>
      <c r="C784" s="159"/>
      <c r="D784" s="159"/>
      <c r="E784" s="16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1" t="s">
        <v>241</v>
      </c>
      <c r="B797" s="162"/>
      <c r="C797" s="162"/>
      <c r="D797" s="162"/>
      <c r="E797" s="16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1" t="s">
        <v>244</v>
      </c>
      <c r="B810" s="162"/>
      <c r="C810" s="162"/>
      <c r="D810" s="162"/>
      <c r="E810" s="16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55" t="s">
        <v>245</v>
      </c>
      <c r="B811" s="156"/>
      <c r="C811" s="156"/>
      <c r="D811" s="156"/>
      <c r="E811" s="15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1" t="s">
        <v>241</v>
      </c>
      <c r="B824" s="162"/>
      <c r="C824" s="162"/>
      <c r="D824" s="162"/>
      <c r="E824" s="16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1" t="s">
        <v>244</v>
      </c>
      <c r="B837" s="162"/>
      <c r="C837" s="162"/>
      <c r="D837" s="162"/>
      <c r="E837" s="16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8" t="s">
        <v>245</v>
      </c>
      <c r="B838" s="159"/>
      <c r="C838" s="159"/>
      <c r="D838" s="159"/>
      <c r="E838" s="16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16" activePane="bottomLeft" state="frozen"/>
      <selection pane="bottomLeft" activeCell="L346" sqref="L346:L34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0.10558842592581641</v>
      </c>
      <c r="R53" s="46" t="s">
        <v>276</v>
      </c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0.2444773148147053</v>
      </c>
      <c r="R54" s="36" t="s">
        <v>242</v>
      </c>
      <c r="S54" s="75">
        <v>352430</v>
      </c>
      <c r="T54" s="117"/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0.32919953703692761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88.2</v>
      </c>
      <c r="L343" s="33" t="s">
        <v>25</v>
      </c>
      <c r="M343" s="33" t="s">
        <v>44</v>
      </c>
      <c r="N343" s="33" t="s">
        <v>202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21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88.2</v>
      </c>
      <c r="L344" s="26" t="s">
        <v>23</v>
      </c>
      <c r="M344" s="26" t="s">
        <v>36</v>
      </c>
      <c r="N344" s="26" t="s">
        <v>162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13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8"/>
        <v>0</v>
      </c>
      <c r="K345" s="34">
        <f t="shared" si="79"/>
        <v>54.6</v>
      </c>
      <c r="L345" s="33" t="s">
        <v>23</v>
      </c>
      <c r="M345" s="33" t="s">
        <v>44</v>
      </c>
      <c r="N345" s="33" t="s">
        <v>162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12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8"/>
        <v>0</v>
      </c>
      <c r="K346" s="28">
        <f t="shared" si="79"/>
        <v>50.400000000000006</v>
      </c>
      <c r="L346" s="26" t="s">
        <v>22</v>
      </c>
      <c r="M346" s="26" t="s">
        <v>140</v>
      </c>
      <c r="N346" s="26" t="s">
        <v>54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7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8"/>
        <v>0</v>
      </c>
      <c r="K347" s="34">
        <f t="shared" si="79"/>
        <v>29.400000000000002</v>
      </c>
      <c r="L347" s="33" t="s">
        <v>22</v>
      </c>
      <c r="M347" s="33"/>
      <c r="N347" s="33"/>
      <c r="O347" s="29">
        <v>0.22500000000000001</v>
      </c>
      <c r="P347" s="29"/>
      <c r="Q347" s="35">
        <f t="shared" ca="1" si="80"/>
        <v>2.1162037082831375E-3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19</v>
      </c>
      <c r="H348" s="134">
        <f>IFERROR(IF($G348="","",$G348*$S$351/$G$351/Cadastro!$E$33),"")</f>
        <v>0</v>
      </c>
      <c r="I348" s="135">
        <f>IFERROR(IF($D348="","",VLOOKUP($D348,Cadastro!$C$4:$G$7,5,FALSE)),"")</f>
        <v>0.6</v>
      </c>
      <c r="J348" s="136">
        <f t="shared" si="78"/>
        <v>0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144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604.79999999999995</v>
      </c>
      <c r="L351" s="37"/>
      <c r="M351" s="37"/>
      <c r="N351" s="37"/>
      <c r="O351" s="37"/>
      <c r="P351" s="37"/>
      <c r="Q351" s="38">
        <f ca="1">IFERROR(SUM(Q339:Q350),"")</f>
        <v>0.12989398148606107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181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777.8</v>
      </c>
      <c r="L352" s="41"/>
      <c r="M352" s="41"/>
      <c r="N352" s="41"/>
      <c r="O352" s="41"/>
      <c r="P352" s="41"/>
      <c r="Q352" s="42">
        <f ca="1">IFERROR(Q338+Q351,"")</f>
        <v>0.47225509259717208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0" activePane="bottomLeft" state="frozen"/>
      <selection pane="bottomLeft" activeCell="M341" sqref="M34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 t="s">
        <v>22</v>
      </c>
      <c r="M340" s="26" t="s">
        <v>140</v>
      </c>
      <c r="N340" s="26" t="s">
        <v>54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6"/>
        <v>0</v>
      </c>
      <c r="K341" s="34">
        <f t="shared" si="77"/>
        <v>33.6</v>
      </c>
      <c r="L341" s="33" t="s">
        <v>22</v>
      </c>
      <c r="M341" s="33" t="s">
        <v>140</v>
      </c>
      <c r="N341" s="33" t="s">
        <v>54</v>
      </c>
      <c r="O341" s="29">
        <v>0.22500000000000001</v>
      </c>
      <c r="P341" s="29"/>
      <c r="Q341" s="35">
        <f t="shared" ca="1" si="78"/>
        <v>2.1162037082831375E-3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6"/>
        <v>0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6"/>
        <v>0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6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6"/>
        <v>0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3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6"/>
        <v>0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4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6"/>
        <v>0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9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6"/>
        <v>0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5</v>
      </c>
      <c r="H348" s="134">
        <f>IFERROR(IF($G348="","",$G348*$S$351/$G$351/Cadastro!$E$33),"")</f>
        <v>0</v>
      </c>
      <c r="I348" s="135">
        <f>IFERROR(IF($D348="","",VLOOKUP($D348,Cadastro!$C$4:$G$7,5,FALSE)),"")</f>
        <v>0.6</v>
      </c>
      <c r="J348" s="136">
        <f t="shared" si="76"/>
        <v>0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52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218.40000000000003</v>
      </c>
      <c r="L351" s="37"/>
      <c r="M351" s="37"/>
      <c r="N351" s="37"/>
      <c r="O351" s="37"/>
      <c r="P351" s="37"/>
      <c r="Q351" s="38">
        <f ca="1">IFERROR(SUM(Q339:Q350),"")</f>
        <v>1.6005092597172005E-2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113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515.40000000000009</v>
      </c>
      <c r="L352" s="41"/>
      <c r="M352" s="41"/>
      <c r="N352" s="41"/>
      <c r="O352" s="41"/>
      <c r="P352" s="41"/>
      <c r="Q352" s="42">
        <f ca="1">IFERROR(Q338+Q351,"")</f>
        <v>0.2500328703749497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15" activePane="bottomLeft" state="frozen"/>
      <selection pane="bottomLeft" activeCell="G332" sqref="G33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1" t="s">
        <v>241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51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1" t="s">
        <v>241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27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113.4</v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24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8"/>
        <v>0</v>
      </c>
      <c r="K345" s="34">
        <f t="shared" si="79"/>
        <v>100.80000000000001</v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19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8"/>
        <v>0</v>
      </c>
      <c r="K346" s="28">
        <f t="shared" si="79"/>
        <v>79.8</v>
      </c>
      <c r="L346" s="26" t="s">
        <v>24</v>
      </c>
      <c r="M346" s="26" t="s">
        <v>168</v>
      </c>
      <c r="N346" s="26" t="s">
        <v>32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25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8"/>
        <v>0</v>
      </c>
      <c r="K347" s="34">
        <f t="shared" si="79"/>
        <v>105</v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13</v>
      </c>
      <c r="H348" s="134">
        <f>IFERROR(IF($G348="","",$G348*$S$351/$G$351/Cadastro!$E$33),"")</f>
        <v>0</v>
      </c>
      <c r="I348" s="135">
        <f>IFERROR(IF($D348="","",VLOOKUP($D348,Cadastro!$C$4:$G$7,5,FALSE)),"")</f>
        <v>0.6</v>
      </c>
      <c r="J348" s="136">
        <f t="shared" si="78"/>
        <v>0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213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894.6</v>
      </c>
      <c r="L351" s="37"/>
      <c r="M351" s="37"/>
      <c r="N351" s="37"/>
      <c r="O351" s="61"/>
      <c r="P351" s="61"/>
      <c r="Q351" s="38">
        <f ca="1">IFERROR(SUM(Q339:Q350),"")</f>
        <v>6.6666666666666652E-2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430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1862.8000000000002</v>
      </c>
      <c r="L352" s="41"/>
      <c r="M352" s="41"/>
      <c r="N352" s="41"/>
      <c r="O352" s="63"/>
      <c r="P352" s="63"/>
      <c r="Q352" s="42">
        <f ca="1">IFERROR(Q338+Q351,"")</f>
        <v>0.10763888888888878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2026-08-14T09:27:05Z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