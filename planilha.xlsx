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31" documentId="8_{AF585B22-221D-4780-BB9C-493D365A6A02}" xr6:coauthVersionLast="47" xr6:coauthVersionMax="47" xr10:uidLastSave="{5F78846C-18AF-4BAF-8944-166DB0DECD6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<sst xmlns="http://schemas.openxmlformats.org/spreadsheetml/2006/main" count="4338" uniqueCount="281">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</sst>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40</v>
      </c>
      <c r="G257" s="36">
        <f>SUM(G245:G256)</f>
        <v>168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40</v>
      </c>
      <c r="G271" s="40">
        <f>G257+G270</f>
        <v>168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J245" sqref="J245:J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0.15867268518923083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0.35797824074478646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0.72533935185589749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20</v>
      </c>
      <c r="I245" s="33" t="s">
        <v>52</v>
      </c>
      <c r="J245" s="33" t="s">
        <v>191</v>
      </c>
      <c r="K245" s="29">
        <v>0.40763888888888888</v>
      </c>
      <c r="L245" s="29"/>
      <c r="M245" s="30">
        <f t="shared" ref="M245:M256" ca="1" si="55">IFERROR(IF(K245="","",IF(L245="",MOD(NOW()-K245,1),IF(L245&gt;=K245,L245-K245,L245+1-K245))),"")</f>
        <v>3.3935185638256371E-4</v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147</v>
      </c>
      <c r="H257" s="37"/>
      <c r="I257" s="37"/>
      <c r="J257" s="37"/>
      <c r="K257" s="61"/>
      <c r="L257" s="61"/>
      <c r="M257" s="38">
        <f ca="1">IFERROR(SUM(M245:M256),"")</f>
        <v>3.3935185638256371E-4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147</v>
      </c>
      <c r="H271" s="41"/>
      <c r="I271" s="41"/>
      <c r="J271" s="41"/>
      <c r="K271" s="63"/>
      <c r="L271" s="63"/>
      <c r="M271" s="42">
        <f ca="1">IFERROR(M257+M270,"")</f>
        <v>3.3935185638256371E-4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2026-07-10T13:47:45Z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