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918" documentId="8_{C51EB6CB-002B-4D6B-B68F-DDEBDB4460C0}" xr6:coauthVersionLast="47" xr6:coauthVersionMax="47" xr10:uidLastSave="{CD3332DC-51D6-4038-8667-CCC074F86CB7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<sst xmlns="http://schemas.openxmlformats.org/spreadsheetml/2006/main" count="1776" uniqueCount="256">
  <si>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</si>
  <si>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</si>
  <si>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</si>
  <si>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</si>
  <si>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</si>
  <si>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</si>
  <si>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</si>
  <si>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</si>
  <si>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</si>
  <si>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</si>
  <si>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</si>
  <si>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</si>
  <si>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</si>
  <si>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</si>
  <si>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</si>
  <si>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</si>
  <si>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</si>
  <si>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</si>
  <si>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</si>
  <si>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</si>
  <si>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</si>
  <si>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</si>
  <si>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</si>
  <si>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</si>
  <si>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</si>
  <si>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</si>
  <si>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</si>
  <si>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</si>
  <si>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</si>
  <si>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</si>
  <si>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</si>
  <si>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</si>
  <si>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</si>
  <si>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</si>
  <si>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</si>
  <si>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</si>
  <si>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</si>
  <si>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</si>
  <si>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</si>
  <si>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</si>
  <si>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</si>
  <si>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</si>
  <si>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</si>
  <si>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</si>
  <si>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</si>
  <si>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</si>
  <si>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</si>
  <si>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</si>
  <si>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</si>
  <si>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</si>
  <si>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</si>
  <si>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</si>
  <si>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</si>
  <si>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</si>
  <si>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</si>
  <si>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</si>
  <si>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</si>
  <si>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</si>
  <si>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</si>
  <si>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</si>
  <si>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</si>
  <si>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</si>
  <si>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</si>
  <si>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</si>
  <si>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</si>
  <si>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</si>
  <si>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</si>
  <si>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</si>
  <si>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</si>
  <si>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</si>
  <si>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</si>
  <si>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</si>
  <si>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</si>
  <si>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</si>
  <si>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</si>
  <si>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</si>
  <si>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</si>
  <si>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</si>
  <si>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</si>
  <si>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</si>
  <si>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</si>
  <si>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</si>
  <si>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</si>
  <si>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</si>
  <si>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</si>
  <si>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</si>
  <si>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</si>
  <si>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</si>
  <si>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</si>
  <si>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</si>
  <si>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</si>
  <si>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</si>
  <si>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</si>
  <si>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</si>
  <si>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</si>
  <si>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</si>
  <si>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</si>
  <si>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</si>
  <si>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</si>
  <si>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</si>
  <si>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</si>
  <si>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</si>
  <si>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</si>
  <si>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</si>
  <si>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</si>
  <si>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</si>
  <si>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</si>
  <si>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</si>
  <si>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</si>
  <si>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</si>
  <si>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</si>
  <si>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</si>
  <si>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</si>
  <si>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</si>
  <si>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</si>
  <si>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</si>
  <si>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</si>
  <si>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</si>
  <si>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</si>
  <si>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</si>
  <si>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</si>
  <si>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</si>
  <si>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</si>
  <si>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</si>
  <si>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</si>
  <si>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</si>
  <si>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</si>
  <si>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</si>
  <si>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</si>
  <si>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</si>
  <si>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</si>
  <si>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</si>
  <si>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</si>
  <si>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</si>
  <si>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</si>
  <si>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</si>
  <si>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</si>
  <si>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</si>
  <si>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</si>
  <si>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</si>
  <si>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</si>
  <si>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</si>
  <si>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</si>
  <si>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</si>
  <si>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</si>
  <si>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</si>
  <si>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</si>
  <si>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</si>
  <si>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</si>
  <si>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</si>
  <si>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</si>
  <si>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</si>
  <si>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</si>
  <si>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</si>
  <si>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</si>
  <si>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</si>
  <si>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</si>
  <si>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</si>
  <si>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</si>
  <si>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</si>
  <si>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</si>
  <si>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</si>
  <si>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</si>
  <si>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</si>
  <si>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</si>
  <si>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</si>
  <si>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</si>
  <si>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</si>
  <si>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</si>
  <si>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</si>
  <si>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</si>
  <si>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</si>
  <si>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</si>
  <si>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</si>
  <si>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</si>
  <si>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</si>
  <si>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</si>
  <si>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</si>
  <si>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</si>
  <si>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</si>
  <si>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</si>
  <si>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</si>
  <si>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</si>
  <si>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</si>
  <si>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</si>
  <si>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</si>
  <si>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</si>
  <si>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</si>
  <si>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</si>
  <si>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</si>
  <si>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</si>
  <si>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</si>
  <si>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</si>
  <si>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</si>
  <si>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</si>
  <si>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</si>
  <si>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</si>
  <si>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</si>
  <si>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</si>
  <si>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</si>
  <si>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</si>
  <si>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</si>
  <si>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</si>
  <si>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</si>
  <si>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</si>
  <si>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</si>
  <si>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</si>
  <si>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</si>
  <si>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</si>
  <si>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</si>
  <si>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</si>
  <si>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</si>
  <si>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</si>
  <si>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</si>
  <si>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</si>
  <si>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</si>
  <si>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</si>
  <si>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</si>
  <si>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</si>
  <si>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</si>
  <si>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</si>
  <si>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</si>
  <si>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</si>
  <si>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</si>
  <si>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</si>
  <si>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</si>
  <si>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</si>
  <si>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</si>
  <si>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</si>
  <si>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</si>
  <si>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</si>
  <si>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</si>
  <si>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</si>
  <si>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</si>
  <si>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</si>
  <si>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</si>
  <si>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</si>
  <si>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</si>
  <si>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</si>
  <si>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</si>
  <si>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</si>
  <si>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</si>
  <si>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</si>
  <si>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</si>
  <si>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</si>
  <si>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</si>
  <si>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</si>
  <si>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</si>
  <si>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</si>
  <si>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</si>
  <si>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troca de martelo</t>
  </si>
  <si>
    <t>processando blend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</si>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</sst>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1351560</v>
      </c>
      <c r="D5" s="11">
        <f>IFERROR('Linha 1'!O55,"")</f>
        <v>311070</v>
      </c>
      <c r="E5" s="11">
        <f>IFERROR('Linha 2'!O55,"")</f>
        <v>237080</v>
      </c>
      <c r="F5" s="11">
        <f>IFERROR('Linha 3'!O55,"")</f>
        <v>766800</v>
      </c>
      <c r="G5" s="12">
        <f t="shared" si="0"/>
        <v>1314950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3147235</v>
      </c>
      <c r="D35" s="13">
        <f>IFERROR(SUM(D4:D34),"")</f>
        <v>1342210</v>
      </c>
      <c r="E35" s="13">
        <f>IFERROR(SUM(E4:E34),"")</f>
        <v>921600</v>
      </c>
      <c r="F35" s="13">
        <f>IFERROR(SUM(F4:F34),"")</f>
        <v>1819740</v>
      </c>
      <c r="G35" s="13">
        <f>IFERROR(SUM(G4:G34),"")</f>
        <v>4083550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1" activePane="bottomLeft" state="frozen"/>
      <selection pane="bottomLeft" activeCell="N43" sqref="N4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/>
      <c r="M42" s="30">
        <f t="shared" ref="M42:M53" ca="1" si="10">IFERROR(IF(K42="","",IF(L42="",MOD(NOW()-K42,1),IF(L42&gt;=K42,L42-K42,L42+1-K42))),"")</f>
        <v>6.6784375005227048E-2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45</v>
      </c>
      <c r="G54" s="36">
        <f>SUM(G42:G53)</f>
        <v>225</v>
      </c>
      <c r="H54" s="37"/>
      <c r="I54" s="37"/>
      <c r="J54" s="37"/>
      <c r="K54" s="37"/>
      <c r="L54" s="37"/>
      <c r="M54" s="38">
        <f ca="1">IFERROR(SUM(M42:M53),"")</f>
        <v>6.6784375005227048E-2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298</v>
      </c>
      <c r="G55" s="40">
        <f>G41+G54</f>
        <v>920</v>
      </c>
      <c r="H55" s="41"/>
      <c r="I55" s="41"/>
      <c r="J55" s="41"/>
      <c r="K55" s="41"/>
      <c r="L55" s="41"/>
      <c r="M55" s="42">
        <f ca="1">IFERROR(M41+M54,"")</f>
        <v>0.12650659722744922</v>
      </c>
      <c r="N55" s="40" t="s">
        <v>233</v>
      </c>
      <c r="O55" s="43">
        <f>IFERROR(O41+O54,"")</f>
        <v>1351560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8" activePane="bottomLeft" state="frozen"/>
      <selection pane="bottomLeft" activeCell="K48" sqref="K4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/>
      <c r="G44" s="34" t="str">
        <f t="shared" si="9"/>
        <v/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/>
      <c r="G45" s="28" t="str">
        <f t="shared" si="9"/>
        <v/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/>
      <c r="G46" s="34" t="str">
        <f t="shared" si="9"/>
        <v/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/>
      <c r="G47" s="28" t="str">
        <f t="shared" si="9"/>
        <v/>
      </c>
      <c r="H47" s="33" t="s">
        <v>20</v>
      </c>
      <c r="I47" s="33" t="s">
        <v>31</v>
      </c>
      <c r="J47" s="33" t="s">
        <v>51</v>
      </c>
      <c r="K47" s="29">
        <v>0.90763888888888888</v>
      </c>
      <c r="L47" s="29"/>
      <c r="M47" s="30">
        <f t="shared" ca="1" si="11"/>
        <v>1.1770833953050897E-4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24</v>
      </c>
      <c r="G54" s="36">
        <f>SUM(G42:G53)</f>
        <v>100.80000000000001</v>
      </c>
      <c r="H54" s="37"/>
      <c r="I54" s="37"/>
      <c r="J54" s="37"/>
      <c r="K54" s="37"/>
      <c r="L54" s="37"/>
      <c r="M54" s="38">
        <f ca="1">IFERROR(SUM(M42:M53),"")</f>
        <v>3.0673263895086178E-2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104</v>
      </c>
      <c r="G55" s="40">
        <f>G41+G54</f>
        <v>424.2</v>
      </c>
      <c r="H55" s="41"/>
      <c r="I55" s="41"/>
      <c r="J55" s="41"/>
      <c r="K55" s="41"/>
      <c r="L55" s="41"/>
      <c r="M55" s="42">
        <f ca="1">IFERROR(M41+M54,"")</f>
        <v>0.1153954861173085</v>
      </c>
      <c r="N55" s="40" t="s">
        <v>233</v>
      </c>
      <c r="O55" s="82">
        <f>IFERROR(O41+O54,"")</f>
        <v>311070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" zoomScale="50" zoomScaleNormal="50" workbookViewId="0">
      <selection activeCell="J43" sqref="J4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/>
      <c r="M43" s="35">
        <f t="shared" ca="1" si="10"/>
        <v>7.7565972242155112E-3</v>
      </c>
      <c r="N43" s="27" t="s">
        <v>251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8</v>
      </c>
      <c r="G54" s="36">
        <f>SUM(G42:G53)</f>
        <v>33.6</v>
      </c>
      <c r="H54" s="37"/>
      <c r="I54" s="37"/>
      <c r="J54" s="37"/>
      <c r="K54" s="37"/>
      <c r="L54" s="37"/>
      <c r="M54" s="38">
        <f ca="1">IFERROR(SUM(M42:M53),"")</f>
        <v>4.9423263890882252E-2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85</v>
      </c>
      <c r="G55" s="40">
        <f>G41+G54</f>
        <v>357.00000000000006</v>
      </c>
      <c r="H55" s="41"/>
      <c r="I55" s="41"/>
      <c r="J55" s="41"/>
      <c r="K55" s="41"/>
      <c r="L55" s="41"/>
      <c r="M55" s="42">
        <f ca="1">IFERROR(M41+M54,"")</f>
        <v>7.0256597224215622E-2</v>
      </c>
      <c r="N55" s="40" t="s">
        <v>233</v>
      </c>
      <c r="O55" s="43">
        <f>IFERROR(O41+O54,"")</f>
        <v>237080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" activePane="bottomLeft" state="frozen"/>
      <selection pane="bottomLeft" activeCell="L44" sqref="L4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252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 t="str">
        <f>IF(F50="","",IF(E39="PC 17",F50*4.2,IF(E39="PC 19",F50*5,IF(E39="CB",F50*24,""))))</f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558.6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/>
      <c r="G44" s="34" t="str">
        <f t="shared" si="9"/>
        <v/>
      </c>
      <c r="H44" s="26" t="s">
        <v>20</v>
      </c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 t="s">
        <v>251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31</v>
      </c>
      <c r="G54" s="36">
        <f>SUM(G42:G53)</f>
        <v>130.20000000000002</v>
      </c>
      <c r="H54" s="37"/>
      <c r="I54" s="37"/>
      <c r="J54" s="37"/>
      <c r="K54" s="61"/>
      <c r="L54" s="61"/>
      <c r="M54" s="38">
        <f ca="1">IFERROR(SUM(M42:M53),"")</f>
        <v>3.472222222222221E-2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172</v>
      </c>
      <c r="G55" s="40">
        <f>G41+G54</f>
        <v>688.80000000000007</v>
      </c>
      <c r="H55" s="41"/>
      <c r="I55" s="41"/>
      <c r="J55" s="41"/>
      <c r="K55" s="63"/>
      <c r="L55" s="63"/>
      <c r="M55" s="42">
        <f ca="1">IFERROR(M41+M54,"")</f>
        <v>4.5833333333333282E-2</v>
      </c>
      <c r="N55" s="40" t="s">
        <v>233</v>
      </c>
      <c r="O55" s="48">
        <f>IFERROR(O41+O54,"")</f>
        <v>766800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2026-08-03T01:47:27Z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