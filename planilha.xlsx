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77" documentId="8_{C51EB6CB-002B-4D6B-B68F-DDEBDB4460C0}" xr6:coauthVersionLast="47" xr6:coauthVersionMax="47" xr10:uidLastSave="{45F1B0B7-F2AB-41BA-BD76-CEEA50C8B8A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<sst xmlns="http://schemas.openxmlformats.org/spreadsheetml/2006/main" count="3229" uniqueCount="278">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</sst>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39" sqref="F1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229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229</v>
      </c>
      <c r="F138" s="27">
        <v>35</v>
      </c>
      <c r="G138" s="28">
        <f t="shared" si="30"/>
        <v>175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50</v>
      </c>
      <c r="G149" s="36">
        <f>SUM(G137:G148)</f>
        <v>250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50</v>
      </c>
      <c r="G163" s="40">
        <f>G149+G162</f>
        <v>250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F139" sqref="F1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0.26280462962313322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0.40169351851202212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0.48641574073424443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2"/>
        <v/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/>
      <c r="M139" s="35">
        <f t="shared" ca="1" si="30"/>
        <v>2.6693518513638992E-2</v>
      </c>
      <c r="N139" s="46" t="s">
        <v>259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2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34</v>
      </c>
      <c r="G149" s="36">
        <f>SUM(G137:G148)</f>
        <v>142.80000000000001</v>
      </c>
      <c r="H149" s="37"/>
      <c r="I149" s="37"/>
      <c r="J149" s="37"/>
      <c r="K149" s="37"/>
      <c r="L149" s="37"/>
      <c r="M149" s="38">
        <f ca="1">IFERROR(SUM(M137:M148),"")</f>
        <v>3.9887962958083445E-2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34</v>
      </c>
      <c r="G163" s="40">
        <f>G149+G162</f>
        <v>142.80000000000001</v>
      </c>
      <c r="H163" s="41"/>
      <c r="I163" s="41"/>
      <c r="J163" s="41"/>
      <c r="K163" s="41"/>
      <c r="L163" s="41"/>
      <c r="M163" s="42">
        <f ca="1">IFERROR(M149+M162,"")</f>
        <v>3.9887962958083445E-2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9" sqref="F1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</v>
      </c>
      <c r="G138" s="28">
        <f t="shared" si="30"/>
        <v>4.2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4</v>
      </c>
      <c r="G149" s="36">
        <f>SUM(G137:G148)</f>
        <v>16.8</v>
      </c>
      <c r="H149" s="37"/>
      <c r="I149" s="37"/>
      <c r="J149" s="37"/>
      <c r="K149" s="37"/>
      <c r="L149" s="37"/>
      <c r="M149" s="38">
        <f ca="1">IFERROR(SUM(M137:M148),"")</f>
        <v>2.083333333333337E-2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</v>
      </c>
      <c r="G163" s="40">
        <f>G149+G162</f>
        <v>16.8</v>
      </c>
      <c r="H163" s="41"/>
      <c r="I163" s="41"/>
      <c r="J163" s="41"/>
      <c r="K163" s="41"/>
      <c r="L163" s="41"/>
      <c r="M163" s="42">
        <f ca="1">IFERROR(M149+M162,"")</f>
        <v>2.083333333333337E-2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2" activePane="bottomLeft" state="frozen"/>
      <selection pane="bottomLeft" activeCell="F139" sqref="F1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24</v>
      </c>
      <c r="G138" s="28">
        <f t="shared" si="30"/>
        <v>100.80000000000001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44</v>
      </c>
      <c r="G149" s="36">
        <f>SUM(G137:G148)</f>
        <v>184.8</v>
      </c>
      <c r="H149" s="37"/>
      <c r="I149" s="37"/>
      <c r="J149" s="37"/>
      <c r="K149" s="61"/>
      <c r="L149" s="61"/>
      <c r="M149" s="38">
        <f ca="1">IFERROR(SUM(M137:M148),"")</f>
        <v>1.041666666666663E-2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44</v>
      </c>
      <c r="G163" s="40">
        <f>G149+G162</f>
        <v>184.8</v>
      </c>
      <c r="H163" s="41"/>
      <c r="I163" s="41"/>
      <c r="J163" s="41"/>
      <c r="K163" s="63"/>
      <c r="L163" s="63"/>
      <c r="M163" s="42">
        <f ca="1">IFERROR(M149+M162,"")</f>
        <v>1.041666666666663E-2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