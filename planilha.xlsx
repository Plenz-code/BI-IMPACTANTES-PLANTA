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391" documentId="8_{AF585B22-221D-4780-BB9C-493D365A6A02}" xr6:coauthVersionLast="47" xr6:coauthVersionMax="47" xr10:uidLastSave="{365E65DE-B871-4889-86A6-F1AAF4828AC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<sst xmlns="http://schemas.openxmlformats.org/spreadsheetml/2006/main" count="7324" uniqueCount="344">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</sst>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L28" sqref="L2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1241480</v>
      </c>
      <c r="D20" s="8">
        <f>IFERROR('Linha 1'!O460,"")</f>
        <v>739430</v>
      </c>
      <c r="E20" s="8">
        <f>IFERROR('Linha 2'!O460,"")</f>
        <v>141330</v>
      </c>
      <c r="F20" s="8">
        <f>IFERROR('Linha 3'!O460,"")</f>
        <v>738370</v>
      </c>
      <c r="G20" s="9">
        <f t="shared" si="0"/>
        <v>1619130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49565442</v>
      </c>
      <c r="D35" s="13">
        <f>IFERROR(SUM(D4:D34),"")</f>
        <v>18504560</v>
      </c>
      <c r="E35" s="13">
        <f>IFERROR(SUM(E4:E34),"")</f>
        <v>11786760</v>
      </c>
      <c r="F35" s="13">
        <f>IFERROR(SUM(F4:F34),"")</f>
        <v>22776130</v>
      </c>
      <c r="G35" s="13">
        <f>IFERROR(SUM(G4:G34),"")</f>
        <v>53067450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1" sqref="K7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23" activePane="bottomLeft" state="frozen"/>
      <selection pane="bottomLeft" activeCell="F456" sqref="F4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224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228</v>
      </c>
      <c r="O27" s="39">
        <v>1183060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228</v>
      </c>
      <c r="O54" s="39">
        <v>959290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228</v>
      </c>
      <c r="O81" s="39">
        <v>878050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228</v>
      </c>
      <c r="O108" s="39">
        <v>1700000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228</v>
      </c>
      <c r="O135" s="39">
        <v>862330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228</v>
      </c>
      <c r="O162" s="44">
        <v>1546080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228</v>
      </c>
      <c r="O189" s="39">
        <v>2355810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228</v>
      </c>
      <c r="O216" s="45">
        <v>2013260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228</v>
      </c>
      <c r="O243" s="39">
        <v>1545480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228</v>
      </c>
      <c r="O270" s="39">
        <v>1182690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239</v>
      </c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228</v>
      </c>
      <c r="O297" s="39">
        <v>1843460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225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225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225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228</v>
      </c>
      <c r="O324" s="39">
        <v>1940000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231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225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225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225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225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225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225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225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225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225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225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228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225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225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225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225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225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225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225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225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225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225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225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225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228</v>
      </c>
      <c r="O351" s="39">
        <v>701874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231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244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225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225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225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225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225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225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225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225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225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225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225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228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225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225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225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225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225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225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225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225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225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225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225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228</v>
      </c>
      <c r="O378" s="39">
        <v>1088710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231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225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225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245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225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246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225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225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225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225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225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225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225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225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228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225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225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247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225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225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225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225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225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225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225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225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225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228</v>
      </c>
      <c r="O405" s="39">
        <v>1202270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231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225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248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225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225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249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225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225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225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225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225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250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250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225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228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225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225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225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225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225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225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225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225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225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225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225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228</v>
      </c>
      <c r="O432" s="39">
        <v>1801910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231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225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225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225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225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225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225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225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225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225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228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252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252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252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252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252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252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252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252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252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252</v>
      </c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252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252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129</v>
      </c>
      <c r="G459" s="36">
        <f>SUM(G447:G458)</f>
        <v>557.79999999999995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1452.8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231</v>
      </c>
      <c r="O460" s="48">
        <f>IFERROR(O446+O459,"")</f>
        <v>1241480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59" t="s">
        <v>225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26" activePane="bottomLeft" state="frozen"/>
      <selection pane="bottomLeft"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228</v>
      </c>
      <c r="O27" s="78">
        <v>393200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85">
        <v>276360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228</v>
      </c>
      <c r="O81" s="54">
        <v>787860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228</v>
      </c>
      <c r="O108" s="54">
        <v>1087080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228</v>
      </c>
      <c r="O135" s="54">
        <v>794480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228</v>
      </c>
      <c r="O162" s="54">
        <v>882280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228</v>
      </c>
      <c r="O189" s="78"/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228</v>
      </c>
      <c r="O216" s="78">
        <v>648410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228</v>
      </c>
      <c r="O243" s="78">
        <v>849060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228</v>
      </c>
      <c r="O270" s="78">
        <v>625070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228</v>
      </c>
      <c r="O297" s="78">
        <v>761660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228</v>
      </c>
      <c r="O324" s="78">
        <v>524410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231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225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228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228</v>
      </c>
      <c r="O351" s="78">
        <v>598420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231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228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0.97068125000077998</v>
      </c>
      <c r="N377" s="46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1.1283201388896689</v>
      </c>
      <c r="N378" s="36" t="s">
        <v>228</v>
      </c>
      <c r="O378" s="78">
        <v>511980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1.2380423611118911</v>
      </c>
      <c r="N379" s="40" t="s">
        <v>231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228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243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228</v>
      </c>
      <c r="O405" s="78">
        <v>552440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231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225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252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228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0.94915347222558921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229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1.1199868055589226</v>
      </c>
      <c r="N432" s="36" t="s">
        <v>228</v>
      </c>
      <c r="O432" s="78">
        <v>484540</v>
      </c>
    </row>
    <row r="433" spans="1:15" ht="18" customHeight="1">
      <c r="A433" s="94" t="s">
        <v>230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1.2651256944478115</v>
      </c>
      <c r="N433" s="40" t="s">
        <v>231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287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288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228</v>
      </c>
      <c r="O446" s="78">
        <v>739430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289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15</v>
      </c>
      <c r="G449" s="34">
        <f t="shared" si="99"/>
        <v>75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100</v>
      </c>
      <c r="G459" s="36">
        <f>SUM(G447:G458)</f>
        <v>500</v>
      </c>
      <c r="H459" s="37"/>
      <c r="I459" s="37"/>
      <c r="J459" s="37"/>
      <c r="K459" s="37"/>
      <c r="L459" s="37"/>
      <c r="M459" s="38">
        <f ca="1">IFERROR(SUM(M447:M458),"")</f>
        <v>6.041666666666666E-2</v>
      </c>
      <c r="N459" s="36" t="s">
        <v>228</v>
      </c>
      <c r="O459" s="78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298</v>
      </c>
      <c r="G460" s="40">
        <f>G446+G459</f>
        <v>1331.6000000000001</v>
      </c>
      <c r="H460" s="41"/>
      <c r="I460" s="41"/>
      <c r="J460" s="41"/>
      <c r="K460" s="41"/>
      <c r="L460" s="41"/>
      <c r="M460" s="42">
        <f ca="1">IFERROR(M446+M459,"")</f>
        <v>0.12986111111111115</v>
      </c>
      <c r="N460" s="40" t="s">
        <v>231</v>
      </c>
      <c r="O460" s="84">
        <f>IFERROR(O446+O459,"")</f>
        <v>739430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78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78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78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78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78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78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78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78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78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78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32" zoomScale="50" zoomScaleNormal="50" workbookViewId="0">
      <selection activeCell="F457" sqref="F4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228</v>
      </c>
      <c r="O27" s="39">
        <v>308500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228</v>
      </c>
      <c r="O54" s="39">
        <v>124290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228</v>
      </c>
      <c r="O81" s="39">
        <v>396340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228</v>
      </c>
      <c r="O108" s="39">
        <v>41230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228</v>
      </c>
      <c r="O135" s="39">
        <v>381250</v>
      </c>
    </row>
    <row r="136" spans="1:15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266</v>
      </c>
      <c r="K141" s="29">
        <v>0.71597222222222223</v>
      </c>
      <c r="L141" s="29" t="s">
        <v>296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228</v>
      </c>
      <c r="O162" s="39">
        <v>337120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298</v>
      </c>
      <c r="N166" s="27" t="s">
        <v>299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228</v>
      </c>
      <c r="O189" s="39">
        <v>747210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228</v>
      </c>
      <c r="O216" s="39">
        <v>468430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228</v>
      </c>
      <c r="O243" s="39">
        <v>575930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228</v>
      </c>
      <c r="O270" s="39">
        <v>483510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228</v>
      </c>
      <c r="O297" s="39">
        <v>487980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306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228</v>
      </c>
      <c r="O324" s="39">
        <v>609460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231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225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227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228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228</v>
      </c>
      <c r="O351" s="39">
        <v>437940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231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227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228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228</v>
      </c>
      <c r="O378" s="39">
        <v>473310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231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228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228</v>
      </c>
      <c r="O405" s="39">
        <v>507450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231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252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252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252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252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252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252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252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225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225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252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252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228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225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286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228</v>
      </c>
      <c r="O432" s="39">
        <v>229150</v>
      </c>
    </row>
    <row r="433" spans="1:15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231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228</v>
      </c>
      <c r="O446" s="39">
        <v>141330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225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57</v>
      </c>
      <c r="G459" s="36">
        <f>SUM(G447:G458)</f>
        <v>285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92</v>
      </c>
      <c r="G460" s="40">
        <f>G446+G459</f>
        <v>432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231</v>
      </c>
      <c r="O460" s="48">
        <f>IFERROR(O446+O459,"")</f>
        <v>141330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33" activePane="bottomLeft" state="frozen"/>
      <selection pane="bottomLeft" activeCell="F457" sqref="F45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214</v>
      </c>
      <c r="C1" s="23" t="s">
        <v>12</v>
      </c>
      <c r="D1" s="22" t="s">
        <v>13</v>
      </c>
      <c r="E1" s="22" t="s">
        <v>215</v>
      </c>
      <c r="F1" s="23" t="s">
        <v>216</v>
      </c>
      <c r="G1" s="23" t="s">
        <v>217</v>
      </c>
      <c r="H1" s="23" t="s">
        <v>14</v>
      </c>
      <c r="I1" s="23" t="s">
        <v>15</v>
      </c>
      <c r="J1" s="23" t="s">
        <v>218</v>
      </c>
      <c r="K1" s="23" t="s">
        <v>219</v>
      </c>
      <c r="L1" s="23" t="s">
        <v>220</v>
      </c>
      <c r="M1" s="24" t="s">
        <v>221</v>
      </c>
      <c r="N1" s="23" t="s">
        <v>222</v>
      </c>
      <c r="O1" s="23" t="s">
        <v>223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227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229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228</v>
      </c>
      <c r="O27" s="39">
        <v>202230</v>
      </c>
    </row>
    <row r="28" spans="1:15" ht="18" customHeight="1">
      <c r="A28" s="102" t="s">
        <v>230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227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229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228</v>
      </c>
      <c r="O54" s="39">
        <v>473910</v>
      </c>
    </row>
    <row r="55" spans="1:15" ht="18" customHeight="1">
      <c r="A55" s="102" t="s">
        <v>230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314</v>
      </c>
      <c r="L58" s="29">
        <v>0.54097222222222219</v>
      </c>
      <c r="M58" s="30" t="str">
        <f t="shared" ca="1" si="13"/>
        <v/>
      </c>
      <c r="N58" s="27" t="s">
        <v>315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227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229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228</v>
      </c>
      <c r="O81" s="39">
        <v>565120</v>
      </c>
    </row>
    <row r="82" spans="1:15" ht="18" customHeight="1">
      <c r="A82" s="102" t="s">
        <v>230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227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229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228</v>
      </c>
      <c r="O108" s="39">
        <v>558590</v>
      </c>
    </row>
    <row r="109" spans="1:15" ht="18" customHeight="1">
      <c r="A109" s="102" t="s">
        <v>230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227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225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225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0.96095902778324671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229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1.1602645833388023</v>
      </c>
      <c r="N135" s="36" t="s">
        <v>228</v>
      </c>
      <c r="O135" s="39">
        <v>729290</v>
      </c>
    </row>
    <row r="136" spans="1:18" ht="18" customHeight="1">
      <c r="A136" s="102" t="s">
        <v>230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1.5276256944499134</v>
      </c>
      <c r="N136" s="40" t="s">
        <v>231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225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227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229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228</v>
      </c>
      <c r="O162" s="39">
        <v>697320</v>
      </c>
    </row>
    <row r="163" spans="1:15" ht="18" customHeight="1">
      <c r="A163" s="102" t="s">
        <v>230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227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229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228</v>
      </c>
      <c r="O189" s="39">
        <v>973580</v>
      </c>
    </row>
    <row r="190" spans="1:15" ht="18" customHeight="1">
      <c r="A190" s="102" t="s">
        <v>230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227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229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228</v>
      </c>
      <c r="O216" s="45">
        <v>1060630</v>
      </c>
    </row>
    <row r="217" spans="1:15" ht="18" customHeight="1">
      <c r="A217" s="102" t="s">
        <v>230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227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229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228</v>
      </c>
      <c r="O243" s="39">
        <v>982340</v>
      </c>
    </row>
    <row r="244" spans="1:15" ht="18" customHeight="1">
      <c r="A244" s="102" t="s">
        <v>230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227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229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228</v>
      </c>
      <c r="O270" s="39">
        <v>1208450</v>
      </c>
    </row>
    <row r="271" spans="1:15" ht="18" customHeight="1">
      <c r="A271" s="102" t="s">
        <v>230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227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229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228</v>
      </c>
      <c r="O297" s="39">
        <v>1049090</v>
      </c>
    </row>
    <row r="298" spans="1:15" ht="18" customHeight="1">
      <c r="A298" s="102" t="s">
        <v>230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227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225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229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228</v>
      </c>
      <c r="O324" s="39">
        <v>1063720</v>
      </c>
    </row>
    <row r="325" spans="1:15" ht="18" customHeight="1">
      <c r="A325" s="102" t="s">
        <v>230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231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225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227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228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229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228</v>
      </c>
      <c r="O351" s="39">
        <v>696140</v>
      </c>
    </row>
    <row r="352" spans="1:15" ht="18" customHeight="1">
      <c r="A352" s="102" t="s">
        <v>230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231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227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228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229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228</v>
      </c>
      <c r="O378" s="39">
        <v>704750</v>
      </c>
    </row>
    <row r="379" spans="1:15" ht="18" customHeight="1">
      <c r="A379" s="102" t="s">
        <v>230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231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326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227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228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225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340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252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252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252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252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341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252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252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252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252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252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229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228</v>
      </c>
      <c r="O405" s="39">
        <v>958130</v>
      </c>
    </row>
    <row r="406" spans="1:15" ht="18" customHeight="1">
      <c r="A406" s="102" t="s">
        <v>230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231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252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252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252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252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252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252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252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252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225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252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225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227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228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252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252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252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252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252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252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342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252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252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252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252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252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252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229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228</v>
      </c>
      <c r="O432" s="39">
        <v>605220</v>
      </c>
    </row>
    <row r="433" spans="1:17" ht="18" customHeight="1">
      <c r="A433" s="102" t="s">
        <v>230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231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252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252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252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252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252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252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252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252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252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252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252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252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227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228</v>
      </c>
      <c r="O446" s="39">
        <v>738370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225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225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225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225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225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225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225</v>
      </c>
      <c r="F454" s="27">
        <v>12</v>
      </c>
      <c r="G454" s="28">
        <f t="shared" si="99"/>
        <v>60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225</v>
      </c>
      <c r="F455" s="27">
        <v>19</v>
      </c>
      <c r="G455" s="34">
        <f t="shared" si="99"/>
        <v>95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225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225</v>
      </c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225</v>
      </c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229</v>
      </c>
      <c r="B459" s="100"/>
      <c r="C459" s="100"/>
      <c r="D459" s="100"/>
      <c r="E459" s="101">
        <f>SUM(E447:E458)</f>
        <v>0</v>
      </c>
      <c r="F459" s="36">
        <f>SUM(F447:F458)</f>
        <v>95</v>
      </c>
      <c r="G459" s="36">
        <f>SUM(G447:G458)</f>
        <v>464</v>
      </c>
      <c r="H459" s="37"/>
      <c r="I459" s="37"/>
      <c r="J459" s="37"/>
      <c r="K459" s="61"/>
      <c r="L459" s="61"/>
      <c r="M459" s="38">
        <f ca="1">IFERROR(SUM(M447:M458),"")</f>
        <v>0.1437500000000001</v>
      </c>
      <c r="N459" s="36" t="s">
        <v>228</v>
      </c>
      <c r="O459" s="39"/>
    </row>
    <row r="460" spans="1:15" ht="18" customHeight="1">
      <c r="A460" s="102" t="s">
        <v>230</v>
      </c>
      <c r="B460" s="103"/>
      <c r="C460" s="103"/>
      <c r="D460" s="103"/>
      <c r="E460" s="104">
        <f>E446+E459</f>
        <v>0</v>
      </c>
      <c r="F460" s="40">
        <f>F446+F459</f>
        <v>290</v>
      </c>
      <c r="G460" s="40">
        <f>G446+G459</f>
        <v>1283</v>
      </c>
      <c r="H460" s="41"/>
      <c r="I460" s="41"/>
      <c r="J460" s="41"/>
      <c r="K460" s="63"/>
      <c r="L460" s="63"/>
      <c r="M460" s="42">
        <f ca="1">IFERROR(M446+M459,"")</f>
        <v>0.1944444444444447</v>
      </c>
      <c r="N460" s="40" t="s">
        <v>231</v>
      </c>
      <c r="O460" s="48">
        <f>IFERROR(O446+O459,"")</f>
        <v>738370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227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229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228</v>
      </c>
      <c r="O486" s="39"/>
    </row>
    <row r="487" spans="1:15" ht="18" customHeight="1">
      <c r="A487" s="102" t="s">
        <v>230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227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229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228</v>
      </c>
      <c r="O513" s="39"/>
    </row>
    <row r="514" spans="1:15" ht="18" customHeight="1">
      <c r="A514" s="102" t="s">
        <v>230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227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229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228</v>
      </c>
      <c r="O540" s="39"/>
    </row>
    <row r="541" spans="1:15" ht="18" customHeight="1">
      <c r="A541" s="102" t="s">
        <v>230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227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229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228</v>
      </c>
      <c r="O567" s="39"/>
    </row>
    <row r="568" spans="1:15" ht="18" customHeight="1">
      <c r="A568" s="102" t="s">
        <v>230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227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229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228</v>
      </c>
      <c r="O594" s="39"/>
    </row>
    <row r="595" spans="1:15" ht="18" customHeight="1">
      <c r="A595" s="102" t="s">
        <v>230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227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229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228</v>
      </c>
      <c r="O621" s="39"/>
    </row>
    <row r="622" spans="1:15" ht="18" customHeight="1">
      <c r="A622" s="102" t="s">
        <v>230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227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229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228</v>
      </c>
      <c r="O648" s="39"/>
    </row>
    <row r="649" spans="1:15" ht="18" customHeight="1">
      <c r="A649" s="102" t="s">
        <v>230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227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229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228</v>
      </c>
      <c r="O675" s="39"/>
    </row>
    <row r="676" spans="1:15" ht="18" customHeight="1">
      <c r="A676" s="102" t="s">
        <v>230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227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229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228</v>
      </c>
      <c r="O702" s="39"/>
    </row>
    <row r="703" spans="1:15" ht="18" customHeight="1">
      <c r="A703" s="102" t="s">
        <v>230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227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229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228</v>
      </c>
      <c r="O729" s="39"/>
    </row>
    <row r="730" spans="1:15" ht="18" customHeight="1">
      <c r="A730" s="102" t="s">
        <v>230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227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229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228</v>
      </c>
      <c r="O756" s="39"/>
    </row>
    <row r="757" spans="1:15" ht="18" customHeight="1">
      <c r="A757" s="102" t="s">
        <v>230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227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229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228</v>
      </c>
      <c r="O783" s="39"/>
    </row>
    <row r="784" spans="1:15" ht="18" customHeight="1">
      <c r="A784" s="102" t="s">
        <v>230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227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229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228</v>
      </c>
      <c r="O810" s="39"/>
    </row>
    <row r="811" spans="1:15" ht="18" customHeight="1">
      <c r="A811" s="102" t="s">
        <v>230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231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2026-07-18T09:03:08Z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