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35" documentId="8_{AF585B22-221D-4780-BB9C-493D365A6A02}" xr6:coauthVersionLast="47" xr6:coauthVersionMax="47" xr10:uidLastSave="{33BE3421-37C9-4902-A0D2-721D0B74552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<sst xmlns="http://schemas.openxmlformats.org/spreadsheetml/2006/main" count="12385" uniqueCount="443">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</sst>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G821" sqref="G8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98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98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84" activePane="bottomLeft" state="frozen"/>
      <selection pane="bottomLeft" activeCell="F823" sqref="F8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0.51123055555217434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0.66886944444106322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0.77859166666328539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0.48970277777698357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0.66053611111031696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0.80567499999920589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/>
      <c r="M816" s="78">
        <f ca="1">IFERROR(IF(K816="","",IF(L816="",MOD(NOW()-K816,1),IF(L816&gt;=K816,L816-K816,L816+1-K816))),"")</f>
        <v>2.0952777776983567E-2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9.4563888888094694E-2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169</v>
      </c>
      <c r="G838" s="111">
        <f>G824+G837</f>
        <v>709.80000000000007</v>
      </c>
      <c r="H838" s="41"/>
      <c r="I838" s="41"/>
      <c r="J838" s="41"/>
      <c r="K838" s="41"/>
      <c r="L838" s="41"/>
      <c r="M838" s="112">
        <f ca="1">IFERROR(M824+M837,"")</f>
        <v>9.4563888888094694E-2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23" sqref="F8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/>
      <c r="M813" s="79">
        <f ca="1">IFERROR(IF(K813="","",IF(L813="",MOD(NOW()-K813,1),IF(L813&gt;=K813,L813-K813,L813+1-K813))),"")</f>
        <v>2.0952777776983567E-2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4.7341666665872473E-2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95</v>
      </c>
      <c r="G838" s="111">
        <f>G824+G837</f>
        <v>398.99999999999994</v>
      </c>
      <c r="H838" s="41"/>
      <c r="I838" s="41"/>
      <c r="J838" s="41"/>
      <c r="K838" s="41"/>
      <c r="L838" s="41"/>
      <c r="M838" s="112">
        <f ca="1">IFERROR(M824+M837,"")</f>
        <v>4.7341666665872473E-2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89" activePane="bottomLeft" state="frozen"/>
      <selection pane="bottomLeft" activeCell="F823" sqref="F8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0.50150833333464107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0.70081388889019669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1.0681750000013077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/>
      <c r="M815" s="79">
        <f ca="1">IFERROR(IF(K815="","",IF(L815="",MOD(NOW()-K815,1),IF(L815&gt;=K815,L815-K815,L815+1-K815))),"")</f>
        <v>1.0536111112742219E-2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116</v>
      </c>
      <c r="G824" s="109">
        <f>SUM(G812:G823)</f>
        <v>487.20000000000005</v>
      </c>
      <c r="H824" s="37"/>
      <c r="I824" s="37"/>
      <c r="J824" s="37"/>
      <c r="K824" s="37"/>
      <c r="L824" s="37"/>
      <c r="M824" s="110">
        <f ca="1">IFERROR(SUM(M812:M823),"")</f>
        <v>0.1056750000016311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116</v>
      </c>
      <c r="G838" s="111">
        <f>G824+G837</f>
        <v>487.20000000000005</v>
      </c>
      <c r="H838" s="41"/>
      <c r="I838" s="41"/>
      <c r="J838" s="41"/>
      <c r="K838" s="41"/>
      <c r="L838" s="41"/>
      <c r="M838" s="112">
        <f ca="1">IFERROR(M824+M837,"")</f>
        <v>0.1056750000016311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2026-07-31T22:01:33Z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