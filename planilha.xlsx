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099" documentId="8_{1D11E9C4-FEA4-4128-910F-91CB6BBF9255}" xr6:coauthVersionLast="47" xr6:coauthVersionMax="47" xr10:uidLastSave="{4395B543-0F38-4A29-B67E-3DF99C9B8232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98" i="4" l="1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L715" i="3"/>
  <c r="F715" i="3"/>
  <c r="L714" i="3"/>
  <c r="F714" i="3"/>
  <c r="L713" i="3"/>
  <c r="F713" i="3"/>
  <c r="L712" i="3"/>
  <c r="F712" i="3"/>
  <c r="L711" i="3"/>
  <c r="F711" i="3"/>
  <c r="L710" i="3"/>
  <c r="F710" i="3"/>
  <c r="L709" i="3"/>
  <c r="F709" i="3"/>
  <c r="L708" i="3"/>
  <c r="F708" i="3"/>
  <c r="L707" i="3"/>
  <c r="F707" i="3"/>
  <c r="L706" i="3"/>
  <c r="F706" i="3"/>
  <c r="L705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<sst xmlns="http://schemas.openxmlformats.org/spreadsheetml/2006/main" count="7780" uniqueCount="354">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</sst>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/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169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170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171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172</v>
      </c>
      <c r="L48" s="3"/>
      <c r="M48" s="3"/>
    </row>
    <row r="49" spans="1:13" ht="18" customHeight="1">
      <c r="H49" s="96"/>
      <c r="I49" s="4"/>
      <c r="J49" s="4"/>
      <c r="K49" s="4" t="s">
        <v>173</v>
      </c>
      <c r="L49" s="4"/>
      <c r="M49" s="4"/>
    </row>
    <row r="50" spans="1:13" ht="21" customHeight="1">
      <c r="A50" s="6" t="s">
        <v>174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E709" sqref="E709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8" t="s">
        <v>13</v>
      </c>
      <c r="E1" s="8" t="s">
        <v>176</v>
      </c>
      <c r="F1" s="8" t="s">
        <v>177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184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185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186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187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186</v>
      </c>
      <c r="N27" s="20">
        <v>0</v>
      </c>
    </row>
    <row r="28" spans="1:14" ht="18" customHeight="1">
      <c r="A28" s="91" t="s">
        <v>188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189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190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185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186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187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186</v>
      </c>
      <c r="N54" s="20">
        <v>125660</v>
      </c>
    </row>
    <row r="55" spans="1:14" ht="18" customHeight="1">
      <c r="A55" s="91" t="s">
        <v>188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189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185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186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187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186</v>
      </c>
      <c r="N81" s="20">
        <v>580300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189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184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185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186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191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190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187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186</v>
      </c>
      <c r="N108" s="20">
        <v>652520</v>
      </c>
    </row>
    <row r="109" spans="1:14" ht="18" customHeight="1">
      <c r="A109" s="91" t="s">
        <v>188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189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192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185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186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187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186</v>
      </c>
      <c r="N135" s="20">
        <v>909050</v>
      </c>
    </row>
    <row r="136" spans="1:14" ht="18" customHeight="1">
      <c r="A136" s="91" t="s">
        <v>188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189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184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185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186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187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186</v>
      </c>
      <c r="N162" s="27">
        <v>1048880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189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192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193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185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186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187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186</v>
      </c>
      <c r="N189" s="20">
        <v>797540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189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192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194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185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186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187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186</v>
      </c>
      <c r="N216" s="28">
        <v>203080</v>
      </c>
    </row>
    <row r="217" spans="1:14" ht="18" customHeight="1">
      <c r="A217" s="91" t="s">
        <v>188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189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185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186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187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186</v>
      </c>
      <c r="N243" s="20">
        <v>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189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185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186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187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186</v>
      </c>
      <c r="N270" s="20">
        <f>346400+269080</f>
        <v>615480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189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195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185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186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187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186</v>
      </c>
      <c r="N297" s="20">
        <f>35160+383610</f>
        <v>418770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189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196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185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186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197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187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186</v>
      </c>
      <c r="N324" s="20">
        <f>411220+466620</f>
        <v>877840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189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198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185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186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187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186</v>
      </c>
      <c r="N351" s="20"/>
    </row>
    <row r="352" spans="1:14" ht="18" customHeight="1">
      <c r="A352" s="91" t="s">
        <v>188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189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199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185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186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200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201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187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186</v>
      </c>
      <c r="N378" s="20">
        <v>1299920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189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185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186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187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186</v>
      </c>
      <c r="N405" s="20">
        <v>1342790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189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202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185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186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203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187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186</v>
      </c>
      <c r="N432" s="20">
        <v>963120</v>
      </c>
    </row>
    <row r="433" spans="1:14" ht="18" customHeight="1">
      <c r="A433" s="91" t="s">
        <v>188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189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185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186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187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186</v>
      </c>
      <c r="N459" s="20">
        <v>534910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189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204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205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185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186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187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186</v>
      </c>
      <c r="N486" s="20">
        <v>557170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189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185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186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206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187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186</v>
      </c>
      <c r="N513" s="20">
        <v>701090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189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207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207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185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186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187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186</v>
      </c>
      <c r="N540" s="20">
        <v>915770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189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209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210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211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185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186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187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186</v>
      </c>
      <c r="N567" s="20">
        <v>636740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189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212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213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185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186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214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187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186</v>
      </c>
      <c r="N594" s="20">
        <v>394820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189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215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216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216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217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185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186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218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170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187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186</v>
      </c>
      <c r="N621" s="20">
        <v>587370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189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171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185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186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219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187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186</v>
      </c>
      <c r="N648" s="20">
        <v>635110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189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185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186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187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186</v>
      </c>
      <c r="N675" s="20">
        <v>1608610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189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171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173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220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221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185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186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187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186</v>
      </c>
      <c r="N702" s="20">
        <f>316300+609860</f>
        <v>926160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189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222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/>
      <c r="H706" s="10"/>
      <c r="I706" s="10"/>
      <c r="J706" s="13"/>
      <c r="K706" s="13">
        <v>13</v>
      </c>
      <c r="L706" s="70">
        <f t="shared" si="160"/>
        <v>13</v>
      </c>
      <c r="M706" s="29"/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13</v>
      </c>
      <c r="F708" s="12">
        <f t="shared" si="159"/>
        <v>65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/>
      <c r="F709" s="17" t="str">
        <f t="shared" si="159"/>
        <v/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/>
      <c r="F710" s="12" t="str">
        <f t="shared" si="159"/>
        <v/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/>
      <c r="F711" s="17" t="str">
        <f t="shared" si="159"/>
        <v/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/>
      <c r="F712" s="12" t="str">
        <f t="shared" si="159"/>
        <v/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/>
      <c r="F713" s="17" t="str">
        <f t="shared" si="159"/>
        <v/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/>
      <c r="F714" s="12" t="str">
        <f t="shared" si="159"/>
        <v/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185</v>
      </c>
      <c r="B716" s="98"/>
      <c r="C716" s="98"/>
      <c r="D716" s="98"/>
      <c r="E716" s="19">
        <f>SUM(E704:E715)</f>
        <v>93</v>
      </c>
      <c r="F716" s="19">
        <f>SUM(F704:F715)</f>
        <v>465</v>
      </c>
      <c r="G716" s="18"/>
      <c r="H716" s="18"/>
      <c r="I716" s="18"/>
      <c r="J716" s="18"/>
      <c r="K716" s="18"/>
      <c r="L716" s="72">
        <f>IFERROR(SUM(L704:L715),"")</f>
        <v>13.092361111111112</v>
      </c>
      <c r="M716" s="19" t="s">
        <v>186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187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93</v>
      </c>
      <c r="F730" s="22">
        <f>F716+F729</f>
        <v>465</v>
      </c>
      <c r="G730" s="21"/>
      <c r="H730" s="21"/>
      <c r="I730" s="21"/>
      <c r="J730" s="21"/>
      <c r="K730" s="21"/>
      <c r="L730" s="73">
        <f>IFERROR(L716+L729,"")</f>
        <v>13.092361111111112</v>
      </c>
      <c r="M730" s="22" t="s">
        <v>189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185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187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185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187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185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186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187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186</v>
      </c>
      <c r="N810" s="20"/>
    </row>
    <row r="811" spans="1:14" ht="18" customHeight="1">
      <c r="A811" s="91" t="s">
        <v>188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B1" zoomScale="85" zoomScaleNormal="85" workbookViewId="0">
      <pane ySplit="1" topLeftCell="A676" activePane="bottomLeft" state="frozen"/>
      <selection pane="bottomLeft" activeCell="E710" sqref="E71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8" t="s">
        <v>13</v>
      </c>
      <c r="E1" s="8" t="s">
        <v>176</v>
      </c>
      <c r="F1" s="8" t="s">
        <v>223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185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186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187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186</v>
      </c>
      <c r="N27" s="20">
        <v>1035240</v>
      </c>
    </row>
    <row r="28" spans="1:14" ht="18" customHeight="1">
      <c r="A28" s="91" t="s">
        <v>188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189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224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185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186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187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186</v>
      </c>
      <c r="N54" s="20">
        <v>871960</v>
      </c>
    </row>
    <row r="55" spans="1:14" ht="18" customHeight="1">
      <c r="A55" s="91" t="s">
        <v>188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189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225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185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186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226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187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186</v>
      </c>
      <c r="N81" s="20">
        <v>482250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189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227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185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186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228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187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186</v>
      </c>
      <c r="N108" s="20">
        <v>529500</v>
      </c>
    </row>
    <row r="109" spans="1:14" ht="18" customHeight="1">
      <c r="A109" s="91" t="s">
        <v>188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189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228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228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185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186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228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229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187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186</v>
      </c>
      <c r="N135" s="20">
        <v>666150</v>
      </c>
    </row>
    <row r="136" spans="1:14" ht="18" customHeight="1">
      <c r="A136" s="91" t="s">
        <v>188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189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227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230</v>
      </c>
      <c r="I139" s="16" t="s">
        <v>231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228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185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186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187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186</v>
      </c>
      <c r="N162" s="35">
        <v>183240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189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185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232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232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232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232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232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232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232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232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187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186</v>
      </c>
      <c r="N189" s="20">
        <v>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189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232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233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185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186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187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186</v>
      </c>
      <c r="N216" s="28">
        <v>525070</v>
      </c>
    </row>
    <row r="217" spans="1:14" ht="18" customHeight="1">
      <c r="A217" s="91" t="s">
        <v>188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189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234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185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186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187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186</v>
      </c>
      <c r="N243" s="20">
        <v>244000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189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235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236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185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186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237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187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186</v>
      </c>
      <c r="N270" s="20">
        <v>8130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189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238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185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186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187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186</v>
      </c>
      <c r="N297" s="20">
        <f>229280+228660</f>
        <v>457940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189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239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240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240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241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185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186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242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243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244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245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187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186</v>
      </c>
      <c r="N324" s="20">
        <f>217310+197670</f>
        <v>414980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189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246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247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185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186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248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249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187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186</v>
      </c>
      <c r="N351" s="20">
        <f>135270+304860</f>
        <v>440130</v>
      </c>
    </row>
    <row r="352" spans="1:14" ht="18" customHeight="1">
      <c r="A352" s="91" t="s">
        <v>188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189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252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185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186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187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186</v>
      </c>
      <c r="N378" s="20">
        <f>291750+291000</f>
        <v>582750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189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185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186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253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254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187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186</v>
      </c>
      <c r="N405" s="20">
        <v>305810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189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255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256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257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185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186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258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259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187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186</v>
      </c>
      <c r="N432" s="20">
        <v>522180</v>
      </c>
    </row>
    <row r="433" spans="1:14" ht="18" customHeight="1">
      <c r="A433" s="91" t="s">
        <v>188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189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260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261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262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185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186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187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186</v>
      </c>
      <c r="N459" s="20">
        <v>560220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189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264</v>
      </c>
      <c r="J465" s="13">
        <v>0.70833333333333337</v>
      </c>
      <c r="K465" s="13" t="s">
        <v>265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266</v>
      </c>
      <c r="N472" s="30"/>
    </row>
    <row r="473" spans="1:14" ht="15.75" customHeight="1">
      <c r="A473" s="90" t="s">
        <v>185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186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267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268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187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186</v>
      </c>
      <c r="N486" s="20">
        <v>400000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189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185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186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269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187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186</v>
      </c>
      <c r="N513" s="20">
        <f>1031250+71560</f>
        <v>1102810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189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207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207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207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185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186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270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272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273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274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274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187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186</v>
      </c>
      <c r="N540" s="20">
        <v>504470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189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275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185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186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187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186</v>
      </c>
      <c r="N567" s="20">
        <v>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189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185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186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276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187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186</v>
      </c>
      <c r="N594" s="20">
        <v>258960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189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169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277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278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279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185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186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280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281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187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186</v>
      </c>
      <c r="N621" s="20">
        <v>687740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189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282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185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186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283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284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285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187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186</v>
      </c>
      <c r="N648" s="20">
        <f>47050+58630</f>
        <v>105680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189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185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186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286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287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288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187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186</v>
      </c>
      <c r="N675" s="20">
        <v>546550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189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289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185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186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290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291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187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186</v>
      </c>
      <c r="N702" s="20">
        <f>430070+116100</f>
        <v>546170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189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 t="shared" si="158"/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/>
      <c r="H706" s="10"/>
      <c r="I706" s="10"/>
      <c r="J706" s="13"/>
      <c r="K706" s="13"/>
      <c r="L706" s="70" t="str">
        <f t="shared" si="158"/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/>
      <c r="H707" s="16"/>
      <c r="I707" s="16"/>
      <c r="J707" s="13"/>
      <c r="K707" s="13"/>
      <c r="L707" s="71" t="str">
        <f t="shared" si="158"/>
        <v/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/>
      <c r="F710" s="12" t="str">
        <f t="shared" si="157"/>
        <v/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185</v>
      </c>
      <c r="B716" s="90"/>
      <c r="C716" s="90"/>
      <c r="D716" s="90"/>
      <c r="E716" s="19">
        <f>SUM(E704:E715)</f>
        <v>62</v>
      </c>
      <c r="F716" s="19">
        <f>SUM(F704:F715)</f>
        <v>248</v>
      </c>
      <c r="G716" s="18"/>
      <c r="H716" s="18"/>
      <c r="I716" s="18"/>
      <c r="J716" s="18"/>
      <c r="K716" s="18"/>
      <c r="L716" s="72">
        <f>IFERROR(SUM(L704:L715),"")</f>
        <v>7.5694444444444453E-2</v>
      </c>
      <c r="M716" s="19" t="s">
        <v>186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187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62</v>
      </c>
      <c r="F730" s="22">
        <f>F716+F729</f>
        <v>248</v>
      </c>
      <c r="G730" s="21"/>
      <c r="H730" s="21"/>
      <c r="I730" s="21"/>
      <c r="J730" s="21"/>
      <c r="K730" s="21"/>
      <c r="L730" s="73">
        <f>IFERROR(L716+L729,"")</f>
        <v>7.5694444444444453E-2</v>
      </c>
      <c r="M730" s="22" t="s">
        <v>189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185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187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185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187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185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186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187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186</v>
      </c>
      <c r="N810" s="20"/>
    </row>
    <row r="811" spans="1:14" ht="18" customHeight="1">
      <c r="A811" s="91" t="s">
        <v>188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189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77" activePane="bottomLeft" state="frozen"/>
      <selection pane="bottomLeft" activeCell="H753" sqref="H75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8" t="s">
        <v>13</v>
      </c>
      <c r="E1" s="8" t="s">
        <v>176</v>
      </c>
      <c r="F1" s="8" t="s">
        <v>292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185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186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187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186</v>
      </c>
      <c r="N27" s="20"/>
    </row>
    <row r="28" spans="1:14" ht="18" customHeight="1">
      <c r="A28" s="91" t="s">
        <v>188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189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185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186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187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186</v>
      </c>
      <c r="N54" s="20"/>
    </row>
    <row r="55" spans="1:14" ht="18" customHeight="1">
      <c r="A55" s="91" t="s">
        <v>188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189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185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186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293</v>
      </c>
      <c r="I80" s="10" t="s">
        <v>226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187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186</v>
      </c>
      <c r="N81" s="20">
        <v>206440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189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185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186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187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186</v>
      </c>
      <c r="N108" s="20"/>
    </row>
    <row r="109" spans="1:14" ht="18" customHeight="1">
      <c r="A109" s="91" t="s">
        <v>188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189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185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186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187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186</v>
      </c>
      <c r="N135" s="20"/>
    </row>
    <row r="136" spans="1:14" ht="18" customHeight="1">
      <c r="A136" s="91" t="s">
        <v>188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189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185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186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187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186</v>
      </c>
      <c r="N162" s="20">
        <v>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189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185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187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186</v>
      </c>
      <c r="N189" s="20">
        <v>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189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185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186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187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186</v>
      </c>
      <c r="N216" s="20"/>
    </row>
    <row r="217" spans="1:14" ht="18" customHeight="1">
      <c r="A217" s="91" t="s">
        <v>188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189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185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186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187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186</v>
      </c>
      <c r="N243" s="20">
        <v>180000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189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294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185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186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237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187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186</v>
      </c>
      <c r="N270" s="20">
        <f>103170+137770</f>
        <v>240940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189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185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186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295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187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186</v>
      </c>
      <c r="N297" s="20">
        <f>110740+118380</f>
        <v>229120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189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296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185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186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297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244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187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186</v>
      </c>
      <c r="N324" s="20">
        <f>119730+227060</f>
        <v>346790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189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185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186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249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187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186</v>
      </c>
      <c r="N351" s="20">
        <f>50730+24450</f>
        <v>75180</v>
      </c>
    </row>
    <row r="352" spans="1:14" ht="18" customHeight="1">
      <c r="A352" s="91" t="s">
        <v>188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189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298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185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186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187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186</v>
      </c>
      <c r="N378" s="20">
        <f>151130+160740</f>
        <v>311870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189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185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186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187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186</v>
      </c>
      <c r="N405" s="20">
        <v>340530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189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185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186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187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186</v>
      </c>
      <c r="N432" s="20">
        <v>169230</v>
      </c>
    </row>
    <row r="433" spans="1:14" ht="18" customHeight="1">
      <c r="A433" s="91" t="s">
        <v>188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189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299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262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185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186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300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187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186</v>
      </c>
      <c r="N459" s="20">
        <v>221750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189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264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266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266</v>
      </c>
      <c r="N472" s="30"/>
    </row>
    <row r="473" spans="1:14" ht="15.75" customHeight="1">
      <c r="A473" s="90" t="s">
        <v>185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186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187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186</v>
      </c>
      <c r="N486" s="20">
        <v>240000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189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185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186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187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186</v>
      </c>
      <c r="N513" s="20">
        <v>3930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189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185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186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301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272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187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186</v>
      </c>
      <c r="N540" s="20">
        <v>304230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189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260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185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186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187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186</v>
      </c>
      <c r="N567" s="20">
        <v>437260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189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302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185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186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303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244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187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186</v>
      </c>
      <c r="N594" s="20">
        <v>269570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189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185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186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304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187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186</v>
      </c>
      <c r="N621" s="20">
        <v>176650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189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305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185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186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306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187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186</v>
      </c>
      <c r="N648" s="20">
        <f>154590+56700</f>
        <v>211290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189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185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186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187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186</v>
      </c>
      <c r="N675" s="20">
        <v>234010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189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307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185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186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187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186</v>
      </c>
      <c r="N702" s="20">
        <f>151740+85690</f>
        <v>237430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189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/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/>
      <c r="H705" s="16"/>
      <c r="I705" s="16"/>
      <c r="J705" s="13"/>
      <c r="K705" s="13"/>
      <c r="L705" s="71" t="str">
        <f t="shared" si="157"/>
        <v/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/>
      <c r="F709" s="17" t="str">
        <f t="shared" si="156"/>
        <v/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/>
      <c r="F710" s="12" t="str">
        <f t="shared" si="156"/>
        <v/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/>
      <c r="F711" s="17" t="str">
        <f t="shared" si="156"/>
        <v/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38</v>
      </c>
      <c r="E712" s="11"/>
      <c r="F712" s="12" t="str">
        <f t="shared" si="156"/>
        <v/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/>
      <c r="F713" s="17" t="str">
        <f t="shared" si="156"/>
        <v/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185</v>
      </c>
      <c r="B716" s="90"/>
      <c r="C716" s="90"/>
      <c r="D716" s="90"/>
      <c r="E716" s="19">
        <f>SUM(E704:E715)</f>
        <v>32</v>
      </c>
      <c r="F716" s="19">
        <f>SUM(F704:F715)</f>
        <v>128</v>
      </c>
      <c r="G716" s="18"/>
      <c r="H716" s="18"/>
      <c r="I716" s="18"/>
      <c r="J716" s="18"/>
      <c r="K716" s="18"/>
      <c r="L716" s="72">
        <f>IFERROR(SUM(L704:L715),"")</f>
        <v>1.2500000000000067E-2</v>
      </c>
      <c r="M716" s="19" t="s">
        <v>186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187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32</v>
      </c>
      <c r="F730" s="22">
        <f>F716+F729</f>
        <v>128</v>
      </c>
      <c r="G730" s="21"/>
      <c r="H730" s="21"/>
      <c r="I730" s="21"/>
      <c r="J730" s="21"/>
      <c r="K730" s="21"/>
      <c r="L730" s="73">
        <f>IFERROR(L716+L729,"")</f>
        <v>1.2500000000000067E-2</v>
      </c>
      <c r="M730" s="22" t="s">
        <v>189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185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187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185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187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185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186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187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186</v>
      </c>
      <c r="N810" s="20"/>
    </row>
    <row r="811" spans="1:14" ht="18" customHeight="1">
      <c r="A811" s="91" t="s">
        <v>188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88" activePane="bottomLeft" state="frozen"/>
      <selection pane="bottomLeft" activeCell="E709" sqref="E70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57" t="s">
        <v>13</v>
      </c>
      <c r="E1" s="8" t="s">
        <v>176</v>
      </c>
      <c r="F1" s="8" t="s">
        <v>308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309</v>
      </c>
      <c r="I2" s="10" t="s">
        <v>310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309</v>
      </c>
      <c r="I3" s="16" t="s">
        <v>310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309</v>
      </c>
      <c r="I4" s="10" t="s">
        <v>310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309</v>
      </c>
      <c r="I5" s="16" t="s">
        <v>310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309</v>
      </c>
      <c r="I6" s="10" t="s">
        <v>310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309</v>
      </c>
      <c r="I7" s="16" t="s">
        <v>310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309</v>
      </c>
      <c r="I8" s="10" t="s">
        <v>310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309</v>
      </c>
      <c r="I9" s="16" t="s">
        <v>310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309</v>
      </c>
      <c r="I10" s="10" t="s">
        <v>310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309</v>
      </c>
      <c r="I11" s="16" t="s">
        <v>310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309</v>
      </c>
      <c r="I12" s="10" t="s">
        <v>310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309</v>
      </c>
      <c r="I13" s="16" t="s">
        <v>310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185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186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311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187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186</v>
      </c>
      <c r="N27" s="20">
        <v>537710</v>
      </c>
    </row>
    <row r="28" spans="1:14" ht="18" customHeight="1">
      <c r="A28" s="91" t="s">
        <v>188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189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312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313</v>
      </c>
      <c r="I33" s="16" t="s">
        <v>314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184</v>
      </c>
      <c r="H36" s="10" t="s">
        <v>315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185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186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226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187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186</v>
      </c>
      <c r="N54" s="20">
        <v>800250</v>
      </c>
    </row>
    <row r="55" spans="1:14" ht="18" customHeight="1">
      <c r="A55" s="91" t="s">
        <v>188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189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185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186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315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187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186</v>
      </c>
      <c r="N81" s="20">
        <v>423590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189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185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186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316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187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186</v>
      </c>
      <c r="N108" s="20">
        <v>784300</v>
      </c>
    </row>
    <row r="109" spans="1:14" ht="18" customHeight="1">
      <c r="A109" s="91" t="s">
        <v>188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189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185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186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184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187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186</v>
      </c>
      <c r="N135" s="20">
        <v>527600</v>
      </c>
    </row>
    <row r="136" spans="1:14" ht="18" customHeight="1">
      <c r="A136" s="91" t="s">
        <v>188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189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184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185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186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187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186</v>
      </c>
      <c r="N162" s="20">
        <v>215370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189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185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187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186</v>
      </c>
      <c r="N189" s="20">
        <v>400530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189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317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185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186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229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187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186</v>
      </c>
      <c r="N216" s="28">
        <v>704110</v>
      </c>
    </row>
    <row r="217" spans="1:14" ht="18" customHeight="1">
      <c r="A217" s="91" t="s">
        <v>188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189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318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244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185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186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187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186</v>
      </c>
      <c r="N243" s="20">
        <v>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189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319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185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186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187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186</v>
      </c>
      <c r="N270" s="20">
        <f>214250+252630</f>
        <v>466880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189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320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185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186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321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322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323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187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186</v>
      </c>
      <c r="N297" s="20">
        <f>124260+105220</f>
        <v>229480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189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322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324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296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185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186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325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325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325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326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187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186</v>
      </c>
      <c r="N324" s="20">
        <f>311920+165290</f>
        <v>477210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189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185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186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327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249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187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186</v>
      </c>
      <c r="N351" s="20">
        <f>117790+390790</f>
        <v>508580</v>
      </c>
    </row>
    <row r="352" spans="1:14" ht="18" customHeight="1">
      <c r="A352" s="91" t="s">
        <v>188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189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328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329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298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185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186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187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186</v>
      </c>
      <c r="N378" s="20">
        <f>490380+390690</f>
        <v>881070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189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185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186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187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186</v>
      </c>
      <c r="N405" s="20">
        <v>745910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189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330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331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332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185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186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187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186</v>
      </c>
      <c r="N432" s="20">
        <v>669300</v>
      </c>
    </row>
    <row r="433" spans="1:16" ht="18" customHeight="1">
      <c r="A433" s="91" t="s">
        <v>188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189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185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186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322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322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187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186</v>
      </c>
      <c r="N459" s="20">
        <v>561580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189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266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266</v>
      </c>
      <c r="N472" s="41"/>
    </row>
    <row r="473" spans="1:14" ht="15.75" customHeight="1">
      <c r="A473" s="90" t="s">
        <v>185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186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333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335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187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186</v>
      </c>
      <c r="N486" s="20">
        <v>508000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189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185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186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336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337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187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186</v>
      </c>
      <c r="N513" s="20">
        <v>745760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189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185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186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338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339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244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187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186</v>
      </c>
      <c r="N540" s="20">
        <v>426450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189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340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341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185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186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342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187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186</v>
      </c>
      <c r="N567" s="20">
        <v>652080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189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343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344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185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186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345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270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244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187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186</v>
      </c>
      <c r="N594" s="20">
        <v>800310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189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346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185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186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347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187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186</v>
      </c>
      <c r="N621" s="20">
        <v>141320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189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185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186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348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172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349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187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186</v>
      </c>
      <c r="N648" s="20">
        <f>89640+153770</f>
        <v>243410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189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185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186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350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187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186</v>
      </c>
      <c r="N675" s="20">
        <v>425320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189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185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186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351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352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187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186</v>
      </c>
      <c r="N702" s="20">
        <f>626540+94190</f>
        <v>720730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189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353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/>
      <c r="H705" s="16"/>
      <c r="I705" s="16"/>
      <c r="J705" s="13">
        <v>0.50694444444444442</v>
      </c>
      <c r="K705" s="13"/>
      <c r="L705" s="71" t="str">
        <f t="shared" si="158"/>
        <v/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/>
      <c r="H706" s="10"/>
      <c r="I706" s="10"/>
      <c r="J706" s="13"/>
      <c r="K706" s="13"/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/>
      <c r="H707" s="16"/>
      <c r="I707" s="16"/>
      <c r="J707" s="13"/>
      <c r="K707" s="13"/>
      <c r="L707" s="71" t="str">
        <f t="shared" si="158"/>
        <v/>
      </c>
      <c r="M707" s="11"/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/>
      <c r="H708" s="10"/>
      <c r="I708" s="10"/>
      <c r="J708" s="13"/>
      <c r="K708" s="13"/>
      <c r="L708" s="70" t="str">
        <f t="shared" si="158"/>
        <v/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/>
      <c r="F709" s="17" t="str">
        <f t="shared" si="157"/>
        <v/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/>
      <c r="F710" s="12" t="str">
        <f t="shared" si="157"/>
        <v/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185</v>
      </c>
      <c r="B716" s="90"/>
      <c r="C716" s="90"/>
      <c r="D716" s="90"/>
      <c r="E716" s="19">
        <f>SUM(E704:E715)</f>
        <v>57</v>
      </c>
      <c r="F716" s="19">
        <f>SUM(F704:F715)</f>
        <v>228</v>
      </c>
      <c r="G716" s="38"/>
      <c r="H716" s="38"/>
      <c r="I716" s="38"/>
      <c r="J716" s="38"/>
      <c r="K716" s="38"/>
      <c r="L716" s="72">
        <f>IFERROR(SUM(L704:L715),"")</f>
        <v>2.0833333333333315E-2</v>
      </c>
      <c r="M716" s="19" t="s">
        <v>186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187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57</v>
      </c>
      <c r="F730" s="22">
        <f>F716+F729</f>
        <v>228</v>
      </c>
      <c r="G730" s="39"/>
      <c r="H730" s="39"/>
      <c r="I730" s="39"/>
      <c r="J730" s="39"/>
      <c r="K730" s="39"/>
      <c r="L730" s="73">
        <f>IFERROR(L716+L729,"")</f>
        <v>2.0833333333333315E-2</v>
      </c>
      <c r="M730" s="22" t="s">
        <v>189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185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187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185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187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185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186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187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186</v>
      </c>
      <c r="N810" s="20"/>
    </row>
    <row r="811" spans="1:14" ht="18" customHeight="1">
      <c r="A811" s="107" t="s">
        <v>188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189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2026-06-27T17:15:19Z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