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879" documentId="8_{AF585B22-221D-4780-BB9C-493D365A6A02}" xr6:coauthVersionLast="47" xr6:coauthVersionMax="47" xr10:uidLastSave="{C14E13FC-8ECA-43F7-B7F8-4B8850B7E6D7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<sst xmlns="http://schemas.openxmlformats.org/spreadsheetml/2006/main" count="10978" uniqueCount="410">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</sst>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4" sqref="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1568140</v>
      </c>
      <c r="D30" s="8">
        <f>IFERROR('Linha 1'!O730,"")</f>
        <v>479760</v>
      </c>
      <c r="E30" s="8">
        <f>IFERROR('Linha 2'!O730,"")</f>
        <v>333820</v>
      </c>
      <c r="F30" s="8">
        <f>IFERROR('Linha 3'!O730,"")</f>
        <v>613260</v>
      </c>
      <c r="G30" s="9">
        <f t="shared" si="0"/>
        <v>1426840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81097358</v>
      </c>
      <c r="D35" s="13">
        <f>IFERROR(SUM(D4:D34),"")</f>
        <v>32568970</v>
      </c>
      <c r="E35" s="13">
        <f>IFERROR(SUM(E4:E34),"")</f>
        <v>19103080</v>
      </c>
      <c r="F35" s="13">
        <f>IFERROR(SUM(F4:F34),"")</f>
        <v>33969740</v>
      </c>
      <c r="G35" s="13">
        <f>IFERROR(SUM(G4:G34),"")</f>
        <v>85641790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01" activePane="bottomLeft" state="frozen"/>
      <selection pane="bottomLeft" activeCell="F728" sqref="F72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231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234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231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231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231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231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231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231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231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258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30</v>
      </c>
      <c r="G726" s="28">
        <f t="shared" si="159"/>
        <v>150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22</v>
      </c>
      <c r="G727" s="34">
        <f t="shared" si="159"/>
        <v>110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231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219</v>
      </c>
      <c r="G729" s="36">
        <f>SUM(G717:G728)</f>
        <v>1071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522</v>
      </c>
      <c r="G730" s="40">
        <f>G716+G729</f>
        <v>2586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237</v>
      </c>
      <c r="O730" s="48">
        <f>IFERROR(O716+O729,"")</f>
        <v>1568140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697" activePane="bottomLeft" state="frozen"/>
      <selection pane="bottomLeft" activeCell="E727" sqref="E72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2.1282638888806105E-2</v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0.17892152777769499</v>
      </c>
      <c r="N378" s="36" t="s">
        <v>234</v>
      </c>
      <c r="O378" s="77">
        <v>511980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0.28864374999991715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0.99975486111361533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1.1705881944469487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1.3157270833358377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327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234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258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328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231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258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258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258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329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258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258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258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231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231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258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152</v>
      </c>
      <c r="G729" s="36">
        <f>SUM(G717:G728)</f>
        <v>675.2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234</v>
      </c>
      <c r="O729" s="77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269</v>
      </c>
      <c r="G730" s="40">
        <f>G716+G729</f>
        <v>1166.6000000000001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237</v>
      </c>
      <c r="O730" s="83">
        <f>IFERROR(O716+O729,"")</f>
        <v>479760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95" zoomScale="50" zoomScaleNormal="50" workbookViewId="0">
      <selection activeCell="E727" sqref="E72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282</v>
      </c>
      <c r="K141" s="29">
        <v>0.71597222222222223</v>
      </c>
      <c r="L141" s="29" t="s">
        <v>335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337</v>
      </c>
      <c r="N166" s="27" t="s">
        <v>338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234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2</v>
      </c>
      <c r="G718" s="28">
        <f t="shared" si="159"/>
        <v>10</v>
      </c>
      <c r="H718" s="26" t="s">
        <v>19</v>
      </c>
      <c r="I718" s="26" t="s">
        <v>47</v>
      </c>
      <c r="J718" s="26"/>
      <c r="K718" s="29">
        <v>0.21666666666666667</v>
      </c>
      <c r="L718" s="29"/>
      <c r="M718" s="30">
        <f t="shared" ca="1" si="160"/>
        <v>4.4199305557413027E-2</v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5.8088194446301977E-2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0.16156041666852422</v>
      </c>
      <c r="N730" s="40" t="s">
        <v>237</v>
      </c>
      <c r="O730" s="48">
        <f>IFERROR(O716+O729,"")</f>
        <v>333820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95" activePane="bottomLeft" state="frozen"/>
      <selection pane="bottomLeft" activeCell="E727" sqref="E72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360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363</v>
      </c>
      <c r="L58" s="29">
        <v>0.54097222222222219</v>
      </c>
      <c r="M58" s="30" t="str">
        <f t="shared" ca="1" si="13"/>
        <v/>
      </c>
      <c r="N58" s="27" t="s">
        <v>364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370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1.1560416671272833E-2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0.21086597222682846</v>
      </c>
      <c r="N135" s="36" t="s">
        <v>234</v>
      </c>
      <c r="O135" s="39">
        <v>729290</v>
      </c>
    </row>
    <row r="136" spans="1:18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0.57822708333793948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373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380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383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384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233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390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393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394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400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403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404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405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406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407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408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319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234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409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167</v>
      </c>
      <c r="G729" s="36">
        <f>SUM(G717:G728)</f>
        <v>743.8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299</v>
      </c>
      <c r="G730" s="40">
        <f>G716+G729</f>
        <v>1298.2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237</v>
      </c>
      <c r="O730" s="48">
        <f>IFERROR(O716+O729,"")</f>
        <v>613260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2026-07-28T10:15:58Z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