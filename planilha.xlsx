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7149" documentId="8_{AF585B22-221D-4780-BB9C-493D365A6A02}" xr6:coauthVersionLast="47" xr6:coauthVersionMax="47" xr10:uidLastSave="{015C8148-B612-4391-A390-0A8D77F14970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<sst xmlns="http://schemas.openxmlformats.org/spreadsheetml/2006/main" count="6336" uniqueCount="320">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</sst>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6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sqref="G18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0" t="s">
        <v>0</v>
      </c>
      <c r="B1" s="100"/>
      <c r="C1" s="100"/>
      <c r="D1" s="100"/>
      <c r="E1" s="100"/>
      <c r="F1" s="100"/>
      <c r="G1" s="100"/>
    </row>
    <row r="2" spans="1:7" ht="24.75" customHeight="1">
      <c r="A2" s="101"/>
      <c r="B2" s="10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2" t="s">
        <v>9</v>
      </c>
      <c r="B35" s="102"/>
      <c r="C35" s="13">
        <f>IFERROR(SUM(C4:C34),"")</f>
        <v>42143022</v>
      </c>
      <c r="D35" s="13">
        <f>IFERROR(SUM(D4:D34),"")</f>
        <v>15746200</v>
      </c>
      <c r="E35" s="13">
        <f>IFERROR(SUM(E4:E34),"")</f>
        <v>10299890</v>
      </c>
      <c r="F35" s="13">
        <f>IFERROR(SUM(F4:F34),"")</f>
        <v>19417320</v>
      </c>
      <c r="G35" s="13">
        <f>IFERROR(SUM(G4:G34),"")</f>
        <v>45463410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1" zoomScale="85" zoomScaleNormal="85" workbookViewId="0">
      <selection activeCell="J381" sqref="J38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3" t="s">
        <v>10</v>
      </c>
      <c r="B1" s="103"/>
      <c r="C1" s="103"/>
      <c r="D1" s="103"/>
      <c r="E1" s="103"/>
      <c r="F1" s="103"/>
      <c r="G1" s="103"/>
      <c r="H1" s="104"/>
      <c r="I1" s="105" t="s">
        <v>11</v>
      </c>
      <c r="J1" s="105"/>
      <c r="K1" s="105"/>
      <c r="L1" s="105"/>
      <c r="M1" s="105"/>
    </row>
    <row r="2" spans="1:13" ht="4.5" customHeight="1">
      <c r="H2" s="10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4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4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4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4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4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4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4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4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4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4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4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4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4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4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4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4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4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4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4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4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4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4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4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4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4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4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4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4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4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4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4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4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4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4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4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4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4"/>
      <c r="I54" s="16"/>
      <c r="J54" s="16"/>
      <c r="K54" s="16" t="s">
        <v>196</v>
      </c>
      <c r="L54" s="16"/>
      <c r="M54" s="16"/>
    </row>
    <row r="55" spans="1:13" ht="15" customHeight="1">
      <c r="H55" s="104"/>
      <c r="I55" s="17"/>
      <c r="J55" s="17"/>
      <c r="K55" s="17" t="s">
        <v>197</v>
      </c>
      <c r="L55" s="17"/>
      <c r="M55" s="17"/>
    </row>
    <row r="56" spans="1:13" ht="15" customHeight="1">
      <c r="H56" s="104"/>
      <c r="I56" s="16"/>
      <c r="J56" s="16"/>
      <c r="K56" s="16" t="s">
        <v>198</v>
      </c>
      <c r="L56" s="16"/>
      <c r="M56" s="16"/>
    </row>
    <row r="57" spans="1:13" ht="15" customHeight="1">
      <c r="H57" s="104"/>
      <c r="I57" s="17"/>
      <c r="J57" s="17"/>
      <c r="K57" s="17" t="s">
        <v>50</v>
      </c>
      <c r="L57" s="17"/>
      <c r="M57" s="17"/>
    </row>
    <row r="58" spans="1:13" ht="15" customHeight="1">
      <c r="H58" s="104"/>
      <c r="I58" s="16"/>
      <c r="J58" s="16"/>
      <c r="K58" s="16" t="s">
        <v>199</v>
      </c>
      <c r="L58" s="16"/>
      <c r="M58" s="16"/>
    </row>
    <row r="59" spans="1:13" ht="15" customHeight="1">
      <c r="H59" s="104"/>
      <c r="I59" s="17"/>
      <c r="J59" s="17"/>
      <c r="K59" s="17" t="s">
        <v>200</v>
      </c>
      <c r="L59" s="17"/>
      <c r="M59" s="17"/>
    </row>
    <row r="60" spans="1:13" ht="15" customHeight="1">
      <c r="H60" s="104"/>
      <c r="I60" s="16"/>
      <c r="J60" s="16"/>
      <c r="K60" s="87" t="s">
        <v>105</v>
      </c>
      <c r="L60" s="16"/>
      <c r="M60" s="16"/>
    </row>
    <row r="61" spans="1:13" ht="15" customHeight="1">
      <c r="H61" s="104"/>
      <c r="I61" s="17"/>
      <c r="J61" s="17"/>
      <c r="K61" s="17" t="s">
        <v>201</v>
      </c>
      <c r="L61" s="17"/>
      <c r="M61" s="17"/>
    </row>
    <row r="62" spans="1:13" ht="15" customHeight="1">
      <c r="H62" s="104"/>
      <c r="I62" s="16"/>
      <c r="J62" s="16"/>
      <c r="K62" s="16" t="s">
        <v>202</v>
      </c>
      <c r="L62" s="16"/>
      <c r="M62" s="16"/>
    </row>
    <row r="63" spans="1:13" ht="15" customHeight="1">
      <c r="H63" s="104"/>
      <c r="I63" s="17"/>
      <c r="J63" s="17"/>
      <c r="K63" s="17" t="s">
        <v>203</v>
      </c>
      <c r="L63" s="17"/>
      <c r="M63" s="17"/>
    </row>
    <row r="64" spans="1:13" ht="15" customHeight="1">
      <c r="H64" s="104"/>
      <c r="I64" s="16"/>
      <c r="J64" s="16"/>
      <c r="K64" s="16" t="s">
        <v>204</v>
      </c>
      <c r="L64" s="16"/>
      <c r="M64" s="16"/>
    </row>
    <row r="65" spans="8:13" ht="15" customHeight="1">
      <c r="H65" s="104"/>
      <c r="I65" s="17"/>
      <c r="J65" s="17"/>
      <c r="K65" s="17" t="s">
        <v>205</v>
      </c>
      <c r="L65" s="17"/>
      <c r="M65" s="17"/>
    </row>
    <row r="66" spans="8:13" ht="15" customHeight="1">
      <c r="H66" s="104"/>
      <c r="I66" s="16"/>
      <c r="J66" s="16"/>
      <c r="K66" s="16" t="s">
        <v>206</v>
      </c>
      <c r="L66" s="16"/>
      <c r="M66" s="16"/>
    </row>
    <row r="67" spans="8:13" ht="15" customHeight="1">
      <c r="H67" s="104"/>
      <c r="I67" s="17"/>
      <c r="J67" s="17"/>
      <c r="K67" s="17"/>
      <c r="L67" s="17"/>
      <c r="M67" s="17"/>
    </row>
    <row r="68" spans="8:13" ht="15" customHeight="1">
      <c r="H68" s="104"/>
      <c r="I68" s="16"/>
      <c r="J68" s="16"/>
      <c r="K68" s="16"/>
      <c r="L68" s="16"/>
      <c r="M68" s="16"/>
    </row>
    <row r="69" spans="8:13" ht="15" customHeight="1">
      <c r="H69" s="104"/>
      <c r="I69" s="17"/>
      <c r="J69" s="17"/>
      <c r="K69" s="17"/>
      <c r="L69" s="17"/>
      <c r="M69" s="17"/>
    </row>
    <row r="70" spans="8:13" ht="15" customHeight="1">
      <c r="H70" s="104"/>
      <c r="I70" s="16"/>
      <c r="J70" s="16"/>
      <c r="K70" s="16"/>
      <c r="L70" s="16"/>
      <c r="M70" s="16"/>
    </row>
    <row r="71" spans="8:13" ht="15" customHeight="1">
      <c r="H71" s="104"/>
      <c r="I71" s="17"/>
      <c r="J71" s="17"/>
      <c r="K71" s="17"/>
      <c r="L71" s="17"/>
      <c r="M71" s="17"/>
    </row>
    <row r="72" spans="8:13" ht="15" customHeight="1">
      <c r="H72" s="104"/>
      <c r="I72" s="16"/>
      <c r="J72" s="16"/>
      <c r="K72" s="16"/>
      <c r="L72" s="16"/>
      <c r="M72" s="16"/>
    </row>
    <row r="73" spans="8:13" ht="15" customHeight="1">
      <c r="H73" s="104"/>
      <c r="I73" s="17"/>
      <c r="J73" s="17"/>
      <c r="K73" s="17"/>
      <c r="L73" s="17"/>
      <c r="M73" s="17"/>
    </row>
    <row r="74" spans="8:13" ht="15" customHeight="1">
      <c r="H74" s="104"/>
      <c r="I74" s="16"/>
      <c r="J74" s="16"/>
      <c r="K74" s="16"/>
      <c r="L74" s="16"/>
      <c r="M74" s="16"/>
    </row>
    <row r="75" spans="8:13" ht="15" customHeight="1">
      <c r="H75" s="10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365" activePane="bottomLeft" state="frozen"/>
      <selection pane="bottomLeft" activeCell="H381" sqref="H38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6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217</v>
      </c>
      <c r="E2" s="59" t="s">
        <v>218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221</v>
      </c>
      <c r="O27" s="39">
        <v>1183060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224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225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221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221</v>
      </c>
      <c r="O54" s="39">
        <v>959290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224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221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226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221</v>
      </c>
      <c r="O81" s="39">
        <v>878050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224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227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221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228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221</v>
      </c>
      <c r="O108" s="39">
        <v>1700000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224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221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221</v>
      </c>
      <c r="O135" s="39">
        <v>862330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224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221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221</v>
      </c>
      <c r="O162" s="44">
        <v>1546080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224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221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221</v>
      </c>
      <c r="O189" s="39">
        <v>2355810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224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221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221</v>
      </c>
      <c r="O216" s="45">
        <v>2013260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224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229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221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221</v>
      </c>
      <c r="O243" s="39">
        <v>1545480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224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221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221</v>
      </c>
      <c r="O270" s="39">
        <v>1182690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224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221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231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232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232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232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232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232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232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232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232</v>
      </c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221</v>
      </c>
      <c r="O297" s="39">
        <v>1843460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224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233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234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221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235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235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235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235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235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221</v>
      </c>
      <c r="O324" s="39">
        <v>1940000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224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130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236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221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218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218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218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174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218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174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218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218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218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218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218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218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218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218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221</v>
      </c>
      <c r="O351" s="39">
        <v>701874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224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218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178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237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218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184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218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218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218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218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218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218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218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218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218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218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221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218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184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218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184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218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218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218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218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218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218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218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218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218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218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221</v>
      </c>
      <c r="O378" s="39">
        <v>1088710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224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218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205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218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/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218</v>
      </c>
      <c r="F382" s="27">
        <v>30</v>
      </c>
      <c r="G382" s="28">
        <f t="shared" si="84"/>
        <v>150</v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218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218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218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218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218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218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218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218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218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90</v>
      </c>
      <c r="G392" s="36">
        <f>SUM(G380:G391)</f>
        <v>450</v>
      </c>
      <c r="H392" s="37"/>
      <c r="I392" s="37"/>
      <c r="J392" s="37"/>
      <c r="K392" s="37"/>
      <c r="L392" s="37"/>
      <c r="M392" s="38">
        <f ca="1">IFERROR(SUM(M380:M391),"")</f>
        <v>2.0833333333333315E-2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90</v>
      </c>
      <c r="G406" s="40">
        <f>G392+G405</f>
        <v>450</v>
      </c>
      <c r="H406" s="41"/>
      <c r="I406" s="41"/>
      <c r="J406" s="41"/>
      <c r="K406" s="41"/>
      <c r="L406" s="41"/>
      <c r="M406" s="42">
        <f ca="1">IFERROR(M392+M405,"")</f>
        <v>2.0833333333333315E-2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59" t="s">
        <v>218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363" activePane="bottomLeft" state="frozen"/>
      <selection pane="bottomLeft" activeCell="J382" sqref="J38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221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221</v>
      </c>
      <c r="O27" s="78">
        <v>393200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224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221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240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238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85">
        <v>276360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224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241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242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221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221</v>
      </c>
      <c r="O81" s="54">
        <v>787860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224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243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221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244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245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246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221</v>
      </c>
      <c r="O108" s="54">
        <v>1087080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224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247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221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248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221</v>
      </c>
      <c r="O135" s="54">
        <v>794480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224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251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221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253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221</v>
      </c>
      <c r="O162" s="54">
        <v>882280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224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221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221</v>
      </c>
      <c r="O189" s="78"/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224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221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255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256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221</v>
      </c>
      <c r="O216" s="78">
        <v>648410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224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258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220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221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253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221</v>
      </c>
      <c r="O243" s="78">
        <v>849060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224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260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221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221</v>
      </c>
      <c r="O270" s="78">
        <v>625070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224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261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262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221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263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221</v>
      </c>
      <c r="O297" s="78">
        <v>761660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224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264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264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221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265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266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221</v>
      </c>
      <c r="O324" s="78">
        <v>524410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224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10</v>
      </c>
      <c r="G328" s="28">
        <f t="shared" si="72"/>
        <v>42</v>
      </c>
      <c r="H328" s="26" t="s">
        <v>20</v>
      </c>
      <c r="I328" s="26" t="s">
        <v>119</v>
      </c>
      <c r="J328" s="26" t="s">
        <v>112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20</v>
      </c>
      <c r="G329" s="34">
        <f t="shared" si="72"/>
        <v>84</v>
      </c>
      <c r="H329" s="33" t="s">
        <v>17</v>
      </c>
      <c r="I329" s="33" t="s">
        <v>113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221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119</v>
      </c>
      <c r="J339" s="33" t="s">
        <v>112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268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269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221</v>
      </c>
      <c r="O351" s="78">
        <v>598420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224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155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155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127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221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127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127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20</v>
      </c>
      <c r="G370" s="28">
        <f t="shared" si="81"/>
        <v>84</v>
      </c>
      <c r="H370" s="26" t="s">
        <v>20</v>
      </c>
      <c r="I370" s="26" t="s">
        <v>153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127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130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127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127</v>
      </c>
      <c r="K377" s="29">
        <v>0.23958333333333334</v>
      </c>
      <c r="L377" s="29"/>
      <c r="M377" s="35">
        <f t="shared" ca="1" si="82"/>
        <v>0.21127222222276032</v>
      </c>
      <c r="N377" s="46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0.3689111111116492</v>
      </c>
      <c r="N378" s="36" t="s">
        <v>221</v>
      </c>
      <c r="O378" s="78">
        <v>511980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0.47863333333387137</v>
      </c>
      <c r="N379" s="40" t="s">
        <v>224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155</v>
      </c>
      <c r="J380" s="26" t="s">
        <v>117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15</v>
      </c>
      <c r="G381" s="34">
        <f t="shared" si="84"/>
        <v>63</v>
      </c>
      <c r="H381" s="33" t="s">
        <v>18</v>
      </c>
      <c r="I381" s="33" t="s">
        <v>116</v>
      </c>
      <c r="J381" s="33" t="s">
        <v>206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191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40</v>
      </c>
      <c r="G392" s="36">
        <f>SUM(G380:G391)</f>
        <v>168</v>
      </c>
      <c r="H392" s="37"/>
      <c r="I392" s="37"/>
      <c r="J392" s="37"/>
      <c r="K392" s="37"/>
      <c r="L392" s="37"/>
      <c r="M392" s="38">
        <f ca="1">IFERROR(SUM(M380:M391),"")</f>
        <v>7.638888888888884E-2</v>
      </c>
      <c r="N392" s="36" t="s">
        <v>221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78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40</v>
      </c>
      <c r="G406" s="40">
        <f>G392+G405</f>
        <v>168</v>
      </c>
      <c r="H406" s="41"/>
      <c r="I406" s="41"/>
      <c r="J406" s="41"/>
      <c r="K406" s="41"/>
      <c r="L406" s="41"/>
      <c r="M406" s="42">
        <f ca="1">IFERROR(M392+M405,"")</f>
        <v>7.638888888888884E-2</v>
      </c>
      <c r="N406" s="40" t="s">
        <v>224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78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78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78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78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78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78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78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78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78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78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78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78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364" zoomScale="50" zoomScaleNormal="50" workbookViewId="0">
      <selection activeCell="F383" sqref="F38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270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271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221</v>
      </c>
      <c r="O27" s="39">
        <v>308500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224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272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221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221</v>
      </c>
      <c r="O54" s="39">
        <v>124290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224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273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221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274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221</v>
      </c>
      <c r="O81" s="39">
        <v>396340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224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275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221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221</v>
      </c>
      <c r="O108" s="39">
        <v>41230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224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221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221</v>
      </c>
      <c r="O135" s="39">
        <v>381250</v>
      </c>
    </row>
    <row r="136" spans="1:15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224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276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252</v>
      </c>
      <c r="K141" s="29">
        <v>0.71597222222222223</v>
      </c>
      <c r="L141" s="29" t="s">
        <v>277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221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221</v>
      </c>
      <c r="O162" s="39">
        <v>337120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224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279</v>
      </c>
      <c r="N166" s="27" t="s">
        <v>280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221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221</v>
      </c>
      <c r="O189" s="39">
        <v>747210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224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281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221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221</v>
      </c>
      <c r="O216" s="39">
        <v>468430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224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221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221</v>
      </c>
      <c r="O243" s="39">
        <v>575930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224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221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282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283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221</v>
      </c>
      <c r="O270" s="39">
        <v>483510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224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221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284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285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221</v>
      </c>
      <c r="O297" s="39">
        <v>487980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224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286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221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287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288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221</v>
      </c>
      <c r="O324" s="39">
        <v>609460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224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289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274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276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126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7" t="s">
        <v>220</v>
      </c>
      <c r="B338" s="98"/>
      <c r="C338" s="98"/>
      <c r="D338" s="98"/>
      <c r="E338" s="99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221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8</v>
      </c>
      <c r="G340" s="28">
        <f t="shared" si="75"/>
        <v>33.6</v>
      </c>
      <c r="H340" s="26" t="s">
        <v>20</v>
      </c>
      <c r="I340" s="26" t="s">
        <v>119</v>
      </c>
      <c r="J340" s="26" t="s">
        <v>112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221</v>
      </c>
      <c r="O351" s="39">
        <v>437940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224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238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238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7" t="s">
        <v>220</v>
      </c>
      <c r="B365" s="98"/>
      <c r="C365" s="98"/>
      <c r="D365" s="98"/>
      <c r="E365" s="99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221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238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221</v>
      </c>
      <c r="O378" s="39">
        <v>473310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224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238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238</v>
      </c>
      <c r="F381" s="27">
        <v>6</v>
      </c>
      <c r="G381" s="34">
        <f>IF(F381="","",IF(E382="PC 17",F381*4.2,IF(E382="PC 19",F381*5,"")))</f>
        <v>25.200000000000003</v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238</v>
      </c>
      <c r="F382" s="27">
        <v>15</v>
      </c>
      <c r="G382" s="28">
        <v>63</v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46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46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46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31</v>
      </c>
      <c r="G392" s="36">
        <f>SUM(G380:G391)</f>
        <v>130.19999999999999</v>
      </c>
      <c r="H392" s="37"/>
      <c r="I392" s="37"/>
      <c r="J392" s="37"/>
      <c r="K392" s="37"/>
      <c r="L392" s="37"/>
      <c r="M392" s="38">
        <f ca="1">IFERROR(SUM(M380:M391),"")</f>
        <v>7.6388888888889173E-3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31</v>
      </c>
      <c r="G406" s="40">
        <f>G392+G405</f>
        <v>130.19999999999999</v>
      </c>
      <c r="H406" s="41"/>
      <c r="I406" s="41"/>
      <c r="J406" s="41"/>
      <c r="K406" s="41"/>
      <c r="L406" s="41"/>
      <c r="M406" s="42">
        <f ca="1">IFERROR(M392+M405,"")</f>
        <v>7.6388888888889173E-3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221</v>
      </c>
      <c r="O432" s="39"/>
    </row>
    <row r="433" spans="1:15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64" activePane="bottomLeft" state="frozen"/>
      <selection pane="bottomLeft" activeCell="F383" sqref="F38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207</v>
      </c>
      <c r="C1" s="23" t="s">
        <v>12</v>
      </c>
      <c r="D1" s="22" t="s">
        <v>13</v>
      </c>
      <c r="E1" s="22" t="s">
        <v>208</v>
      </c>
      <c r="F1" s="23" t="s">
        <v>209</v>
      </c>
      <c r="G1" s="23" t="s">
        <v>210</v>
      </c>
      <c r="H1" s="23" t="s">
        <v>14</v>
      </c>
      <c r="I1" s="23" t="s">
        <v>15</v>
      </c>
      <c r="J1" s="23" t="s">
        <v>211</v>
      </c>
      <c r="K1" s="23" t="s">
        <v>212</v>
      </c>
      <c r="L1" s="23" t="s">
        <v>213</v>
      </c>
      <c r="M1" s="24" t="s">
        <v>214</v>
      </c>
      <c r="N1" s="23" t="s">
        <v>215</v>
      </c>
      <c r="O1" s="23" t="s">
        <v>216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290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238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274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7" t="s">
        <v>220</v>
      </c>
      <c r="B14" s="98"/>
      <c r="C14" s="98"/>
      <c r="D14" s="98"/>
      <c r="E14" s="9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291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7" t="s">
        <v>222</v>
      </c>
      <c r="B27" s="98"/>
      <c r="C27" s="98"/>
      <c r="D27" s="98"/>
      <c r="E27" s="9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221</v>
      </c>
      <c r="O27" s="39">
        <v>202230</v>
      </c>
    </row>
    <row r="28" spans="1:15" ht="18" customHeight="1">
      <c r="A28" s="94" t="s">
        <v>223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224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292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293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238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238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7" t="s">
        <v>220</v>
      </c>
      <c r="B41" s="98"/>
      <c r="C41" s="98"/>
      <c r="D41" s="98"/>
      <c r="E41" s="9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221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7" t="s">
        <v>222</v>
      </c>
      <c r="B54" s="98"/>
      <c r="C54" s="98"/>
      <c r="D54" s="98"/>
      <c r="E54" s="9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221</v>
      </c>
      <c r="O54" s="39">
        <v>473910</v>
      </c>
    </row>
    <row r="55" spans="1:15" ht="18" customHeight="1">
      <c r="A55" s="94" t="s">
        <v>223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224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294</v>
      </c>
      <c r="L58" s="29">
        <v>0.54097222222222219</v>
      </c>
      <c r="M58" s="30" t="str">
        <f t="shared" ca="1" si="13"/>
        <v/>
      </c>
      <c r="N58" s="27" t="s">
        <v>295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7" t="s">
        <v>220</v>
      </c>
      <c r="B68" s="98"/>
      <c r="C68" s="98"/>
      <c r="D68" s="98"/>
      <c r="E68" s="9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221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270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238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296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297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298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299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238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7" t="s">
        <v>222</v>
      </c>
      <c r="B81" s="98"/>
      <c r="C81" s="98"/>
      <c r="D81" s="98"/>
      <c r="E81" s="9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221</v>
      </c>
      <c r="O81" s="39">
        <v>565120</v>
      </c>
    </row>
    <row r="82" spans="1:15" ht="18" customHeight="1">
      <c r="A82" s="94" t="s">
        <v>223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224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300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7" t="s">
        <v>220</v>
      </c>
      <c r="B95" s="98"/>
      <c r="C95" s="98"/>
      <c r="D95" s="98"/>
      <c r="E95" s="9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221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7" t="s">
        <v>222</v>
      </c>
      <c r="B108" s="98"/>
      <c r="C108" s="98"/>
      <c r="D108" s="98"/>
      <c r="E108" s="9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221</v>
      </c>
      <c r="O108" s="39">
        <v>558590</v>
      </c>
    </row>
    <row r="109" spans="1:15" ht="18" customHeight="1">
      <c r="A109" s="94" t="s">
        <v>223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224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301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7" t="s">
        <v>220</v>
      </c>
      <c r="B122" s="98"/>
      <c r="C122" s="98"/>
      <c r="D122" s="98"/>
      <c r="E122" s="9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221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302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218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303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218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0.20155000000522705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250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7" t="s">
        <v>222</v>
      </c>
      <c r="B135" s="98"/>
      <c r="C135" s="98"/>
      <c r="D135" s="98"/>
      <c r="E135" s="9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0.40085555556078267</v>
      </c>
      <c r="N135" s="36" t="s">
        <v>221</v>
      </c>
      <c r="O135" s="39">
        <v>729290</v>
      </c>
    </row>
    <row r="136" spans="1:18" ht="18" customHeight="1">
      <c r="A136" s="94" t="s">
        <v>223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0.7682166666718937</v>
      </c>
      <c r="N136" s="40" t="s">
        <v>224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218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304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252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7" t="s">
        <v>220</v>
      </c>
      <c r="B149" s="98"/>
      <c r="C149" s="98"/>
      <c r="D149" s="98"/>
      <c r="E149" s="9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221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276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305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7" t="s">
        <v>222</v>
      </c>
      <c r="B162" s="98"/>
      <c r="C162" s="98"/>
      <c r="D162" s="98"/>
      <c r="E162" s="9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221</v>
      </c>
      <c r="O162" s="39">
        <v>697320</v>
      </c>
    </row>
    <row r="163" spans="1:15" ht="18" customHeight="1">
      <c r="A163" s="94" t="s">
        <v>223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224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238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238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306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7" t="s">
        <v>220</v>
      </c>
      <c r="B176" s="98"/>
      <c r="C176" s="98"/>
      <c r="D176" s="98"/>
      <c r="E176" s="99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221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238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238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7" t="s">
        <v>222</v>
      </c>
      <c r="B189" s="98"/>
      <c r="C189" s="98"/>
      <c r="D189" s="98"/>
      <c r="E189" s="99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221</v>
      </c>
      <c r="O189" s="39">
        <v>973580</v>
      </c>
    </row>
    <row r="190" spans="1:15" ht="18" customHeight="1">
      <c r="A190" s="94" t="s">
        <v>223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224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238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238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307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238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308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7" t="s">
        <v>220</v>
      </c>
      <c r="B203" s="98"/>
      <c r="C203" s="98"/>
      <c r="D203" s="98"/>
      <c r="E203" s="99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221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309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7" t="s">
        <v>222</v>
      </c>
      <c r="B216" s="98"/>
      <c r="C216" s="98"/>
      <c r="D216" s="98"/>
      <c r="E216" s="99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221</v>
      </c>
      <c r="O216" s="45">
        <v>1060630</v>
      </c>
    </row>
    <row r="217" spans="1:15" ht="18" customHeight="1">
      <c r="A217" s="94" t="s">
        <v>223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224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310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311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238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238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312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7" t="s">
        <v>220</v>
      </c>
      <c r="B230" s="98"/>
      <c r="C230" s="98"/>
      <c r="D230" s="98"/>
      <c r="E230" s="99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221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313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238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7" t="s">
        <v>222</v>
      </c>
      <c r="B243" s="98"/>
      <c r="C243" s="98"/>
      <c r="D243" s="98"/>
      <c r="E243" s="99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221</v>
      </c>
      <c r="O243" s="39">
        <v>982340</v>
      </c>
    </row>
    <row r="244" spans="1:15" ht="18" customHeight="1">
      <c r="A244" s="94" t="s">
        <v>223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224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314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238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238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7" t="s">
        <v>220</v>
      </c>
      <c r="B257" s="98"/>
      <c r="C257" s="98"/>
      <c r="D257" s="98"/>
      <c r="E257" s="99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221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238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7" t="s">
        <v>222</v>
      </c>
      <c r="B270" s="98"/>
      <c r="C270" s="98"/>
      <c r="D270" s="98"/>
      <c r="E270" s="99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221</v>
      </c>
      <c r="O270" s="39">
        <v>1208450</v>
      </c>
    </row>
    <row r="271" spans="1:15" ht="18" customHeight="1">
      <c r="A271" s="94" t="s">
        <v>223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224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238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7" t="s">
        <v>220</v>
      </c>
      <c r="B284" s="98"/>
      <c r="C284" s="98"/>
      <c r="D284" s="98"/>
      <c r="E284" s="99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221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238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7" t="s">
        <v>222</v>
      </c>
      <c r="B297" s="98"/>
      <c r="C297" s="98"/>
      <c r="D297" s="98"/>
      <c r="E297" s="99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221</v>
      </c>
      <c r="O297" s="39">
        <v>1049090</v>
      </c>
    </row>
    <row r="298" spans="1:15" ht="18" customHeight="1">
      <c r="A298" s="94" t="s">
        <v>223</v>
      </c>
      <c r="B298" s="95"/>
      <c r="C298" s="95"/>
      <c r="D298" s="95"/>
      <c r="E298" s="96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224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315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238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7" t="s">
        <v>220</v>
      </c>
      <c r="B311" s="98"/>
      <c r="C311" s="98"/>
      <c r="D311" s="98"/>
      <c r="E311" s="99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221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238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247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238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238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7" t="s">
        <v>222</v>
      </c>
      <c r="B324" s="98"/>
      <c r="C324" s="98"/>
      <c r="D324" s="98"/>
      <c r="E324" s="99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221</v>
      </c>
      <c r="O324" s="39">
        <v>1063720</v>
      </c>
    </row>
    <row r="325" spans="1:15" ht="18" customHeight="1">
      <c r="A325" s="94" t="s">
        <v>223</v>
      </c>
      <c r="B325" s="95"/>
      <c r="C325" s="95"/>
      <c r="D325" s="95"/>
      <c r="E325" s="96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224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238</v>
      </c>
      <c r="F327" s="27">
        <v>20</v>
      </c>
      <c r="G327" s="34">
        <v>84</v>
      </c>
      <c r="H327" s="33" t="s">
        <v>18</v>
      </c>
      <c r="I327" s="33" t="s">
        <v>158</v>
      </c>
      <c r="J327" s="33" t="s">
        <v>117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274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128</v>
      </c>
      <c r="J328" s="26" t="s">
        <v>112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7" t="s">
        <v>220</v>
      </c>
      <c r="B338" s="98"/>
      <c r="C338" s="98"/>
      <c r="D338" s="98"/>
      <c r="E338" s="99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221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238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238</v>
      </c>
      <c r="F344" s="27">
        <v>20</v>
      </c>
      <c r="G344" s="28">
        <f t="shared" si="75"/>
        <v>84</v>
      </c>
      <c r="H344" s="26" t="s">
        <v>20</v>
      </c>
      <c r="I344" s="26" t="s">
        <v>153</v>
      </c>
      <c r="J344" s="26" t="s">
        <v>74</v>
      </c>
      <c r="K344" s="29" t="s">
        <v>316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238</v>
      </c>
      <c r="F345" s="27">
        <v>5</v>
      </c>
      <c r="G345" s="34">
        <f t="shared" si="75"/>
        <v>21</v>
      </c>
      <c r="H345" s="33" t="s">
        <v>20</v>
      </c>
      <c r="I345" s="33" t="s">
        <v>153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317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7" t="s">
        <v>222</v>
      </c>
      <c r="B351" s="98"/>
      <c r="C351" s="98"/>
      <c r="D351" s="98"/>
      <c r="E351" s="99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221</v>
      </c>
      <c r="O351" s="39">
        <v>696140</v>
      </c>
    </row>
    <row r="352" spans="1:15" ht="18" customHeight="1">
      <c r="A352" s="94" t="s">
        <v>223</v>
      </c>
      <c r="B352" s="95"/>
      <c r="C352" s="95"/>
      <c r="D352" s="95"/>
      <c r="E352" s="96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224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238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276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238</v>
      </c>
      <c r="F357" s="27">
        <v>10</v>
      </c>
      <c r="G357" s="34">
        <f t="shared" si="78"/>
        <v>42</v>
      </c>
      <c r="H357" s="33" t="s">
        <v>18</v>
      </c>
      <c r="I357" s="33" t="s">
        <v>136</v>
      </c>
      <c r="J357" s="33" t="s">
        <v>126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220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221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238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238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238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318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117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7" t="s">
        <v>222</v>
      </c>
      <c r="B378" s="98"/>
      <c r="C378" s="98"/>
      <c r="D378" s="98"/>
      <c r="E378" s="99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221</v>
      </c>
      <c r="O378" s="39">
        <v>704750</v>
      </c>
    </row>
    <row r="379" spans="1:15" ht="18" customHeight="1">
      <c r="A379" s="94" t="s">
        <v>223</v>
      </c>
      <c r="B379" s="95"/>
      <c r="C379" s="95"/>
      <c r="D379" s="95"/>
      <c r="E379" s="96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224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238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319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/>
      <c r="M382" s="30">
        <f t="shared" ca="1" si="85"/>
        <v>6.1966666668013204E-2</v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238</v>
      </c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238</v>
      </c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238</v>
      </c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238</v>
      </c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238</v>
      </c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238</v>
      </c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238</v>
      </c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238</v>
      </c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238</v>
      </c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7" t="s">
        <v>220</v>
      </c>
      <c r="B392" s="98"/>
      <c r="C392" s="98"/>
      <c r="D392" s="98"/>
      <c r="E392" s="99">
        <f>SUM(E380:E391)</f>
        <v>0</v>
      </c>
      <c r="F392" s="36">
        <f>SUM(F380:F391)</f>
        <v>30</v>
      </c>
      <c r="G392" s="36">
        <f>SUM(G380:G391)</f>
        <v>126</v>
      </c>
      <c r="H392" s="37"/>
      <c r="I392" s="37"/>
      <c r="J392" s="37"/>
      <c r="K392" s="61"/>
      <c r="L392" s="61"/>
      <c r="M392" s="38">
        <f ca="1">IFERROR(SUM(M380:M391),"")</f>
        <v>9.2522222223568762E-2</v>
      </c>
      <c r="N392" s="36" t="s">
        <v>221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7" t="s">
        <v>222</v>
      </c>
      <c r="B405" s="98"/>
      <c r="C405" s="98"/>
      <c r="D405" s="98"/>
      <c r="E405" s="9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221</v>
      </c>
      <c r="O405" s="39"/>
    </row>
    <row r="406" spans="1:15" ht="18" customHeight="1">
      <c r="A406" s="94" t="s">
        <v>223</v>
      </c>
      <c r="B406" s="95"/>
      <c r="C406" s="95"/>
      <c r="D406" s="95"/>
      <c r="E406" s="96">
        <f>E392+E405</f>
        <v>0</v>
      </c>
      <c r="F406" s="40">
        <f>F392+F405</f>
        <v>30</v>
      </c>
      <c r="G406" s="40">
        <f>G392+G405</f>
        <v>126</v>
      </c>
      <c r="H406" s="41"/>
      <c r="I406" s="41"/>
      <c r="J406" s="41"/>
      <c r="K406" s="63"/>
      <c r="L406" s="63"/>
      <c r="M406" s="42">
        <f ca="1">IFERROR(M392+M405,"")</f>
        <v>9.2522222223568762E-2</v>
      </c>
      <c r="N406" s="40" t="s">
        <v>224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7" t="s">
        <v>220</v>
      </c>
      <c r="B419" s="98"/>
      <c r="C419" s="98"/>
      <c r="D419" s="98"/>
      <c r="E419" s="9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7" t="s">
        <v>222</v>
      </c>
      <c r="B432" s="98"/>
      <c r="C432" s="98"/>
      <c r="D432" s="98"/>
      <c r="E432" s="9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221</v>
      </c>
      <c r="O432" s="39"/>
    </row>
    <row r="433" spans="1:17" ht="18" customHeight="1">
      <c r="A433" s="94" t="s">
        <v>223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7" t="s">
        <v>220</v>
      </c>
      <c r="B446" s="98"/>
      <c r="C446" s="98"/>
      <c r="D446" s="98"/>
      <c r="E446" s="9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7" t="s">
        <v>222</v>
      </c>
      <c r="B459" s="98"/>
      <c r="C459" s="98"/>
      <c r="D459" s="98"/>
      <c r="E459" s="9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221</v>
      </c>
      <c r="O459" s="39"/>
    </row>
    <row r="460" spans="1:15" ht="18" customHeight="1">
      <c r="A460" s="94" t="s">
        <v>223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7" t="s">
        <v>220</v>
      </c>
      <c r="B473" s="98"/>
      <c r="C473" s="98"/>
      <c r="D473" s="98"/>
      <c r="E473" s="9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7" t="s">
        <v>222</v>
      </c>
      <c r="B486" s="98"/>
      <c r="C486" s="98"/>
      <c r="D486" s="98"/>
      <c r="E486" s="9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221</v>
      </c>
      <c r="O486" s="39"/>
    </row>
    <row r="487" spans="1:15" ht="18" customHeight="1">
      <c r="A487" s="94" t="s">
        <v>223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7" t="s">
        <v>220</v>
      </c>
      <c r="B500" s="98"/>
      <c r="C500" s="98"/>
      <c r="D500" s="98"/>
      <c r="E500" s="9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7" t="s">
        <v>222</v>
      </c>
      <c r="B513" s="98"/>
      <c r="C513" s="98"/>
      <c r="D513" s="98"/>
      <c r="E513" s="9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221</v>
      </c>
      <c r="O513" s="39"/>
    </row>
    <row r="514" spans="1:15" ht="18" customHeight="1">
      <c r="A514" s="94" t="s">
        <v>223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7" t="s">
        <v>220</v>
      </c>
      <c r="B527" s="98"/>
      <c r="C527" s="98"/>
      <c r="D527" s="98"/>
      <c r="E527" s="9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7" t="s">
        <v>222</v>
      </c>
      <c r="B540" s="98"/>
      <c r="C540" s="98"/>
      <c r="D540" s="98"/>
      <c r="E540" s="9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221</v>
      </c>
      <c r="O540" s="39"/>
    </row>
    <row r="541" spans="1:15" ht="18" customHeight="1">
      <c r="A541" s="94" t="s">
        <v>223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7" t="s">
        <v>220</v>
      </c>
      <c r="B554" s="98"/>
      <c r="C554" s="98"/>
      <c r="D554" s="98"/>
      <c r="E554" s="9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7" t="s">
        <v>222</v>
      </c>
      <c r="B567" s="98"/>
      <c r="C567" s="98"/>
      <c r="D567" s="98"/>
      <c r="E567" s="9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221</v>
      </c>
      <c r="O567" s="39"/>
    </row>
    <row r="568" spans="1:15" ht="18" customHeight="1">
      <c r="A568" s="94" t="s">
        <v>223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7" t="s">
        <v>220</v>
      </c>
      <c r="B581" s="98"/>
      <c r="C581" s="98"/>
      <c r="D581" s="98"/>
      <c r="E581" s="9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7" t="s">
        <v>222</v>
      </c>
      <c r="B594" s="98"/>
      <c r="C594" s="98"/>
      <c r="D594" s="98"/>
      <c r="E594" s="9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221</v>
      </c>
      <c r="O594" s="39"/>
    </row>
    <row r="595" spans="1:15" ht="18" customHeight="1">
      <c r="A595" s="94" t="s">
        <v>223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7" t="s">
        <v>220</v>
      </c>
      <c r="B608" s="98"/>
      <c r="C608" s="98"/>
      <c r="D608" s="98"/>
      <c r="E608" s="9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7" t="s">
        <v>222</v>
      </c>
      <c r="B621" s="98"/>
      <c r="C621" s="98"/>
      <c r="D621" s="98"/>
      <c r="E621" s="9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221</v>
      </c>
      <c r="O621" s="39"/>
    </row>
    <row r="622" spans="1:15" ht="18" customHeight="1">
      <c r="A622" s="94" t="s">
        <v>223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7" t="s">
        <v>220</v>
      </c>
      <c r="B635" s="98"/>
      <c r="C635" s="98"/>
      <c r="D635" s="98"/>
      <c r="E635" s="9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7" t="s">
        <v>222</v>
      </c>
      <c r="B648" s="98"/>
      <c r="C648" s="98"/>
      <c r="D648" s="98"/>
      <c r="E648" s="9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221</v>
      </c>
      <c r="O648" s="39"/>
    </row>
    <row r="649" spans="1:15" ht="18" customHeight="1">
      <c r="A649" s="94" t="s">
        <v>223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7" t="s">
        <v>220</v>
      </c>
      <c r="B662" s="98"/>
      <c r="C662" s="98"/>
      <c r="D662" s="98"/>
      <c r="E662" s="9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7" t="s">
        <v>222</v>
      </c>
      <c r="B675" s="98"/>
      <c r="C675" s="98"/>
      <c r="D675" s="98"/>
      <c r="E675" s="9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221</v>
      </c>
      <c r="O675" s="39"/>
    </row>
    <row r="676" spans="1:15" ht="18" customHeight="1">
      <c r="A676" s="94" t="s">
        <v>223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7" t="s">
        <v>220</v>
      </c>
      <c r="B689" s="98"/>
      <c r="C689" s="98"/>
      <c r="D689" s="98"/>
      <c r="E689" s="9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7" t="s">
        <v>222</v>
      </c>
      <c r="B702" s="98"/>
      <c r="C702" s="98"/>
      <c r="D702" s="98"/>
      <c r="E702" s="9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221</v>
      </c>
      <c r="O702" s="39"/>
    </row>
    <row r="703" spans="1:15" ht="18" customHeight="1">
      <c r="A703" s="94" t="s">
        <v>223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7" t="s">
        <v>220</v>
      </c>
      <c r="B716" s="98"/>
      <c r="C716" s="98"/>
      <c r="D716" s="98"/>
      <c r="E716" s="9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7" t="s">
        <v>222</v>
      </c>
      <c r="B729" s="98"/>
      <c r="C729" s="98"/>
      <c r="D729" s="98"/>
      <c r="E729" s="9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221</v>
      </c>
      <c r="O729" s="39"/>
    </row>
    <row r="730" spans="1:15" ht="18" customHeight="1">
      <c r="A730" s="94" t="s">
        <v>223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7" t="s">
        <v>220</v>
      </c>
      <c r="B743" s="98"/>
      <c r="C743" s="98"/>
      <c r="D743" s="98"/>
      <c r="E743" s="9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7" t="s">
        <v>222</v>
      </c>
      <c r="B756" s="98"/>
      <c r="C756" s="98"/>
      <c r="D756" s="98"/>
      <c r="E756" s="9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221</v>
      </c>
      <c r="O756" s="39"/>
    </row>
    <row r="757" spans="1:15" ht="18" customHeight="1">
      <c r="A757" s="94" t="s">
        <v>223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7" t="s">
        <v>220</v>
      </c>
      <c r="B770" s="98"/>
      <c r="C770" s="98"/>
      <c r="D770" s="98"/>
      <c r="E770" s="9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7" t="s">
        <v>222</v>
      </c>
      <c r="B783" s="98"/>
      <c r="C783" s="98"/>
      <c r="D783" s="98"/>
      <c r="E783" s="9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221</v>
      </c>
      <c r="O783" s="39"/>
    </row>
    <row r="784" spans="1:15" ht="18" customHeight="1">
      <c r="A784" s="94" t="s">
        <v>223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7" t="s">
        <v>220</v>
      </c>
      <c r="B797" s="98"/>
      <c r="C797" s="98"/>
      <c r="D797" s="98"/>
      <c r="E797" s="9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7" t="s">
        <v>222</v>
      </c>
      <c r="B810" s="98"/>
      <c r="C810" s="98"/>
      <c r="D810" s="98"/>
      <c r="E810" s="9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221</v>
      </c>
      <c r="O810" s="39"/>
    </row>
    <row r="811" spans="1:15" ht="18" customHeight="1">
      <c r="A811" s="94" t="s">
        <v>223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2026-07-15T14:49:47Z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