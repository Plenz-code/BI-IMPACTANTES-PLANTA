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63" documentId="8_{AF585B22-221D-4780-BB9C-493D365A6A02}" xr6:coauthVersionLast="47" xr6:coauthVersionMax="47" xr10:uidLastSave="{7F7193A2-E0CE-4AE0-96F4-FA23ECC0476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<sst xmlns="http://schemas.openxmlformats.org/spreadsheetml/2006/main" count="5321" uniqueCount="303">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</sst>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14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80.8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298.3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4.4067476854252163E-2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8.087303240980781E-2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0.23156747685425222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/>
      <c r="M312" s="30">
        <f t="shared" ref="M312:M323" ca="1" si="70">IFERROR(IF(K312="","",IF(L312="",MOD(NOW()-K312,1),IF(L312&gt;=K312,L312-K312,L312+1-K312))),"")</f>
        <v>1.0734143521403894E-2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39</v>
      </c>
      <c r="G324" s="36">
        <f>SUM(G312:G323)</f>
        <v>163.80000000000001</v>
      </c>
      <c r="H324" s="37"/>
      <c r="I324" s="37"/>
      <c r="J324" s="37"/>
      <c r="K324" s="37"/>
      <c r="L324" s="37"/>
      <c r="M324" s="38">
        <f ca="1">IFERROR(SUM(M312:M323),"")</f>
        <v>1.0734143521403894E-2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108</v>
      </c>
      <c r="G325" s="40">
        <f>G311+G324</f>
        <v>458.40000000000003</v>
      </c>
      <c r="H325" s="41"/>
      <c r="I325" s="41"/>
      <c r="J325" s="41"/>
      <c r="K325" s="41"/>
      <c r="L325" s="41"/>
      <c r="M325" s="42">
        <f ca="1">IFERROR(M311+M324,"")</f>
        <v>0.11003969907695933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6" sqref="F3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0.70726192129950505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0.90656747685506067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1.2739285879661717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6.0734143517038319E-2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255.4</v>
      </c>
      <c r="H324" s="37"/>
      <c r="I324" s="37"/>
      <c r="J324" s="37"/>
      <c r="K324" s="61"/>
      <c r="L324" s="61"/>
      <c r="M324" s="38">
        <f ca="1">IFERROR(SUM(M312:M323),"")</f>
        <v>0.10101192129481606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87</v>
      </c>
      <c r="G325" s="40">
        <f>G311+G324</f>
        <v>381.4</v>
      </c>
      <c r="H325" s="41"/>
      <c r="I325" s="41"/>
      <c r="J325" s="41"/>
      <c r="K325" s="63"/>
      <c r="L325" s="63"/>
      <c r="M325" s="42">
        <f ca="1">IFERROR(M311+M324,"")</f>
        <v>0.5142063657392606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