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11" documentId="8_{AF585B22-221D-4780-BB9C-493D365A6A02}" xr6:coauthVersionLast="47" xr6:coauthVersionMax="47" xr10:uidLastSave="{2C8F9E2D-FFEF-46D0-A9E2-803B6118D26A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<sst xmlns="http://schemas.openxmlformats.org/spreadsheetml/2006/main" count="12350" uniqueCount="439">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</sst>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G812" sqref="G81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>
        <v>1802980</v>
      </c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233</v>
      </c>
      <c r="F812" s="100">
        <v>18</v>
      </c>
      <c r="G812" s="104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233</v>
      </c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233</v>
      </c>
      <c r="F814" s="100"/>
      <c r="G814" s="104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233</v>
      </c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233</v>
      </c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233</v>
      </c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233</v>
      </c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233</v>
      </c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233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233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233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233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18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18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91" activePane="bottomLeft" state="frozen"/>
      <selection pane="bottomLeft" activeCell="F812" sqref="F8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9.1346990739111789E-2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0.24898587962800067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0.35870810185022284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6.9819212963921018E-2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0.24065254629725438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0.38579143518614323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>
        <v>819240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11</v>
      </c>
      <c r="G812" s="104">
        <f>IF(F812="","",IF(E812="PC 17",F812*4.2,IF(E812="PC 19",F812*5,"")))</f>
        <v>46.2</v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11</v>
      </c>
      <c r="G824" s="109">
        <f>SUM(G812:G823)</f>
        <v>46.2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11</v>
      </c>
      <c r="G838" s="111">
        <f>G824+G837</f>
        <v>46.2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12" sqref="F8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>
        <v>291990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J812" sqref="J81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8.1624768521578517E-2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0.28093032407713414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0.64829143518824517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>
        <v>784390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/>
      <c r="G812" s="104" t="str">
        <f>IF(F812="","",IF(E812="PC 17",F812*4.2,IF(E812="PC 19",F812*5,"")))</f>
        <v/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/>
      <c r="M812" s="78">
        <f ca="1">IFERROR(IF(K812="","",IF(L812="",MOD(NOW()-K812,1),IF(L812&gt;=K812,L812-K812,L812+1-K812))),"")</f>
        <v>4.5414351843646728E-3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4.5414351843646728E-3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4.5414351843646728E-3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2026-07-31T11:56:39Z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