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428" documentId="8_{1D11E9C4-FEA4-4128-910F-91CB6BBF9255}" xr6:coauthVersionLast="47" xr6:coauthVersionMax="47" xr10:uidLastSave="{181C64A7-09A7-4EF2-9F08-0264D85D1446}"/>
  <bookViews>
    <workbookView xWindow="-110" yWindow="-110" windowWidth="25820" windowHeight="15500" tabRatio="500" firstSheet="2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785" i="2" l="1"/>
  <c r="L786" i="2"/>
  <c r="L787" i="2"/>
  <c r="L788" i="2"/>
  <c r="L789" i="2"/>
  <c r="L790" i="2"/>
  <c r="L791" i="2"/>
  <c r="L792" i="2"/>
  <c r="L793" i="2"/>
  <c r="L794" i="2"/>
  <c r="L795" i="2"/>
  <c r="L796" i="2"/>
  <c r="L797" i="2"/>
  <c r="L780" i="2"/>
  <c r="L781" i="2"/>
  <c r="L782" i="2"/>
  <c r="L783" i="2"/>
  <c r="L784" i="2"/>
  <c r="L792" i="4"/>
  <c r="L793" i="4"/>
  <c r="L794" i="4"/>
  <c r="F775" i="5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F796" i="2"/>
  <c r="F795" i="2"/>
  <c r="F794" i="2"/>
  <c r="F793" i="2"/>
  <c r="F792" i="2"/>
  <c r="F791" i="2"/>
  <c r="F790" i="2"/>
  <c r="F789" i="2"/>
  <c r="F788" i="2"/>
  <c r="F787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F785" i="2"/>
  <c r="N784" i="2"/>
  <c r="C32" i="6" s="1"/>
  <c r="E783" i="2"/>
  <c r="F782" i="2"/>
  <c r="F781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811" i="2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<sst xmlns="http://schemas.openxmlformats.org/spreadsheetml/2006/main" count="8681" uniqueCount="387">
  <si>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</si>
  <si>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</si>
  <si>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</si>
  <si>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</si>
  <si>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</si>
  <si>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</si>
  <si>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</si>
  <si>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</si>
  <si>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</si>
  <si>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</si>
  <si>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</si>
  <si>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</si>
  <si>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</si>
  <si>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</si>
  <si>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</si>
  <si>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</si>
  <si>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</si>
  <si>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</si>
  <si>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</si>
  <si>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</si>
  <si>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</si>
  <si>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</si>
  <si>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</si>
  <si>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</si>
  <si>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</si>
  <si>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</si>
  <si>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</si>
  <si>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</si>
  <si>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</si>
  <si>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</si>
  <si>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</si>
  <si>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</si>
  <si>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</si>
  <si>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</si>
  <si>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</si>
  <si>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</si>
  <si>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</si>
  <si>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</si>
  <si>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</si>
  <si>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</si>
  <si>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</si>
  <si>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</si>
  <si>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</si>
  <si>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</si>
  <si>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</si>
  <si>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</si>
  <si>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</si>
  <si>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</si>
  <si>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</si>
  <si>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</si>
  <si>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</si>
  <si>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</si>
  <si>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</si>
  <si>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</si>
  <si>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</si>
  <si>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</si>
  <si>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</si>
  <si>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</si>
  <si>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</si>
  <si>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</si>
  <si>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</si>
  <si>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</si>
  <si>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</si>
  <si>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</si>
  <si>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</si>
  <si>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</si>
  <si>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</si>
  <si>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</si>
  <si>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</si>
  <si>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</si>
  <si>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</si>
  <si>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</si>
  <si>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</si>
  <si>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</si>
  <si>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</si>
  <si>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</si>
  <si>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</si>
  <si>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</si>
  <si>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</si>
  <si>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</si>
  <si>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</si>
  <si>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</si>
  <si>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</si>
  <si>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</si>
  <si>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</si>
  <si>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</si>
  <si>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</si>
  <si>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</si>
  <si>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</si>
  <si>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</si>
  <si>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</si>
  <si>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</si>
  <si>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</si>
  <si>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</si>
  <si>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</si>
  <si>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</si>
  <si>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</si>
  <si>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</si>
  <si>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</si>
  <si>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</si>
  <si>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</si>
  <si>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</si>
  <si>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</si>
  <si>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</si>
  <si>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</si>
  <si>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</si>
  <si>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</si>
  <si>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</si>
  <si>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</si>
  <si>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</si>
  <si>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</si>
  <si>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</si>
  <si>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</si>
  <si>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</si>
  <si>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</si>
  <si>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</si>
  <si>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</si>
  <si>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</si>
  <si>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</si>
  <si>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</si>
  <si>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</si>
  <si>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</si>
  <si>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</si>
  <si>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</si>
  <si>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</si>
  <si>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</si>
  <si>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</si>
  <si>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</si>
  <si>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</si>
  <si>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</si>
  <si>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</si>
  <si>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</si>
  <si>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</si>
  <si>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</si>
  <si>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</si>
  <si>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</si>
  <si>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</si>
  <si>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</si>
  <si>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</si>
  <si>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</si>
  <si>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</si>
  <si>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</si>
  <si>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</si>
  <si>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</si>
  <si>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</si>
  <si>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</si>
  <si>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</si>
  <si>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</si>
  <si>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</si>
  <si>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</si>
  <si>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</si>
  <si>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</si>
  <si>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</si>
  <si>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</si>
  <si>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</si>
  <si>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</si>
  <si>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</si>
  <si>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</si>
  <si>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</si>
  <si>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</si>
  <si>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</si>
  <si>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</si>
  <si>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</si>
  <si>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</si>
  <si>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</si>
  <si>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</si>
  <si>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</si>
  <si>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</si>
  <si>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</si>
  <si>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</si>
  <si>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</si>
  <si>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</si>
  <si>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</si>
  <si>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</si>
  <si>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</si>
  <si>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</si>
  <si>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</si>
  <si>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</si>
  <si>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</si>
  <si>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</si>
  <si>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</si>
  <si>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</si>
  <si>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</si>
  <si>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</si>
  <si>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</si>
  <si>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</si>
  <si>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</si>
  <si>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</si>
  <si>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</si>
  <si>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</si>
  <si>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</si>
  <si>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</si>
  <si>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</si>
  <si>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</si>
  <si>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</si>
  <si>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</si>
  <si>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</si>
  <si>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</si>
  <si>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</si>
  <si>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</si>
  <si>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</si>
  <si>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</si>
  <si>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</si>
  <si>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</si>
  <si>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</si>
  <si>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</si>
  <si>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</si>
  <si>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</si>
  <si>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</si>
  <si>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</si>
  <si>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</si>
  <si>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</si>
  <si>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</si>
  <si>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</si>
  <si>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</si>
  <si>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</si>
  <si>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</si>
  <si>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</si>
  <si>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</si>
  <si>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</si>
  <si>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</si>
  <si>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</si>
  <si>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</si>
  <si>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</si>
  <si>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</si>
  <si>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</si>
  <si>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</si>
  <si>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</si>
  <si>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</si>
  <si>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</si>
  <si>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</si>
  <si>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</si>
  <si>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</si>
  <si>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</si>
  <si>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</si>
  <si>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</si>
  <si>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</si>
  <si>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</si>
  <si>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</si>
  <si>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</si>
  <si>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</si>
  <si>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</si>
  <si>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</si>
  <si>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</si>
  <si>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</si>
  <si>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</si>
  <si>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</si>
  <si>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</si>
  <si>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</si>
  <si>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</si>
  <si>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</si>
  <si>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</si>
  <si>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</si>
  <si>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</si>
  <si>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</si>
  <si>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</si>
  <si>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</si>
  <si>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</si>
  <si>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</si>
  <si>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</si>
  <si>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</si>
  <si>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</si>
  <si>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</si>
  <si>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</si>
  <si>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</si>
  <si>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</si>
  <si>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</si>
  <si>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</si>
  <si>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</si>
  <si>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</si>
  <si>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</si>
  <si>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</si>
  <si>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</si>
  <si>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</si>
  <si>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</si>
  <si>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</si>
  <si>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</si>
  <si>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</si>
  <si>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</si>
  <si>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</si>
  <si>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</si>
  <si>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</si>
  <si>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</si>
  <si>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</si>
  <si>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</si>
  <si>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</si>
  <si>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</si>
  <si>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</si>
  <si>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</si>
  <si>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</si>
  <si>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</si>
  <si>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</si>
  <si>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</si>
  <si>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</si>
  <si>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</si>
  <si>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</si>
  <si>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</si>
  <si>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</si>
  <si>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</si>
  <si>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</si>
  <si>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</si>
  <si>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</si>
  <si>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</si>
  <si>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</si>
  <si>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</si>
  <si>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</si>
  <si>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</si>
  <si>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</si>
  <si>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</si>
  <si>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</si>
  <si>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</si>
  <si>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</si>
  <si>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</si>
  <si>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</si>
  <si>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</si>
  <si>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</si>
  <si>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</si>
  <si>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</si>
  <si>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</si>
  <si>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</si>
  <si>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</si>
  <si>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</si>
  <si>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</si>
  <si>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</si>
  <si>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</si>
  <si>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</si>
  <si>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</si>
  <si>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</si>
  <si>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</si>
  <si>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</si>
  <si>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</si>
  <si>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</si>
  <si>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troca de grelha</t>
  </si>
  <si>
    <t>18;15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</si>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</sst>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25" activePane="bottomLeft" state="frozen"/>
      <selection pane="bottomLeft" activeCell="C33" sqref="C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930640</v>
      </c>
      <c r="D33" s="53">
        <f>IFERROR('Linha 1'!N811,"")</f>
        <v>698510</v>
      </c>
      <c r="E33" s="53">
        <f>IFERROR('Linha 2'!N811,"")</f>
        <v>279560</v>
      </c>
      <c r="F33" s="53">
        <f>IFERROR('Linha 3'!N811,"")</f>
        <v>638180</v>
      </c>
      <c r="G33" s="54">
        <f t="shared" si="0"/>
        <v>1616250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52396900</v>
      </c>
      <c r="D34" s="55">
        <f t="shared" si="1"/>
        <v>25807690</v>
      </c>
      <c r="E34" s="55">
        <f t="shared" si="1"/>
        <v>10511320</v>
      </c>
      <c r="F34" s="55">
        <f t="shared" si="1"/>
        <v>30540745</v>
      </c>
      <c r="G34" s="55">
        <f>IFERROR(SUM(G4:G33),"")</f>
        <v>66859755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91" activePane="bottomLeft" state="frozen"/>
      <selection pane="bottomLeft" activeCell="E799" sqref="E79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96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>
        <v>0.29166666666666669</v>
      </c>
      <c r="K785" s="13">
        <v>0.51875000000000004</v>
      </c>
      <c r="L785" s="71">
        <f t="shared" ref="L785:L796" si="178">IFERROR(IF(K785="","",IF(K785&gt;=J785,K785-J785,K785+1-J785)),"")</f>
        <v>0.22708333333333336</v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>
        <v>0.71250000000000002</v>
      </c>
      <c r="K786" s="13">
        <v>0.7270833333333333</v>
      </c>
      <c r="L786" s="70">
        <f t="shared" si="178"/>
        <v>1.4583333333333282E-2</v>
      </c>
      <c r="M786" s="29" t="s">
        <v>238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>
        <v>35</v>
      </c>
      <c r="F795" s="17">
        <f t="shared" si="177"/>
        <v>175</v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>
        <v>10</v>
      </c>
      <c r="F796" s="12">
        <f t="shared" si="177"/>
        <v>50</v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206</v>
      </c>
      <c r="F797" s="19">
        <f>SUM(F785:F796)</f>
        <v>1030</v>
      </c>
      <c r="G797" s="18"/>
      <c r="H797" s="18"/>
      <c r="I797" s="18"/>
      <c r="J797" s="18"/>
      <c r="K797" s="18"/>
      <c r="L797" s="72">
        <f>IFERROR(SUM(L785:L796),"")</f>
        <v>0.24166666666666664</v>
      </c>
      <c r="M797" s="19" t="s">
        <v>198</v>
      </c>
      <c r="N797" s="20">
        <v>930640</v>
      </c>
    </row>
    <row r="798" spans="1:14" ht="15" customHeight="1">
      <c r="A798" s="58">
        <v>46203</v>
      </c>
      <c r="B798" s="9">
        <v>0.83333333333333304</v>
      </c>
      <c r="C798" s="10" t="s">
        <v>45</v>
      </c>
      <c r="D798" s="10" t="s">
        <v>30</v>
      </c>
      <c r="E798" s="11">
        <v>14</v>
      </c>
      <c r="F798" s="12">
        <f t="shared" ref="F798:F809" si="180">IF(E798="","",E798*5)</f>
        <v>70</v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0" t="s">
        <v>45</v>
      </c>
      <c r="D799" s="10" t="s">
        <v>30</v>
      </c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 t="s">
        <v>45</v>
      </c>
      <c r="D800" s="10" t="s">
        <v>30</v>
      </c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0" t="s">
        <v>45</v>
      </c>
      <c r="D801" s="10" t="s">
        <v>30</v>
      </c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 t="s">
        <v>45</v>
      </c>
      <c r="D802" s="10" t="s">
        <v>30</v>
      </c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0" t="s">
        <v>45</v>
      </c>
      <c r="D803" s="10" t="s">
        <v>30</v>
      </c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 t="s">
        <v>45</v>
      </c>
      <c r="D804" s="10" t="s">
        <v>30</v>
      </c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0" t="s">
        <v>45</v>
      </c>
      <c r="D805" s="10" t="s">
        <v>30</v>
      </c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 t="s">
        <v>45</v>
      </c>
      <c r="D806" s="10" t="s">
        <v>30</v>
      </c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0" t="s">
        <v>45</v>
      </c>
      <c r="D807" s="10" t="s">
        <v>30</v>
      </c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 t="s">
        <v>45</v>
      </c>
      <c r="D808" s="10" t="s">
        <v>30</v>
      </c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0" t="s">
        <v>45</v>
      </c>
      <c r="D809" s="10" t="s">
        <v>30</v>
      </c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14</v>
      </c>
      <c r="F810" s="19">
        <f>SUM(F798:F809)</f>
        <v>70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220</v>
      </c>
      <c r="F811" s="22">
        <f>F797+F810</f>
        <v>1100</v>
      </c>
      <c r="G811" s="21"/>
      <c r="H811" s="21"/>
      <c r="I811" s="21"/>
      <c r="J811" s="21"/>
      <c r="K811" s="21"/>
      <c r="L811" s="73">
        <f>IFERROR(L797+L810,"")</f>
        <v>0.24166666666666664</v>
      </c>
      <c r="M811" s="22" t="s">
        <v>201</v>
      </c>
      <c r="N811" s="23">
        <f>IFERROR(N797+N810,"")</f>
        <v>930640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79" zoomScale="85" zoomScaleNormal="85" workbookViewId="0">
      <selection activeCell="K798" sqref="K79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239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246</v>
      </c>
      <c r="I139" s="16" t="s">
        <v>247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248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248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248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248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248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248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248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248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248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249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258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259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268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269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279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280</v>
      </c>
      <c r="J465" s="13">
        <v>0.70833333333333337</v>
      </c>
      <c r="K465" s="13" t="s">
        <v>281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288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289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298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299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308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309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311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312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313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>
        <v>0</v>
      </c>
      <c r="F794" s="80">
        <f>IF(E794="","",E794*4)</f>
        <v>0</v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>
        <v>21</v>
      </c>
      <c r="F795" s="93">
        <f>IF(E795="","",E795*4)</f>
        <v>84</v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>
        <v>8</v>
      </c>
      <c r="F796" s="80">
        <f>IF(E796="","",E796*4)</f>
        <v>32</v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100</v>
      </c>
      <c r="F797" s="19">
        <f>SUM(F785:F796)</f>
        <v>400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>
        <v>698510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11</v>
      </c>
      <c r="F798" s="80">
        <f>IF(E798="","",E798*4)</f>
        <v>44</v>
      </c>
      <c r="G798" s="76" t="s">
        <v>19</v>
      </c>
      <c r="H798" s="76" t="s">
        <v>151</v>
      </c>
      <c r="I798" s="76" t="s">
        <v>27</v>
      </c>
      <c r="J798" s="13">
        <v>0.83333333333333337</v>
      </c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76" t="s">
        <v>45</v>
      </c>
      <c r="D799" s="76" t="s">
        <v>30</v>
      </c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 t="s">
        <v>45</v>
      </c>
      <c r="D800" s="76" t="s">
        <v>30</v>
      </c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76" t="s">
        <v>45</v>
      </c>
      <c r="D801" s="76" t="s">
        <v>30</v>
      </c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 t="s">
        <v>45</v>
      </c>
      <c r="D802" s="76" t="s">
        <v>30</v>
      </c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76" t="s">
        <v>45</v>
      </c>
      <c r="D803" s="76" t="s">
        <v>30</v>
      </c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 t="s">
        <v>45</v>
      </c>
      <c r="D804" s="76" t="s">
        <v>30</v>
      </c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76" t="s">
        <v>45</v>
      </c>
      <c r="D805" s="76" t="s">
        <v>30</v>
      </c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 t="s">
        <v>45</v>
      </c>
      <c r="D806" s="76" t="s">
        <v>30</v>
      </c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76" t="s">
        <v>45</v>
      </c>
      <c r="D807" s="76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 t="s">
        <v>45</v>
      </c>
      <c r="D808" s="76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76" t="s">
        <v>45</v>
      </c>
      <c r="D809" s="76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11</v>
      </c>
      <c r="F810" s="19">
        <f>SUM(F798:F809)</f>
        <v>44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111</v>
      </c>
      <c r="F811" s="22">
        <f>F797+F810</f>
        <v>444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698510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95" activePane="bottomLeft" state="frozen"/>
      <selection pane="bottomLeft" activeCell="E799" sqref="E79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315</v>
      </c>
      <c r="I80" s="10" t="s">
        <v>242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316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316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317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318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319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320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321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278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322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282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323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288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324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325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326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327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328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329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309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330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331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313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 t="s">
        <v>332</v>
      </c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18</v>
      </c>
      <c r="H791" s="67" t="s">
        <v>47</v>
      </c>
      <c r="I791" s="67" t="s">
        <v>148</v>
      </c>
      <c r="J791" s="13">
        <v>0.72361111111111109</v>
      </c>
      <c r="K791" s="13">
        <v>0.74375000000000002</v>
      </c>
      <c r="L791" s="86">
        <f t="shared" si="174"/>
        <v>2.0138888888888928E-2</v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 t="s">
        <v>20</v>
      </c>
      <c r="H792" s="76" t="s">
        <v>47</v>
      </c>
      <c r="I792" s="76" t="s">
        <v>51</v>
      </c>
      <c r="J792" s="13" t="s">
        <v>333</v>
      </c>
      <c r="K792" s="13">
        <v>0.76666666666666672</v>
      </c>
      <c r="L792" s="86" t="str">
        <f t="shared" si="174"/>
        <v/>
      </c>
      <c r="M792" s="11" t="s">
        <v>313</v>
      </c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86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>
        <v>0</v>
      </c>
      <c r="F795" s="93">
        <f>IF(E795="","",E795*4)</f>
        <v>0</v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0.13958333333333328</v>
      </c>
      <c r="M797" s="19" t="s">
        <v>198</v>
      </c>
      <c r="N797" s="20">
        <v>279560</v>
      </c>
    </row>
    <row r="798" spans="1:14" ht="15" customHeight="1">
      <c r="A798" s="58">
        <v>46203</v>
      </c>
      <c r="B798" s="9">
        <v>0.83333333333333304</v>
      </c>
      <c r="C798" s="76" t="s">
        <v>45</v>
      </c>
      <c r="D798" s="76" t="s">
        <v>30</v>
      </c>
      <c r="E798" s="11">
        <v>8</v>
      </c>
      <c r="F798" s="80">
        <f>IF(E798="","",E798*4)</f>
        <v>32</v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76" t="s">
        <v>45</v>
      </c>
      <c r="D799" s="76" t="s">
        <v>30</v>
      </c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 t="s">
        <v>45</v>
      </c>
      <c r="D800" s="76" t="s">
        <v>30</v>
      </c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76" t="s">
        <v>45</v>
      </c>
      <c r="D801" s="76" t="s">
        <v>30</v>
      </c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 t="s">
        <v>45</v>
      </c>
      <c r="D802" s="76" t="s">
        <v>30</v>
      </c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76" t="s">
        <v>45</v>
      </c>
      <c r="D803" s="76" t="s">
        <v>30</v>
      </c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 t="s">
        <v>45</v>
      </c>
      <c r="D804" s="76" t="s">
        <v>30</v>
      </c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76" t="s">
        <v>45</v>
      </c>
      <c r="D805" s="76" t="s">
        <v>30</v>
      </c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 t="s">
        <v>45</v>
      </c>
      <c r="D806" s="76" t="s">
        <v>30</v>
      </c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76" t="s">
        <v>45</v>
      </c>
      <c r="D807" s="76" t="s">
        <v>30</v>
      </c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 t="s">
        <v>45</v>
      </c>
      <c r="D808" s="76" t="s">
        <v>30</v>
      </c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76" t="s">
        <v>45</v>
      </c>
      <c r="D809" s="76" t="s">
        <v>30</v>
      </c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8</v>
      </c>
      <c r="F810" s="19">
        <f>SUM(F798:F809)</f>
        <v>32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49</v>
      </c>
      <c r="F811" s="22">
        <f>F797+F810</f>
        <v>196</v>
      </c>
      <c r="G811" s="21"/>
      <c r="H811" s="21"/>
      <c r="I811" s="21"/>
      <c r="J811" s="21"/>
      <c r="K811" s="21"/>
      <c r="L811" s="73">
        <f>IFERROR(L797+L810,"")</f>
        <v>0.13958333333333328</v>
      </c>
      <c r="M811" s="22" t="s">
        <v>201</v>
      </c>
      <c r="N811" s="23">
        <f>IFERROR(N797+N810,"")</f>
        <v>279560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89" activePane="bottomLeft" state="frozen"/>
      <selection pane="bottomLeft" activeCell="E799" sqref="E79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318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320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332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356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357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282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358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359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360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361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362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363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364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365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366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367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368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369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370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371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372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373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374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375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376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377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378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379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380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381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382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309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330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383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331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384</v>
      </c>
      <c r="K786" s="13">
        <v>0.5395833333333333</v>
      </c>
      <c r="L786" s="77" t="str">
        <f t="shared" si="175"/>
        <v/>
      </c>
      <c r="M786" s="11" t="s">
        <v>385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386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>
        <v>8</v>
      </c>
      <c r="F795" s="93">
        <f>IF(E795="","",E795*4)</f>
        <v>32</v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>
        <v>0</v>
      </c>
      <c r="F796" s="80">
        <f>IF(E796="","",E796*4)</f>
        <v>0</v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104</v>
      </c>
      <c r="F797" s="19">
        <f>SUM(F785:F796)</f>
        <v>416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>
        <v>638180</v>
      </c>
    </row>
    <row r="798" spans="1:14" ht="15" customHeight="1">
      <c r="A798" s="94">
        <v>46203</v>
      </c>
      <c r="B798" s="95">
        <v>0.83333333333333304</v>
      </c>
      <c r="C798" s="76" t="s">
        <v>45</v>
      </c>
      <c r="D798" s="87" t="s">
        <v>30</v>
      </c>
      <c r="E798" s="11">
        <v>10</v>
      </c>
      <c r="F798" s="80">
        <f>IF(E798="","",E798*4)</f>
        <v>40</v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76" t="s">
        <v>45</v>
      </c>
      <c r="D799" s="87" t="s">
        <v>30</v>
      </c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 t="s">
        <v>45</v>
      </c>
      <c r="D800" s="87" t="s">
        <v>30</v>
      </c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76" t="s">
        <v>45</v>
      </c>
      <c r="D801" s="87" t="s">
        <v>30</v>
      </c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 t="s">
        <v>45</v>
      </c>
      <c r="D802" s="87" t="s">
        <v>30</v>
      </c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76" t="s">
        <v>45</v>
      </c>
      <c r="D803" s="87" t="s">
        <v>30</v>
      </c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 t="s">
        <v>45</v>
      </c>
      <c r="D804" s="87" t="s">
        <v>30</v>
      </c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76" t="s">
        <v>45</v>
      </c>
      <c r="D805" s="87" t="s">
        <v>30</v>
      </c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 t="s">
        <v>45</v>
      </c>
      <c r="D806" s="87" t="s">
        <v>30</v>
      </c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76" t="s">
        <v>45</v>
      </c>
      <c r="D807" s="87" t="s">
        <v>30</v>
      </c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 t="s">
        <v>45</v>
      </c>
      <c r="D808" s="87" t="s">
        <v>30</v>
      </c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76" t="s">
        <v>45</v>
      </c>
      <c r="D809" s="87" t="s">
        <v>30</v>
      </c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10</v>
      </c>
      <c r="F810" s="19">
        <f>SUM(F798:F809)</f>
        <v>40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114</v>
      </c>
      <c r="F811" s="22">
        <f>F797+F810</f>
        <v>456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638180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2026-07-01T00:17:25Z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