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11" documentId="8_{AF585B22-221D-4780-BB9C-493D365A6A02}" xr6:coauthVersionLast="47" xr6:coauthVersionMax="47" xr10:uidLastSave="{B9AE07F6-3D9B-4F78-9AD0-7E114E7702E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<sst xmlns="http://schemas.openxmlformats.org/spreadsheetml/2006/main" count="12502" uniqueCount="443">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</sst>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04" activePane="bottomLeft" state="frozen"/>
      <selection pane="bottomLeft" activeCell="L826" sqref="L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0.65114733795780921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0.8087862268466981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0.91850844906892026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0.62961956018261844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0.80045289351595184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0.94559178240484076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35</v>
      </c>
      <c r="G837" s="109">
        <f>SUM(G825:G836)</f>
        <v>159.80000000000001</v>
      </c>
      <c r="H837" s="37"/>
      <c r="I837" s="37"/>
      <c r="J837" s="37"/>
      <c r="K837" s="37"/>
      <c r="L837" s="37"/>
      <c r="M837" s="110">
        <f ca="1">IFERROR(SUM(M825:M836),"")</f>
        <v>4.8611111111110938E-3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204</v>
      </c>
      <c r="G838" s="111">
        <f>G824+G837</f>
        <v>869.60000000000014</v>
      </c>
      <c r="H838" s="41"/>
      <c r="I838" s="41"/>
      <c r="J838" s="41"/>
      <c r="K838" s="41"/>
      <c r="L838" s="41"/>
      <c r="M838" s="112">
        <f ca="1">IFERROR(M824+M837,"")</f>
        <v>0.10972222222222222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18</v>
      </c>
      <c r="G837" s="109">
        <f>SUM(G825:G836)</f>
        <v>84.4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483.4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L827" sqref="L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0.64142511574027594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0.84073067129583157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1.2080917824069426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/>
      <c r="G826" s="104" t="str">
        <f>IF(F826="","",IF(E826="PC 17",F826*4.2,IF(E826="PC 19",F826*5,"")))</f>
        <v/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