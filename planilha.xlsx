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67" documentId="8_{AF585B22-221D-4780-BB9C-493D365A6A02}" xr6:coauthVersionLast="47" xr6:coauthVersionMax="47" xr10:uidLastSave="{4F640346-1B48-4543-B3D8-97D98D96D8FB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<sst xmlns="http://schemas.openxmlformats.org/spreadsheetml/2006/main" count="5523" uniqueCount="308">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</sst>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F334" sqref="F3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257</v>
      </c>
      <c r="G338" s="36">
        <f>SUM(G326:G337)</f>
        <v>1285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257</v>
      </c>
      <c r="G352" s="40">
        <f>G338+G351</f>
        <v>1285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295" activePane="bottomLeft" state="frozen"/>
      <selection pane="bottomLeft" activeCell="F334" sqref="F3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10</v>
      </c>
      <c r="G328" s="28">
        <f t="shared" si="72"/>
        <v>42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11</v>
      </c>
      <c r="G333" s="34">
        <f t="shared" si="72"/>
        <v>46.2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126</v>
      </c>
      <c r="G338" s="36">
        <f>SUM(G326:G337)</f>
        <v>538.80000000000007</v>
      </c>
      <c r="H338" s="37"/>
      <c r="I338" s="37"/>
      <c r="J338" s="37"/>
      <c r="K338" s="37"/>
      <c r="L338" s="37"/>
      <c r="M338" s="38">
        <f ca="1">IFERROR(SUM(M326:M337),"")</f>
        <v>2.3611111111111083E-2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126</v>
      </c>
      <c r="G352" s="40">
        <f>G338+G351</f>
        <v>538.80000000000007</v>
      </c>
      <c r="H352" s="41"/>
      <c r="I352" s="41"/>
      <c r="J352" s="41"/>
      <c r="K352" s="41"/>
      <c r="L352" s="41"/>
      <c r="M352" s="42">
        <f ca="1">IFERROR(M338+M351,"")</f>
        <v>2.3611111111111083E-2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F334" sqref="F3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271</v>
      </c>
      <c r="N166" s="27" t="s">
        <v>272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234</v>
      </c>
      <c r="F331" s="27">
        <v>0</v>
      </c>
      <c r="G331" s="34">
        <f t="shared" si="72"/>
        <v>0</v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234</v>
      </c>
      <c r="F332" s="27">
        <v>0</v>
      </c>
      <c r="G332" s="28">
        <f t="shared" si="72"/>
        <v>0</v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15</v>
      </c>
      <c r="G338" s="36">
        <f>SUM(G326:G337)</f>
        <v>63.000000000000007</v>
      </c>
      <c r="H338" s="37"/>
      <c r="I338" s="37"/>
      <c r="J338" s="37"/>
      <c r="K338" s="37"/>
      <c r="L338" s="37"/>
      <c r="M338" s="38">
        <f ca="1">IFERROR(SUM(M326:M337),"")</f>
        <v>0.20972222222222231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15</v>
      </c>
      <c r="G352" s="40">
        <f>G338+G351</f>
        <v>63.000000000000007</v>
      </c>
      <c r="H352" s="41"/>
      <c r="I352" s="41"/>
      <c r="J352" s="41"/>
      <c r="K352" s="41"/>
      <c r="L352" s="41"/>
      <c r="M352" s="42">
        <f ca="1">IFERROR(M338+M351,"")</f>
        <v>0.20972222222222231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34" sqref="F33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286</v>
      </c>
      <c r="L58" s="29">
        <v>0.54097222222222219</v>
      </c>
      <c r="M58" s="30" t="str">
        <f t="shared" ca="1" si="13"/>
        <v/>
      </c>
      <c r="N58" s="27" t="s">
        <v>287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0.38032465278229211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0.57963020833784773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0.94699131944895876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234</v>
      </c>
      <c r="F328" s="27">
        <v>20</v>
      </c>
      <c r="G328" s="28">
        <f t="shared" ref="G328:G337" si="74">IF(F328="","",IF(E328="PC 17",F328*4.2,IF(E328="PC 19",F328*5,"")))</f>
        <v>84</v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234</v>
      </c>
      <c r="F333" s="27">
        <v>8</v>
      </c>
      <c r="G333" s="34">
        <f t="shared" si="74"/>
        <v>33.6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140</v>
      </c>
      <c r="G338" s="36">
        <f>SUM(G326:G337)</f>
        <v>600</v>
      </c>
      <c r="H338" s="37"/>
      <c r="I338" s="37"/>
      <c r="J338" s="37"/>
      <c r="K338" s="61"/>
      <c r="L338" s="61"/>
      <c r="M338" s="38">
        <f ca="1">IFERROR(SUM(M326:M337),"")</f>
        <v>4.2361111111111072E-2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140</v>
      </c>
      <c r="G352" s="40">
        <f>G338+G351</f>
        <v>600</v>
      </c>
      <c r="H352" s="41"/>
      <c r="I352" s="41"/>
      <c r="J352" s="41"/>
      <c r="K352" s="63"/>
      <c r="L352" s="63"/>
      <c r="M352" s="42">
        <f ca="1">IFERROR(M338+M351,"")</f>
        <v>4.2361111111111072E-2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2026-07-13T19:07:02Z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