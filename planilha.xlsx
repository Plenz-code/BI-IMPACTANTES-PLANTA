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17" documentId="8_{AF585B22-221D-4780-BB9C-493D365A6A02}" xr6:coauthVersionLast="47" xr6:coauthVersionMax="47" xr10:uidLastSave="{8704F4E1-B7C5-416B-8212-BAA52A1985A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<sst xmlns="http://schemas.openxmlformats.org/spreadsheetml/2006/main" count="6756" uniqueCount="330">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</sst>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L409" sqref="L4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207</v>
      </c>
      <c r="G419" s="36">
        <f>SUM(G407:G418)</f>
        <v>1035</v>
      </c>
      <c r="H419" s="37"/>
      <c r="I419" s="37"/>
      <c r="J419" s="37"/>
      <c r="K419" s="37"/>
      <c r="L419" s="37"/>
      <c r="M419" s="38">
        <f ca="1">IFERROR(SUM(M407:M418),"")</f>
        <v>2.0138888888888873E-2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207</v>
      </c>
      <c r="G433" s="40">
        <f>G419+G432</f>
        <v>1035</v>
      </c>
      <c r="H433" s="41"/>
      <c r="I433" s="41"/>
      <c r="J433" s="41"/>
      <c r="K433" s="41"/>
      <c r="L433" s="41"/>
      <c r="M433" s="42">
        <f ca="1">IFERROR(M419+M432,"")</f>
        <v>2.0138888888888873E-2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L413" sqref="L4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0.4474315972183831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0.60507048610727199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0.71479270832949415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15</v>
      </c>
      <c r="G413" s="34">
        <f t="shared" si="90"/>
        <v>63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>
        <v>12</v>
      </c>
      <c r="G415" s="34">
        <f t="shared" si="90"/>
        <v>50.400000000000006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100</v>
      </c>
      <c r="G419" s="36">
        <f>SUM(G407:G418)</f>
        <v>420</v>
      </c>
      <c r="H419" s="37"/>
      <c r="I419" s="37"/>
      <c r="J419" s="37"/>
      <c r="K419" s="37"/>
      <c r="L419" s="37"/>
      <c r="M419" s="38">
        <f ca="1">IFERROR(SUM(M407:M418),"")</f>
        <v>0.12152777777777773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100</v>
      </c>
      <c r="G433" s="40">
        <f>G419+G432</f>
        <v>420</v>
      </c>
      <c r="H433" s="41"/>
      <c r="I433" s="41"/>
      <c r="J433" s="41"/>
      <c r="K433" s="41"/>
      <c r="L433" s="41"/>
      <c r="M433" s="42">
        <f ca="1">IFERROR(M419+M432,"")</f>
        <v>0.12152777777777773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0" zoomScale="50" zoomScaleNormal="50" workbookViewId="0">
      <selection activeCell="L411" sqref="L4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258</v>
      </c>
      <c r="K141" s="29">
        <v>0.71597222222222223</v>
      </c>
      <c r="L141" s="29" t="s">
        <v>285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287</v>
      </c>
      <c r="N166" s="27" t="s">
        <v>288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244</v>
      </c>
      <c r="F415" s="27">
        <v>3</v>
      </c>
      <c r="G415" s="34">
        <f t="shared" si="90"/>
        <v>12.600000000000001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48</v>
      </c>
      <c r="G419" s="36">
        <f>SUM(G407:G418)</f>
        <v>201.6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48</v>
      </c>
      <c r="G433" s="40">
        <f>G419+G432</f>
        <v>201.6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L411" sqref="L41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302</v>
      </c>
      <c r="L58" s="29">
        <v>0.54097222222222219</v>
      </c>
      <c r="M58" s="30" t="str">
        <f t="shared" ca="1" si="13"/>
        <v/>
      </c>
      <c r="N58" s="27" t="s">
        <v>303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0.43770937500084983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0.63701493055640546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1.0043760416675165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/>
      <c r="M412" s="30">
        <f t="shared" ca="1" si="91"/>
        <v>3.007048610743368E-2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244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244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244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94</v>
      </c>
      <c r="G419" s="36">
        <f>SUM(G407:G418)</f>
        <v>394.8</v>
      </c>
      <c r="H419" s="37"/>
      <c r="I419" s="37"/>
      <c r="J419" s="37"/>
      <c r="K419" s="61"/>
      <c r="L419" s="61"/>
      <c r="M419" s="38">
        <f ca="1">IFERROR(SUM(M407:M418),"")</f>
        <v>0.2203482638852115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94</v>
      </c>
      <c r="G433" s="40">
        <f>G419+G432</f>
        <v>394.8</v>
      </c>
      <c r="H433" s="41"/>
      <c r="I433" s="41"/>
      <c r="J433" s="41"/>
      <c r="K433" s="63"/>
      <c r="L433" s="63"/>
      <c r="M433" s="42">
        <f ca="1">IFERROR(M419+M432,"")</f>
        <v>0.2203482638852115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2026-07-16T20:30:34Z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