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19" documentId="8_{AF585B22-221D-4780-BB9C-493D365A6A02}" xr6:coauthVersionLast="47" xr6:coauthVersionMax="47" xr10:uidLastSave="{1E59336C-5EFA-4DEF-8547-F31A153BB102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<sst xmlns="http://schemas.openxmlformats.org/spreadsheetml/2006/main" count="11739" uniqueCount="426">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</sst>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F772" sqref="F77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30</v>
      </c>
      <c r="G783" s="36">
        <f>SUM(G771:G782)</f>
        <v>150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380</v>
      </c>
      <c r="G784" s="40">
        <f>G770+G783</f>
        <v>1900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0" activePane="bottomLeft" state="frozen"/>
      <selection pane="bottomLeft" activeCell="F772" sqref="F7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0.59821874999761349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0.75585763888650237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0.86557986110872454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0.57669097222242272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0.74752430555575611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0.89266319444464504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259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23</v>
      </c>
      <c r="G783" s="36">
        <f>SUM(G771:G782)</f>
        <v>96.600000000000009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157</v>
      </c>
      <c r="G784" s="40">
        <f>G770+G783</f>
        <v>667.40000000000009</v>
      </c>
      <c r="H784" s="41"/>
      <c r="I784" s="41"/>
      <c r="J784" s="41"/>
      <c r="K784" s="41"/>
      <c r="L784" s="41"/>
      <c r="M784" s="42">
        <f ca="1">IFERROR(M770+M783,"")</f>
        <v>9.5138888888888828E-2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72" sqref="F7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/>
      <c r="M771" s="35">
        <f t="shared" ref="M771:M782" ca="1" si="172">IFERROR(IF(K771="","",IF(L771="",MOD(NOW()-K771,1),IF(L771&gt;=K771,L771-K771,L771+1-K771))),"")</f>
        <v>2.1135416667675599E-2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259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10</v>
      </c>
      <c r="G783" s="36">
        <f>SUM(G771:G782)</f>
        <v>42</v>
      </c>
      <c r="H783" s="37"/>
      <c r="I783" s="37"/>
      <c r="J783" s="37"/>
      <c r="K783" s="37"/>
      <c r="L783" s="37"/>
      <c r="M783" s="38">
        <f ca="1">IFERROR(SUM(M771:M782),"")</f>
        <v>2.1135416667675599E-2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51</v>
      </c>
      <c r="G784" s="40">
        <f>G770+G783</f>
        <v>218.2</v>
      </c>
      <c r="H784" s="41"/>
      <c r="I784" s="41"/>
      <c r="J784" s="41"/>
      <c r="K784" s="41"/>
      <c r="L784" s="41"/>
      <c r="M784" s="42">
        <f ca="1">IFERROR(M770+M783,"")</f>
        <v>0.13502430555656453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F772" sqref="F77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0.58849652778008021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0.78780208333563584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1.1551631944467469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259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30</v>
      </c>
      <c r="G783" s="36">
        <f>SUM(G771:G782)</f>
        <v>126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38</v>
      </c>
      <c r="G784" s="40">
        <f>G770+G783</f>
        <v>159.6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2026-07-30T00:06:57Z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