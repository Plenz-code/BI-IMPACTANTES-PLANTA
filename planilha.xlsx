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616" documentId="8_{1D11E9C4-FEA4-4128-910F-91CB6BBF9255}" xr6:coauthVersionLast="47" xr6:coauthVersionMax="47" xr10:uidLastSave="{B5BB4A96-6F8E-4229-8ACA-DCAC01755F4A}"/>
  <bookViews>
    <workbookView xWindow="-110" yWindow="-110" windowWidth="25820" windowHeight="15500" tabRatio="500" firstSheet="2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<sst xmlns="http://schemas.openxmlformats.org/spreadsheetml/2006/main" count="8060" uniqueCount="366">
  <si>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</si>
  <si>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</si>
  <si>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</si>
  <si>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</si>
  <si>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</si>
  <si>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</si>
  <si>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</si>
  <si>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</si>
  <si>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</si>
  <si>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</si>
  <si>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</si>
  <si>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</si>
  <si>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</si>
  <si>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</si>
  <si>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</si>
  <si>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</si>
  <si>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</si>
  <si>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</si>
  <si>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</si>
  <si>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</si>
  <si>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</si>
  <si>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</si>
  <si>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</si>
  <si>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</si>
  <si>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</si>
  <si>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</si>
  <si>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</si>
  <si>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</si>
  <si>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</si>
  <si>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</si>
  <si>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</si>
  <si>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</si>
  <si>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</si>
  <si>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</si>
  <si>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</si>
  <si>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</si>
  <si>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</si>
  <si>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</si>
  <si>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</si>
  <si>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</si>
  <si>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</si>
  <si>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</si>
  <si>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</si>
  <si>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</si>
  <si>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</si>
  <si>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</si>
  <si>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</si>
  <si>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</si>
  <si>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</si>
  <si>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</si>
  <si>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</si>
  <si>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</si>
  <si>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</si>
  <si>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</si>
  <si>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</si>
  <si>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</si>
  <si>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</si>
  <si>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</si>
  <si>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</si>
  <si>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</si>
  <si>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</si>
  <si>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</si>
  <si>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</si>
  <si>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</si>
  <si>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</si>
  <si>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</si>
  <si>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</si>
  <si>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</si>
  <si>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</si>
  <si>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</si>
  <si>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</si>
  <si>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</si>
  <si>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</si>
  <si>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</si>
  <si>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</si>
  <si>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</si>
  <si>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</si>
  <si>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</si>
  <si>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</si>
  <si>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</si>
  <si>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</si>
  <si>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</si>
  <si>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</si>
  <si>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</si>
  <si>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</si>
  <si>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</si>
  <si>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</si>
  <si>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</si>
  <si>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</si>
  <si>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</si>
  <si>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</si>
  <si>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</si>
  <si>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</si>
  <si>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</si>
  <si>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</si>
  <si>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</si>
  <si>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</si>
  <si>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</si>
  <si>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</si>
  <si>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</si>
  <si>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</si>
  <si>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</si>
  <si>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</si>
  <si>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</si>
  <si>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</si>
  <si>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</si>
  <si>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</si>
  <si>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</si>
  <si>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</si>
  <si>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</si>
  <si>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</si>
  <si>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</si>
  <si>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</si>
  <si>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</si>
  <si>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</si>
  <si>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</si>
  <si>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</si>
  <si>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</si>
  <si>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</si>
  <si>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</si>
  <si>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</si>
  <si>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</si>
  <si>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</si>
  <si>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</si>
  <si>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</si>
  <si>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</si>
  <si>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</si>
  <si>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</si>
  <si>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</si>
  <si>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</si>
  <si>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</si>
  <si>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</si>
  <si>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</si>
  <si>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</si>
  <si>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</si>
  <si>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</si>
  <si>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</si>
  <si>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</si>
  <si>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</si>
  <si>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</si>
  <si>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</si>
  <si>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</si>
  <si>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</si>
  <si>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</si>
  <si>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</si>
  <si>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</si>
  <si>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</si>
  <si>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</si>
  <si>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</si>
  <si>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</si>
  <si>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</si>
  <si>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</si>
  <si>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</si>
  <si>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</si>
  <si>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</si>
  <si>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</si>
  <si>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</si>
  <si>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</si>
  <si>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</si>
  <si>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</si>
  <si>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</si>
  <si>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</si>
  <si>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</si>
  <si>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</si>
  <si>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</si>
  <si>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</si>
  <si>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</si>
  <si>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</si>
  <si>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</si>
  <si>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</si>
  <si>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</si>
  <si>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</si>
  <si>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</si>
  <si>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</si>
  <si>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</si>
  <si>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</si>
  <si>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</si>
  <si>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</si>
  <si>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</si>
  <si>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</si>
  <si>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</si>
  <si>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</si>
  <si>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</si>
  <si>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</si>
  <si>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</si>
  <si>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</si>
  <si>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</si>
  <si>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</si>
  <si>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</si>
  <si>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</si>
  <si>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</si>
  <si>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</si>
  <si>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</si>
  <si>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</si>
  <si>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</si>
  <si>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</si>
  <si>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</si>
  <si>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</si>
  <si>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</si>
  <si>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</si>
  <si>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</si>
  <si>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</si>
  <si>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</si>
  <si>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</si>
  <si>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</si>
  <si>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</si>
  <si>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</si>
  <si>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</si>
  <si>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</si>
  <si>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</si>
  <si>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</si>
  <si>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</si>
  <si>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</si>
  <si>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</si>
  <si>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</si>
  <si>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</si>
  <si>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</si>
  <si>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</si>
  <si>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</si>
  <si>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</si>
  <si>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</si>
  <si>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</si>
  <si>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</si>
  <si>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</si>
  <si>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</si>
  <si>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</si>
  <si>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</si>
  <si>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</si>
  <si>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</si>
  <si>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</si>
  <si>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</si>
  <si>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</si>
  <si>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</si>
  <si>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</si>
  <si>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</si>
  <si>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</si>
  <si>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</si>
  <si>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</si>
  <si>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</si>
  <si>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</si>
  <si>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</si>
  <si>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</si>
  <si>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</si>
  <si>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</si>
  <si>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</si>
  <si>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</si>
  <si>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</si>
  <si>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</si>
  <si>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</si>
  <si>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</si>
  <si>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</si>
  <si>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</si>
  <si>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</si>
  <si>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</si>
  <si>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</si>
  <si>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</si>
  <si>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</si>
  <si>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</si>
  <si>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</si>
  <si>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</si>
  <si>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</si>
  <si>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</si>
  <si>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</si>
  <si>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</si>
  <si>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</si>
  <si>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</si>
  <si>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</si>
  <si>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</si>
  <si>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</si>
  <si>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</si>
  <si>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</si>
  <si>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</si>
  <si>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</si>
  <si>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</si>
  <si>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</si>
  <si>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</si>
  <si>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</si>
  <si>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</si>
  <si>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</si>
  <si>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</si>
  <si>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</si>
  <si>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</si>
  <si>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</si>
  <si>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</si>
  <si>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</si>
  <si>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</si>
  <si>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</si>
  <si>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</si>
  <si>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</si>
  <si>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</si>
  <si>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</si>
  <si>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</si>
  <si>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</si>
  <si>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</si>
  <si>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</si>
  <si>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</si>
  <si>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</si>
  <si>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pola 1 e  4 e rejeito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</si>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</sst>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45945830</v>
      </c>
      <c r="D34" s="55">
        <f t="shared" si="1"/>
        <v>23390500</v>
      </c>
      <c r="E34" s="55">
        <f t="shared" si="1"/>
        <v>9211370</v>
      </c>
      <c r="F34" s="55">
        <f t="shared" si="1"/>
        <v>26341455</v>
      </c>
      <c r="G34" s="55">
        <f t="shared" si="1"/>
        <v>58943325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3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3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3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3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3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3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3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3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3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3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3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3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3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3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3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3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3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3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175</v>
      </c>
      <c r="L48" s="3"/>
      <c r="M48" s="3"/>
    </row>
    <row r="49" spans="1:13" ht="18" customHeight="1">
      <c r="H49" s="103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3"/>
      <c r="I50" s="3"/>
      <c r="J50" s="3"/>
      <c r="K50" s="3"/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15" activePane="bottomLeft" state="frozen"/>
      <selection pane="bottomLeft" activeCell="E739" sqref="E739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8" t="s">
        <v>191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165</v>
      </c>
      <c r="F743" s="19">
        <f>SUM(F731:F742)</f>
        <v>825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10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10"/>
      <c r="D757" s="22"/>
      <c r="E757" s="22">
        <f>E743+E756</f>
        <v>165</v>
      </c>
      <c r="F757" s="22">
        <f>F743+F756</f>
        <v>825</v>
      </c>
      <c r="G757" s="21"/>
      <c r="H757" s="21"/>
      <c r="I757" s="21"/>
      <c r="J757" s="21"/>
      <c r="K757" s="21"/>
      <c r="L757" s="73">
        <f>IFERROR(L743+L756,"")</f>
        <v>0.15069444444444452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C447:C757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01" zoomScale="85" zoomScaleNormal="85" workbookViewId="0">
      <selection activeCell="E741" sqref="E74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188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8" t="s">
        <v>191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/>
      <c r="H732" s="10"/>
      <c r="I732" s="16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93</v>
      </c>
      <c r="F743" s="19">
        <f>SUM(F731:F742)</f>
        <v>372</v>
      </c>
      <c r="G743" s="18"/>
      <c r="H743" s="18"/>
      <c r="I743" s="18"/>
      <c r="J743" s="18"/>
      <c r="K743" s="18"/>
      <c r="L743" s="72">
        <f>IFERROR(SUM(L731:L742),"")</f>
        <v>0.16249999999999998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93</v>
      </c>
      <c r="F757" s="22">
        <f>F743+F756</f>
        <v>372</v>
      </c>
      <c r="G757" s="21"/>
      <c r="H757" s="21"/>
      <c r="I757" s="21"/>
      <c r="J757" s="21"/>
      <c r="K757" s="21"/>
      <c r="L757" s="73">
        <f>IFERROR(L743+L756,"")</f>
        <v>0.16249999999999998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41" sqref="E74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298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8" t="s">
        <v>191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8" t="s">
        <v>191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299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8" t="s">
        <v>191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8" t="s">
        <v>191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8" t="s">
        <v>191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300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301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302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305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308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309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310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311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312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313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0.64236111111111116</v>
      </c>
      <c r="K732" s="13">
        <v>0.64583333333333337</v>
      </c>
      <c r="L732" s="70">
        <f t="shared" si="163"/>
        <v>3.4722222222222099E-3</v>
      </c>
      <c r="M732" s="11" t="s">
        <v>314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22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22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22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22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22</v>
      </c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32</v>
      </c>
      <c r="F743" s="19">
        <f>SUM(F731:F742)</f>
        <v>128</v>
      </c>
      <c r="G743" s="18"/>
      <c r="H743" s="18"/>
      <c r="I743" s="18"/>
      <c r="J743" s="18"/>
      <c r="K743" s="18"/>
      <c r="L743" s="72">
        <f>IFERROR(SUM(L731:L742),"")</f>
        <v>0.20763888888888893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32</v>
      </c>
      <c r="F757" s="22">
        <f>F743+F756</f>
        <v>128</v>
      </c>
      <c r="G757" s="21"/>
      <c r="H757" s="21"/>
      <c r="I757" s="21"/>
      <c r="J757" s="21"/>
      <c r="K757" s="21"/>
      <c r="L757" s="73">
        <f>IFERROR(L743+L756,"")</f>
        <v>0.20763888888888893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15" activePane="bottomLeft" state="frozen"/>
      <selection pane="bottomLeft" activeCell="E741" sqref="E741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315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316</v>
      </c>
      <c r="I2" s="10" t="s">
        <v>317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316</v>
      </c>
      <c r="I3" s="16" t="s">
        <v>317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316</v>
      </c>
      <c r="I4" s="10" t="s">
        <v>317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316</v>
      </c>
      <c r="I5" s="16" t="s">
        <v>317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316</v>
      </c>
      <c r="I6" s="10" t="s">
        <v>317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316</v>
      </c>
      <c r="I7" s="16" t="s">
        <v>317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316</v>
      </c>
      <c r="I8" s="10" t="s">
        <v>317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316</v>
      </c>
      <c r="I9" s="16" t="s">
        <v>317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316</v>
      </c>
      <c r="I10" s="10" t="s">
        <v>317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316</v>
      </c>
      <c r="I11" s="16" t="s">
        <v>317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316</v>
      </c>
      <c r="I12" s="10" t="s">
        <v>317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316</v>
      </c>
      <c r="I13" s="16" t="s">
        <v>317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320</v>
      </c>
      <c r="I33" s="16" t="s">
        <v>321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322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302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304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8" t="s">
        <v>191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188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341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342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343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344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345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346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347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348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349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350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351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352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353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354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341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355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356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357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358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359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360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361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362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363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364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365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0.64236111111111116</v>
      </c>
      <c r="K733" s="13">
        <v>0.64583333333333337</v>
      </c>
      <c r="L733" s="71">
        <f t="shared" si="164"/>
        <v>3.4722222222222099E-3</v>
      </c>
      <c r="M733" s="11" t="s">
        <v>314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105</v>
      </c>
      <c r="F743" s="19">
        <f>SUM(F731:F742)</f>
        <v>420</v>
      </c>
      <c r="G743" s="38"/>
      <c r="H743" s="38"/>
      <c r="I743" s="38"/>
      <c r="J743" s="38"/>
      <c r="K743" s="38"/>
      <c r="L743" s="72">
        <f>IFERROR(SUM(L731:L742),"")</f>
        <v>0.10763888888888884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105</v>
      </c>
      <c r="F757" s="22">
        <f>F743+F756</f>
        <v>420</v>
      </c>
      <c r="G757" s="39"/>
      <c r="H757" s="39"/>
      <c r="I757" s="39"/>
      <c r="J757" s="39"/>
      <c r="K757" s="39"/>
      <c r="L757" s="73">
        <f>IFERROR(L743+L756,"")</f>
        <v>0.10763888888888884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188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190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110" t="s">
        <v>191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2026-06-28T21:06:35Z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