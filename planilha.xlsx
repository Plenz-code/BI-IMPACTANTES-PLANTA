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627" documentId="8_{AF585B22-221D-4780-BB9C-493D365A6A02}" xr6:coauthVersionLast="47" xr6:coauthVersionMax="47" xr10:uidLastSave="{22C2D435-83CB-48F1-999E-D5D317E47A32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<sst xmlns="http://schemas.openxmlformats.org/spreadsheetml/2006/main" count="4335" uniqueCount="281">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</sst>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26323330</v>
      </c>
      <c r="D35" s="13">
        <f>IFERROR(SUM(D4:D34),"")</f>
        <v>9218510</v>
      </c>
      <c r="E35" s="13">
        <f>IFERROR(SUM(E4:E34),"")</f>
        <v>6477270</v>
      </c>
      <c r="F35" s="13">
        <f>IFERROR(SUM(F4:F34),"")</f>
        <v>11510180</v>
      </c>
      <c r="G35" s="13">
        <f>IFERROR(SUM(G4:G34),"")</f>
        <v>27205960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24" activePane="bottomLeft" state="frozen"/>
      <selection pane="bottomLeft" activeCell="F247" sqref="F24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213</v>
      </c>
      <c r="O243" s="39">
        <v>1545480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210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210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210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210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210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210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210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210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210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210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35</v>
      </c>
      <c r="G257" s="36">
        <f>SUM(G245:G256)</f>
        <v>175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35</v>
      </c>
      <c r="G271" s="40">
        <f>G257+G270</f>
        <v>175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24" activePane="bottomLeft" state="frozen"/>
      <selection pane="bottomLeft" activeCell="L246" sqref="L24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238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213</v>
      </c>
      <c r="O243" s="78">
        <v>849060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223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223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223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24</v>
      </c>
      <c r="G257" s="36">
        <f>SUM(G245:G256)</f>
        <v>100.8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24</v>
      </c>
      <c r="G271" s="40">
        <f>G257+G270</f>
        <v>100.8</v>
      </c>
      <c r="H271" s="41"/>
      <c r="I271" s="41"/>
      <c r="J271" s="41"/>
      <c r="K271" s="41"/>
      <c r="L271" s="41"/>
      <c r="M271" s="42">
        <f ca="1">IFERROR(M257+M270,"")</f>
        <v>7.2222222222222243E-2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23" zoomScale="50" zoomScaleNormal="50" workbookViewId="0">
      <selection activeCell="F247" sqref="F24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254</v>
      </c>
      <c r="N166" s="27" t="s">
        <v>255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213</v>
      </c>
      <c r="O243" s="39">
        <v>575930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223</v>
      </c>
      <c r="F245" s="27">
        <v>25</v>
      </c>
      <c r="G245" s="28">
        <f t="shared" ref="G245:G256" si="54">IF(F245="","",IF(E245="PC 17",F245*4.2,IF(E245="PC 19",F245*5,"")))</f>
        <v>105</v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223</v>
      </c>
      <c r="F246" s="27">
        <v>15</v>
      </c>
      <c r="G246" s="34">
        <f t="shared" si="54"/>
        <v>63</v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223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223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223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40</v>
      </c>
      <c r="G257" s="36">
        <f>SUM(G245:G256)</f>
        <v>168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40</v>
      </c>
      <c r="G271" s="40">
        <f>G257+G270</f>
        <v>168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17" activePane="bottomLeft" state="frozen"/>
      <selection pane="bottomLeft" activeCell="F247" sqref="F24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261</v>
      </c>
      <c r="L58" s="29">
        <v>0.54097222222222219</v>
      </c>
      <c r="M58" s="30" t="str">
        <f t="shared" ca="1" si="13"/>
        <v/>
      </c>
      <c r="N58" s="27" t="s">
        <v>262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0.15695011574280215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0.35625567129835778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0.72361678240946881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213</v>
      </c>
      <c r="O243" s="39">
        <v>982340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223</v>
      </c>
      <c r="F245" s="27">
        <v>15</v>
      </c>
      <c r="G245" s="28">
        <f t="shared" ref="G245:G256" si="54">IF(F245="","",IF(E245="PC 17",F245*4.2,IF(E245="PC 19",F245*5,"")))</f>
        <v>63</v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223</v>
      </c>
      <c r="F246" s="27">
        <v>20</v>
      </c>
      <c r="G246" s="34">
        <f t="shared" si="54"/>
        <v>84</v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223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223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223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35</v>
      </c>
      <c r="G257" s="36">
        <f>SUM(G245:G256)</f>
        <v>147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35</v>
      </c>
      <c r="G271" s="40">
        <f>G257+G270</f>
        <v>147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2026-07-10T13:45:15Z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