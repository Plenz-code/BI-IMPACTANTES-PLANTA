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684" documentId="13_ncr:1_{A6DBCFB4-28D9-4249-9038-216934055CA6}" xr6:coauthVersionLast="47" xr6:coauthVersionMax="47" xr10:uidLastSave="{95AECD17-217A-43E6-A9AF-5147805038EB}"/>
  <bookViews>
    <workbookView xWindow="-110" yWindow="-110" windowWidth="25820" windowHeight="15500" tabRatio="500" firstSheet="3" activeTab="3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F557" i="6"/>
  <c r="Q556" i="6"/>
  <c r="Q567" i="6" s="1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F560" i="5"/>
  <c r="Q559" i="5"/>
  <c r="K559" i="5"/>
  <c r="I559" i="5"/>
  <c r="H559" i="5"/>
  <c r="F559" i="5"/>
  <c r="Q558" i="5"/>
  <c r="K558" i="5"/>
  <c r="I558" i="5"/>
  <c r="H558" i="5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60" i="4" l="1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<sst xmlns="http://schemas.openxmlformats.org/spreadsheetml/2006/main" count="9416" uniqueCount="414">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</sst>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24" sqref="G24:G3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59" t="s">
        <v>0</v>
      </c>
      <c r="B1" s="159"/>
      <c r="C1" s="159"/>
      <c r="D1" s="159"/>
      <c r="E1" s="159"/>
      <c r="F1" s="159"/>
      <c r="G1" s="159"/>
      <c r="H1" s="159"/>
      <c r="I1" s="159"/>
      <c r="J1" s="159"/>
      <c r="K1" s="159"/>
      <c r="L1" s="159"/>
    </row>
    <row r="2" spans="1:12" ht="30" customHeight="1">
      <c r="A2" s="160"/>
      <c r="B2" s="16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216930</v>
      </c>
      <c r="E24" s="19">
        <f>IFERROR('Linha 2'!S568,"")</f>
        <v>39890</v>
      </c>
      <c r="F24" s="19">
        <f>IFERROR('Linha 3'!S568,"")</f>
        <v>766150</v>
      </c>
      <c r="G24" s="20">
        <f t="shared" si="0"/>
        <v>1022970</v>
      </c>
      <c r="H24" s="21">
        <f>IFERROR('Linha 1'!T568+'Linha 2'!T568+'Linha 3'!T568,0)</f>
        <v>147.30768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1" t="s">
        <v>16</v>
      </c>
      <c r="B35" s="161"/>
      <c r="C35" s="30">
        <f t="shared" ref="C35:I35" si="2">IFERROR(SUM(C4:C34),"")</f>
        <v>74069910</v>
      </c>
      <c r="D35" s="30">
        <f t="shared" si="2"/>
        <v>24659450</v>
      </c>
      <c r="E35" s="30">
        <f t="shared" si="2"/>
        <v>12971540</v>
      </c>
      <c r="F35" s="30">
        <f t="shared" si="2"/>
        <v>32182760</v>
      </c>
      <c r="G35" s="30">
        <f t="shared" si="2"/>
        <v>69813750</v>
      </c>
      <c r="H35" s="31">
        <f t="shared" si="2"/>
        <v>6312.9931526915116</v>
      </c>
      <c r="I35" s="31">
        <f t="shared" si="2"/>
        <v>4967.05</v>
      </c>
      <c r="J35" s="32">
        <f>I35/H35</f>
        <v>0.78679793876892201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" zoomScale="85" zoomScaleNormal="85" workbookViewId="0">
      <selection activeCell="R60" sqref="R60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2" t="s">
        <v>17</v>
      </c>
      <c r="B1" s="162"/>
      <c r="C1" s="162"/>
      <c r="D1" s="162"/>
      <c r="E1" s="162"/>
      <c r="F1" s="162"/>
      <c r="G1" s="162"/>
      <c r="H1" s="162"/>
      <c r="I1" s="162"/>
      <c r="J1" s="162"/>
      <c r="K1" s="162"/>
      <c r="L1" s="162"/>
      <c r="M1" s="163"/>
      <c r="N1" s="164" t="s">
        <v>18</v>
      </c>
      <c r="O1" s="164"/>
      <c r="P1" s="164"/>
      <c r="Q1" s="164"/>
      <c r="R1" s="164"/>
    </row>
    <row r="2" spans="1:18" ht="4.5" customHeight="1">
      <c r="M2" s="16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3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3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3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3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3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3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3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3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3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3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3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3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3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3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3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3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3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3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3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3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3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3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3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3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3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3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3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3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3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3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3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3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3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3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3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3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3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3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3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3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3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3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3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3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3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3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3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3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3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3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3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3"/>
      <c r="N59" s="40"/>
      <c r="O59" s="40"/>
      <c r="P59" s="40" t="s">
        <v>222</v>
      </c>
      <c r="Q59" s="40"/>
      <c r="R59" s="40" t="s">
        <v>223</v>
      </c>
    </row>
    <row r="60" spans="1:18" ht="15" customHeight="1">
      <c r="M60" s="163"/>
      <c r="N60" s="37"/>
      <c r="O60" s="37"/>
      <c r="P60" s="53" t="s">
        <v>114</v>
      </c>
      <c r="Q60" s="37"/>
      <c r="R60" s="37"/>
    </row>
    <row r="61" spans="1:18" ht="15" customHeight="1">
      <c r="M61" s="163"/>
      <c r="N61" s="40"/>
      <c r="O61" s="40"/>
      <c r="P61" s="40" t="s">
        <v>224</v>
      </c>
      <c r="Q61" s="40"/>
      <c r="R61" s="40"/>
    </row>
    <row r="62" spans="1:18" ht="15" customHeight="1">
      <c r="M62" s="163"/>
      <c r="N62" s="37"/>
      <c r="O62" s="37"/>
      <c r="P62" s="37" t="s">
        <v>225</v>
      </c>
      <c r="Q62" s="37"/>
      <c r="R62" s="37"/>
    </row>
    <row r="63" spans="1:18" ht="15" customHeight="1">
      <c r="M63" s="163"/>
      <c r="N63" s="40"/>
      <c r="O63" s="40"/>
      <c r="P63" s="40" t="s">
        <v>226</v>
      </c>
      <c r="Q63" s="40"/>
      <c r="R63" s="40"/>
    </row>
    <row r="64" spans="1:18" ht="15" customHeight="1">
      <c r="M64" s="163"/>
      <c r="N64" s="37"/>
      <c r="O64" s="37"/>
      <c r="P64" s="37" t="s">
        <v>227</v>
      </c>
      <c r="Q64" s="37"/>
      <c r="R64" s="37"/>
    </row>
    <row r="65" spans="13:18" ht="15" customHeight="1">
      <c r="M65" s="163"/>
      <c r="N65" s="40"/>
      <c r="O65" s="40"/>
      <c r="P65" s="40" t="s">
        <v>228</v>
      </c>
      <c r="Q65" s="40"/>
      <c r="R65" s="40"/>
    </row>
    <row r="66" spans="13:18" ht="15" customHeight="1">
      <c r="M66" s="163"/>
      <c r="N66" s="37"/>
      <c r="O66" s="37"/>
      <c r="P66" s="37" t="s">
        <v>229</v>
      </c>
      <c r="Q66" s="37"/>
      <c r="R66" s="37"/>
    </row>
    <row r="67" spans="13:18" ht="15" customHeight="1">
      <c r="M67" s="163"/>
      <c r="N67" s="40"/>
      <c r="O67" s="40"/>
      <c r="P67" s="40" t="s">
        <v>230</v>
      </c>
      <c r="Q67" s="40"/>
      <c r="R67" s="40"/>
    </row>
    <row r="68" spans="13:18" ht="15" customHeight="1">
      <c r="M68" s="163"/>
      <c r="N68" s="37"/>
      <c r="O68" s="37"/>
      <c r="P68" s="37" t="s">
        <v>231</v>
      </c>
      <c r="Q68" s="37"/>
      <c r="R68" s="37"/>
    </row>
    <row r="69" spans="13:18" ht="15" customHeight="1">
      <c r="M69" s="163"/>
      <c r="N69" s="40"/>
      <c r="O69" s="40"/>
      <c r="P69" s="40" t="s">
        <v>232</v>
      </c>
      <c r="Q69" s="40"/>
      <c r="R69" s="40"/>
    </row>
    <row r="70" spans="13:18" ht="15" customHeight="1">
      <c r="M70" s="163"/>
      <c r="N70" s="37"/>
      <c r="O70" s="37"/>
      <c r="P70" s="37" t="s">
        <v>233</v>
      </c>
      <c r="Q70" s="37"/>
      <c r="R70" s="37"/>
    </row>
    <row r="71" spans="13:18" ht="15" customHeight="1">
      <c r="M71" s="163"/>
      <c r="N71" s="40"/>
      <c r="O71" s="40"/>
      <c r="P71" s="40" t="s">
        <v>234</v>
      </c>
      <c r="Q71" s="40"/>
      <c r="R71" s="40"/>
    </row>
    <row r="72" spans="13:18" ht="15" customHeight="1">
      <c r="M72" s="163"/>
      <c r="N72" s="37"/>
      <c r="O72" s="37"/>
      <c r="P72" s="37" t="s">
        <v>235</v>
      </c>
      <c r="Q72" s="37"/>
      <c r="R72" s="37"/>
    </row>
    <row r="73" spans="13:18" ht="15" customHeight="1">
      <c r="M73" s="163"/>
      <c r="N73" s="40"/>
      <c r="O73" s="40"/>
      <c r="P73" s="40" t="s">
        <v>236</v>
      </c>
      <c r="Q73" s="40"/>
      <c r="R73" s="40"/>
    </row>
    <row r="74" spans="13:18" ht="15" customHeight="1">
      <c r="M74" s="163"/>
      <c r="N74" s="37"/>
      <c r="O74" s="37"/>
      <c r="P74" s="37" t="s">
        <v>237</v>
      </c>
      <c r="Q74" s="37"/>
      <c r="R74" s="37"/>
    </row>
    <row r="75" spans="13:18" ht="15" customHeight="1">
      <c r="M75" s="163"/>
      <c r="N75" s="40"/>
      <c r="O75" s="40"/>
      <c r="P75" s="40" t="s">
        <v>238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239</v>
      </c>
      <c r="C1" s="138" t="s">
        <v>240</v>
      </c>
      <c r="D1" s="138" t="s">
        <v>19</v>
      </c>
      <c r="E1" s="138" t="s">
        <v>241</v>
      </c>
      <c r="F1" s="138" t="s">
        <v>242</v>
      </c>
      <c r="G1" s="138" t="s">
        <v>243</v>
      </c>
      <c r="H1" s="138" t="s">
        <v>244</v>
      </c>
      <c r="I1" s="138" t="s">
        <v>245</v>
      </c>
      <c r="J1" s="138" t="s">
        <v>246</v>
      </c>
      <c r="K1" s="138" t="s">
        <v>247</v>
      </c>
    </row>
    <row r="2" spans="1:11" ht="15.75" customHeight="1">
      <c r="A2" s="139">
        <v>46235</v>
      </c>
      <c r="B2" s="140" t="s">
        <v>248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249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5" t="s">
        <v>250</v>
      </c>
      <c r="B4" s="165"/>
      <c r="C4" s="165"/>
      <c r="D4" s="165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248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249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5" t="s">
        <v>250</v>
      </c>
      <c r="B7" s="165"/>
      <c r="C7" s="165"/>
      <c r="D7" s="165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248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249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5" t="s">
        <v>250</v>
      </c>
      <c r="B10" s="165"/>
      <c r="C10" s="165"/>
      <c r="D10" s="165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248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249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5" t="s">
        <v>250</v>
      </c>
      <c r="B13" s="165"/>
      <c r="C13" s="165"/>
      <c r="D13" s="165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248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249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5" t="s">
        <v>250</v>
      </c>
      <c r="B16" s="165"/>
      <c r="C16" s="165"/>
      <c r="D16" s="165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248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249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5" t="s">
        <v>250</v>
      </c>
      <c r="B19" s="165"/>
      <c r="C19" s="165"/>
      <c r="D19" s="165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248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249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5" t="s">
        <v>250</v>
      </c>
      <c r="B22" s="165"/>
      <c r="C22" s="165"/>
      <c r="D22" s="165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248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249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5" t="s">
        <v>250</v>
      </c>
      <c r="B25" s="165"/>
      <c r="C25" s="165"/>
      <c r="D25" s="165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248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249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5" t="s">
        <v>250</v>
      </c>
      <c r="B28" s="165"/>
      <c r="C28" s="165"/>
      <c r="D28" s="165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248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249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5" t="s">
        <v>250</v>
      </c>
      <c r="B31" s="165"/>
      <c r="C31" s="165"/>
      <c r="D31" s="165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248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249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5" t="s">
        <v>250</v>
      </c>
      <c r="B34" s="165"/>
      <c r="C34" s="165"/>
      <c r="D34" s="165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248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249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5" t="s">
        <v>250</v>
      </c>
      <c r="B37" s="165"/>
      <c r="C37" s="165"/>
      <c r="D37" s="165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248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249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5" t="s">
        <v>250</v>
      </c>
      <c r="B40" s="165"/>
      <c r="C40" s="165"/>
      <c r="D40" s="165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248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249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5" t="s">
        <v>250</v>
      </c>
      <c r="B43" s="165"/>
      <c r="C43" s="165"/>
      <c r="D43" s="165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248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249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5" t="s">
        <v>250</v>
      </c>
      <c r="B46" s="165"/>
      <c r="C46" s="165"/>
      <c r="D46" s="165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248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249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5" t="s">
        <v>250</v>
      </c>
      <c r="B49" s="165"/>
      <c r="C49" s="165"/>
      <c r="D49" s="165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248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249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5" t="s">
        <v>250</v>
      </c>
      <c r="B52" s="165"/>
      <c r="C52" s="165"/>
      <c r="D52" s="165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248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249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5" t="s">
        <v>250</v>
      </c>
      <c r="B55" s="165"/>
      <c r="C55" s="165"/>
      <c r="D55" s="165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248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249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5" t="s">
        <v>250</v>
      </c>
      <c r="B58" s="165"/>
      <c r="C58" s="165"/>
      <c r="D58" s="165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248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249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5" t="s">
        <v>250</v>
      </c>
      <c r="B61" s="165"/>
      <c r="C61" s="165"/>
      <c r="D61" s="165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248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249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5" t="s">
        <v>250</v>
      </c>
      <c r="B64" s="165"/>
      <c r="C64" s="165"/>
      <c r="D64" s="165"/>
      <c r="E64" s="149">
        <f>SUM(E62:E63)</f>
        <v>50</v>
      </c>
      <c r="F64" s="150">
        <f>IFERROR(SUM(F62:F63),"")</f>
        <v>135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248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249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5" t="s">
        <v>250</v>
      </c>
      <c r="B67" s="165"/>
      <c r="C67" s="165"/>
      <c r="D67" s="165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248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249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5" t="s">
        <v>250</v>
      </c>
      <c r="B70" s="165"/>
      <c r="C70" s="165"/>
      <c r="D70" s="165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248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249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5" t="s">
        <v>250</v>
      </c>
      <c r="B73" s="165"/>
      <c r="C73" s="165"/>
      <c r="D73" s="165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248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249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5" t="s">
        <v>250</v>
      </c>
      <c r="B76" s="165"/>
      <c r="C76" s="165"/>
      <c r="D76" s="165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248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249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5" t="s">
        <v>250</v>
      </c>
      <c r="B79" s="165"/>
      <c r="C79" s="165"/>
      <c r="D79" s="165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248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249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5" t="s">
        <v>250</v>
      </c>
      <c r="B82" s="165"/>
      <c r="C82" s="165"/>
      <c r="D82" s="165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248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249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5" t="s">
        <v>250</v>
      </c>
      <c r="B85" s="165"/>
      <c r="C85" s="165"/>
      <c r="D85" s="165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248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249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5" t="s">
        <v>250</v>
      </c>
      <c r="B88" s="165"/>
      <c r="C88" s="165"/>
      <c r="D88" s="165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248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249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5" t="s">
        <v>250</v>
      </c>
      <c r="B91" s="165"/>
      <c r="C91" s="165"/>
      <c r="D91" s="165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248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249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5" t="s">
        <v>250</v>
      </c>
      <c r="B94" s="165"/>
      <c r="C94" s="165"/>
      <c r="D94" s="165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540" activePane="bottomLeft" state="frozen"/>
      <selection pane="bottomLeft" activeCell="H557" sqref="H557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57" t="s">
        <v>253</v>
      </c>
      <c r="G1" s="57" t="s">
        <v>254</v>
      </c>
      <c r="H1" s="57" t="s">
        <v>23</v>
      </c>
      <c r="I1" s="57" t="s">
        <v>24</v>
      </c>
      <c r="J1" s="57" t="s">
        <v>255</v>
      </c>
      <c r="K1" s="57" t="s">
        <v>256</v>
      </c>
      <c r="L1" s="57" t="s">
        <v>257</v>
      </c>
      <c r="M1" s="58" t="s">
        <v>258</v>
      </c>
      <c r="N1" s="57" t="s">
        <v>247</v>
      </c>
      <c r="O1" s="57" t="s">
        <v>259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260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260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260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260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260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260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260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260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260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260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260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260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57" t="s">
        <v>261</v>
      </c>
      <c r="B14" s="157"/>
      <c r="C14" s="157"/>
      <c r="D14" s="157"/>
      <c r="E14" s="157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262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260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260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260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263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260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260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260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260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260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260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260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260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260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57" t="s">
        <v>264</v>
      </c>
      <c r="B27" s="157"/>
      <c r="C27" s="157"/>
      <c r="D27" s="157"/>
      <c r="E27" s="157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262</v>
      </c>
      <c r="O27" s="74">
        <v>997910</v>
      </c>
    </row>
    <row r="28" spans="1:15" ht="18" customHeight="1">
      <c r="A28" s="158" t="s">
        <v>250</v>
      </c>
      <c r="B28" s="158"/>
      <c r="C28" s="158"/>
      <c r="D28" s="158"/>
      <c r="E28" s="158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265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260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260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266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260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263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260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260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260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260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260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260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260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260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260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57" t="s">
        <v>261</v>
      </c>
      <c r="B41" s="157"/>
      <c r="C41" s="157"/>
      <c r="D41" s="157"/>
      <c r="E41" s="157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262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260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267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260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260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260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260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260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260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260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260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260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260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57" t="s">
        <v>264</v>
      </c>
      <c r="B54" s="157"/>
      <c r="C54" s="157"/>
      <c r="D54" s="157"/>
      <c r="E54" s="157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262</v>
      </c>
      <c r="O54" s="74">
        <v>981310</v>
      </c>
    </row>
    <row r="55" spans="1:15" ht="18" customHeight="1">
      <c r="A55" s="158" t="s">
        <v>250</v>
      </c>
      <c r="B55" s="158"/>
      <c r="C55" s="158"/>
      <c r="D55" s="158"/>
      <c r="E55" s="158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265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260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260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260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260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260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260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260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260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260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260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260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260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57" t="s">
        <v>261</v>
      </c>
      <c r="B68" s="157"/>
      <c r="C68" s="157"/>
      <c r="D68" s="157"/>
      <c r="E68" s="157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262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260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260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268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260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260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260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260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260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260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260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260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260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260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57" t="s">
        <v>264</v>
      </c>
      <c r="B81" s="157"/>
      <c r="C81" s="157"/>
      <c r="D81" s="157"/>
      <c r="E81" s="157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262</v>
      </c>
      <c r="O81" s="74">
        <v>1547910</v>
      </c>
    </row>
    <row r="82" spans="1:15" ht="18" customHeight="1">
      <c r="A82" s="158" t="s">
        <v>250</v>
      </c>
      <c r="B82" s="158"/>
      <c r="C82" s="158"/>
      <c r="D82" s="158"/>
      <c r="E82" s="158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265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260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260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260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269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260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260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260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260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260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260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260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260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260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57" t="s">
        <v>261</v>
      </c>
      <c r="B95" s="157"/>
      <c r="C95" s="157"/>
      <c r="D95" s="157"/>
      <c r="E95" s="157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262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260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260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260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260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260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260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270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260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260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260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260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260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260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57" t="s">
        <v>264</v>
      </c>
      <c r="B108" s="157"/>
      <c r="C108" s="157"/>
      <c r="D108" s="157"/>
      <c r="E108" s="157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262</v>
      </c>
      <c r="O108" s="74">
        <v>3156240</v>
      </c>
    </row>
    <row r="109" spans="1:15" ht="18" customHeight="1">
      <c r="A109" s="158" t="s">
        <v>250</v>
      </c>
      <c r="B109" s="158"/>
      <c r="C109" s="158"/>
      <c r="D109" s="158"/>
      <c r="E109" s="158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265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260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260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260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260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260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260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260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260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260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260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260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260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57" t="s">
        <v>261</v>
      </c>
      <c r="B122" s="157"/>
      <c r="C122" s="157"/>
      <c r="D122" s="157"/>
      <c r="E122" s="157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262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260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260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260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260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260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260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260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260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260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260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260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260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57" t="s">
        <v>264</v>
      </c>
      <c r="B135" s="157"/>
      <c r="C135" s="157"/>
      <c r="D135" s="157"/>
      <c r="E135" s="157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262</v>
      </c>
      <c r="O135" s="74">
        <v>2875180</v>
      </c>
    </row>
    <row r="136" spans="1:15" ht="18" customHeight="1">
      <c r="A136" s="158" t="s">
        <v>250</v>
      </c>
      <c r="B136" s="158"/>
      <c r="C136" s="158"/>
      <c r="D136" s="158"/>
      <c r="E136" s="158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265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260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271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260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260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260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260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260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260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260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260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260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260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260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57" t="s">
        <v>261</v>
      </c>
      <c r="B149" s="157"/>
      <c r="C149" s="157"/>
      <c r="D149" s="157"/>
      <c r="E149" s="157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262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260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260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272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260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260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260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260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260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260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260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260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260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260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57" t="s">
        <v>264</v>
      </c>
      <c r="B162" s="157"/>
      <c r="C162" s="157"/>
      <c r="D162" s="157"/>
      <c r="E162" s="157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262</v>
      </c>
      <c r="O162" s="79">
        <v>842000</v>
      </c>
    </row>
    <row r="163" spans="1:15" ht="18" customHeight="1">
      <c r="A163" s="158" t="s">
        <v>250</v>
      </c>
      <c r="B163" s="158"/>
      <c r="C163" s="158"/>
      <c r="D163" s="158"/>
      <c r="E163" s="158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265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260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237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273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260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260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260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260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260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260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260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260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260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260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260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57" t="s">
        <v>261</v>
      </c>
      <c r="B176" s="157"/>
      <c r="C176" s="157"/>
      <c r="D176" s="157"/>
      <c r="E176" s="157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262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260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274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260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260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260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260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260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260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260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275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260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260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260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57" t="s">
        <v>264</v>
      </c>
      <c r="B189" s="157"/>
      <c r="C189" s="157"/>
      <c r="D189" s="157"/>
      <c r="E189" s="157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262</v>
      </c>
      <c r="O189" s="74">
        <v>1901630</v>
      </c>
    </row>
    <row r="190" spans="1:15" ht="18" customHeight="1">
      <c r="A190" s="158" t="s">
        <v>250</v>
      </c>
      <c r="B190" s="158"/>
      <c r="C190" s="158"/>
      <c r="D190" s="158"/>
      <c r="E190" s="158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265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260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260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260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276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260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260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260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260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260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260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260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260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260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57" t="s">
        <v>261</v>
      </c>
      <c r="B203" s="157"/>
      <c r="C203" s="157"/>
      <c r="D203" s="157"/>
      <c r="E203" s="157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262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260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260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260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260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260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260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260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260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260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260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260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260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57" t="s">
        <v>264</v>
      </c>
      <c r="B216" s="157"/>
      <c r="C216" s="157"/>
      <c r="D216" s="157"/>
      <c r="E216" s="157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262</v>
      </c>
      <c r="O216" s="74">
        <v>1852295</v>
      </c>
    </row>
    <row r="217" spans="1:15" ht="18" customHeight="1">
      <c r="A217" s="158" t="s">
        <v>250</v>
      </c>
      <c r="B217" s="158"/>
      <c r="C217" s="158"/>
      <c r="D217" s="158"/>
      <c r="E217" s="158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265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260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260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260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277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260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260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260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260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260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260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260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260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260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57" t="s">
        <v>261</v>
      </c>
      <c r="B230" s="157"/>
      <c r="C230" s="157"/>
      <c r="D230" s="157"/>
      <c r="E230" s="157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262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260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260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260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278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278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278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278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278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278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278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278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278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57" t="s">
        <v>264</v>
      </c>
      <c r="B243" s="157"/>
      <c r="C243" s="157"/>
      <c r="D243" s="157"/>
      <c r="E243" s="157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262</v>
      </c>
      <c r="O243" s="74">
        <v>991010</v>
      </c>
    </row>
    <row r="244" spans="1:15" ht="18" customHeight="1">
      <c r="A244" s="158" t="s">
        <v>250</v>
      </c>
      <c r="B244" s="158"/>
      <c r="C244" s="158"/>
      <c r="D244" s="158"/>
      <c r="E244" s="158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265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260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260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260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260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260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279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260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260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260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260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260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260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260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57" t="s">
        <v>261</v>
      </c>
      <c r="B257" s="157"/>
      <c r="C257" s="157"/>
      <c r="D257" s="157"/>
      <c r="E257" s="157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262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280</v>
      </c>
      <c r="E258" s="75" t="s">
        <v>260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280</v>
      </c>
      <c r="E259" s="75" t="s">
        <v>260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280</v>
      </c>
      <c r="E260" s="75" t="s">
        <v>260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280</v>
      </c>
      <c r="E261" s="75" t="s">
        <v>260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280</v>
      </c>
      <c r="E262" s="75" t="s">
        <v>260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280</v>
      </c>
      <c r="E263" s="75" t="s">
        <v>260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280</v>
      </c>
      <c r="E264" s="75" t="s">
        <v>260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280</v>
      </c>
      <c r="E265" s="75" t="s">
        <v>260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280</v>
      </c>
      <c r="E266" s="75" t="s">
        <v>260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280</v>
      </c>
      <c r="E267" s="75" t="s">
        <v>260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280</v>
      </c>
      <c r="E268" s="75" t="s">
        <v>260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280</v>
      </c>
      <c r="E269" s="75" t="s">
        <v>260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57" t="s">
        <v>264</v>
      </c>
      <c r="B270" s="157"/>
      <c r="C270" s="157"/>
      <c r="D270" s="157"/>
      <c r="E270" s="157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262</v>
      </c>
      <c r="O270" s="74">
        <v>1544700</v>
      </c>
    </row>
    <row r="271" spans="1:15" ht="18" customHeight="1">
      <c r="A271" s="158" t="s">
        <v>250</v>
      </c>
      <c r="B271" s="158"/>
      <c r="C271" s="158"/>
      <c r="D271" s="158"/>
      <c r="E271" s="158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265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280</v>
      </c>
      <c r="E272" s="62" t="s">
        <v>260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280</v>
      </c>
      <c r="E273" s="62" t="s">
        <v>260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280</v>
      </c>
      <c r="E274" s="62" t="s">
        <v>260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280</v>
      </c>
      <c r="E275" s="62" t="s">
        <v>260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280</v>
      </c>
      <c r="E276" s="62" t="s">
        <v>260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280</v>
      </c>
      <c r="E277" s="62" t="s">
        <v>260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281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280</v>
      </c>
      <c r="E278" s="62" t="s">
        <v>260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280</v>
      </c>
      <c r="E279" s="62" t="s">
        <v>260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280</v>
      </c>
      <c r="E280" s="62" t="s">
        <v>260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280</v>
      </c>
      <c r="E281" s="62" t="s">
        <v>260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280</v>
      </c>
      <c r="E282" s="62" t="s">
        <v>260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280</v>
      </c>
      <c r="E283" s="62" t="s">
        <v>260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57" t="s">
        <v>261</v>
      </c>
      <c r="B284" s="157"/>
      <c r="C284" s="157"/>
      <c r="D284" s="157"/>
      <c r="E284" s="157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262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280</v>
      </c>
      <c r="E285" s="75" t="s">
        <v>275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280</v>
      </c>
      <c r="E286" s="75" t="s">
        <v>275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280</v>
      </c>
      <c r="E287" s="75" t="s">
        <v>275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280</v>
      </c>
      <c r="E288" s="75" t="s">
        <v>275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280</v>
      </c>
      <c r="E289" s="75" t="s">
        <v>275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280</v>
      </c>
      <c r="E290" s="75" t="s">
        <v>275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280</v>
      </c>
      <c r="E291" s="75" t="s">
        <v>275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280</v>
      </c>
      <c r="E292" s="75" t="s">
        <v>275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280</v>
      </c>
      <c r="E293" s="75" t="s">
        <v>275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280</v>
      </c>
      <c r="E294" s="75" t="s">
        <v>275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280</v>
      </c>
      <c r="E295" s="75" t="s">
        <v>275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280</v>
      </c>
      <c r="E296" s="75" t="s">
        <v>275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57" t="s">
        <v>264</v>
      </c>
      <c r="B297" s="157"/>
      <c r="C297" s="157"/>
      <c r="D297" s="157"/>
      <c r="E297" s="157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262</v>
      </c>
      <c r="O297" s="74">
        <v>1715230</v>
      </c>
    </row>
    <row r="298" spans="1:15" ht="18" customHeight="1">
      <c r="A298" s="158" t="s">
        <v>250</v>
      </c>
      <c r="B298" s="158"/>
      <c r="C298" s="158"/>
      <c r="D298" s="158"/>
      <c r="E298" s="158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265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260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237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260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260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260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282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260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260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260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260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260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260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260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260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57" t="s">
        <v>261</v>
      </c>
      <c r="B311" s="157"/>
      <c r="C311" s="157"/>
      <c r="D311" s="157"/>
      <c r="E311" s="157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262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260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260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260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260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260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260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260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260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260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260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260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260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57" t="s">
        <v>264</v>
      </c>
      <c r="B324" s="157"/>
      <c r="C324" s="157"/>
      <c r="D324" s="157"/>
      <c r="E324" s="157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262</v>
      </c>
      <c r="O324" s="74">
        <v>2216340</v>
      </c>
    </row>
    <row r="325" spans="1:15" ht="18" customHeight="1">
      <c r="A325" s="158" t="s">
        <v>250</v>
      </c>
      <c r="B325" s="158"/>
      <c r="C325" s="158"/>
      <c r="D325" s="158"/>
      <c r="E325" s="158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265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283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260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260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260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284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260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260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260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260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57" t="s">
        <v>261</v>
      </c>
      <c r="B338" s="157"/>
      <c r="C338" s="157"/>
      <c r="D338" s="157"/>
      <c r="E338" s="157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262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260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260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260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260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260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260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260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260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260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260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260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260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57" t="s">
        <v>264</v>
      </c>
      <c r="B351" s="157"/>
      <c r="C351" s="157"/>
      <c r="D351" s="157"/>
      <c r="E351" s="157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262</v>
      </c>
      <c r="O351" s="74">
        <v>2154990</v>
      </c>
    </row>
    <row r="352" spans="1:15" ht="18" customHeight="1">
      <c r="A352" s="158" t="s">
        <v>250</v>
      </c>
      <c r="B352" s="158"/>
      <c r="C352" s="158"/>
      <c r="D352" s="158"/>
      <c r="E352" s="158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265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260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260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260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260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260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260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275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260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260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260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260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260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57" t="s">
        <v>261</v>
      </c>
      <c r="B365" s="157"/>
      <c r="C365" s="157"/>
      <c r="D365" s="157"/>
      <c r="E365" s="157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262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260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260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260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260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260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260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260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260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260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260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260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260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57" t="s">
        <v>264</v>
      </c>
      <c r="B378" s="157"/>
      <c r="C378" s="157"/>
      <c r="D378" s="157"/>
      <c r="E378" s="157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262</v>
      </c>
      <c r="O378" s="74">
        <v>2614830</v>
      </c>
    </row>
    <row r="379" spans="1:15" ht="18" customHeight="1">
      <c r="A379" s="158" t="s">
        <v>250</v>
      </c>
      <c r="B379" s="158"/>
      <c r="C379" s="158"/>
      <c r="D379" s="158"/>
      <c r="E379" s="158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265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260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260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260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260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260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260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260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260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260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260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260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260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57" t="s">
        <v>261</v>
      </c>
      <c r="B392" s="157"/>
      <c r="C392" s="157"/>
      <c r="D392" s="157"/>
      <c r="E392" s="157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262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260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285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260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260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260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260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260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260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260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260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260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260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260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57" t="s">
        <v>264</v>
      </c>
      <c r="B405" s="157"/>
      <c r="C405" s="157"/>
      <c r="D405" s="157"/>
      <c r="E405" s="157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262</v>
      </c>
      <c r="O405" s="74">
        <v>2612000</v>
      </c>
    </row>
    <row r="406" spans="1:15" ht="18" customHeight="1">
      <c r="A406" s="158" t="s">
        <v>250</v>
      </c>
      <c r="B406" s="158"/>
      <c r="C406" s="158"/>
      <c r="D406" s="158"/>
      <c r="E406" s="158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265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260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260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260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260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260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260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260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260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260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260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260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260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57" t="s">
        <v>261</v>
      </c>
      <c r="B419" s="157"/>
      <c r="C419" s="157"/>
      <c r="D419" s="157"/>
      <c r="E419" s="157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262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260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231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260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286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260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286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260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260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260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260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260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260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260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260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260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57" t="s">
        <v>264</v>
      </c>
      <c r="B432" s="157"/>
      <c r="C432" s="157"/>
      <c r="D432" s="157"/>
      <c r="E432" s="157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262</v>
      </c>
      <c r="O432" s="74">
        <v>2266710</v>
      </c>
    </row>
    <row r="433" spans="1:15" ht="18" customHeight="1">
      <c r="A433" s="158" t="s">
        <v>250</v>
      </c>
      <c r="B433" s="158"/>
      <c r="C433" s="158"/>
      <c r="D433" s="158"/>
      <c r="E433" s="158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265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260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260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260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260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260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260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260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260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260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260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260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260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57" t="s">
        <v>261</v>
      </c>
      <c r="B446" s="157"/>
      <c r="C446" s="157"/>
      <c r="D446" s="157"/>
      <c r="E446" s="157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262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260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287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260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288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260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260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260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260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289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260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290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260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291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260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260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260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260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57" t="s">
        <v>264</v>
      </c>
      <c r="B459" s="157"/>
      <c r="C459" s="157"/>
      <c r="D459" s="157"/>
      <c r="E459" s="157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262</v>
      </c>
      <c r="O459" s="74">
        <v>2361680</v>
      </c>
    </row>
    <row r="460" spans="1:15" ht="18" customHeight="1">
      <c r="A460" s="158" t="s">
        <v>250</v>
      </c>
      <c r="B460" s="158"/>
      <c r="C460" s="158"/>
      <c r="D460" s="158"/>
      <c r="E460" s="158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265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260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292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260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260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260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260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260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260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260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260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260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260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260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57" t="s">
        <v>261</v>
      </c>
      <c r="B473" s="157"/>
      <c r="C473" s="157"/>
      <c r="D473" s="157"/>
      <c r="E473" s="157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262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260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260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260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293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260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260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260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260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260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260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260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260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260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57" t="s">
        <v>264</v>
      </c>
      <c r="B486" s="157"/>
      <c r="C486" s="157"/>
      <c r="D486" s="157"/>
      <c r="E486" s="157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262</v>
      </c>
      <c r="O486" s="74">
        <v>1798670</v>
      </c>
    </row>
    <row r="487" spans="1:15" ht="18" customHeight="1">
      <c r="A487" s="158" t="s">
        <v>250</v>
      </c>
      <c r="B487" s="158"/>
      <c r="C487" s="158"/>
      <c r="D487" s="158"/>
      <c r="E487" s="158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265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260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260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294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260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260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260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260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260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260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260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260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260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260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57" t="s">
        <v>261</v>
      </c>
      <c r="B500" s="157"/>
      <c r="C500" s="157"/>
      <c r="D500" s="157"/>
      <c r="E500" s="157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262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260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260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295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260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260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260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260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260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260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260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260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260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275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57" t="s">
        <v>264</v>
      </c>
      <c r="B513" s="157"/>
      <c r="C513" s="157"/>
      <c r="D513" s="157"/>
      <c r="E513" s="157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262</v>
      </c>
      <c r="O513" s="74">
        <v>2435830</v>
      </c>
    </row>
    <row r="514" spans="1:15" ht="18" customHeight="1">
      <c r="A514" s="158" t="s">
        <v>250</v>
      </c>
      <c r="B514" s="158"/>
      <c r="C514" s="158"/>
      <c r="D514" s="158"/>
      <c r="E514" s="158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265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260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260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260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260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260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275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275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275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275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275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275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275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57" t="s">
        <v>261</v>
      </c>
      <c r="B527" s="157"/>
      <c r="C527" s="157"/>
      <c r="D527" s="157"/>
      <c r="E527" s="157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262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260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296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260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260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177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260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260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260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260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260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260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260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260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260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57" t="s">
        <v>264</v>
      </c>
      <c r="B540" s="157"/>
      <c r="C540" s="157"/>
      <c r="D540" s="157"/>
      <c r="E540" s="157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262</v>
      </c>
      <c r="O540" s="74">
        <v>667100</v>
      </c>
    </row>
    <row r="541" spans="1:15" ht="18" customHeight="1">
      <c r="A541" s="158" t="s">
        <v>250</v>
      </c>
      <c r="B541" s="158"/>
      <c r="C541" s="158"/>
      <c r="D541" s="158"/>
      <c r="E541" s="158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265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297</v>
      </c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57" t="s">
        <v>261</v>
      </c>
      <c r="B554" s="157"/>
      <c r="C554" s="157"/>
      <c r="D554" s="157"/>
      <c r="E554" s="157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262</v>
      </c>
      <c r="O554" s="74">
        <v>0</v>
      </c>
    </row>
    <row r="555" spans="1:15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260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0.91249999999999998</v>
      </c>
      <c r="M555" s="71">
        <f t="shared" ref="M555:M566" ca="1" si="120">IFERROR(IF(K555="","",IF(L555="",MOD(NOW()-K555,1),IF(L555&gt;=K555,L555-K555,L555+1-K555))),"")</f>
        <v>0.12083333333333335</v>
      </c>
      <c r="N555" s="156" t="s">
        <v>297</v>
      </c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 t="s">
        <v>39</v>
      </c>
      <c r="E556" s="75" t="s">
        <v>260</v>
      </c>
      <c r="F556" s="63">
        <v>0</v>
      </c>
      <c r="G556" s="64">
        <f t="shared" si="119"/>
        <v>0</v>
      </c>
      <c r="H556" s="61" t="s">
        <v>27</v>
      </c>
      <c r="I556" s="61" t="s">
        <v>32</v>
      </c>
      <c r="J556" s="61" t="s">
        <v>167</v>
      </c>
      <c r="K556" s="65">
        <v>0.94513888888888886</v>
      </c>
      <c r="L556" s="65">
        <v>0.98472222222222228</v>
      </c>
      <c r="M556" s="66">
        <f t="shared" ca="1" si="120"/>
        <v>3.9583333333333415E-2</v>
      </c>
      <c r="N556" s="80" t="s">
        <v>263</v>
      </c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 t="s">
        <v>38</v>
      </c>
      <c r="D557" s="75" t="s">
        <v>39</v>
      </c>
      <c r="E557" s="75" t="s">
        <v>260</v>
      </c>
      <c r="F557" s="63">
        <v>16</v>
      </c>
      <c r="G557" s="69">
        <f t="shared" si="119"/>
        <v>80</v>
      </c>
      <c r="H557" s="70" t="s">
        <v>28</v>
      </c>
      <c r="I557" s="70" t="s">
        <v>32</v>
      </c>
      <c r="J557" s="70"/>
      <c r="K557" s="65">
        <v>2.5694444444444443E-2</v>
      </c>
      <c r="L557" s="65">
        <v>5.6250000000000001E-2</v>
      </c>
      <c r="M557" s="71">
        <f t="shared" ca="1" si="120"/>
        <v>3.0555555555555558E-2</v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 t="s">
        <v>38</v>
      </c>
      <c r="D558" s="75" t="s">
        <v>39</v>
      </c>
      <c r="E558" s="75" t="s">
        <v>260</v>
      </c>
      <c r="F558" s="63">
        <v>12</v>
      </c>
      <c r="G558" s="64">
        <f t="shared" si="119"/>
        <v>60</v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 t="s">
        <v>38</v>
      </c>
      <c r="D559" s="75" t="s">
        <v>39</v>
      </c>
      <c r="E559" s="75" t="s">
        <v>260</v>
      </c>
      <c r="F559" s="63">
        <v>0</v>
      </c>
      <c r="G559" s="69">
        <f t="shared" si="119"/>
        <v>0</v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 t="s">
        <v>38</v>
      </c>
      <c r="D560" s="75" t="s">
        <v>39</v>
      </c>
      <c r="E560" s="75" t="s">
        <v>260</v>
      </c>
      <c r="F560" s="63">
        <v>13</v>
      </c>
      <c r="G560" s="64">
        <f t="shared" si="119"/>
        <v>65</v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 t="s">
        <v>38</v>
      </c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 t="s">
        <v>38</v>
      </c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 t="s">
        <v>38</v>
      </c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 t="s">
        <v>38</v>
      </c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 t="s">
        <v>38</v>
      </c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 t="s">
        <v>38</v>
      </c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57" t="s">
        <v>264</v>
      </c>
      <c r="B567" s="157"/>
      <c r="C567" s="157"/>
      <c r="D567" s="157"/>
      <c r="E567" s="157"/>
      <c r="F567" s="2">
        <f>SUM(F555:F566)</f>
        <v>41</v>
      </c>
      <c r="G567" s="2">
        <f>SUM(G555:G566)</f>
        <v>205</v>
      </c>
      <c r="H567" s="72"/>
      <c r="I567" s="72"/>
      <c r="J567" s="72"/>
      <c r="K567" s="72"/>
      <c r="L567" s="72"/>
      <c r="M567" s="73">
        <f ca="1">IFERROR(SUM(M555:M566),"")</f>
        <v>0.19097222222222232</v>
      </c>
      <c r="N567" s="2" t="s">
        <v>262</v>
      </c>
      <c r="O567" s="74"/>
    </row>
    <row r="568" spans="1:15" ht="18" customHeight="1">
      <c r="A568" s="158" t="s">
        <v>250</v>
      </c>
      <c r="B568" s="158"/>
      <c r="C568" s="158"/>
      <c r="D568" s="158"/>
      <c r="E568" s="158"/>
      <c r="F568" s="1">
        <f>F554+F567</f>
        <v>41</v>
      </c>
      <c r="G568" s="1">
        <f>G554+G567</f>
        <v>205</v>
      </c>
      <c r="H568" s="76"/>
      <c r="I568" s="76"/>
      <c r="J568" s="76"/>
      <c r="K568" s="76"/>
      <c r="L568" s="76"/>
      <c r="M568" s="77">
        <f ca="1">IFERROR(M554+M567,"")</f>
        <v>0.69097222222222232</v>
      </c>
      <c r="N568" s="1" t="s">
        <v>265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57" t="s">
        <v>261</v>
      </c>
      <c r="B581" s="157"/>
      <c r="C581" s="157"/>
      <c r="D581" s="157"/>
      <c r="E581" s="157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262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57" t="s">
        <v>264</v>
      </c>
      <c r="B594" s="157"/>
      <c r="C594" s="157"/>
      <c r="D594" s="157"/>
      <c r="E594" s="157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262</v>
      </c>
      <c r="O594" s="74"/>
    </row>
    <row r="595" spans="1:15" ht="18" customHeight="1">
      <c r="A595" s="158" t="s">
        <v>250</v>
      </c>
      <c r="B595" s="158"/>
      <c r="C595" s="158"/>
      <c r="D595" s="158"/>
      <c r="E595" s="158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265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57" t="s">
        <v>261</v>
      </c>
      <c r="B608" s="157"/>
      <c r="C608" s="157"/>
      <c r="D608" s="157"/>
      <c r="E608" s="157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262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57" t="s">
        <v>264</v>
      </c>
      <c r="B621" s="157"/>
      <c r="C621" s="157"/>
      <c r="D621" s="157"/>
      <c r="E621" s="157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262</v>
      </c>
      <c r="O621" s="74"/>
    </row>
    <row r="622" spans="1:15" ht="18" customHeight="1">
      <c r="A622" s="158" t="s">
        <v>250</v>
      </c>
      <c r="B622" s="158"/>
      <c r="C622" s="158"/>
      <c r="D622" s="158"/>
      <c r="E622" s="158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265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57" t="s">
        <v>261</v>
      </c>
      <c r="B635" s="157"/>
      <c r="C635" s="157"/>
      <c r="D635" s="157"/>
      <c r="E635" s="157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262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57" t="s">
        <v>264</v>
      </c>
      <c r="B648" s="157"/>
      <c r="C648" s="157"/>
      <c r="D648" s="157"/>
      <c r="E648" s="157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262</v>
      </c>
      <c r="O648" s="74"/>
    </row>
    <row r="649" spans="1:15" ht="18" customHeight="1">
      <c r="A649" s="158" t="s">
        <v>250</v>
      </c>
      <c r="B649" s="158"/>
      <c r="C649" s="158"/>
      <c r="D649" s="158"/>
      <c r="E649" s="158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265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57" t="s">
        <v>261</v>
      </c>
      <c r="B662" s="157"/>
      <c r="C662" s="157"/>
      <c r="D662" s="157"/>
      <c r="E662" s="157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262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57" t="s">
        <v>264</v>
      </c>
      <c r="B675" s="157"/>
      <c r="C675" s="157"/>
      <c r="D675" s="157"/>
      <c r="E675" s="157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262</v>
      </c>
      <c r="O675" s="74"/>
    </row>
    <row r="676" spans="1:15" ht="18" customHeight="1">
      <c r="A676" s="158" t="s">
        <v>250</v>
      </c>
      <c r="B676" s="158"/>
      <c r="C676" s="158"/>
      <c r="D676" s="158"/>
      <c r="E676" s="158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265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57" t="s">
        <v>261</v>
      </c>
      <c r="B689" s="157"/>
      <c r="C689" s="157"/>
      <c r="D689" s="157"/>
      <c r="E689" s="157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262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57" t="s">
        <v>264</v>
      </c>
      <c r="B702" s="157"/>
      <c r="C702" s="157"/>
      <c r="D702" s="157"/>
      <c r="E702" s="157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262</v>
      </c>
      <c r="O702" s="74"/>
    </row>
    <row r="703" spans="1:15" ht="18" customHeight="1">
      <c r="A703" s="158" t="s">
        <v>250</v>
      </c>
      <c r="B703" s="158"/>
      <c r="C703" s="158"/>
      <c r="D703" s="158"/>
      <c r="E703" s="158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265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57" t="s">
        <v>261</v>
      </c>
      <c r="B716" s="157"/>
      <c r="C716" s="157"/>
      <c r="D716" s="157"/>
      <c r="E716" s="157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262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57" t="s">
        <v>264</v>
      </c>
      <c r="B729" s="157"/>
      <c r="C729" s="157"/>
      <c r="D729" s="157"/>
      <c r="E729" s="157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262</v>
      </c>
      <c r="O729" s="74"/>
    </row>
    <row r="730" spans="1:15" ht="18" customHeight="1">
      <c r="A730" s="158" t="s">
        <v>250</v>
      </c>
      <c r="B730" s="158"/>
      <c r="C730" s="158"/>
      <c r="D730" s="158"/>
      <c r="E730" s="158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265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57" t="s">
        <v>261</v>
      </c>
      <c r="B743" s="157"/>
      <c r="C743" s="157"/>
      <c r="D743" s="157"/>
      <c r="E743" s="157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262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57" t="s">
        <v>264</v>
      </c>
      <c r="B756" s="157"/>
      <c r="C756" s="157"/>
      <c r="D756" s="157"/>
      <c r="E756" s="157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262</v>
      </c>
      <c r="O756" s="74"/>
    </row>
    <row r="757" spans="1:15" ht="18" customHeight="1">
      <c r="A757" s="158" t="s">
        <v>250</v>
      </c>
      <c r="B757" s="158"/>
      <c r="C757" s="158"/>
      <c r="D757" s="158"/>
      <c r="E757" s="158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265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57" t="s">
        <v>261</v>
      </c>
      <c r="B770" s="157"/>
      <c r="C770" s="157"/>
      <c r="D770" s="157"/>
      <c r="E770" s="157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262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57" t="s">
        <v>264</v>
      </c>
      <c r="B783" s="157"/>
      <c r="C783" s="157"/>
      <c r="D783" s="157"/>
      <c r="E783" s="157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262</v>
      </c>
      <c r="O783" s="74"/>
    </row>
    <row r="784" spans="1:15" ht="18" customHeight="1">
      <c r="A784" s="158" t="s">
        <v>250</v>
      </c>
      <c r="B784" s="158"/>
      <c r="C784" s="158"/>
      <c r="D784" s="158"/>
      <c r="E784" s="158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265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57" t="s">
        <v>261</v>
      </c>
      <c r="B797" s="157"/>
      <c r="C797" s="157"/>
      <c r="D797" s="157"/>
      <c r="E797" s="157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262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57" t="s">
        <v>264</v>
      </c>
      <c r="B810" s="157"/>
      <c r="C810" s="157"/>
      <c r="D810" s="157"/>
      <c r="E810" s="157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262</v>
      </c>
      <c r="O810" s="74"/>
    </row>
    <row r="811" spans="1:15" ht="18" customHeight="1">
      <c r="A811" s="158" t="s">
        <v>250</v>
      </c>
      <c r="B811" s="158"/>
      <c r="C811" s="158"/>
      <c r="D811" s="158"/>
      <c r="E811" s="158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265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57" t="s">
        <v>261</v>
      </c>
      <c r="B824" s="157"/>
      <c r="C824" s="157"/>
      <c r="D824" s="157"/>
      <c r="E824" s="157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262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57" t="s">
        <v>264</v>
      </c>
      <c r="B837" s="157"/>
      <c r="C837" s="157"/>
      <c r="D837" s="157"/>
      <c r="E837" s="157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262</v>
      </c>
      <c r="O837" s="74"/>
    </row>
    <row r="838" spans="1:15" ht="18" customHeight="1">
      <c r="A838" s="158" t="s">
        <v>250</v>
      </c>
      <c r="B838" s="158"/>
      <c r="C838" s="158"/>
      <c r="D838" s="158"/>
      <c r="E838" s="158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265</v>
      </c>
      <c r="O838" s="30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41" activePane="bottomLeft" state="frozen"/>
      <selection pane="bottomLeft" activeCell="E560" sqref="E560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298</v>
      </c>
      <c r="I1" s="86" t="s">
        <v>22</v>
      </c>
      <c r="J1" s="86" t="s">
        <v>299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299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300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301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302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67" t="s">
        <v>261</v>
      </c>
      <c r="B14" s="167"/>
      <c r="C14" s="167"/>
      <c r="D14" s="167"/>
      <c r="E14" s="167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262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275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275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275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275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303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275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304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275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275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275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275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275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275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67" t="s">
        <v>264</v>
      </c>
      <c r="B27" s="167"/>
      <c r="C27" s="167"/>
      <c r="D27" s="167"/>
      <c r="E27" s="167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262</v>
      </c>
      <c r="S27" s="74">
        <v>549860</v>
      </c>
      <c r="T27" s="99"/>
    </row>
    <row r="28" spans="1:20" ht="18" customHeight="1">
      <c r="A28" s="166" t="s">
        <v>250</v>
      </c>
      <c r="B28" s="166"/>
      <c r="C28" s="166"/>
      <c r="D28" s="166"/>
      <c r="E28" s="166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265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67" t="s">
        <v>261</v>
      </c>
      <c r="B41" s="167"/>
      <c r="C41" s="167"/>
      <c r="D41" s="167"/>
      <c r="E41" s="167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262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305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306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307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0.93505474536505062</v>
      </c>
      <c r="R53" s="80" t="s">
        <v>308</v>
      </c>
      <c r="S53" s="67"/>
    </row>
    <row r="54" spans="1:20" ht="15.75" customHeight="1">
      <c r="A54" s="167" t="s">
        <v>264</v>
      </c>
      <c r="B54" s="167"/>
      <c r="C54" s="167"/>
      <c r="D54" s="167"/>
      <c r="E54" s="167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1.0739436342539384</v>
      </c>
      <c r="R54" s="2" t="s">
        <v>262</v>
      </c>
      <c r="S54" s="113">
        <v>352430</v>
      </c>
      <c r="T54" s="114"/>
    </row>
    <row r="55" spans="1:20" ht="18" customHeight="1">
      <c r="A55" s="166" t="s">
        <v>250</v>
      </c>
      <c r="B55" s="166"/>
      <c r="C55" s="166"/>
      <c r="D55" s="166"/>
      <c r="E55" s="166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1.1586658564761612</v>
      </c>
      <c r="R55" s="1" t="s">
        <v>265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300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67" t="s">
        <v>261</v>
      </c>
      <c r="B68" s="167"/>
      <c r="C68" s="167"/>
      <c r="D68" s="167"/>
      <c r="E68" s="167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262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309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275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67" t="s">
        <v>264</v>
      </c>
      <c r="B81" s="167"/>
      <c r="C81" s="167"/>
      <c r="D81" s="167"/>
      <c r="E81" s="167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262</v>
      </c>
      <c r="S81" s="115">
        <v>634210</v>
      </c>
      <c r="T81" s="116"/>
    </row>
    <row r="82" spans="1:20" ht="18" customHeight="1">
      <c r="A82" s="166" t="s">
        <v>250</v>
      </c>
      <c r="B82" s="166"/>
      <c r="C82" s="166"/>
      <c r="D82" s="166"/>
      <c r="E82" s="166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265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275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224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67" t="s">
        <v>261</v>
      </c>
      <c r="B95" s="167"/>
      <c r="C95" s="167"/>
      <c r="D95" s="167"/>
      <c r="E95" s="167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262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310</v>
      </c>
      <c r="Q96" s="66" t="str">
        <f t="shared" ref="Q96:Q107" ca="1" si="22">IFERROR(IF(O96="","",IF(P96="",MOD(NOW()-O96,1),IF(P96&gt;=O96,P96-O96,P96+1-O96))),"")</f>
        <v/>
      </c>
      <c r="R96" s="80" t="s">
        <v>311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312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313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263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67" t="s">
        <v>264</v>
      </c>
      <c r="B108" s="167"/>
      <c r="C108" s="167"/>
      <c r="D108" s="167"/>
      <c r="E108" s="167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262</v>
      </c>
      <c r="S108" s="115">
        <v>456830</v>
      </c>
      <c r="T108" s="116"/>
    </row>
    <row r="109" spans="1:20" ht="18" customHeight="1">
      <c r="A109" s="166" t="s">
        <v>250</v>
      </c>
      <c r="B109" s="166"/>
      <c r="C109" s="166"/>
      <c r="D109" s="166"/>
      <c r="E109" s="166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265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314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67" t="s">
        <v>261</v>
      </c>
      <c r="B122" s="167"/>
      <c r="C122" s="167"/>
      <c r="D122" s="167"/>
      <c r="E122" s="167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262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67" t="s">
        <v>264</v>
      </c>
      <c r="B135" s="167"/>
      <c r="C135" s="167"/>
      <c r="D135" s="167"/>
      <c r="E135" s="167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262</v>
      </c>
      <c r="S135" s="115">
        <v>756720</v>
      </c>
      <c r="T135" s="116"/>
    </row>
    <row r="136" spans="1:20" ht="18" customHeight="1">
      <c r="A136" s="166" t="s">
        <v>250</v>
      </c>
      <c r="B136" s="166"/>
      <c r="C136" s="166"/>
      <c r="D136" s="166"/>
      <c r="E136" s="166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265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315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316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317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67" t="s">
        <v>261</v>
      </c>
      <c r="B149" s="167"/>
      <c r="C149" s="167"/>
      <c r="D149" s="167"/>
      <c r="E149" s="167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262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318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67" t="s">
        <v>264</v>
      </c>
      <c r="B162" s="167"/>
      <c r="C162" s="167"/>
      <c r="D162" s="167"/>
      <c r="E162" s="167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262</v>
      </c>
      <c r="S162" s="115">
        <v>501750</v>
      </c>
      <c r="T162" s="116"/>
    </row>
    <row r="163" spans="1:20" ht="18" customHeight="1">
      <c r="A163" s="166" t="s">
        <v>250</v>
      </c>
      <c r="B163" s="166"/>
      <c r="C163" s="166"/>
      <c r="D163" s="166"/>
      <c r="E163" s="166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265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275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275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275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275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275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275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275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275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275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275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67" t="s">
        <v>261</v>
      </c>
      <c r="B176" s="167"/>
      <c r="C176" s="167"/>
      <c r="D176" s="167"/>
      <c r="E176" s="167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262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275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275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319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275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316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320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275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67" t="s">
        <v>264</v>
      </c>
      <c r="B189" s="167"/>
      <c r="C189" s="167"/>
      <c r="D189" s="167"/>
      <c r="E189" s="167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262</v>
      </c>
      <c r="S189" s="74">
        <v>362530</v>
      </c>
      <c r="T189" s="99"/>
    </row>
    <row r="190" spans="1:20" ht="18" customHeight="1">
      <c r="A190" s="166" t="s">
        <v>250</v>
      </c>
      <c r="B190" s="166"/>
      <c r="C190" s="166"/>
      <c r="D190" s="166"/>
      <c r="E190" s="166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265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321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314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67" t="s">
        <v>261</v>
      </c>
      <c r="B203" s="167"/>
      <c r="C203" s="167"/>
      <c r="D203" s="167"/>
      <c r="E203" s="167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262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67" t="s">
        <v>264</v>
      </c>
      <c r="B216" s="167"/>
      <c r="C216" s="167"/>
      <c r="D216" s="167"/>
      <c r="E216" s="167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262</v>
      </c>
      <c r="S216" s="74">
        <v>609740</v>
      </c>
      <c r="T216" s="99"/>
    </row>
    <row r="217" spans="1:20" ht="18" customHeight="1">
      <c r="A217" s="166" t="s">
        <v>250</v>
      </c>
      <c r="B217" s="166"/>
      <c r="C217" s="166"/>
      <c r="D217" s="166"/>
      <c r="E217" s="166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265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309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263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322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323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324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67" t="s">
        <v>261</v>
      </c>
      <c r="B230" s="167"/>
      <c r="C230" s="167"/>
      <c r="D230" s="167"/>
      <c r="E230" s="167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262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263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67" t="s">
        <v>264</v>
      </c>
      <c r="B243" s="167"/>
      <c r="C243" s="167"/>
      <c r="D243" s="167"/>
      <c r="E243" s="167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262</v>
      </c>
      <c r="S243" s="74">
        <v>825930</v>
      </c>
      <c r="T243" s="99"/>
    </row>
    <row r="244" spans="1:20" ht="18" customHeight="1">
      <c r="A244" s="166" t="s">
        <v>250</v>
      </c>
      <c r="B244" s="166"/>
      <c r="C244" s="166"/>
      <c r="D244" s="166"/>
      <c r="E244" s="166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265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67" t="s">
        <v>261</v>
      </c>
      <c r="B257" s="167"/>
      <c r="C257" s="167"/>
      <c r="D257" s="167"/>
      <c r="E257" s="167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262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275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275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275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275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275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275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275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275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275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275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275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275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67" t="s">
        <v>264</v>
      </c>
      <c r="B270" s="167"/>
      <c r="C270" s="167"/>
      <c r="D270" s="167"/>
      <c r="E270" s="167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732130</v>
      </c>
      <c r="T270" s="99"/>
    </row>
    <row r="271" spans="1:20" ht="18" customHeight="1">
      <c r="A271" s="166" t="s">
        <v>250</v>
      </c>
      <c r="B271" s="166"/>
      <c r="C271" s="166"/>
      <c r="D271" s="166"/>
      <c r="E271" s="166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265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275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275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275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275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260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275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67" t="s">
        <v>261</v>
      </c>
      <c r="B284" s="167"/>
      <c r="C284" s="167"/>
      <c r="D284" s="167"/>
      <c r="E284" s="167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260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260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275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275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260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260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260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260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260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67" t="s">
        <v>264</v>
      </c>
      <c r="B297" s="167"/>
      <c r="C297" s="167"/>
      <c r="D297" s="167"/>
      <c r="E297" s="167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990260</v>
      </c>
      <c r="T297" s="99"/>
    </row>
    <row r="298" spans="1:20" ht="18" customHeight="1">
      <c r="A298" s="166" t="s">
        <v>250</v>
      </c>
      <c r="B298" s="166"/>
      <c r="C298" s="166"/>
      <c r="D298" s="166"/>
      <c r="E298" s="166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275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275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275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275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275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275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275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275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275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275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275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275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67" t="s">
        <v>261</v>
      </c>
      <c r="B311" s="167"/>
      <c r="C311" s="167"/>
      <c r="D311" s="167"/>
      <c r="E311" s="167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262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275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275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275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275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275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275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275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275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275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275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67" t="s">
        <v>264</v>
      </c>
      <c r="B324" s="167"/>
      <c r="C324" s="167"/>
      <c r="D324" s="167"/>
      <c r="E324" s="167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262</v>
      </c>
      <c r="S324" s="74">
        <v>725030</v>
      </c>
      <c r="T324" s="99">
        <f>IFERROR(J324,"")</f>
        <v>104.40432</v>
      </c>
    </row>
    <row r="325" spans="1:20" ht="18" customHeight="1">
      <c r="A325" s="166" t="s">
        <v>250</v>
      </c>
      <c r="B325" s="166"/>
      <c r="C325" s="166"/>
      <c r="D325" s="166"/>
      <c r="E325" s="166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265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325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326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327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328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329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67" t="s">
        <v>261</v>
      </c>
      <c r="B338" s="167"/>
      <c r="C338" s="167"/>
      <c r="D338" s="167"/>
      <c r="E338" s="167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262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321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316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67" t="s">
        <v>264</v>
      </c>
      <c r="B351" s="167"/>
      <c r="C351" s="167"/>
      <c r="D351" s="167"/>
      <c r="E351" s="167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262</v>
      </c>
      <c r="S351" s="74">
        <v>712170</v>
      </c>
      <c r="T351" s="99">
        <f>IFERROR(J351,"")</f>
        <v>149.5557</v>
      </c>
    </row>
    <row r="352" spans="1:20" ht="18" customHeight="1">
      <c r="A352" s="166" t="s">
        <v>250</v>
      </c>
      <c r="B352" s="166"/>
      <c r="C352" s="166"/>
      <c r="D352" s="166"/>
      <c r="E352" s="166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265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309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67" t="s">
        <v>261</v>
      </c>
      <c r="B365" s="167"/>
      <c r="C365" s="167"/>
      <c r="D365" s="167"/>
      <c r="E365" s="167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262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330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67" t="s">
        <v>264</v>
      </c>
      <c r="B378" s="167"/>
      <c r="C378" s="167"/>
      <c r="D378" s="167"/>
      <c r="E378" s="167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262</v>
      </c>
      <c r="S378" s="74">
        <v>806300</v>
      </c>
      <c r="T378" s="99">
        <f>IFERROR(J378,"")</f>
        <v>169.32299999999998</v>
      </c>
    </row>
    <row r="379" spans="1:20" ht="18" customHeight="1">
      <c r="A379" s="166" t="s">
        <v>250</v>
      </c>
      <c r="B379" s="166"/>
      <c r="C379" s="166"/>
      <c r="D379" s="166"/>
      <c r="E379" s="166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265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275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275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331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67" t="s">
        <v>261</v>
      </c>
      <c r="B392" s="167"/>
      <c r="C392" s="167"/>
      <c r="D392" s="167"/>
      <c r="E392" s="167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262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332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67" t="s">
        <v>264</v>
      </c>
      <c r="B405" s="167"/>
      <c r="C405" s="167"/>
      <c r="D405" s="167"/>
      <c r="E405" s="167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262</v>
      </c>
      <c r="S405" s="74">
        <v>774540</v>
      </c>
      <c r="T405" s="99">
        <f>IFERROR(J405,"")</f>
        <v>156.22852721311477</v>
      </c>
    </row>
    <row r="406" spans="1:20" ht="18" customHeight="1">
      <c r="A406" s="166" t="s">
        <v>250</v>
      </c>
      <c r="B406" s="166"/>
      <c r="C406" s="166"/>
      <c r="D406" s="166"/>
      <c r="E406" s="166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265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67" t="s">
        <v>261</v>
      </c>
      <c r="B419" s="167"/>
      <c r="C419" s="167"/>
      <c r="D419" s="167"/>
      <c r="E419" s="167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262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333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264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262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250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265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334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275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67" t="s">
        <v>261</v>
      </c>
      <c r="B446" s="167"/>
      <c r="C446" s="167"/>
      <c r="D446" s="167"/>
      <c r="E446" s="167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262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260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335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336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67" t="s">
        <v>264</v>
      </c>
      <c r="B459" s="167"/>
      <c r="C459" s="167"/>
      <c r="D459" s="167"/>
      <c r="E459" s="167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262</v>
      </c>
      <c r="S459" s="74">
        <v>738730</v>
      </c>
      <c r="T459" s="99">
        <f>IFERROR(J459,"")</f>
        <v>144.10511642857142</v>
      </c>
    </row>
    <row r="460" spans="1:20" ht="18" customHeight="1">
      <c r="A460" s="166" t="s">
        <v>250</v>
      </c>
      <c r="B460" s="166"/>
      <c r="C460" s="166"/>
      <c r="D460" s="166"/>
      <c r="E460" s="166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265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337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67" t="s">
        <v>261</v>
      </c>
      <c r="B473" s="167"/>
      <c r="C473" s="167"/>
      <c r="D473" s="167"/>
      <c r="E473" s="167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262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338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339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67" t="s">
        <v>264</v>
      </c>
      <c r="B486" s="167"/>
      <c r="C486" s="167"/>
      <c r="D486" s="167"/>
      <c r="E486" s="167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262</v>
      </c>
      <c r="S486" s="74">
        <v>617620</v>
      </c>
      <c r="T486" s="99">
        <f>IFERROR(J486,"")</f>
        <v>88.937280000000001</v>
      </c>
    </row>
    <row r="487" spans="1:20" ht="18" customHeight="1">
      <c r="A487" s="166" t="s">
        <v>250</v>
      </c>
      <c r="B487" s="166"/>
      <c r="C487" s="166"/>
      <c r="D487" s="166"/>
      <c r="E487" s="166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265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316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292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67" t="s">
        <v>261</v>
      </c>
      <c r="B500" s="167"/>
      <c r="C500" s="167"/>
      <c r="D500" s="167"/>
      <c r="E500" s="167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262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264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262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250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265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67" t="s">
        <v>261</v>
      </c>
      <c r="B527" s="167"/>
      <c r="C527" s="167"/>
      <c r="D527" s="167"/>
      <c r="E527" s="167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262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140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340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341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67" t="s">
        <v>264</v>
      </c>
      <c r="B540" s="167"/>
      <c r="C540" s="167"/>
      <c r="D540" s="167"/>
      <c r="E540" s="167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262</v>
      </c>
      <c r="S540" s="74">
        <v>399600</v>
      </c>
      <c r="T540" s="99">
        <f>IFERROR(J540,"")</f>
        <v>64.532992771084338</v>
      </c>
    </row>
    <row r="541" spans="1:20" ht="18" customHeight="1">
      <c r="A541" s="166" t="s">
        <v>250</v>
      </c>
      <c r="B541" s="166"/>
      <c r="C541" s="166"/>
      <c r="D541" s="166"/>
      <c r="E541" s="166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265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177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67" t="s">
        <v>261</v>
      </c>
      <c r="B554" s="167"/>
      <c r="C554" s="167"/>
      <c r="D554" s="167"/>
      <c r="E554" s="167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262</v>
      </c>
      <c r="S554" s="74">
        <v>216930</v>
      </c>
      <c r="T554" s="99">
        <f>IFERROR(J554,"")</f>
        <v>31.237919999999999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>
        <f t="shared" ref="K555:K566" si="143">IF(G555="","",IF(E555="PC 17",G555*4.2,IF(E555="PC 19",G555*5,IF(E555="CB",G555*24,""))))</f>
        <v>0</v>
      </c>
      <c r="L555" s="70" t="s">
        <v>26</v>
      </c>
      <c r="M555" s="70"/>
      <c r="N555" s="70" t="s">
        <v>58</v>
      </c>
      <c r="O555" s="65">
        <v>0.79166666666666663</v>
      </c>
      <c r="P555" s="65"/>
      <c r="Q555" s="71">
        <f t="shared" ref="Q555:Q566" ca="1" si="144">IFERROR(IF(O555="","",IF(P555="",MOD(NOW()-O555,1),IF(P555&gt;=O555,P555-O555,P555+1-O555))),"")</f>
        <v>0.26491585648182081</v>
      </c>
      <c r="R555" s="80" t="s">
        <v>342</v>
      </c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 t="s">
        <v>275</v>
      </c>
      <c r="F556" s="88">
        <f>IFERROR(IF($D556="","",VLOOKUP($D556,Cadastro!$C$4:$E$7,3,FALSE())),"")</f>
        <v>0.24</v>
      </c>
      <c r="G556" s="89">
        <v>0</v>
      </c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>
        <f t="shared" si="143"/>
        <v>0</v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 t="s">
        <v>38</v>
      </c>
      <c r="D557" s="75" t="s">
        <v>39</v>
      </c>
      <c r="E557" s="100" t="s">
        <v>260</v>
      </c>
      <c r="F557" s="88">
        <f>IFERROR(IF($D557="","",VLOOKUP($D557,Cadastro!$C$4:$E$7,3,FALSE())),"")</f>
        <v>0.24</v>
      </c>
      <c r="G557" s="89">
        <v>0</v>
      </c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42"/>
        <v/>
      </c>
      <c r="K557" s="69">
        <f t="shared" si="143"/>
        <v>0</v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0</v>
      </c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>
        <f t="shared" si="143"/>
        <v>0</v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0</v>
      </c>
      <c r="H559" s="88" t="str">
        <f>IFERROR(IF($G559="","",$G559*$S$567/$G$567/Cadastro!$E$33),"")</f>
        <v/>
      </c>
      <c r="I559" s="90">
        <f>IFERROR(IF($D559="","",VLOOKUP($D559,Cadastro!$C$4:$G$7,5,FALSE())),"")</f>
        <v>0.6</v>
      </c>
      <c r="J559" s="91" t="str">
        <f t="shared" si="142"/>
        <v/>
      </c>
      <c r="K559" s="69">
        <f t="shared" si="143"/>
        <v>0</v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0</v>
      </c>
      <c r="H560" s="88" t="str">
        <f>IFERROR(IF($G560="","",$G560*$S$567/$G$567/Cadastro!$E$33),"")</f>
        <v/>
      </c>
      <c r="I560" s="90">
        <f>IFERROR(IF($D560="","",VLOOKUP($D560,Cadastro!$C$4:$G$7,5,FALSE())),"")</f>
        <v>0.6</v>
      </c>
      <c r="J560" s="91" t="str">
        <f t="shared" si="142"/>
        <v/>
      </c>
      <c r="K560" s="64">
        <f t="shared" si="143"/>
        <v>0</v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 t="s">
        <v>38</v>
      </c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 t="s">
        <v>38</v>
      </c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 t="s">
        <v>38</v>
      </c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 t="s">
        <v>38</v>
      </c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 t="s">
        <v>38</v>
      </c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 t="s">
        <v>38</v>
      </c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67" t="s">
        <v>264</v>
      </c>
      <c r="B567" s="167"/>
      <c r="C567" s="167"/>
      <c r="D567" s="167"/>
      <c r="E567" s="167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0.26491585648182081</v>
      </c>
      <c r="R567" s="2" t="s">
        <v>262</v>
      </c>
      <c r="S567" s="74"/>
      <c r="T567" s="99">
        <f>IFERROR(J567,"")</f>
        <v>0</v>
      </c>
    </row>
    <row r="568" spans="1:20" ht="18" customHeight="1">
      <c r="A568" s="166" t="s">
        <v>250</v>
      </c>
      <c r="B568" s="166"/>
      <c r="C568" s="166"/>
      <c r="D568" s="166"/>
      <c r="E568" s="166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0.58644363425959845</v>
      </c>
      <c r="R568" s="1" t="s">
        <v>265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67" t="s">
        <v>261</v>
      </c>
      <c r="B581" s="167"/>
      <c r="C581" s="167"/>
      <c r="D581" s="167"/>
      <c r="E581" s="16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67" t="s">
        <v>264</v>
      </c>
      <c r="B594" s="167"/>
      <c r="C594" s="167"/>
      <c r="D594" s="167"/>
      <c r="E594" s="16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66" t="s">
        <v>250</v>
      </c>
      <c r="B595" s="166"/>
      <c r="C595" s="166"/>
      <c r="D595" s="166"/>
      <c r="E595" s="166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67" t="s">
        <v>261</v>
      </c>
      <c r="B608" s="167"/>
      <c r="C608" s="167"/>
      <c r="D608" s="167"/>
      <c r="E608" s="16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67" t="s">
        <v>264</v>
      </c>
      <c r="B621" s="167"/>
      <c r="C621" s="167"/>
      <c r="D621" s="167"/>
      <c r="E621" s="16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66" t="s">
        <v>250</v>
      </c>
      <c r="B622" s="166"/>
      <c r="C622" s="166"/>
      <c r="D622" s="166"/>
      <c r="E622" s="166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67" t="s">
        <v>261</v>
      </c>
      <c r="B635" s="167"/>
      <c r="C635" s="167"/>
      <c r="D635" s="167"/>
      <c r="E635" s="16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67" t="s">
        <v>264</v>
      </c>
      <c r="B648" s="167"/>
      <c r="C648" s="167"/>
      <c r="D648" s="167"/>
      <c r="E648" s="16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66" t="s">
        <v>250</v>
      </c>
      <c r="B649" s="166"/>
      <c r="C649" s="166"/>
      <c r="D649" s="166"/>
      <c r="E649" s="166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67" t="s">
        <v>261</v>
      </c>
      <c r="B662" s="167"/>
      <c r="C662" s="167"/>
      <c r="D662" s="167"/>
      <c r="E662" s="16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67" t="s">
        <v>264</v>
      </c>
      <c r="B675" s="167"/>
      <c r="C675" s="167"/>
      <c r="D675" s="167"/>
      <c r="E675" s="16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66" t="s">
        <v>250</v>
      </c>
      <c r="B676" s="166"/>
      <c r="C676" s="166"/>
      <c r="D676" s="166"/>
      <c r="E676" s="166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67" t="s">
        <v>261</v>
      </c>
      <c r="B689" s="167"/>
      <c r="C689" s="167"/>
      <c r="D689" s="167"/>
      <c r="E689" s="16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67" t="s">
        <v>264</v>
      </c>
      <c r="B702" s="167"/>
      <c r="C702" s="167"/>
      <c r="D702" s="167"/>
      <c r="E702" s="16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66" t="s">
        <v>250</v>
      </c>
      <c r="B703" s="166"/>
      <c r="C703" s="166"/>
      <c r="D703" s="166"/>
      <c r="E703" s="166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67" t="s">
        <v>261</v>
      </c>
      <c r="B716" s="167"/>
      <c r="C716" s="167"/>
      <c r="D716" s="167"/>
      <c r="E716" s="16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67" t="s">
        <v>264</v>
      </c>
      <c r="B729" s="167"/>
      <c r="C729" s="167"/>
      <c r="D729" s="167"/>
      <c r="E729" s="16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66" t="s">
        <v>250</v>
      </c>
      <c r="B730" s="166"/>
      <c r="C730" s="166"/>
      <c r="D730" s="166"/>
      <c r="E730" s="166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67" t="s">
        <v>261</v>
      </c>
      <c r="B743" s="167"/>
      <c r="C743" s="167"/>
      <c r="D743" s="167"/>
      <c r="E743" s="16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67" t="s">
        <v>264</v>
      </c>
      <c r="B756" s="167"/>
      <c r="C756" s="167"/>
      <c r="D756" s="167"/>
      <c r="E756" s="16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66" t="s">
        <v>250</v>
      </c>
      <c r="B757" s="166"/>
      <c r="C757" s="166"/>
      <c r="D757" s="166"/>
      <c r="E757" s="166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67" t="s">
        <v>261</v>
      </c>
      <c r="B770" s="167"/>
      <c r="C770" s="167"/>
      <c r="D770" s="167"/>
      <c r="E770" s="16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67" t="s">
        <v>264</v>
      </c>
      <c r="B783" s="167"/>
      <c r="C783" s="167"/>
      <c r="D783" s="167"/>
      <c r="E783" s="16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66" t="s">
        <v>250</v>
      </c>
      <c r="B784" s="166"/>
      <c r="C784" s="166"/>
      <c r="D784" s="166"/>
      <c r="E784" s="166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67" t="s">
        <v>261</v>
      </c>
      <c r="B797" s="167"/>
      <c r="C797" s="167"/>
      <c r="D797" s="167"/>
      <c r="E797" s="16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67" t="s">
        <v>264</v>
      </c>
      <c r="B810" s="167"/>
      <c r="C810" s="167"/>
      <c r="D810" s="167"/>
      <c r="E810" s="16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66" t="s">
        <v>250</v>
      </c>
      <c r="B811" s="166"/>
      <c r="C811" s="166"/>
      <c r="D811" s="166"/>
      <c r="E811" s="166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67" t="s">
        <v>261</v>
      </c>
      <c r="B824" s="167"/>
      <c r="C824" s="167"/>
      <c r="D824" s="167"/>
      <c r="E824" s="16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67" t="s">
        <v>264</v>
      </c>
      <c r="B837" s="167"/>
      <c r="C837" s="167"/>
      <c r="D837" s="167"/>
      <c r="E837" s="16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113"/>
      <c r="T837" s="114">
        <f>IFERROR(J837,"")</f>
        <v>0</v>
      </c>
    </row>
    <row r="838" spans="1:20" ht="18" customHeight="1">
      <c r="A838" s="166" t="s">
        <v>250</v>
      </c>
      <c r="B838" s="166"/>
      <c r="C838" s="166"/>
      <c r="D838" s="166"/>
      <c r="E838" s="166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542" activePane="bottomLeft" state="frozen"/>
      <selection pane="bottomLeft" activeCell="L564" sqref="L564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298</v>
      </c>
      <c r="I1" s="86" t="s">
        <v>22</v>
      </c>
      <c r="J1" s="86" t="s">
        <v>299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299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67" t="s">
        <v>261</v>
      </c>
      <c r="B14" s="167"/>
      <c r="C14" s="167"/>
      <c r="D14" s="167"/>
      <c r="E14" s="167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262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343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303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344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275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275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67" t="s">
        <v>264</v>
      </c>
      <c r="B27" s="167"/>
      <c r="C27" s="167"/>
      <c r="D27" s="167"/>
      <c r="E27" s="167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262</v>
      </c>
      <c r="S27" s="74">
        <v>358000</v>
      </c>
      <c r="T27" s="99">
        <f>IFERROR(J27,"")</f>
        <v>0</v>
      </c>
    </row>
    <row r="28" spans="1:20" ht="18" customHeight="1">
      <c r="A28" s="166" t="s">
        <v>250</v>
      </c>
      <c r="B28" s="166"/>
      <c r="C28" s="166"/>
      <c r="D28" s="166"/>
      <c r="E28" s="166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265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67" t="s">
        <v>261</v>
      </c>
      <c r="B41" s="167"/>
      <c r="C41" s="167"/>
      <c r="D41" s="167"/>
      <c r="E41" s="167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262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309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343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343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67" t="s">
        <v>264</v>
      </c>
      <c r="B54" s="167"/>
      <c r="C54" s="167"/>
      <c r="D54" s="167"/>
      <c r="E54" s="167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262</v>
      </c>
      <c r="S54" s="74">
        <v>279980</v>
      </c>
      <c r="T54" s="99">
        <f>IFERROR(J54,"")</f>
        <v>0</v>
      </c>
    </row>
    <row r="55" spans="1:20" ht="18" customHeight="1">
      <c r="A55" s="166" t="s">
        <v>250</v>
      </c>
      <c r="B55" s="166"/>
      <c r="C55" s="166"/>
      <c r="D55" s="166"/>
      <c r="E55" s="166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265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275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275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275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275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275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345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275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275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275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275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67" t="s">
        <v>261</v>
      </c>
      <c r="B68" s="167"/>
      <c r="C68" s="167"/>
      <c r="D68" s="167"/>
      <c r="E68" s="167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262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346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67" t="s">
        <v>264</v>
      </c>
      <c r="B81" s="167"/>
      <c r="C81" s="167"/>
      <c r="D81" s="167"/>
      <c r="E81" s="167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262</v>
      </c>
      <c r="S81" s="74">
        <v>185920</v>
      </c>
      <c r="T81" s="99">
        <f>IFERROR(J81,"")</f>
        <v>0</v>
      </c>
    </row>
    <row r="82" spans="1:20" ht="18" customHeight="1">
      <c r="A82" s="166" t="s">
        <v>250</v>
      </c>
      <c r="B82" s="166"/>
      <c r="C82" s="166"/>
      <c r="D82" s="166"/>
      <c r="E82" s="166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265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347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348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67" t="s">
        <v>261</v>
      </c>
      <c r="B95" s="167"/>
      <c r="C95" s="167"/>
      <c r="D95" s="167"/>
      <c r="E95" s="167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262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349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67" t="s">
        <v>264</v>
      </c>
      <c r="B108" s="167"/>
      <c r="C108" s="167"/>
      <c r="D108" s="167"/>
      <c r="E108" s="167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262</v>
      </c>
      <c r="S108" s="74">
        <v>434370</v>
      </c>
      <c r="T108" s="99">
        <f>IFERROR(J108,"")</f>
        <v>0</v>
      </c>
    </row>
    <row r="109" spans="1:20" ht="18" customHeight="1">
      <c r="A109" s="166" t="s">
        <v>250</v>
      </c>
      <c r="B109" s="166"/>
      <c r="C109" s="166"/>
      <c r="D109" s="166"/>
      <c r="E109" s="166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265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67" t="s">
        <v>261</v>
      </c>
      <c r="B122" s="167"/>
      <c r="C122" s="167"/>
      <c r="D122" s="167"/>
      <c r="E122" s="167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262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350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67" t="s">
        <v>264</v>
      </c>
      <c r="B135" s="167"/>
      <c r="C135" s="167"/>
      <c r="D135" s="167"/>
      <c r="E135" s="167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262</v>
      </c>
      <c r="S135" s="74">
        <v>416350</v>
      </c>
      <c r="T135" s="99">
        <f>IFERROR(J135,"")</f>
        <v>0</v>
      </c>
    </row>
    <row r="136" spans="1:20" ht="18" customHeight="1">
      <c r="A136" s="166" t="s">
        <v>250</v>
      </c>
      <c r="B136" s="166"/>
      <c r="C136" s="166"/>
      <c r="D136" s="166"/>
      <c r="E136" s="166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265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351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317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67" t="s">
        <v>261</v>
      </c>
      <c r="B149" s="167"/>
      <c r="C149" s="167"/>
      <c r="D149" s="167"/>
      <c r="E149" s="167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262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309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67" t="s">
        <v>264</v>
      </c>
      <c r="B162" s="167"/>
      <c r="C162" s="167"/>
      <c r="D162" s="167"/>
      <c r="E162" s="167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262</v>
      </c>
      <c r="S162" s="74">
        <v>169760</v>
      </c>
      <c r="T162" s="99">
        <f>IFERROR(J162,"")</f>
        <v>0</v>
      </c>
    </row>
    <row r="163" spans="1:20" ht="18" customHeight="1">
      <c r="A163" s="166" t="s">
        <v>250</v>
      </c>
      <c r="B163" s="166"/>
      <c r="C163" s="166"/>
      <c r="D163" s="166"/>
      <c r="E163" s="166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265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352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67" t="s">
        <v>261</v>
      </c>
      <c r="B176" s="167"/>
      <c r="C176" s="167"/>
      <c r="D176" s="167"/>
      <c r="E176" s="167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262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353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320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320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67" t="s">
        <v>264</v>
      </c>
      <c r="B189" s="167"/>
      <c r="C189" s="167"/>
      <c r="D189" s="167"/>
      <c r="E189" s="167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262</v>
      </c>
      <c r="S189" s="74">
        <v>72220</v>
      </c>
      <c r="T189" s="99">
        <f>IFERROR(J189,"")</f>
        <v>0</v>
      </c>
    </row>
    <row r="190" spans="1:20" ht="18" customHeight="1">
      <c r="A190" s="166" t="s">
        <v>250</v>
      </c>
      <c r="B190" s="166"/>
      <c r="C190" s="166"/>
      <c r="D190" s="166"/>
      <c r="E190" s="166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265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67" t="s">
        <v>261</v>
      </c>
      <c r="B203" s="167"/>
      <c r="C203" s="167"/>
      <c r="D203" s="167"/>
      <c r="E203" s="167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262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354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67" t="s">
        <v>264</v>
      </c>
      <c r="B216" s="167"/>
      <c r="C216" s="167"/>
      <c r="D216" s="167"/>
      <c r="E216" s="167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262</v>
      </c>
      <c r="S216" s="74">
        <v>148720</v>
      </c>
      <c r="T216" s="99">
        <f>IFERROR(J216,"")</f>
        <v>0</v>
      </c>
    </row>
    <row r="217" spans="1:20" ht="18" customHeight="1">
      <c r="A217" s="166" t="s">
        <v>250</v>
      </c>
      <c r="B217" s="166"/>
      <c r="C217" s="166"/>
      <c r="D217" s="166"/>
      <c r="E217" s="166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265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355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356</v>
      </c>
      <c r="Q222" s="66" t="str">
        <f t="shared" ca="1" si="49"/>
        <v/>
      </c>
      <c r="R222" s="63" t="s">
        <v>357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67" t="s">
        <v>261</v>
      </c>
      <c r="B230" s="167"/>
      <c r="C230" s="167"/>
      <c r="D230" s="167"/>
      <c r="E230" s="167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262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67" t="s">
        <v>264</v>
      </c>
      <c r="B243" s="167"/>
      <c r="C243" s="167"/>
      <c r="D243" s="167"/>
      <c r="E243" s="167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262</v>
      </c>
      <c r="S243" s="74">
        <v>352720</v>
      </c>
      <c r="T243" s="99">
        <f>IFERROR(J243,"")</f>
        <v>0</v>
      </c>
    </row>
    <row r="244" spans="1:20" ht="18" customHeight="1">
      <c r="A244" s="166" t="s">
        <v>250</v>
      </c>
      <c r="B244" s="166"/>
      <c r="C244" s="166"/>
      <c r="D244" s="166"/>
      <c r="E244" s="166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265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358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260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260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67" t="s">
        <v>261</v>
      </c>
      <c r="B257" s="167"/>
      <c r="C257" s="167"/>
      <c r="D257" s="167"/>
      <c r="E257" s="167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262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275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275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275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275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275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275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275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275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275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275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275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275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67" t="s">
        <v>264</v>
      </c>
      <c r="B270" s="167"/>
      <c r="C270" s="167"/>
      <c r="D270" s="167"/>
      <c r="E270" s="167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327900</v>
      </c>
      <c r="T270" s="99">
        <f>IFERROR(J270,"")</f>
        <v>0</v>
      </c>
    </row>
    <row r="271" spans="1:20" ht="18" customHeight="1">
      <c r="A271" s="166" t="s">
        <v>250</v>
      </c>
      <c r="B271" s="166"/>
      <c r="C271" s="166"/>
      <c r="D271" s="166"/>
      <c r="E271" s="166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265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260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67" t="s">
        <v>261</v>
      </c>
      <c r="B284" s="167"/>
      <c r="C284" s="167"/>
      <c r="D284" s="167"/>
      <c r="E284" s="167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67" t="s">
        <v>264</v>
      </c>
      <c r="B297" s="167"/>
      <c r="C297" s="167"/>
      <c r="D297" s="167"/>
      <c r="E297" s="167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462190</v>
      </c>
      <c r="T297" s="99">
        <f>IFERROR(J297,"")</f>
        <v>0</v>
      </c>
    </row>
    <row r="298" spans="1:20" ht="18" customHeight="1">
      <c r="A298" s="166" t="s">
        <v>250</v>
      </c>
      <c r="B298" s="166"/>
      <c r="C298" s="166"/>
      <c r="D298" s="166"/>
      <c r="E298" s="166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67" t="s">
        <v>261</v>
      </c>
      <c r="B311" s="167"/>
      <c r="C311" s="167"/>
      <c r="D311" s="167"/>
      <c r="E311" s="167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262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67" t="s">
        <v>264</v>
      </c>
      <c r="B324" s="167"/>
      <c r="C324" s="167"/>
      <c r="D324" s="167"/>
      <c r="E324" s="167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262</v>
      </c>
      <c r="S324" s="74">
        <v>289490</v>
      </c>
      <c r="T324" s="99">
        <f>IFERROR(J324,"")</f>
        <v>41.68656</v>
      </c>
    </row>
    <row r="325" spans="1:20" ht="18" customHeight="1">
      <c r="A325" s="166" t="s">
        <v>250</v>
      </c>
      <c r="B325" s="166"/>
      <c r="C325" s="166"/>
      <c r="D325" s="166"/>
      <c r="E325" s="166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265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327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359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328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275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67" t="s">
        <v>261</v>
      </c>
      <c r="B338" s="167"/>
      <c r="C338" s="167"/>
      <c r="D338" s="167"/>
      <c r="E338" s="167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262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67" t="s">
        <v>264</v>
      </c>
      <c r="B351" s="167"/>
      <c r="C351" s="167"/>
      <c r="D351" s="167"/>
      <c r="E351" s="167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262</v>
      </c>
      <c r="S351" s="74">
        <v>256170</v>
      </c>
      <c r="T351" s="99">
        <f>IFERROR(J351,"")</f>
        <v>53.795699999999997</v>
      </c>
    </row>
    <row r="352" spans="1:20" ht="18" customHeight="1">
      <c r="A352" s="166" t="s">
        <v>250</v>
      </c>
      <c r="B352" s="166"/>
      <c r="C352" s="166"/>
      <c r="D352" s="166"/>
      <c r="E352" s="166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265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309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67" t="s">
        <v>261</v>
      </c>
      <c r="B365" s="167"/>
      <c r="C365" s="167"/>
      <c r="D365" s="167"/>
      <c r="E365" s="167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262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67" t="s">
        <v>264</v>
      </c>
      <c r="B378" s="167"/>
      <c r="C378" s="167"/>
      <c r="D378" s="167"/>
      <c r="E378" s="167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262</v>
      </c>
      <c r="S378" s="74">
        <v>360560</v>
      </c>
      <c r="T378" s="99">
        <f>IFERROR(J378,"")</f>
        <v>75.71759999999999</v>
      </c>
    </row>
    <row r="379" spans="1:20" ht="18" customHeight="1">
      <c r="A379" s="166" t="s">
        <v>250</v>
      </c>
      <c r="B379" s="166"/>
      <c r="C379" s="166"/>
      <c r="D379" s="166"/>
      <c r="E379" s="166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265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360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331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67" t="s">
        <v>261</v>
      </c>
      <c r="B392" s="167"/>
      <c r="C392" s="167"/>
      <c r="D392" s="167"/>
      <c r="E392" s="167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262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67" t="s">
        <v>264</v>
      </c>
      <c r="B405" s="167"/>
      <c r="C405" s="167"/>
      <c r="D405" s="167"/>
      <c r="E405" s="167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262</v>
      </c>
      <c r="S405" s="74">
        <v>489360</v>
      </c>
      <c r="T405" s="99">
        <f>IFERROR(J405,"")</f>
        <v>99.305125714285708</v>
      </c>
    </row>
    <row r="406" spans="1:20" ht="18" customHeight="1">
      <c r="A406" s="166" t="s">
        <v>250</v>
      </c>
      <c r="B406" s="166"/>
      <c r="C406" s="166"/>
      <c r="D406" s="166"/>
      <c r="E406" s="166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265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361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67" t="s">
        <v>261</v>
      </c>
      <c r="B419" s="167"/>
      <c r="C419" s="167"/>
      <c r="D419" s="167"/>
      <c r="E419" s="167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262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362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67" t="s">
        <v>264</v>
      </c>
      <c r="B432" s="167"/>
      <c r="C432" s="167"/>
      <c r="D432" s="167"/>
      <c r="E432" s="167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262</v>
      </c>
      <c r="S432" s="74">
        <v>180150</v>
      </c>
      <c r="T432" s="99">
        <f>IFERROR(J432,"")</f>
        <v>25.941599999999998</v>
      </c>
    </row>
    <row r="433" spans="1:20" ht="18" customHeight="1">
      <c r="A433" s="166" t="s">
        <v>250</v>
      </c>
      <c r="B433" s="166"/>
      <c r="C433" s="166"/>
      <c r="D433" s="166"/>
      <c r="E433" s="166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265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363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363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67" t="s">
        <v>261</v>
      </c>
      <c r="B446" s="167"/>
      <c r="C446" s="167"/>
      <c r="D446" s="167"/>
      <c r="E446" s="167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262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364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67" t="s">
        <v>264</v>
      </c>
      <c r="B459" s="167"/>
      <c r="C459" s="167"/>
      <c r="D459" s="167"/>
      <c r="E459" s="167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262</v>
      </c>
      <c r="S459" s="74">
        <v>471910</v>
      </c>
      <c r="T459" s="99">
        <f>IFERROR(J459,"")</f>
        <v>92.928007027027007</v>
      </c>
    </row>
    <row r="460" spans="1:20" ht="18" customHeight="1">
      <c r="A460" s="166" t="s">
        <v>250</v>
      </c>
      <c r="B460" s="166"/>
      <c r="C460" s="166"/>
      <c r="D460" s="166"/>
      <c r="E460" s="166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265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67" t="s">
        <v>261</v>
      </c>
      <c r="B473" s="167"/>
      <c r="C473" s="167"/>
      <c r="D473" s="167"/>
      <c r="E473" s="167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262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309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365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67" t="s">
        <v>264</v>
      </c>
      <c r="B486" s="167"/>
      <c r="C486" s="167"/>
      <c r="D486" s="167"/>
      <c r="E486" s="167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262</v>
      </c>
      <c r="S486" s="74">
        <v>261400</v>
      </c>
      <c r="T486" s="99">
        <f>IFERROR(J486,"")</f>
        <v>37.641599999999997</v>
      </c>
    </row>
    <row r="487" spans="1:20" ht="18" customHeight="1">
      <c r="A487" s="166" t="s">
        <v>250</v>
      </c>
      <c r="B487" s="166"/>
      <c r="C487" s="166"/>
      <c r="D487" s="166"/>
      <c r="E487" s="166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265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275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350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67" t="s">
        <v>261</v>
      </c>
      <c r="B500" s="167"/>
      <c r="C500" s="167"/>
      <c r="D500" s="167"/>
      <c r="E500" s="167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262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366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367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67" t="s">
        <v>264</v>
      </c>
      <c r="B513" s="167"/>
      <c r="C513" s="167"/>
      <c r="D513" s="167"/>
      <c r="E513" s="167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262</v>
      </c>
      <c r="S513" s="74">
        <v>357140</v>
      </c>
      <c r="T513" s="99">
        <f>IFERROR(J513,"")</f>
        <v>61.810729999999992</v>
      </c>
    </row>
    <row r="514" spans="1:20" ht="18" customHeight="1">
      <c r="A514" s="166" t="s">
        <v>250</v>
      </c>
      <c r="B514" s="166"/>
      <c r="C514" s="166"/>
      <c r="D514" s="166"/>
      <c r="E514" s="166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265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368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67" t="s">
        <v>261</v>
      </c>
      <c r="B527" s="167"/>
      <c r="C527" s="167"/>
      <c r="D527" s="167"/>
      <c r="E527" s="167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262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309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369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67" t="s">
        <v>264</v>
      </c>
      <c r="B540" s="167"/>
      <c r="C540" s="167"/>
      <c r="D540" s="167"/>
      <c r="E540" s="167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262</v>
      </c>
      <c r="S540" s="74">
        <v>270460</v>
      </c>
      <c r="T540" s="99">
        <f>IFERROR(J540,"")</f>
        <v>46.847219016393439</v>
      </c>
    </row>
    <row r="541" spans="1:20" ht="18" customHeight="1">
      <c r="A541" s="166" t="s">
        <v>250</v>
      </c>
      <c r="B541" s="166"/>
      <c r="C541" s="166"/>
      <c r="D541" s="166"/>
      <c r="E541" s="166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265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370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223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67" t="s">
        <v>261</v>
      </c>
      <c r="B554" s="167"/>
      <c r="C554" s="167"/>
      <c r="D554" s="167"/>
      <c r="E554" s="167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262</v>
      </c>
      <c r="S554" s="74">
        <v>39890</v>
      </c>
      <c r="T554" s="99">
        <f>IFERROR(J554,"")</f>
        <v>5.7441599999999999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136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0</v>
      </c>
      <c r="I556" s="90">
        <f>IFERROR(IF($D556="","",VLOOKUP($D556,Cadastro!$C$4:$G$7,5,FALSE())),"")</f>
        <v>0.6</v>
      </c>
      <c r="J556" s="91">
        <f t="shared" si="139"/>
        <v>0</v>
      </c>
      <c r="K556" s="64">
        <f t="shared" si="140"/>
        <v>95</v>
      </c>
      <c r="L556" s="61" t="s">
        <v>29</v>
      </c>
      <c r="M556" s="61" t="s">
        <v>56</v>
      </c>
      <c r="N556" s="61" t="s">
        <v>210</v>
      </c>
      <c r="O556" s="65">
        <v>0.89166666666666672</v>
      </c>
      <c r="P556" s="65">
        <v>0.8930555555555556</v>
      </c>
      <c r="Q556" s="66">
        <f t="shared" ca="1" si="141"/>
        <v>1.388888888888884E-3</v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15</v>
      </c>
      <c r="H557" s="88">
        <f>IFERROR(IF($G557="","",$G557*$S$567/$G$567/Cadastro!$E$33),"")</f>
        <v>0</v>
      </c>
      <c r="I557" s="90">
        <f>IFERROR(IF($D557="","",VLOOKUP($D557,Cadastro!$C$4:$G$7,5,FALSE())),"")</f>
        <v>0.6</v>
      </c>
      <c r="J557" s="91">
        <f t="shared" si="139"/>
        <v>0</v>
      </c>
      <c r="K557" s="69">
        <f t="shared" si="140"/>
        <v>63</v>
      </c>
      <c r="L557" s="70" t="s">
        <v>29</v>
      </c>
      <c r="M557" s="70" t="s">
        <v>56</v>
      </c>
      <c r="N557" s="70" t="s">
        <v>210</v>
      </c>
      <c r="O557" s="65">
        <v>0.92847222222222225</v>
      </c>
      <c r="P557" s="65">
        <v>0.9291666666666667</v>
      </c>
      <c r="Q557" s="71">
        <f t="shared" ca="1" si="141"/>
        <v>6.9444444444444198E-4</v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8</v>
      </c>
      <c r="H558" s="88">
        <f>IFERROR(IF($G558="","",$G558*$S$567/$G$567/Cadastro!$E$33),"")</f>
        <v>0</v>
      </c>
      <c r="I558" s="90">
        <f>IFERROR(IF($D558="","",VLOOKUP($D558,Cadastro!$C$4:$G$7,5,FALSE())),"")</f>
        <v>0.6</v>
      </c>
      <c r="J558" s="91">
        <f t="shared" si="139"/>
        <v>0</v>
      </c>
      <c r="K558" s="64">
        <f t="shared" si="140"/>
        <v>33.6</v>
      </c>
      <c r="L558" s="61" t="s">
        <v>29</v>
      </c>
      <c r="M558" s="61" t="s">
        <v>56</v>
      </c>
      <c r="N558" s="61" t="s">
        <v>60</v>
      </c>
      <c r="O558" s="65">
        <v>0.94930555555555551</v>
      </c>
      <c r="P558" s="65">
        <v>0.95694444444444449</v>
      </c>
      <c r="Q558" s="66">
        <f t="shared" ca="1" si="141"/>
        <v>7.6388888888889728E-3</v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15</v>
      </c>
      <c r="H559" s="88">
        <f>IFERROR(IF($G559="","",$G559*$S$567/$G$567/Cadastro!$E$33),"")</f>
        <v>0</v>
      </c>
      <c r="I559" s="90">
        <f>IFERROR(IF($D559="","",VLOOKUP($D559,Cadastro!$C$4:$G$7,5,FALSE())),"")</f>
        <v>0.6</v>
      </c>
      <c r="J559" s="91">
        <f t="shared" si="139"/>
        <v>0</v>
      </c>
      <c r="K559" s="69">
        <f t="shared" si="140"/>
        <v>63</v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12</v>
      </c>
      <c r="H560" s="88">
        <f>IFERROR(IF($G560="","",$G560*$S$567/$G$567/Cadastro!$E$33),"")</f>
        <v>0</v>
      </c>
      <c r="I560" s="90">
        <f>IFERROR(IF($D560="","",VLOOKUP($D560,Cadastro!$C$4:$G$7,5,FALSE())),"")</f>
        <v>0.6</v>
      </c>
      <c r="J560" s="91">
        <f t="shared" si="139"/>
        <v>0</v>
      </c>
      <c r="K560" s="64">
        <f t="shared" si="140"/>
        <v>50.400000000000006</v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 t="s">
        <v>38</v>
      </c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 t="s">
        <v>38</v>
      </c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 t="s">
        <v>38</v>
      </c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 t="s">
        <v>38</v>
      </c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 t="s">
        <v>38</v>
      </c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 t="s">
        <v>38</v>
      </c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67" t="s">
        <v>264</v>
      </c>
      <c r="B567" s="167"/>
      <c r="C567" s="167"/>
      <c r="D567" s="167"/>
      <c r="E567" s="167"/>
      <c r="F567" s="105"/>
      <c r="G567" s="96">
        <f>SUM(G555:G566)</f>
        <v>69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305</v>
      </c>
      <c r="L567" s="72"/>
      <c r="M567" s="72"/>
      <c r="N567" s="72"/>
      <c r="O567" s="72"/>
      <c r="P567" s="72"/>
      <c r="Q567" s="73">
        <f ca="1">IFERROR(SUM(Q555:Q566),"")</f>
        <v>2.7083333333333459E-2</v>
      </c>
      <c r="R567" s="2" t="s">
        <v>262</v>
      </c>
      <c r="S567" s="74"/>
      <c r="T567" s="99">
        <f>IFERROR(J567,"")</f>
        <v>0</v>
      </c>
    </row>
    <row r="568" spans="1:20" ht="18" customHeight="1">
      <c r="A568" s="166" t="s">
        <v>250</v>
      </c>
      <c r="B568" s="166"/>
      <c r="C568" s="166"/>
      <c r="D568" s="166"/>
      <c r="E568" s="166"/>
      <c r="F568" s="108"/>
      <c r="G568" s="109">
        <f>G554+G567</f>
        <v>78</v>
      </c>
      <c r="H568" s="108">
        <f>IFERROR(H554+H567,"")</f>
        <v>39.89</v>
      </c>
      <c r="I568" s="110"/>
      <c r="J568" s="111">
        <f>IFERROR(J554+J567,"")</f>
        <v>5.7441599999999999</v>
      </c>
      <c r="K568" s="1">
        <f>K554+K567</f>
        <v>342.8</v>
      </c>
      <c r="L568" s="76"/>
      <c r="M568" s="76"/>
      <c r="N568" s="76"/>
      <c r="O568" s="76"/>
      <c r="P568" s="76"/>
      <c r="Q568" s="77">
        <f ca="1">IFERROR(Q554+Q567,"")</f>
        <v>0.43750000000000017</v>
      </c>
      <c r="R568" s="1" t="s">
        <v>265</v>
      </c>
      <c r="S568" s="82">
        <f>IFERROR(S554+S567,"")</f>
        <v>39890</v>
      </c>
      <c r="T568" s="118">
        <f>IFERROR(J568,"")</f>
        <v>5.7441599999999999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67" t="s">
        <v>261</v>
      </c>
      <c r="B581" s="167"/>
      <c r="C581" s="167"/>
      <c r="D581" s="167"/>
      <c r="E581" s="16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67" t="s">
        <v>264</v>
      </c>
      <c r="B594" s="167"/>
      <c r="C594" s="167"/>
      <c r="D594" s="167"/>
      <c r="E594" s="16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66" t="s">
        <v>250</v>
      </c>
      <c r="B595" s="166"/>
      <c r="C595" s="166"/>
      <c r="D595" s="166"/>
      <c r="E595" s="166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67" t="s">
        <v>261</v>
      </c>
      <c r="B608" s="167"/>
      <c r="C608" s="167"/>
      <c r="D608" s="167"/>
      <c r="E608" s="16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67" t="s">
        <v>264</v>
      </c>
      <c r="B621" s="167"/>
      <c r="C621" s="167"/>
      <c r="D621" s="167"/>
      <c r="E621" s="16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66" t="s">
        <v>250</v>
      </c>
      <c r="B622" s="166"/>
      <c r="C622" s="166"/>
      <c r="D622" s="166"/>
      <c r="E622" s="166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67" t="s">
        <v>261</v>
      </c>
      <c r="B635" s="167"/>
      <c r="C635" s="167"/>
      <c r="D635" s="167"/>
      <c r="E635" s="16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67" t="s">
        <v>264</v>
      </c>
      <c r="B648" s="167"/>
      <c r="C648" s="167"/>
      <c r="D648" s="167"/>
      <c r="E648" s="16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66" t="s">
        <v>250</v>
      </c>
      <c r="B649" s="166"/>
      <c r="C649" s="166"/>
      <c r="D649" s="166"/>
      <c r="E649" s="166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67" t="s">
        <v>261</v>
      </c>
      <c r="B662" s="167"/>
      <c r="C662" s="167"/>
      <c r="D662" s="167"/>
      <c r="E662" s="16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67" t="s">
        <v>264</v>
      </c>
      <c r="B675" s="167"/>
      <c r="C675" s="167"/>
      <c r="D675" s="167"/>
      <c r="E675" s="16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66" t="s">
        <v>250</v>
      </c>
      <c r="B676" s="166"/>
      <c r="C676" s="166"/>
      <c r="D676" s="166"/>
      <c r="E676" s="166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67" t="s">
        <v>261</v>
      </c>
      <c r="B689" s="167"/>
      <c r="C689" s="167"/>
      <c r="D689" s="167"/>
      <c r="E689" s="16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67" t="s">
        <v>264</v>
      </c>
      <c r="B702" s="167"/>
      <c r="C702" s="167"/>
      <c r="D702" s="167"/>
      <c r="E702" s="16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66" t="s">
        <v>250</v>
      </c>
      <c r="B703" s="166"/>
      <c r="C703" s="166"/>
      <c r="D703" s="166"/>
      <c r="E703" s="166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67" t="s">
        <v>261</v>
      </c>
      <c r="B716" s="167"/>
      <c r="C716" s="167"/>
      <c r="D716" s="167"/>
      <c r="E716" s="16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67" t="s">
        <v>264</v>
      </c>
      <c r="B729" s="167"/>
      <c r="C729" s="167"/>
      <c r="D729" s="167"/>
      <c r="E729" s="16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66" t="s">
        <v>250</v>
      </c>
      <c r="B730" s="166"/>
      <c r="C730" s="166"/>
      <c r="D730" s="166"/>
      <c r="E730" s="166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67" t="s">
        <v>261</v>
      </c>
      <c r="B743" s="167"/>
      <c r="C743" s="167"/>
      <c r="D743" s="167"/>
      <c r="E743" s="16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67" t="s">
        <v>264</v>
      </c>
      <c r="B756" s="167"/>
      <c r="C756" s="167"/>
      <c r="D756" s="167"/>
      <c r="E756" s="16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66" t="s">
        <v>250</v>
      </c>
      <c r="B757" s="166"/>
      <c r="C757" s="166"/>
      <c r="D757" s="166"/>
      <c r="E757" s="166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67" t="s">
        <v>261</v>
      </c>
      <c r="B770" s="167"/>
      <c r="C770" s="167"/>
      <c r="D770" s="167"/>
      <c r="E770" s="16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67" t="s">
        <v>264</v>
      </c>
      <c r="B783" s="167"/>
      <c r="C783" s="167"/>
      <c r="D783" s="167"/>
      <c r="E783" s="16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66" t="s">
        <v>250</v>
      </c>
      <c r="B784" s="166"/>
      <c r="C784" s="166"/>
      <c r="D784" s="166"/>
      <c r="E784" s="166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67" t="s">
        <v>261</v>
      </c>
      <c r="B797" s="167"/>
      <c r="C797" s="167"/>
      <c r="D797" s="167"/>
      <c r="E797" s="16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67" t="s">
        <v>264</v>
      </c>
      <c r="B810" s="167"/>
      <c r="C810" s="167"/>
      <c r="D810" s="167"/>
      <c r="E810" s="16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66" t="s">
        <v>250</v>
      </c>
      <c r="B811" s="166"/>
      <c r="C811" s="166"/>
      <c r="D811" s="166"/>
      <c r="E811" s="166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67" t="s">
        <v>261</v>
      </c>
      <c r="B824" s="167"/>
      <c r="C824" s="167"/>
      <c r="D824" s="167"/>
      <c r="E824" s="16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67" t="s">
        <v>264</v>
      </c>
      <c r="B837" s="167"/>
      <c r="C837" s="167"/>
      <c r="D837" s="167"/>
      <c r="E837" s="16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66" t="s">
        <v>250</v>
      </c>
      <c r="B838" s="166"/>
      <c r="C838" s="166"/>
      <c r="D838" s="166"/>
      <c r="E838" s="166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FE96791D-8E0B-4717-8F3A-3CA723D3D1F1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132884BB-86D0-43BF-A43A-C7EBDE34B9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F515" xr:uid="{99EA4424-6AA2-49BE-95B1-268F815F2337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804086D9-42B2-408A-8A0B-7A228A0534D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FD644130-51BE-48B9-AA26-C664E1CD8C7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3A8C8F99-C5D9-4834-BF7C-4E809F73F0C9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EEB499C4-35EC-4F28-9A2F-BC025C6C187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4309890-414F-487D-BE6B-8618CA1CACC6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542" activePane="bottomLeft" state="frozen"/>
      <selection pane="bottomLeft" activeCell="P563" sqref="P563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298</v>
      </c>
      <c r="I1" s="86" t="s">
        <v>22</v>
      </c>
      <c r="J1" s="86" t="s">
        <v>299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299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67" t="s">
        <v>261</v>
      </c>
      <c r="B14" s="167"/>
      <c r="C14" s="167"/>
      <c r="D14" s="167"/>
      <c r="E14" s="167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262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275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371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306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343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372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373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275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275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67" t="s">
        <v>264</v>
      </c>
      <c r="B27" s="167"/>
      <c r="C27" s="167"/>
      <c r="D27" s="167"/>
      <c r="E27" s="167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262</v>
      </c>
      <c r="S27" s="74">
        <v>491520</v>
      </c>
      <c r="T27" s="99">
        <f>IFERROR(J27,"")</f>
        <v>0</v>
      </c>
    </row>
    <row r="28" spans="1:20" ht="18" customHeight="1">
      <c r="A28" s="166" t="s">
        <v>250</v>
      </c>
      <c r="B28" s="166"/>
      <c r="C28" s="166"/>
      <c r="D28" s="166"/>
      <c r="E28" s="166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265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275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275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275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275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275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275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275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275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275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275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275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67" t="s">
        <v>261</v>
      </c>
      <c r="B41" s="167"/>
      <c r="C41" s="167"/>
      <c r="D41" s="167"/>
      <c r="E41" s="167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262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374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67" t="s">
        <v>264</v>
      </c>
      <c r="B54" s="167"/>
      <c r="C54" s="167"/>
      <c r="D54" s="167"/>
      <c r="E54" s="167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262</v>
      </c>
      <c r="S54" s="74">
        <v>352430</v>
      </c>
      <c r="T54" s="99">
        <f>IFERROR(J54,"")</f>
        <v>0</v>
      </c>
    </row>
    <row r="55" spans="1:20" ht="18" customHeight="1">
      <c r="A55" s="166" t="s">
        <v>250</v>
      </c>
      <c r="B55" s="166"/>
      <c r="C55" s="166"/>
      <c r="D55" s="166"/>
      <c r="E55" s="166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265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375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376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67" t="s">
        <v>261</v>
      </c>
      <c r="B68" s="167"/>
      <c r="C68" s="167"/>
      <c r="D68" s="167"/>
      <c r="E68" s="167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262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231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377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343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67" t="s">
        <v>264</v>
      </c>
      <c r="B81" s="167"/>
      <c r="C81" s="167"/>
      <c r="D81" s="167"/>
      <c r="E81" s="167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262</v>
      </c>
      <c r="S81" s="74">
        <v>612410</v>
      </c>
      <c r="T81" s="99">
        <f>IFERROR(J81,"")</f>
        <v>0</v>
      </c>
    </row>
    <row r="82" spans="1:20" ht="18" customHeight="1">
      <c r="A82" s="166" t="s">
        <v>250</v>
      </c>
      <c r="B82" s="166"/>
      <c r="C82" s="166"/>
      <c r="D82" s="166"/>
      <c r="E82" s="166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265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67" t="s">
        <v>261</v>
      </c>
      <c r="B95" s="167"/>
      <c r="C95" s="167"/>
      <c r="D95" s="167"/>
      <c r="E95" s="167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262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343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67" t="s">
        <v>264</v>
      </c>
      <c r="B108" s="167"/>
      <c r="C108" s="167"/>
      <c r="D108" s="167"/>
      <c r="E108" s="167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262</v>
      </c>
      <c r="S108" s="74">
        <v>956070</v>
      </c>
      <c r="T108" s="99">
        <f>IFERROR(J108,"")</f>
        <v>0</v>
      </c>
    </row>
    <row r="109" spans="1:20" ht="18" customHeight="1">
      <c r="A109" s="166" t="s">
        <v>250</v>
      </c>
      <c r="B109" s="166"/>
      <c r="C109" s="166"/>
      <c r="D109" s="166"/>
      <c r="E109" s="166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265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231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236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236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378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67" t="s">
        <v>261</v>
      </c>
      <c r="B122" s="167"/>
      <c r="C122" s="167"/>
      <c r="D122" s="167"/>
      <c r="E122" s="167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262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379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309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343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67" t="s">
        <v>264</v>
      </c>
      <c r="B135" s="167"/>
      <c r="C135" s="167"/>
      <c r="D135" s="167"/>
      <c r="E135" s="167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262</v>
      </c>
      <c r="S135" s="74">
        <v>912240</v>
      </c>
      <c r="T135" s="99">
        <f>IFERROR(J135,"")</f>
        <v>0</v>
      </c>
    </row>
    <row r="136" spans="1:22" ht="18" customHeight="1">
      <c r="A136" s="166" t="s">
        <v>250</v>
      </c>
      <c r="B136" s="166"/>
      <c r="C136" s="166"/>
      <c r="D136" s="166"/>
      <c r="E136" s="166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265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380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381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317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261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262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382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383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67" t="s">
        <v>264</v>
      </c>
      <c r="B162" s="167"/>
      <c r="C162" s="167"/>
      <c r="D162" s="167"/>
      <c r="E162" s="167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262</v>
      </c>
      <c r="S162" s="74">
        <v>573230</v>
      </c>
      <c r="T162" s="99">
        <f>IFERROR(J162,"")</f>
        <v>0</v>
      </c>
    </row>
    <row r="163" spans="1:20" ht="18" customHeight="1">
      <c r="A163" s="166" t="s">
        <v>250</v>
      </c>
      <c r="B163" s="166"/>
      <c r="C163" s="166"/>
      <c r="D163" s="166"/>
      <c r="E163" s="166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265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384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67" t="s">
        <v>261</v>
      </c>
      <c r="B176" s="167"/>
      <c r="C176" s="167"/>
      <c r="D176" s="167"/>
      <c r="E176" s="167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262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385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67" t="s">
        <v>264</v>
      </c>
      <c r="B189" s="167"/>
      <c r="C189" s="167"/>
      <c r="D189" s="167"/>
      <c r="E189" s="167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262</v>
      </c>
      <c r="S189" s="74">
        <v>692750</v>
      </c>
      <c r="T189" s="99">
        <f>IFERROR(J189,"")</f>
        <v>0</v>
      </c>
    </row>
    <row r="190" spans="1:20" ht="18" customHeight="1">
      <c r="A190" s="166" t="s">
        <v>250</v>
      </c>
      <c r="B190" s="166"/>
      <c r="C190" s="166"/>
      <c r="D190" s="166"/>
      <c r="E190" s="166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265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386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67" t="s">
        <v>261</v>
      </c>
      <c r="B203" s="167"/>
      <c r="C203" s="167"/>
      <c r="D203" s="167"/>
      <c r="E203" s="167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262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387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388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389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67" t="s">
        <v>264</v>
      </c>
      <c r="B216" s="167"/>
      <c r="C216" s="167"/>
      <c r="D216" s="167"/>
      <c r="E216" s="167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262</v>
      </c>
      <c r="S216" s="74">
        <v>607180</v>
      </c>
      <c r="T216" s="99">
        <f>IFERROR(J216,"")</f>
        <v>0</v>
      </c>
    </row>
    <row r="217" spans="1:20" ht="18" customHeight="1">
      <c r="A217" s="166" t="s">
        <v>250</v>
      </c>
      <c r="B217" s="166"/>
      <c r="C217" s="166"/>
      <c r="D217" s="166"/>
      <c r="E217" s="166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265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390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391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67" t="s">
        <v>261</v>
      </c>
      <c r="B230" s="167"/>
      <c r="C230" s="167"/>
      <c r="D230" s="167"/>
      <c r="E230" s="167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262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392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393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67" t="s">
        <v>264</v>
      </c>
      <c r="B243" s="167"/>
      <c r="C243" s="167"/>
      <c r="D243" s="167"/>
      <c r="E243" s="167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262</v>
      </c>
      <c r="S243" s="74">
        <v>795250</v>
      </c>
      <c r="T243" s="99">
        <f>IFERROR(J243,"")</f>
        <v>0</v>
      </c>
    </row>
    <row r="244" spans="1:20" ht="18" customHeight="1">
      <c r="A244" s="166" t="s">
        <v>250</v>
      </c>
      <c r="B244" s="166"/>
      <c r="C244" s="166"/>
      <c r="D244" s="166"/>
      <c r="E244" s="166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265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 t="s">
        <v>285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394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67" t="s">
        <v>261</v>
      </c>
      <c r="B257" s="167"/>
      <c r="C257" s="167"/>
      <c r="D257" s="167"/>
      <c r="E257" s="167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262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275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275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275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275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275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275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275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275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275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275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275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275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67" t="s">
        <v>264</v>
      </c>
      <c r="B270" s="167"/>
      <c r="C270" s="167"/>
      <c r="D270" s="167"/>
      <c r="E270" s="167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262</v>
      </c>
      <c r="S270" s="74">
        <v>683360</v>
      </c>
      <c r="T270" s="99">
        <f>IFERROR(J270,"")</f>
        <v>0</v>
      </c>
    </row>
    <row r="271" spans="1:20" ht="18" customHeight="1">
      <c r="A271" s="166" t="s">
        <v>250</v>
      </c>
      <c r="B271" s="166"/>
      <c r="C271" s="166"/>
      <c r="D271" s="166"/>
      <c r="E271" s="166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265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275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67" t="s">
        <v>261</v>
      </c>
      <c r="B284" s="167"/>
      <c r="C284" s="167"/>
      <c r="D284" s="167"/>
      <c r="E284" s="167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262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67" t="s">
        <v>264</v>
      </c>
      <c r="B297" s="167"/>
      <c r="C297" s="167"/>
      <c r="D297" s="167"/>
      <c r="E297" s="167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262</v>
      </c>
      <c r="S297" s="74">
        <v>904710</v>
      </c>
      <c r="T297" s="99">
        <f>IFERROR(J297,"")</f>
        <v>0</v>
      </c>
    </row>
    <row r="298" spans="1:20" ht="18" customHeight="1">
      <c r="A298" s="166" t="s">
        <v>250</v>
      </c>
      <c r="B298" s="166"/>
      <c r="C298" s="166"/>
      <c r="D298" s="166"/>
      <c r="E298" s="166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265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67" t="s">
        <v>261</v>
      </c>
      <c r="B311" s="167"/>
      <c r="C311" s="167"/>
      <c r="D311" s="167"/>
      <c r="E311" s="167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262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67" t="s">
        <v>264</v>
      </c>
      <c r="B324" s="167"/>
      <c r="C324" s="167"/>
      <c r="D324" s="167"/>
      <c r="E324" s="167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262</v>
      </c>
      <c r="S324" s="74">
        <v>1049720</v>
      </c>
      <c r="T324" s="99">
        <f>IFERROR(J324,"")</f>
        <v>151.15967999999998</v>
      </c>
    </row>
    <row r="325" spans="1:20" ht="18" customHeight="1">
      <c r="A325" s="166" t="s">
        <v>250</v>
      </c>
      <c r="B325" s="166"/>
      <c r="C325" s="166"/>
      <c r="D325" s="166"/>
      <c r="E325" s="166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265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275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67" t="s">
        <v>261</v>
      </c>
      <c r="B338" s="167"/>
      <c r="C338" s="167"/>
      <c r="D338" s="167"/>
      <c r="E338" s="167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262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395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396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67" t="s">
        <v>264</v>
      </c>
      <c r="B351" s="167"/>
      <c r="C351" s="167"/>
      <c r="D351" s="167"/>
      <c r="E351" s="167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262</v>
      </c>
      <c r="S351" s="74">
        <v>1058130</v>
      </c>
      <c r="T351" s="99">
        <f>IFERROR(J351,"")</f>
        <v>222.20729999999995</v>
      </c>
    </row>
    <row r="352" spans="1:20" ht="18" customHeight="1">
      <c r="A352" s="166" t="s">
        <v>250</v>
      </c>
      <c r="B352" s="166"/>
      <c r="C352" s="166"/>
      <c r="D352" s="166"/>
      <c r="E352" s="166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265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397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398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261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262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399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67" t="s">
        <v>264</v>
      </c>
      <c r="B378" s="167"/>
      <c r="C378" s="167"/>
      <c r="D378" s="167"/>
      <c r="E378" s="167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262</v>
      </c>
      <c r="S378" s="74">
        <v>1137080</v>
      </c>
      <c r="T378" s="99">
        <f>IFERROR(J378,"")</f>
        <v>238.78679999999994</v>
      </c>
    </row>
    <row r="379" spans="1:20" ht="18" customHeight="1">
      <c r="A379" s="166" t="s">
        <v>250</v>
      </c>
      <c r="B379" s="166"/>
      <c r="C379" s="166"/>
      <c r="D379" s="166"/>
      <c r="E379" s="166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265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275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331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400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67" t="s">
        <v>261</v>
      </c>
      <c r="B392" s="167"/>
      <c r="C392" s="167"/>
      <c r="D392" s="167"/>
      <c r="E392" s="167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262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231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401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67" t="s">
        <v>264</v>
      </c>
      <c r="B405" s="167"/>
      <c r="C405" s="167"/>
      <c r="D405" s="167"/>
      <c r="E405" s="167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262</v>
      </c>
      <c r="S405" s="74">
        <v>989450</v>
      </c>
      <c r="T405" s="99">
        <f>IFERROR(J405,"")</f>
        <v>195.72390675675675</v>
      </c>
    </row>
    <row r="406" spans="1:20" ht="18" customHeight="1">
      <c r="A406" s="166" t="s">
        <v>250</v>
      </c>
      <c r="B406" s="166"/>
      <c r="C406" s="166"/>
      <c r="D406" s="166"/>
      <c r="E406" s="166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265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238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402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67" t="s">
        <v>261</v>
      </c>
      <c r="B419" s="167"/>
      <c r="C419" s="167"/>
      <c r="D419" s="167"/>
      <c r="E419" s="167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262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403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67" t="s">
        <v>264</v>
      </c>
      <c r="B432" s="167"/>
      <c r="C432" s="167"/>
      <c r="D432" s="167"/>
      <c r="E432" s="167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262</v>
      </c>
      <c r="S432" s="74">
        <v>766030</v>
      </c>
      <c r="T432" s="99">
        <f>IFERROR(J432,"")</f>
        <v>110.30832000000001</v>
      </c>
    </row>
    <row r="433" spans="1:21" ht="18" customHeight="1">
      <c r="A433" s="166" t="s">
        <v>250</v>
      </c>
      <c r="B433" s="166"/>
      <c r="C433" s="166"/>
      <c r="D433" s="166"/>
      <c r="E433" s="166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265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275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67" t="s">
        <v>261</v>
      </c>
      <c r="B446" s="167"/>
      <c r="C446" s="167"/>
      <c r="D446" s="167"/>
      <c r="E446" s="167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262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404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398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67" t="s">
        <v>264</v>
      </c>
      <c r="B459" s="167"/>
      <c r="C459" s="167"/>
      <c r="D459" s="167"/>
      <c r="E459" s="167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262</v>
      </c>
      <c r="S459" s="74">
        <v>1024280</v>
      </c>
      <c r="T459" s="99">
        <f>IFERROR(J459,"")</f>
        <v>202.88866044052861</v>
      </c>
    </row>
    <row r="460" spans="1:20" ht="18" customHeight="1">
      <c r="A460" s="166" t="s">
        <v>250</v>
      </c>
      <c r="B460" s="166"/>
      <c r="C460" s="166"/>
      <c r="D460" s="166"/>
      <c r="E460" s="166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265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67" t="s">
        <v>261</v>
      </c>
      <c r="B473" s="167"/>
      <c r="C473" s="167"/>
      <c r="D473" s="167"/>
      <c r="E473" s="167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262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405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365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67" t="s">
        <v>264</v>
      </c>
      <c r="B486" s="167"/>
      <c r="C486" s="167"/>
      <c r="D486" s="167"/>
      <c r="E486" s="167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262</v>
      </c>
      <c r="S486" s="74">
        <v>616050</v>
      </c>
      <c r="T486" s="99">
        <f>IFERROR(J486,"")</f>
        <v>88.711199999999977</v>
      </c>
    </row>
    <row r="487" spans="1:20" ht="18" customHeight="1">
      <c r="A487" s="166" t="s">
        <v>250</v>
      </c>
      <c r="B487" s="166"/>
      <c r="C487" s="166"/>
      <c r="D487" s="166"/>
      <c r="E487" s="166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265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67" t="s">
        <v>261</v>
      </c>
      <c r="B500" s="167"/>
      <c r="C500" s="167"/>
      <c r="D500" s="167"/>
      <c r="E500" s="167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262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406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275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67" t="s">
        <v>264</v>
      </c>
      <c r="B513" s="167"/>
      <c r="C513" s="167"/>
      <c r="D513" s="167"/>
      <c r="E513" s="167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262</v>
      </c>
      <c r="S513" s="74">
        <v>727700</v>
      </c>
      <c r="T513" s="99">
        <f>IFERROR(J513,"")</f>
        <v>123.69990375</v>
      </c>
    </row>
    <row r="514" spans="1:20" ht="18" customHeight="1">
      <c r="A514" s="166" t="s">
        <v>250</v>
      </c>
      <c r="B514" s="166"/>
      <c r="C514" s="166"/>
      <c r="D514" s="166"/>
      <c r="E514" s="166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265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67" t="s">
        <v>261</v>
      </c>
      <c r="B527" s="167"/>
      <c r="C527" s="167"/>
      <c r="D527" s="167"/>
      <c r="E527" s="167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262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260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275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173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67" t="s">
        <v>264</v>
      </c>
      <c r="B540" s="167"/>
      <c r="C540" s="167"/>
      <c r="D540" s="167"/>
      <c r="E540" s="167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262</v>
      </c>
      <c r="S540" s="74">
        <v>746110</v>
      </c>
      <c r="T540" s="99">
        <f>IFERROR(J540,"")</f>
        <v>126.60637832335328</v>
      </c>
    </row>
    <row r="541" spans="1:20" ht="18" customHeight="1">
      <c r="A541" s="166" t="s">
        <v>250</v>
      </c>
      <c r="B541" s="166"/>
      <c r="C541" s="166"/>
      <c r="D541" s="166"/>
      <c r="E541" s="166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265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168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178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407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408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67" t="s">
        <v>261</v>
      </c>
      <c r="B554" s="167"/>
      <c r="C554" s="167"/>
      <c r="D554" s="167"/>
      <c r="E554" s="167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262</v>
      </c>
      <c r="S554" s="74">
        <v>766150</v>
      </c>
      <c r="T554" s="99">
        <f>IFERROR(J554,"")</f>
        <v>110.32559999999999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0</v>
      </c>
      <c r="K555" s="69">
        <f t="shared" ref="K555:K566" si="143">IF(G555="","",IF(E555="PC 17",G555*4.2,IF(E555="PC 19",G555*5,IF(E555="CB",G555*24,""))))</f>
        <v>92.4</v>
      </c>
      <c r="L555" s="70" t="s">
        <v>29</v>
      </c>
      <c r="M555" s="70" t="s">
        <v>61</v>
      </c>
      <c r="N555" s="70" t="s">
        <v>60</v>
      </c>
      <c r="O555" s="65">
        <v>0.83819444444444446</v>
      </c>
      <c r="P555" s="65">
        <v>0.84861111111111109</v>
      </c>
      <c r="Q555" s="71"/>
      <c r="R555" s="63" t="s">
        <v>409</v>
      </c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0</v>
      </c>
      <c r="I556" s="90">
        <f>IFERROR(IF($D556="","",VLOOKUP($D556,Cadastro!$C$4:$G$7,5,FALSE())),"")</f>
        <v>0.6</v>
      </c>
      <c r="J556" s="91">
        <f t="shared" si="142"/>
        <v>0</v>
      </c>
      <c r="K556" s="64">
        <f t="shared" si="143"/>
        <v>15</v>
      </c>
      <c r="L556" s="61" t="s">
        <v>29</v>
      </c>
      <c r="M556" s="61" t="s">
        <v>173</v>
      </c>
      <c r="N556" s="61" t="s">
        <v>60</v>
      </c>
      <c r="O556" s="65">
        <v>0.90208333333333335</v>
      </c>
      <c r="P556" s="65">
        <v>0.91736111111111107</v>
      </c>
      <c r="Q556" s="66">
        <f t="shared" ref="Q556:Q566" ca="1" si="145">IFERROR(IF(O556="","",IF(P556="",MOD(NOW()-O556,1),IF(P556&gt;=O556,P556-O556,P556+1-O556))),"")</f>
        <v>1.5277777777777724E-2</v>
      </c>
      <c r="R556" s="63" t="s">
        <v>410</v>
      </c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</v>
      </c>
      <c r="H557" s="88">
        <f>IFERROR(IF($G557="","",$G557*$S$567/$G$567/Cadastro!$E$33),"")</f>
        <v>0</v>
      </c>
      <c r="I557" s="90">
        <f>IFERROR(IF($D557="","",VLOOKUP($D557,Cadastro!$C$4:$G$7,5,FALSE())),"")</f>
        <v>0.6</v>
      </c>
      <c r="J557" s="91">
        <f t="shared" si="142"/>
        <v>0</v>
      </c>
      <c r="K557" s="69">
        <f t="shared" si="143"/>
        <v>4.2</v>
      </c>
      <c r="L557" s="70" t="s">
        <v>29</v>
      </c>
      <c r="M557" s="70" t="s">
        <v>61</v>
      </c>
      <c r="N557" s="70" t="s">
        <v>71</v>
      </c>
      <c r="O557" s="65">
        <v>0.93402777777777779</v>
      </c>
      <c r="P557" s="65">
        <v>0.94027777777777777</v>
      </c>
      <c r="Q557" s="71">
        <f t="shared" ca="1" si="145"/>
        <v>6.2499999999999778E-3</v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15</v>
      </c>
      <c r="H558" s="88">
        <f>IFERROR(IF($G558="","",$G558*$S$567/$G$567/Cadastro!$E$33),"")</f>
        <v>0</v>
      </c>
      <c r="I558" s="90">
        <f>IFERROR(IF($D558="","",VLOOKUP($D558,Cadastro!$C$4:$G$7,5,FALSE())),"")</f>
        <v>0.6</v>
      </c>
      <c r="J558" s="91">
        <f t="shared" si="142"/>
        <v>0</v>
      </c>
      <c r="K558" s="64">
        <f t="shared" si="143"/>
        <v>63</v>
      </c>
      <c r="L558" s="61" t="s">
        <v>29</v>
      </c>
      <c r="M558" s="61" t="s">
        <v>61</v>
      </c>
      <c r="N558" s="61" t="s">
        <v>60</v>
      </c>
      <c r="O558" s="65">
        <v>0.94930555555555551</v>
      </c>
      <c r="P558" s="65">
        <v>0.95208333333333328</v>
      </c>
      <c r="Q558" s="66">
        <f t="shared" ca="1" si="145"/>
        <v>2.7777777777777679E-3</v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7</v>
      </c>
      <c r="H559" s="88">
        <f>IFERROR(IF($G559="","",$G559*$S$567/$G$567/Cadastro!$E$33),"")</f>
        <v>0</v>
      </c>
      <c r="I559" s="90">
        <f>IFERROR(IF($D559="","",VLOOKUP($D559,Cadastro!$C$4:$G$7,5,FALSE())),"")</f>
        <v>0.6</v>
      </c>
      <c r="J559" s="91">
        <f t="shared" si="142"/>
        <v>0</v>
      </c>
      <c r="K559" s="69">
        <f t="shared" si="143"/>
        <v>29.400000000000002</v>
      </c>
      <c r="L559" s="61" t="s">
        <v>29</v>
      </c>
      <c r="M559" s="70" t="s">
        <v>61</v>
      </c>
      <c r="N559" s="70" t="s">
        <v>60</v>
      </c>
      <c r="O559" s="65">
        <v>0.95694444444444449</v>
      </c>
      <c r="P559" s="65">
        <v>0.95972222222222225</v>
      </c>
      <c r="Q559" s="71">
        <f t="shared" ca="1" si="145"/>
        <v>2.7777777777777679E-3</v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</v>
      </c>
      <c r="H560" s="88">
        <f>IFERROR(IF($G560="","",$G560*$S$567/$G$567/Cadastro!$E$33),"")</f>
        <v>0</v>
      </c>
      <c r="I560" s="90">
        <f>IFERROR(IF($D560="","",VLOOKUP($D560,Cadastro!$C$4:$G$7,5,FALSE())),"")</f>
        <v>0.6</v>
      </c>
      <c r="J560" s="91">
        <f t="shared" si="142"/>
        <v>0</v>
      </c>
      <c r="K560" s="64">
        <f t="shared" si="143"/>
        <v>4.2</v>
      </c>
      <c r="L560" s="154" t="s">
        <v>29</v>
      </c>
      <c r="M560" s="61" t="s">
        <v>173</v>
      </c>
      <c r="N560" s="61" t="s">
        <v>210</v>
      </c>
      <c r="O560" s="65">
        <v>0.96527777777777779</v>
      </c>
      <c r="P560" s="65">
        <v>0.97222222222222221</v>
      </c>
      <c r="Q560" s="66">
        <f t="shared" ca="1" si="145"/>
        <v>6.9444444444444198E-3</v>
      </c>
      <c r="R560" s="63" t="s">
        <v>411</v>
      </c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 t="s">
        <v>38</v>
      </c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 t="s">
        <v>29</v>
      </c>
      <c r="M561" s="70" t="s">
        <v>66</v>
      </c>
      <c r="N561" s="70" t="s">
        <v>60</v>
      </c>
      <c r="O561" s="65">
        <v>0.98333333333333328</v>
      </c>
      <c r="P561" s="65">
        <v>0.99236111111111114</v>
      </c>
      <c r="Q561" s="71">
        <f t="shared" ca="1" si="145"/>
        <v>9.0277777777778567E-3</v>
      </c>
      <c r="R561" s="63" t="s">
        <v>412</v>
      </c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 t="s">
        <v>38</v>
      </c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 t="s">
        <v>29</v>
      </c>
      <c r="M562" s="61" t="s">
        <v>66</v>
      </c>
      <c r="N562" s="61" t="s">
        <v>60</v>
      </c>
      <c r="O562" s="65">
        <v>0.99722222222222223</v>
      </c>
      <c r="P562" s="65">
        <v>5.2083333333333336E-2</v>
      </c>
      <c r="Q562" s="66">
        <f t="shared" ca="1" si="145"/>
        <v>5.4861111111111027E-2</v>
      </c>
      <c r="R562" s="63" t="s">
        <v>413</v>
      </c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 t="s">
        <v>38</v>
      </c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 t="s">
        <v>38</v>
      </c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 t="s">
        <v>38</v>
      </c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 t="s">
        <v>38</v>
      </c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67" t="s">
        <v>264</v>
      </c>
      <c r="B567" s="167"/>
      <c r="C567" s="167"/>
      <c r="D567" s="167"/>
      <c r="E567" s="167"/>
      <c r="F567" s="105"/>
      <c r="G567" s="96">
        <f>SUM(G555:G566)</f>
        <v>49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208.20000000000002</v>
      </c>
      <c r="L567" s="72"/>
      <c r="M567" s="72"/>
      <c r="N567" s="72"/>
      <c r="O567" s="134"/>
      <c r="P567" s="134"/>
      <c r="Q567" s="73">
        <f ca="1">IFERROR(SUM(Q555:Q566),"")</f>
        <v>9.7916666666666541E-2</v>
      </c>
      <c r="R567" s="2" t="s">
        <v>262</v>
      </c>
      <c r="S567" s="74"/>
      <c r="T567" s="99">
        <f>IFERROR(J567,"")</f>
        <v>0</v>
      </c>
    </row>
    <row r="568" spans="1:20" ht="18" customHeight="1">
      <c r="A568" s="166" t="s">
        <v>250</v>
      </c>
      <c r="B568" s="166"/>
      <c r="C568" s="166"/>
      <c r="D568" s="166"/>
      <c r="E568" s="166"/>
      <c r="F568" s="108"/>
      <c r="G568" s="109">
        <f>G554+G567</f>
        <v>180</v>
      </c>
      <c r="H568" s="108">
        <f>IFERROR(H554+H567,"")</f>
        <v>766.15</v>
      </c>
      <c r="I568" s="110"/>
      <c r="J568" s="111">
        <f>IFERROR(J554+J567,"")</f>
        <v>110.32559999999999</v>
      </c>
      <c r="K568" s="1">
        <f>K554+K567</f>
        <v>758.40000000000009</v>
      </c>
      <c r="L568" s="76"/>
      <c r="M568" s="76"/>
      <c r="N568" s="76"/>
      <c r="O568" s="135"/>
      <c r="P568" s="135"/>
      <c r="Q568" s="77">
        <f ca="1">IFERROR(Q554+Q567,"")</f>
        <v>0.2541666666666666</v>
      </c>
      <c r="R568" s="1" t="s">
        <v>265</v>
      </c>
      <c r="S568" s="82">
        <f>IFERROR(S554+S567,"")</f>
        <v>766150</v>
      </c>
      <c r="T568" s="118">
        <f>IFERROR(J568,"")</f>
        <v>110.32559999999999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67" t="s">
        <v>261</v>
      </c>
      <c r="B581" s="167"/>
      <c r="C581" s="167"/>
      <c r="D581" s="167"/>
      <c r="E581" s="16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67" t="s">
        <v>264</v>
      </c>
      <c r="B594" s="167"/>
      <c r="C594" s="167"/>
      <c r="D594" s="167"/>
      <c r="E594" s="16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66" t="s">
        <v>250</v>
      </c>
      <c r="B595" s="166"/>
      <c r="C595" s="166"/>
      <c r="D595" s="166"/>
      <c r="E595" s="166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67" t="s">
        <v>261</v>
      </c>
      <c r="B608" s="167"/>
      <c r="C608" s="167"/>
      <c r="D608" s="167"/>
      <c r="E608" s="16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67" t="s">
        <v>264</v>
      </c>
      <c r="B621" s="167"/>
      <c r="C621" s="167"/>
      <c r="D621" s="167"/>
      <c r="E621" s="16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66" t="s">
        <v>250</v>
      </c>
      <c r="B622" s="166"/>
      <c r="C622" s="166"/>
      <c r="D622" s="166"/>
      <c r="E622" s="166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67" t="s">
        <v>261</v>
      </c>
      <c r="B635" s="167"/>
      <c r="C635" s="167"/>
      <c r="D635" s="167"/>
      <c r="E635" s="16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67" t="s">
        <v>264</v>
      </c>
      <c r="B648" s="167"/>
      <c r="C648" s="167"/>
      <c r="D648" s="167"/>
      <c r="E648" s="16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66" t="s">
        <v>250</v>
      </c>
      <c r="B649" s="166"/>
      <c r="C649" s="166"/>
      <c r="D649" s="166"/>
      <c r="E649" s="166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67" t="s">
        <v>261</v>
      </c>
      <c r="B662" s="167"/>
      <c r="C662" s="167"/>
      <c r="D662" s="167"/>
      <c r="E662" s="16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67" t="s">
        <v>264</v>
      </c>
      <c r="B675" s="167"/>
      <c r="C675" s="167"/>
      <c r="D675" s="167"/>
      <c r="E675" s="16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66" t="s">
        <v>250</v>
      </c>
      <c r="B676" s="166"/>
      <c r="C676" s="166"/>
      <c r="D676" s="166"/>
      <c r="E676" s="166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67" t="s">
        <v>261</v>
      </c>
      <c r="B689" s="167"/>
      <c r="C689" s="167"/>
      <c r="D689" s="167"/>
      <c r="E689" s="16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67" t="s">
        <v>264</v>
      </c>
      <c r="B702" s="167"/>
      <c r="C702" s="167"/>
      <c r="D702" s="167"/>
      <c r="E702" s="16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66" t="s">
        <v>250</v>
      </c>
      <c r="B703" s="166"/>
      <c r="C703" s="166"/>
      <c r="D703" s="166"/>
      <c r="E703" s="166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67" t="s">
        <v>261</v>
      </c>
      <c r="B716" s="167"/>
      <c r="C716" s="167"/>
      <c r="D716" s="167"/>
      <c r="E716" s="16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67" t="s">
        <v>264</v>
      </c>
      <c r="B729" s="167"/>
      <c r="C729" s="167"/>
      <c r="D729" s="167"/>
      <c r="E729" s="16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66" t="s">
        <v>250</v>
      </c>
      <c r="B730" s="166"/>
      <c r="C730" s="166"/>
      <c r="D730" s="166"/>
      <c r="E730" s="166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67" t="s">
        <v>261</v>
      </c>
      <c r="B743" s="167"/>
      <c r="C743" s="167"/>
      <c r="D743" s="167"/>
      <c r="E743" s="16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67" t="s">
        <v>264</v>
      </c>
      <c r="B756" s="167"/>
      <c r="C756" s="167"/>
      <c r="D756" s="167"/>
      <c r="E756" s="16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66" t="s">
        <v>250</v>
      </c>
      <c r="B757" s="166"/>
      <c r="C757" s="166"/>
      <c r="D757" s="166"/>
      <c r="E757" s="166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67" t="s">
        <v>261</v>
      </c>
      <c r="B770" s="167"/>
      <c r="C770" s="167"/>
      <c r="D770" s="167"/>
      <c r="E770" s="16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67" t="s">
        <v>264</v>
      </c>
      <c r="B783" s="167"/>
      <c r="C783" s="167"/>
      <c r="D783" s="167"/>
      <c r="E783" s="16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66" t="s">
        <v>250</v>
      </c>
      <c r="B784" s="166"/>
      <c r="C784" s="166"/>
      <c r="D784" s="166"/>
      <c r="E784" s="166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67" t="s">
        <v>261</v>
      </c>
      <c r="B797" s="167"/>
      <c r="C797" s="167"/>
      <c r="D797" s="167"/>
      <c r="E797" s="16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67" t="s">
        <v>264</v>
      </c>
      <c r="B810" s="167"/>
      <c r="C810" s="167"/>
      <c r="D810" s="167"/>
      <c r="E810" s="16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66" t="s">
        <v>250</v>
      </c>
      <c r="B811" s="166"/>
      <c r="C811" s="166"/>
      <c r="D811" s="166"/>
      <c r="E811" s="166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67" t="s">
        <v>261</v>
      </c>
      <c r="B824" s="167"/>
      <c r="C824" s="167"/>
      <c r="D824" s="167"/>
      <c r="E824" s="16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67" t="s">
        <v>264</v>
      </c>
      <c r="B837" s="167"/>
      <c r="C837" s="167"/>
      <c r="D837" s="167"/>
      <c r="E837" s="16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66" t="s">
        <v>250</v>
      </c>
      <c r="B838" s="166"/>
      <c r="C838" s="166"/>
      <c r="D838" s="166"/>
      <c r="E838" s="166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265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L561:L900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956D0346-DD6D-4A32-81B9-BD446DB6FCD6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32B1A3CF-5FC7-4FEA-8536-053612F4F61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2026-08-22T05:21:42Z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