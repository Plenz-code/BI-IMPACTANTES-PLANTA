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55" documentId="8_{C51EB6CB-002B-4D6B-B68F-DDEBDB4460C0}" xr6:coauthVersionLast="47" xr6:coauthVersionMax="47" xr10:uidLastSave="{7D9C413E-AB10-4FF4-8874-D1ED586E8AA2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<sst xmlns="http://schemas.openxmlformats.org/spreadsheetml/2006/main" count="5849" uniqueCount="341">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</sst>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H308" sqref="H30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</v>
      </c>
      <c r="G324" s="36">
        <f>SUM(G312:G323)</f>
        <v>75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448</v>
      </c>
      <c r="G325" s="40">
        <f>G311+G324</f>
        <v>2240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J314" sqref="J31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0.81995509259286337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0.95884398148175221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1.0435662037039746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/>
      <c r="M314" s="30">
        <f t="shared" ca="1" si="70"/>
        <v>7.455092592863366E-3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51</v>
      </c>
      <c r="G324" s="36">
        <f>SUM(G312:G323)</f>
        <v>224.60000000000002</v>
      </c>
      <c r="H324" s="37"/>
      <c r="I324" s="37"/>
      <c r="J324" s="37"/>
      <c r="K324" s="37"/>
      <c r="L324" s="37"/>
      <c r="M324" s="38">
        <f ca="1">IFERROR(SUM(M312:M323),"")</f>
        <v>3.1066203703974393E-2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220</v>
      </c>
      <c r="G325" s="40">
        <f>G311+G324</f>
        <v>934.4</v>
      </c>
      <c r="H325" s="41"/>
      <c r="I325" s="41"/>
      <c r="J325" s="41"/>
      <c r="K325" s="41"/>
      <c r="L325" s="41"/>
      <c r="M325" s="42">
        <f ca="1">IFERROR(M311+M324,"")</f>
        <v>8.4538425926196537E-2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5" sqref="F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0.74703842592862202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0.80884398148417758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0.8699550925952888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</v>
      </c>
      <c r="G324" s="36">
        <f>SUM(G312:G323)</f>
        <v>95.6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145</v>
      </c>
      <c r="G325" s="40">
        <f>G311+G324</f>
        <v>612.19999999999993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K313" sqref="K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>
        <v>0.94097222222222221</v>
      </c>
      <c r="L312" s="29"/>
      <c r="M312" s="30">
        <f t="shared" ref="M312:M323" ca="1" si="70">IFERROR(IF(K312="","",IF(L312="",MOD(NOW()-K312,1),IF(L312&gt;=K312,L312-K312,L312+1-K312))),"")</f>
        <v>5.1064815488643944E-4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75</v>
      </c>
      <c r="G324" s="36">
        <f>SUM(G312:G323)</f>
        <v>328.6</v>
      </c>
      <c r="H324" s="37"/>
      <c r="I324" s="37"/>
      <c r="J324" s="37"/>
      <c r="K324" s="61"/>
      <c r="L324" s="61"/>
      <c r="M324" s="38">
        <f ca="1">IFERROR(SUM(M312:M323),"")</f>
        <v>5.1064815488643944E-4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267</v>
      </c>
      <c r="G325" s="40">
        <f>G311+G324</f>
        <v>1135</v>
      </c>
      <c r="H325" s="41"/>
      <c r="I325" s="41"/>
      <c r="J325" s="41"/>
      <c r="K325" s="63"/>
      <c r="L325" s="63"/>
      <c r="M325" s="42">
        <f ca="1">IFERROR(M311+M324,"")</f>
        <v>7.6205092599330893E-2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2026-08-13T02:36:15Z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