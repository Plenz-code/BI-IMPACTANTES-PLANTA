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73" documentId="8_{AF585B22-221D-4780-BB9C-493D365A6A02}" xr6:coauthVersionLast="47" xr6:coauthVersionMax="47" xr10:uidLastSave="{2BB2C442-160C-408A-88F7-25E8CBB3B29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<sst xmlns="http://schemas.openxmlformats.org/spreadsheetml/2006/main" count="6553" uniqueCount="329">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</sst>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72" activePane="bottomLeft" state="frozen"/>
      <selection pane="bottomLeft" activeCell="F404" sqref="F40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>
        <v>25</v>
      </c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>
        <v>35</v>
      </c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>
        <v>24</v>
      </c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332</v>
      </c>
      <c r="G405" s="36">
        <f>SUM(G393:G404)</f>
        <v>1240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592</v>
      </c>
      <c r="G406" s="40">
        <f>G392+G405</f>
        <v>2540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K398" sqref="K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8.5789351796847768E-3</v>
      </c>
      <c r="N377" s="46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0.16621782406857366</v>
      </c>
      <c r="N378" s="36" t="s">
        <v>223</v>
      </c>
      <c r="O378" s="78">
        <v>511980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0.27594004629079583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/>
      <c r="I397" s="33"/>
      <c r="J397" s="33"/>
      <c r="K397" s="29">
        <v>0.24652777777777779</v>
      </c>
      <c r="L397" s="29"/>
      <c r="M397" s="35">
        <f t="shared" ca="1" si="88"/>
        <v>1.6344907344318926E-3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116</v>
      </c>
      <c r="G405" s="36">
        <f>SUM(G393:G404)</f>
        <v>487.2</v>
      </c>
      <c r="H405" s="37"/>
      <c r="I405" s="37"/>
      <c r="J405" s="37"/>
      <c r="K405" s="37"/>
      <c r="L405" s="37"/>
      <c r="M405" s="38">
        <f ca="1">IFERROR(SUM(M393:M404),"")</f>
        <v>0.14885671295665415</v>
      </c>
      <c r="N405" s="36" t="s">
        <v>223</v>
      </c>
      <c r="O405" s="78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190</v>
      </c>
      <c r="G406" s="40">
        <f>G392+G405</f>
        <v>798</v>
      </c>
      <c r="H406" s="41"/>
      <c r="I406" s="41"/>
      <c r="J406" s="41"/>
      <c r="K406" s="41"/>
      <c r="L406" s="41"/>
      <c r="M406" s="42">
        <f ca="1">IFERROR(M392+M405,"")</f>
        <v>0.48913449073443188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404" sqref="F40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222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222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74</v>
      </c>
      <c r="G405" s="36">
        <f>SUM(G393:G404)</f>
        <v>320.40000000000003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169</v>
      </c>
      <c r="G406" s="40">
        <f>G392+G405</f>
        <v>719.40000000000009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88" activePane="bottomLeft" state="frozen"/>
      <selection pane="bottomLeft" activeCell="L399" sqref="L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222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224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4" t="s">
        <v>225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222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224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4" t="s">
        <v>225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222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224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4" t="s">
        <v>225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222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224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4" t="s">
        <v>225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222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0.99885671296215151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224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1.1981622685177071</v>
      </c>
      <c r="N135" s="36" t="s">
        <v>223</v>
      </c>
      <c r="O135" s="39">
        <v>729290</v>
      </c>
    </row>
    <row r="136" spans="1:18" ht="18" customHeight="1">
      <c r="A136" s="94" t="s">
        <v>225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1.5655233796288182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222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224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4" t="s">
        <v>225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222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224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4" t="s">
        <v>225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222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224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4" t="s">
        <v>225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222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224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4" t="s">
        <v>225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222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224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4" t="s">
        <v>225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222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224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4" t="s">
        <v>225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222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224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4" t="s">
        <v>225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222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224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4" t="s">
        <v>225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224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4" t="s">
        <v>225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222</v>
      </c>
      <c r="B392" s="98"/>
      <c r="C392" s="98"/>
      <c r="D392" s="98"/>
      <c r="E392" s="99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224</v>
      </c>
      <c r="B405" s="98"/>
      <c r="C405" s="98"/>
      <c r="D405" s="98"/>
      <c r="E405" s="99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0.10833333333333349</v>
      </c>
      <c r="N405" s="36" t="s">
        <v>223</v>
      </c>
      <c r="O405" s="39"/>
    </row>
    <row r="406" spans="1:15" ht="18" customHeight="1">
      <c r="A406" s="94" t="s">
        <v>225</v>
      </c>
      <c r="B406" s="95"/>
      <c r="C406" s="95"/>
      <c r="D406" s="95"/>
      <c r="E406" s="96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0.29097222222222247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222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224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4" t="s">
        <v>225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222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224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4" t="s">
        <v>225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222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224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4" t="s">
        <v>225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222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224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4" t="s">
        <v>225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222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224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4" t="s">
        <v>225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222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224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4" t="s">
        <v>225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222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224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4" t="s">
        <v>225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222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224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4" t="s">
        <v>225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222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224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4" t="s">
        <v>225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222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224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4" t="s">
        <v>225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222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224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4" t="s">
        <v>225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222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224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4" t="s">
        <v>225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222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224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4" t="s">
        <v>225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222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224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4" t="s">
        <v>225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222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224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4" t="s">
        <v>225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2026-07-16T09:57:54Z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