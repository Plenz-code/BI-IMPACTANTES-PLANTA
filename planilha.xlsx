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4" documentId="8_{C51EB6CB-002B-4D6B-B68F-DDEBDB4460C0}" xr6:coauthVersionLast="47" xr6:coauthVersionMax="47" xr10:uidLastSave="{4FA4D49C-C64B-4838-82F8-D40666B0CC47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<sst xmlns="http://schemas.openxmlformats.org/spreadsheetml/2006/main" count="1382" uniqueCount="240">
  <si>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</si>
  <si>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</si>
  <si>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</si>
  <si>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</si>
  <si>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</si>
  <si>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</si>
  <si>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</si>
  <si>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</si>
  <si>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</si>
  <si>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</si>
  <si>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</si>
  <si>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</si>
  <si>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</si>
  <si>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</si>
  <si>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</si>
  <si>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</si>
  <si>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</si>
  <si>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</si>
  <si>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</si>
  <si>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</si>
  <si>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</si>
  <si>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</si>
  <si>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</si>
  <si>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</si>
  <si>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</si>
  <si>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</si>
  <si>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</si>
  <si>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</si>
  <si>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</si>
  <si>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</si>
  <si>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</si>
  <si>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</si>
  <si>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</si>
  <si>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</si>
  <si>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</si>
  <si>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</si>
  <si>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</si>
  <si>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</si>
  <si>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</si>
  <si>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</si>
  <si>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</si>
  <si>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</si>
  <si>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</si>
  <si>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</si>
  <si>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</si>
  <si>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</si>
  <si>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</si>
  <si>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</si>
  <si>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</si>
  <si>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</si>
  <si>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</si>
  <si>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</si>
  <si>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</si>
  <si>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</si>
  <si>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</si>
  <si>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</si>
  <si>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</si>
  <si>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</si>
  <si>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</si>
  <si>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</si>
  <si>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</si>
  <si>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</si>
  <si>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</si>
  <si>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</si>
  <si>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</si>
  <si>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</si>
  <si>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</si>
  <si>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</si>
  <si>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</si>
  <si>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</si>
  <si>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</si>
  <si>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</si>
  <si>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</si>
  <si>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</si>
  <si>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</si>
  <si>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</si>
  <si>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</si>
  <si>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</si>
  <si>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</si>
  <si>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</si>
  <si>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</si>
  <si>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</si>
  <si>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</si>
  <si>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</si>
  <si>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</si>
  <si>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</si>
  <si>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</si>
  <si>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</si>
  <si>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</si>
  <si>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</si>
  <si>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</si>
  <si>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</si>
  <si>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</si>
  <si>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</si>
  <si>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</si>
  <si>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</si>
  <si>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</si>
  <si>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</si>
  <si>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</si>
  <si>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</si>
  <si>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</si>
  <si>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</si>
  <si>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</si>
  <si>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</si>
  <si>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</si>
  <si>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</si>
  <si>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</si>
  <si>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</si>
  <si>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</si>
  <si>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</si>
  <si>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</si>
  <si>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</si>
  <si>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</si>
  <si>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</si>
  <si>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</si>
  <si>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</si>
  <si>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</si>
  <si>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</si>
  <si>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</si>
  <si>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</si>
  <si>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</si>
  <si>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</si>
  <si>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</si>
  <si>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</si>
  <si>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</si>
  <si>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</si>
  <si>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</si>
  <si>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</si>
  <si>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</si>
  <si>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</si>
  <si>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</si>
  <si>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</si>
  <si>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</si>
  <si>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</si>
  <si>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</si>
  <si>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</si>
  <si>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</si>
  <si>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</si>
  <si>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</si>
  <si>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</si>
  <si>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</si>
  <si>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</si>
  <si>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</si>
  <si>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</si>
  <si>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</si>
  <si>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</si>
  <si>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</si>
  <si>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</si>
  <si>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</si>
  <si>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</si>
  <si>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</si>
  <si>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</si>
  <si>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</si>
  <si>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</si>
  <si>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</si>
  <si>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</si>
  <si>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</si>
  <si>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</si>
  <si>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</si>
  <si>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</si>
  <si>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</si>
  <si>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</si>
  <si>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</si>
  <si>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</si>
  <si>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</si>
  <si>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</si>
  <si>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</si>
  <si>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</si>
  <si>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</si>
  <si>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</si>
  <si>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</si>
  <si>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</si>
  <si>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</si>
  <si>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</si>
  <si>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</si>
  <si>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</si>
  <si>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</si>
  <si>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</si>
  <si>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</si>
  <si>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</si>
  <si>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</si>
  <si>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</si>
  <si>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</si>
  <si>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</si>
  <si>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</si>
  <si>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</si>
  <si>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</si>
  <si>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</si>
  <si>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</si>
  <si>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</si>
  <si>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</si>
  <si>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</si>
  <si>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</si>
  <si>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</si>
  <si>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</si>
  <si>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</si>
  <si>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</si>
  <si>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</si>
  <si>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</si>
  <si>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</si>
  <si>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</si>
  <si>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</si>
  <si>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</si>
  <si>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</si>
  <si>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</si>
  <si>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</si>
  <si>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</si>
  <si>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</si>
  <si>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</si>
  <si>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</si>
  <si>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</si>
  <si>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</si>
  <si>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</si>
  <si>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</si>
  <si>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</si>
  <si>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</si>
  <si>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</si>
  <si>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</si>
  <si>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</si>
  <si>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</si>
  <si>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</si>
  <si>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</si>
  <si>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</si>
  <si>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</si>
  <si>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</si>
  <si>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</si>
  <si>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</si>
  <si>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</si>
  <si>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</si>
  <si>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</si>
  <si>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</si>
  <si>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</si>
  <si>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</si>
  <si>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</si>
  <si>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</si>
  <si>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</si>
  <si>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</si>
  <si>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colocar chapa na bica</t>
  </si>
  <si>
    <t>martelo soltou</t>
  </si>
  <si>
    <t>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</si>
</sst>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E25" sqref="E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35</v>
      </c>
      <c r="G15" s="34">
        <f t="shared" ref="G15:G26" si="3">IF(F15="","",IF(E15="PC 17",F15*4.2,IF(E15="PC 19",F15*5,IF(E15="CB",F15*35,""))))</f>
        <v>175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35</v>
      </c>
      <c r="G27" s="36">
        <f>SUM(G15:G26)</f>
        <v>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231</v>
      </c>
      <c r="G28" s="40">
        <f>G14+G27</f>
        <v>1155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L16" sqref="L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0.85416666666666663</v>
      </c>
      <c r="M15" s="35">
        <f t="shared" ref="M15:M26" ca="1" si="4">IFERROR(IF(K15="","",IF(L15="",MOD(NOW()-K15,1),IF(L15&gt;=K15,L15-K15,L15+1-K15))),"")</f>
        <v>1.3194444444444398E-2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26</v>
      </c>
      <c r="G27" s="36">
        <f>SUM(G15:G26)</f>
        <v>109.2</v>
      </c>
      <c r="H27" s="37"/>
      <c r="I27" s="37"/>
      <c r="J27" s="37"/>
      <c r="K27" s="37"/>
      <c r="L27" s="37"/>
      <c r="M27" s="38">
        <f ca="1">IFERROR(SUM(M15:M26),"")</f>
        <v>1.3194444444444398E-2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138</v>
      </c>
      <c r="G28" s="40">
        <f>G14+G27</f>
        <v>579.6</v>
      </c>
      <c r="H28" s="41"/>
      <c r="I28" s="41"/>
      <c r="J28" s="41"/>
      <c r="K28" s="41"/>
      <c r="L28" s="41"/>
      <c r="M28" s="42">
        <f ca="1">IFERROR(M14+M27,"")</f>
        <v>0.21388888888888874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16" sqref="F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22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22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22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22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22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22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16</v>
      </c>
      <c r="G27" s="36">
        <f>SUM(G15:G26)</f>
        <v>67.2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97</v>
      </c>
      <c r="G28" s="40">
        <f>G14+G27</f>
        <v>407.40000000000003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16" sqref="F1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/>
      <c r="G16" s="28" t="str">
        <f t="shared" si="3"/>
        <v/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10</v>
      </c>
      <c r="G27" s="36">
        <f>SUM(G15:G26)</f>
        <v>42</v>
      </c>
      <c r="H27" s="37"/>
      <c r="I27" s="37"/>
      <c r="J27" s="37"/>
      <c r="K27" s="61"/>
      <c r="L27" s="61"/>
      <c r="M27" s="38">
        <f ca="1">IFERROR(SUM(M15:M26),"")</f>
        <v>3.8888888888888973E-2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140</v>
      </c>
      <c r="G28" s="40">
        <f>G14+G27</f>
        <v>588.00000000000011</v>
      </c>
      <c r="H28" s="41"/>
      <c r="I28" s="41"/>
      <c r="J28" s="41"/>
      <c r="K28" s="63"/>
      <c r="L28" s="63"/>
      <c r="M28" s="42">
        <f ca="1">IFERROR(M14+M27,"")</f>
        <v>7.777777777777789E-2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2026-08-02T00:30:46Z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