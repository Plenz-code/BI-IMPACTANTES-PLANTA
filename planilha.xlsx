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17" documentId="8_{AF585B22-221D-4780-BB9C-493D365A6A02}" xr6:coauthVersionLast="47" xr6:coauthVersionMax="47" xr10:uidLastSave="{1D7B3312-8891-456E-B1D6-8D8831027559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<sst xmlns="http://schemas.openxmlformats.org/spreadsheetml/2006/main" count="7655" uniqueCount="351">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</sst>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76" sqref="F4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0.65234155092184665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0.80998043981073553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0.9197026620329577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0.63081377314665588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0.80164710647998927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0.9467859953688782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/>
      <c r="I474" s="26"/>
      <c r="J474" s="26"/>
      <c r="K474" s="29">
        <v>0.88888888888888884</v>
      </c>
      <c r="L474" s="29"/>
      <c r="M474" s="30">
        <f t="shared" ref="M474:M485" ca="1" si="106">IFERROR(IF(K474="","",IF(L474="",MOD(NOW()-K474,1),IF(L474&gt;=K474,L474-K474,L474+1-K474))),"")</f>
        <v>3.035995367099531E-3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39</v>
      </c>
      <c r="G486" s="36">
        <f>SUM(G474:G485)</f>
        <v>195</v>
      </c>
      <c r="H486" s="37"/>
      <c r="I486" s="37"/>
      <c r="J486" s="37"/>
      <c r="K486" s="37"/>
      <c r="L486" s="37"/>
      <c r="M486" s="38">
        <f ca="1">IFERROR(SUM(M474:M485),"")</f>
        <v>3.035995367099531E-3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162</v>
      </c>
      <c r="G487" s="40">
        <f>G473+G486</f>
        <v>810</v>
      </c>
      <c r="H487" s="41"/>
      <c r="I487" s="41"/>
      <c r="J487" s="41"/>
      <c r="K487" s="41"/>
      <c r="L487" s="41"/>
      <c r="M487" s="42">
        <f ca="1">IFERROR(M473+M486,"")</f>
        <v>0.11414710647821052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76" sqref="F4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15</v>
      </c>
      <c r="G486" s="36">
        <f>SUM(G474:G485)</f>
        <v>75</v>
      </c>
      <c r="H486" s="37"/>
      <c r="I486" s="37"/>
      <c r="J486" s="37"/>
      <c r="K486" s="37"/>
      <c r="L486" s="37"/>
      <c r="M486" s="38">
        <f ca="1">IFERROR(SUM(M474:M485),"")</f>
        <v>7.6388888888888618E-3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45</v>
      </c>
      <c r="G487" s="40">
        <f>G473+G486</f>
        <v>225</v>
      </c>
      <c r="H487" s="41"/>
      <c r="I487" s="41"/>
      <c r="J487" s="41"/>
      <c r="K487" s="41"/>
      <c r="L487" s="41"/>
      <c r="M487" s="42">
        <f ca="1">IFERROR(M473+M486,"")</f>
        <v>0.1374999999999999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6" sqref="F4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0.64261932870431338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0.841924884259869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1.20928599537098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38</v>
      </c>
      <c r="G486" s="36">
        <f>SUM(G474:G485)</f>
        <v>190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153</v>
      </c>
      <c r="G487" s="40">
        <f>G473+G486</f>
        <v>765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2026-07-19T01:24:22Z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