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62" documentId="8_{C51EB6CB-002B-4D6B-B68F-DDEBDB4460C0}" xr6:coauthVersionLast="47" xr6:coauthVersionMax="47" xr10:uidLastSave="{C3C57C6E-0818-4751-8E39-895A7E2E321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<sst xmlns="http://schemas.openxmlformats.org/spreadsheetml/2006/main" count="3265" uniqueCount="282">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</sst>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41" sqref="F1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230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230</v>
      </c>
      <c r="F139" s="27">
        <v>25</v>
      </c>
      <c r="G139" s="34">
        <f t="shared" si="30"/>
        <v>125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230</v>
      </c>
      <c r="F140" s="27">
        <v>30</v>
      </c>
      <c r="G140" s="28">
        <f t="shared" si="30"/>
        <v>150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230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230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230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230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230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230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150</v>
      </c>
      <c r="G149" s="36">
        <f>SUM(G137:G148)</f>
        <v>750</v>
      </c>
      <c r="H149" s="37"/>
      <c r="I149" s="37"/>
      <c r="J149" s="37"/>
      <c r="K149" s="37"/>
      <c r="L149" s="37"/>
      <c r="M149" s="38">
        <f ca="1">IFERROR(SUM(M137:M148),"")</f>
        <v>2.7777777777777846E-2</v>
      </c>
      <c r="N149" s="36" t="s">
        <v>232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4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150</v>
      </c>
      <c r="G163" s="40">
        <f>G149+G162</f>
        <v>750</v>
      </c>
      <c r="H163" s="41"/>
      <c r="I163" s="41"/>
      <c r="J163" s="41"/>
      <c r="K163" s="41"/>
      <c r="L163" s="41"/>
      <c r="M163" s="42">
        <f ca="1">IFERROR(M149+M162,"")</f>
        <v>2.7777777777777846E-2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42" sqref="F1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157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128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129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129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232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133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155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133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232</v>
      </c>
      <c r="O27" s="77">
        <v>549860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236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155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232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157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157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128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128</v>
      </c>
      <c r="K53" s="29">
        <v>0.12152777777777778</v>
      </c>
      <c r="L53" s="29"/>
      <c r="M53" s="30">
        <f t="shared" ca="1" si="11"/>
        <v>0.45090254629030824</v>
      </c>
      <c r="N53" s="46" t="s">
        <v>252</v>
      </c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0.58979143517919708</v>
      </c>
      <c r="N54" s="36" t="s">
        <v>232</v>
      </c>
      <c r="O54" s="84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0.67451365740141944</v>
      </c>
      <c r="N55" s="40" t="s">
        <v>236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121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121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121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121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121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121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232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147</v>
      </c>
      <c r="J69" s="26" t="s">
        <v>183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133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155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>
        <v>5</v>
      </c>
      <c r="G72" s="28">
        <f t="shared" si="15"/>
        <v>21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>
        <v>19</v>
      </c>
      <c r="G74" s="28">
        <f t="shared" si="15"/>
        <v>79.8</v>
      </c>
      <c r="H74" s="26" t="s">
        <v>20</v>
      </c>
      <c r="I74" s="26" t="s">
        <v>155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198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243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243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232</v>
      </c>
      <c r="O81" s="54">
        <v>634210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236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254</v>
      </c>
      <c r="E83" s="59" t="s">
        <v>243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136</v>
      </c>
      <c r="J83" s="33" t="s">
        <v>207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14</v>
      </c>
      <c r="G87" s="28">
        <f t="shared" si="18"/>
        <v>58.800000000000004</v>
      </c>
      <c r="H87" s="33" t="s">
        <v>18</v>
      </c>
      <c r="I87" s="33" t="s">
        <v>136</v>
      </c>
      <c r="J87" s="33" t="s">
        <v>116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232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139</v>
      </c>
      <c r="J96" s="26" t="s">
        <v>116</v>
      </c>
      <c r="K96" s="29">
        <v>0.79166666666666663</v>
      </c>
      <c r="L96" s="29" t="s">
        <v>255</v>
      </c>
      <c r="M96" s="30" t="str">
        <f t="shared" ref="M96:M107" ca="1" si="22">IFERROR(IF(K96="","",IF(L96="",MOD(NOW()-K96,1),IF(L96&gt;=K96,L96-K96,L96+1-K96))),"")</f>
        <v/>
      </c>
      <c r="N96" s="46" t="s">
        <v>256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181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233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232</v>
      </c>
      <c r="O108" s="54">
        <v>456830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236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154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154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232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157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154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133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17</v>
      </c>
      <c r="I126" s="26" t="s">
        <v>133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121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232</v>
      </c>
      <c r="O135" s="54">
        <v>756720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236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243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243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243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243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116</v>
      </c>
      <c r="K142" s="29">
        <v>0.52638888888888891</v>
      </c>
      <c r="L142" s="29"/>
      <c r="M142" s="30">
        <f t="shared" ca="1" si="30"/>
        <v>4.6041435183724388E-2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93</v>
      </c>
      <c r="G149" s="36">
        <f>SUM(G137:G148)</f>
        <v>390.6</v>
      </c>
      <c r="H149" s="37"/>
      <c r="I149" s="37"/>
      <c r="J149" s="37"/>
      <c r="K149" s="37"/>
      <c r="L149" s="37"/>
      <c r="M149" s="38">
        <f ca="1">IFERROR(SUM(M137:M148),"")</f>
        <v>9.6735879628168819E-2</v>
      </c>
      <c r="N149" s="36" t="s">
        <v>232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5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93</v>
      </c>
      <c r="G163" s="40">
        <f>G149+G162</f>
        <v>390.6</v>
      </c>
      <c r="H163" s="41"/>
      <c r="I163" s="41"/>
      <c r="J163" s="41"/>
      <c r="K163" s="41"/>
      <c r="L163" s="41"/>
      <c r="M163" s="42">
        <f ca="1">IFERROR(M149+M162,"")</f>
        <v>9.6735879628168819E-2</v>
      </c>
      <c r="N163" s="40" t="s">
        <v>236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77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231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77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77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77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77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77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77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77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77"/>
    </row>
    <row r="433" spans="1:15" ht="18" customHeight="1">
      <c r="A433" s="92" t="s">
        <v>235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77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77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77"/>
    </row>
    <row r="514" spans="1:15" ht="18" customHeight="1">
      <c r="A514" s="92" t="s">
        <v>235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77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77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77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84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3" zoomScale="50" zoomScaleNormal="50" workbookViewId="0">
      <selection activeCell="K140" sqref="K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232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133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155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133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159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232</v>
      </c>
      <c r="O27" s="39">
        <v>358000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236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232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165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155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132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232</v>
      </c>
      <c r="O54" s="39">
        <v>279980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236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121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121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121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128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232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147</v>
      </c>
      <c r="J70" s="26" t="s">
        <v>183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155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0</v>
      </c>
      <c r="G72" s="28">
        <f t="shared" si="15"/>
        <v>0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7</v>
      </c>
      <c r="G73" s="34">
        <f t="shared" si="15"/>
        <v>29.400000000000002</v>
      </c>
      <c r="H73" s="33" t="s">
        <v>20</v>
      </c>
      <c r="I73" s="33" t="s">
        <v>155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232</v>
      </c>
      <c r="O81" s="39">
        <v>185920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236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0</v>
      </c>
      <c r="G84" s="34">
        <f t="shared" si="18"/>
        <v>0</v>
      </c>
      <c r="H84" s="26" t="s">
        <v>18</v>
      </c>
      <c r="I84" s="26" t="s">
        <v>136</v>
      </c>
      <c r="J84" s="26" t="s">
        <v>116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232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136</v>
      </c>
      <c r="J96" s="26" t="s">
        <v>116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18</v>
      </c>
      <c r="I97" s="33" t="s">
        <v>136</v>
      </c>
      <c r="J97" s="33" t="s">
        <v>116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7</v>
      </c>
      <c r="G99" s="28">
        <f t="shared" si="21"/>
        <v>29.400000000000002</v>
      </c>
      <c r="H99" s="33" t="s">
        <v>20</v>
      </c>
      <c r="I99" s="33" t="s">
        <v>155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232</v>
      </c>
      <c r="O108" s="39">
        <v>434370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236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232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155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9</v>
      </c>
      <c r="G124" s="28">
        <f t="shared" si="27"/>
        <v>37.800000000000004</v>
      </c>
      <c r="H124" s="26" t="s">
        <v>20</v>
      </c>
      <c r="I124" s="26" t="s">
        <v>155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133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129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196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232</v>
      </c>
      <c r="O135" s="39">
        <v>416350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236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202</v>
      </c>
      <c r="K139" s="29">
        <v>0.52083333333333337</v>
      </c>
      <c r="L139" s="29"/>
      <c r="M139" s="35">
        <f t="shared" ca="1" si="31"/>
        <v>5.1596759258245584E-2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>
        <v>0</v>
      </c>
      <c r="G140" s="28">
        <f t="shared" si="30"/>
        <v>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>
        <v>3</v>
      </c>
      <c r="G141" s="34">
        <f t="shared" si="30"/>
        <v>12.600000000000001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12</v>
      </c>
      <c r="G149" s="36">
        <f>SUM(G137:G148)</f>
        <v>50.4</v>
      </c>
      <c r="H149" s="37"/>
      <c r="I149" s="37"/>
      <c r="J149" s="37"/>
      <c r="K149" s="37"/>
      <c r="L149" s="37"/>
      <c r="M149" s="38">
        <f ca="1">IFERROR(SUM(M137:M148),"")</f>
        <v>0.11548564814713452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12</v>
      </c>
      <c r="G163" s="40">
        <f>G149+G162</f>
        <v>50.4</v>
      </c>
      <c r="H163" s="41"/>
      <c r="I163" s="41"/>
      <c r="J163" s="41"/>
      <c r="K163" s="41"/>
      <c r="L163" s="41"/>
      <c r="M163" s="42">
        <f ca="1">IFERROR(M149+M162,"")</f>
        <v>0.11548564814713452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39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5" activePane="bottomLeft" state="frozen"/>
      <selection pane="bottomLeft" activeCell="L142" sqref="L1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232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128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128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159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232</v>
      </c>
      <c r="O27" s="39">
        <v>491520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236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231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232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232</v>
      </c>
      <c r="O54" s="39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236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204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128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232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214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128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204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243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232</v>
      </c>
      <c r="O81" s="39">
        <v>612410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236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160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232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160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128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232</v>
      </c>
      <c r="O108" s="39">
        <v>956070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236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160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214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219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219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160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232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204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128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232</v>
      </c>
      <c r="O135" s="39">
        <v>912240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236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160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>
        <v>18</v>
      </c>
      <c r="G141" s="34">
        <f t="shared" si="30"/>
        <v>75.600000000000009</v>
      </c>
      <c r="H141" s="33" t="s">
        <v>20</v>
      </c>
      <c r="I141" s="33" t="s">
        <v>139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231</v>
      </c>
      <c r="B149" s="88"/>
      <c r="C149" s="88"/>
      <c r="D149" s="88"/>
      <c r="E149" s="89">
        <f>SUM(E137:E148)</f>
        <v>0</v>
      </c>
      <c r="F149" s="36">
        <f>SUM(F137:F148)</f>
        <v>109</v>
      </c>
      <c r="G149" s="36">
        <f>SUM(G137:G148)</f>
        <v>457.80000000000007</v>
      </c>
      <c r="H149" s="37"/>
      <c r="I149" s="37"/>
      <c r="J149" s="37"/>
      <c r="K149" s="61"/>
      <c r="L149" s="61"/>
      <c r="M149" s="38">
        <f ca="1">IFERROR(SUM(M137:M148),"")</f>
        <v>4.9305555555555547E-2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109</v>
      </c>
      <c r="G163" s="40">
        <f>G149+G162</f>
        <v>457.80000000000007</v>
      </c>
      <c r="H163" s="41"/>
      <c r="I163" s="41"/>
      <c r="J163" s="41"/>
      <c r="K163" s="63"/>
      <c r="L163" s="63"/>
      <c r="M163" s="42">
        <f ca="1">IFERROR(M149+M162,"")</f>
        <v>4.9305555555555547E-2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231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232</v>
      </c>
      <c r="O432" s="39"/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232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236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2026-08-06T17:44:51Z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