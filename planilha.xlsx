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548" documentId="8_{AF585B22-221D-4780-BB9C-493D365A6A02}" xr6:coauthVersionLast="47" xr6:coauthVersionMax="47" xr10:uidLastSave="{5CDF74E4-6B79-4E1B-86C7-5ECD73763121}"/>
  <bookViews>
    <workbookView xWindow="-28920" yWindow="-6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79" i="5" s="1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<sst xmlns="http://schemas.openxmlformats.org/spreadsheetml/2006/main" count="5902" uniqueCount="313">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</sst>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  <family val="2"/>
    </font>
    <font>
      <sz val="9"/>
      <name val="Arial"/>
      <family val="2"/>
    </font>
    <font>
      <b/>
      <sz val="10"/>
      <color rgb="FFFFFFFF"/>
      <name val="Arial"/>
      <family val="2"/>
    </font>
    <font>
      <b/>
      <sz val="12"/>
      <color rgb="FF1B3A6B"/>
      <name val="Arial"/>
      <family val="2"/>
    </font>
    <font>
      <sz val="9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 x14ac:dyDescent="0.2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 x14ac:dyDescent="0.25">
      <c r="A1" s="98" t="s">
        <v>0</v>
      </c>
      <c r="B1" s="98"/>
      <c r="C1" s="98"/>
      <c r="D1" s="98"/>
      <c r="E1" s="98"/>
      <c r="F1" s="98"/>
      <c r="G1" s="98"/>
    </row>
    <row r="2" spans="1:7" ht="24.75" customHeight="1" x14ac:dyDescent="0.25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25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25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25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25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25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25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25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25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25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25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2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2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 x14ac:dyDescent="0.25">
      <c r="H2" s="102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 x14ac:dyDescent="0.25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 x14ac:dyDescent="0.25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 x14ac:dyDescent="0.25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 x14ac:dyDescent="0.25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 x14ac:dyDescent="0.25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 x14ac:dyDescent="0.25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 x14ac:dyDescent="0.25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 x14ac:dyDescent="0.25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 x14ac:dyDescent="0.25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 x14ac:dyDescent="0.25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 x14ac:dyDescent="0.25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 x14ac:dyDescent="0.25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 x14ac:dyDescent="0.25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 x14ac:dyDescent="0.25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 x14ac:dyDescent="0.25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 x14ac:dyDescent="0.25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 x14ac:dyDescent="0.25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 x14ac:dyDescent="0.25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 x14ac:dyDescent="0.25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 x14ac:dyDescent="0.25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 x14ac:dyDescent="0.25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 x14ac:dyDescent="0.25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 x14ac:dyDescent="0.25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 x14ac:dyDescent="0.25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 x14ac:dyDescent="0.25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 x14ac:dyDescent="0.25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 x14ac:dyDescent="0.25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 x14ac:dyDescent="0.25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 x14ac:dyDescent="0.25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 x14ac:dyDescent="0.25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 x14ac:dyDescent="0.25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 x14ac:dyDescent="0.25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 x14ac:dyDescent="0.25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 x14ac:dyDescent="0.25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 x14ac:dyDescent="0.25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 x14ac:dyDescent="0.25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 x14ac:dyDescent="0.25">
      <c r="H54" s="102"/>
      <c r="I54" s="16"/>
      <c r="J54" s="16"/>
      <c r="K54" s="16" t="s">
        <v>196</v>
      </c>
      <c r="L54" s="16"/>
      <c r="M54" s="16"/>
    </row>
    <row r="55" spans="1:13" ht="15" customHeight="1" x14ac:dyDescent="0.25">
      <c r="H55" s="102"/>
      <c r="I55" s="17"/>
      <c r="J55" s="17"/>
      <c r="K55" s="17" t="s">
        <v>197</v>
      </c>
      <c r="L55" s="17"/>
      <c r="M55" s="17"/>
    </row>
    <row r="56" spans="1:13" ht="15" customHeight="1" x14ac:dyDescent="0.25">
      <c r="H56" s="102"/>
      <c r="I56" s="16"/>
      <c r="J56" s="16"/>
      <c r="K56" s="16" t="s">
        <v>198</v>
      </c>
      <c r="L56" s="16"/>
      <c r="M56" s="16"/>
    </row>
    <row r="57" spans="1:13" ht="15" customHeight="1" x14ac:dyDescent="0.25">
      <c r="H57" s="102"/>
      <c r="I57" s="17"/>
      <c r="J57" s="17"/>
      <c r="K57" s="17" t="s">
        <v>50</v>
      </c>
      <c r="L57" s="17"/>
      <c r="M57" s="17"/>
    </row>
    <row r="58" spans="1:13" ht="15" customHeight="1" x14ac:dyDescent="0.25">
      <c r="H58" s="102"/>
      <c r="I58" s="16"/>
      <c r="J58" s="16"/>
      <c r="K58" s="16" t="s">
        <v>199</v>
      </c>
      <c r="L58" s="16"/>
      <c r="M58" s="16"/>
    </row>
    <row r="59" spans="1:13" ht="15" customHeight="1" x14ac:dyDescent="0.25">
      <c r="H59" s="102"/>
      <c r="I59" s="17"/>
      <c r="J59" s="17"/>
      <c r="K59" s="17" t="s">
        <v>200</v>
      </c>
      <c r="L59" s="17"/>
      <c r="M59" s="17"/>
    </row>
    <row r="60" spans="1:13" ht="15" customHeight="1" x14ac:dyDescent="0.25">
      <c r="H60" s="102"/>
      <c r="I60" s="16"/>
      <c r="J60" s="16"/>
      <c r="K60" s="87" t="s">
        <v>105</v>
      </c>
      <c r="L60" s="16"/>
      <c r="M60" s="16"/>
    </row>
    <row r="61" spans="1:13" ht="15" customHeight="1" x14ac:dyDescent="0.25">
      <c r="H61" s="102"/>
      <c r="I61" s="17"/>
      <c r="J61" s="17"/>
      <c r="K61" s="17" t="s">
        <v>201</v>
      </c>
      <c r="L61" s="17"/>
      <c r="M61" s="17"/>
    </row>
    <row r="62" spans="1:13" ht="15" customHeight="1" x14ac:dyDescent="0.25">
      <c r="H62" s="102"/>
      <c r="I62" s="16"/>
      <c r="J62" s="16"/>
      <c r="K62" s="16" t="s">
        <v>202</v>
      </c>
      <c r="L62" s="16"/>
      <c r="M62" s="16"/>
    </row>
    <row r="63" spans="1:13" ht="15" customHeight="1" x14ac:dyDescent="0.25">
      <c r="H63" s="102"/>
      <c r="I63" s="17"/>
      <c r="J63" s="17"/>
      <c r="K63" s="17" t="s">
        <v>203</v>
      </c>
      <c r="L63" s="17"/>
      <c r="M63" s="17"/>
    </row>
    <row r="64" spans="1:13" ht="15" customHeight="1" x14ac:dyDescent="0.25">
      <c r="H64" s="102"/>
      <c r="I64" s="16"/>
      <c r="J64" s="16"/>
      <c r="K64" s="16" t="s">
        <v>204</v>
      </c>
      <c r="L64" s="16"/>
      <c r="M64" s="16"/>
    </row>
    <row r="65" spans="8:13" ht="15" customHeight="1" x14ac:dyDescent="0.25">
      <c r="H65" s="102"/>
      <c r="I65" s="17"/>
      <c r="J65" s="17"/>
      <c r="K65" s="17"/>
      <c r="L65" s="17"/>
      <c r="M65" s="17"/>
    </row>
    <row r="66" spans="8:13" ht="15" customHeight="1" x14ac:dyDescent="0.25">
      <c r="H66" s="102"/>
      <c r="I66" s="16"/>
      <c r="J66" s="16"/>
      <c r="K66" s="16"/>
      <c r="L66" s="16"/>
      <c r="M66" s="16"/>
    </row>
    <row r="67" spans="8:13" ht="15" customHeight="1" x14ac:dyDescent="0.25">
      <c r="H67" s="102"/>
      <c r="I67" s="17"/>
      <c r="J67" s="17"/>
      <c r="K67" s="17"/>
      <c r="L67" s="17"/>
      <c r="M67" s="17"/>
    </row>
    <row r="68" spans="8:13" ht="15" customHeight="1" x14ac:dyDescent="0.25">
      <c r="H68" s="102"/>
      <c r="I68" s="16"/>
      <c r="J68" s="16"/>
      <c r="K68" s="16"/>
      <c r="L68" s="16"/>
      <c r="M68" s="16"/>
    </row>
    <row r="69" spans="8:13" ht="15" customHeight="1" x14ac:dyDescent="0.25">
      <c r="H69" s="102"/>
      <c r="I69" s="17"/>
      <c r="J69" s="17"/>
      <c r="K69" s="17"/>
      <c r="L69" s="17"/>
      <c r="M69" s="17"/>
    </row>
    <row r="70" spans="8:13" ht="15" customHeight="1" x14ac:dyDescent="0.25">
      <c r="H70" s="102"/>
      <c r="I70" s="16"/>
      <c r="J70" s="16"/>
      <c r="K70" s="16"/>
      <c r="L70" s="16"/>
      <c r="M70" s="16"/>
    </row>
    <row r="71" spans="8:13" ht="15" customHeight="1" x14ac:dyDescent="0.25">
      <c r="H71" s="102"/>
      <c r="I71" s="17"/>
      <c r="J71" s="17"/>
      <c r="K71" s="17"/>
      <c r="L71" s="17"/>
      <c r="M71" s="17"/>
    </row>
    <row r="72" spans="8:13" ht="15" customHeight="1" x14ac:dyDescent="0.25">
      <c r="H72" s="102"/>
      <c r="I72" s="16"/>
      <c r="J72" s="16"/>
      <c r="K72" s="16"/>
      <c r="L72" s="16"/>
      <c r="M72" s="16"/>
    </row>
    <row r="73" spans="8:13" ht="15" customHeight="1" x14ac:dyDescent="0.25">
      <c r="H73" s="102"/>
      <c r="I73" s="17"/>
      <c r="J73" s="17"/>
      <c r="K73" s="17"/>
      <c r="L73" s="17"/>
      <c r="M73" s="17"/>
    </row>
    <row r="74" spans="8:13" ht="15" customHeight="1" x14ac:dyDescent="0.25">
      <c r="H74" s="102"/>
      <c r="I74" s="16"/>
      <c r="J74" s="16"/>
      <c r="K74" s="16"/>
      <c r="L74" s="16"/>
      <c r="M74" s="16"/>
    </row>
    <row r="75" spans="8:13" ht="15" customHeight="1" x14ac:dyDescent="0.25">
      <c r="H75" s="102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90" zoomScaleNormal="90" workbookViewId="0">
      <pane ySplit="1" topLeftCell="A321" activePane="bottomLeft" state="frozen"/>
      <selection pane="bottomLeft" activeCell="E364" sqref="E364"/>
    </sheetView>
  </sheetViews>
  <sheetFormatPr defaultColWidth="8.5703125" defaultRowHeight="15" x14ac:dyDescent="0.2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 x14ac:dyDescent="0.2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 x14ac:dyDescent="0.25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 x14ac:dyDescent="0.25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 x14ac:dyDescent="0.2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 x14ac:dyDescent="0.25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 x14ac:dyDescent="0.2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 x14ac:dyDescent="0.25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 x14ac:dyDescent="0.25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 x14ac:dyDescent="0.2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 x14ac:dyDescent="0.2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 x14ac:dyDescent="0.25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 x14ac:dyDescent="0.2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 x14ac:dyDescent="0.2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 x14ac:dyDescent="0.25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 x14ac:dyDescent="0.25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 x14ac:dyDescent="0.2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 x14ac:dyDescent="0.25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 x14ac:dyDescent="0.25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 x14ac:dyDescent="0.2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 x14ac:dyDescent="0.25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 x14ac:dyDescent="0.2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 x14ac:dyDescent="0.2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 x14ac:dyDescent="0.25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 x14ac:dyDescent="0.2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 x14ac:dyDescent="0.2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 x14ac:dyDescent="0.25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 x14ac:dyDescent="0.2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 x14ac:dyDescent="0.2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 x14ac:dyDescent="0.25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 x14ac:dyDescent="0.25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 x14ac:dyDescent="0.2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 x14ac:dyDescent="0.25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 x14ac:dyDescent="0.25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 x14ac:dyDescent="0.25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 x14ac:dyDescent="0.25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 x14ac:dyDescent="0.25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 x14ac:dyDescent="0.25">
      <c r="A353" s="70">
        <v>46217</v>
      </c>
      <c r="B353" s="32">
        <v>0.33333333333333298</v>
      </c>
      <c r="C353" s="33" t="s">
        <v>21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23</v>
      </c>
      <c r="J353" s="33" t="s">
        <v>34</v>
      </c>
      <c r="K353" s="29">
        <v>0.30555555555555558</v>
      </c>
      <c r="L353" s="29"/>
      <c r="M353" s="35">
        <f t="shared" ref="M353:M364" ca="1" si="79">IFERROR(IF(K353="","",IF(L353="",MOD(NOW()-K353,1),IF(L353&gt;=K353,L353-K353,L353+1-K353))),"")</f>
        <v>4.3434143517515622E-2</v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 t="s">
        <v>21</v>
      </c>
      <c r="D354" s="62" t="s">
        <v>30</v>
      </c>
      <c r="E354" s="62" t="s">
        <v>216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 t="s">
        <v>21</v>
      </c>
      <c r="D355" s="62" t="s">
        <v>30</v>
      </c>
      <c r="E355" s="62" t="s">
        <v>216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 t="s">
        <v>21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 t="s">
        <v>21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 t="s">
        <v>21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 t="s">
        <v>21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 t="s">
        <v>21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 t="s">
        <v>21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 t="s">
        <v>21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 t="s">
        <v>21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 t="s">
        <v>21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4.3434143517515622E-2</v>
      </c>
      <c r="N365" s="36" t="s">
        <v>219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 x14ac:dyDescent="0.25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4.3434143517515622E-2</v>
      </c>
      <c r="N379" s="40" t="s">
        <v>222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 x14ac:dyDescent="0.25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 x14ac:dyDescent="0.25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 x14ac:dyDescent="0.25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 x14ac:dyDescent="0.25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 x14ac:dyDescent="0.25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 x14ac:dyDescent="0.25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 x14ac:dyDescent="0.25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 x14ac:dyDescent="0.25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 x14ac:dyDescent="0.25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 x14ac:dyDescent="0.25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 x14ac:dyDescent="0.25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 x14ac:dyDescent="0.25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 x14ac:dyDescent="0.25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 x14ac:dyDescent="0.25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 x14ac:dyDescent="0.25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 x14ac:dyDescent="0.25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80" zoomScaleNormal="80" workbookViewId="0">
      <pane ySplit="1" topLeftCell="A318" activePane="bottomLeft" state="frozen"/>
      <selection pane="bottomLeft" activeCell="E364" sqref="E364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 x14ac:dyDescent="0.25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 x14ac:dyDescent="0.25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 x14ac:dyDescent="0.25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 x14ac:dyDescent="0.2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 x14ac:dyDescent="0.25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 x14ac:dyDescent="0.25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 x14ac:dyDescent="0.2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 x14ac:dyDescent="0.25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 x14ac:dyDescent="0.2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 x14ac:dyDescent="0.2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 x14ac:dyDescent="0.25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 x14ac:dyDescent="0.2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 x14ac:dyDescent="0.2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 x14ac:dyDescent="0.25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 x14ac:dyDescent="0.25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 x14ac:dyDescent="0.25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 x14ac:dyDescent="0.25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 x14ac:dyDescent="0.2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 x14ac:dyDescent="0.25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 x14ac:dyDescent="0.2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 x14ac:dyDescent="0.2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 x14ac:dyDescent="0.25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 x14ac:dyDescent="0.2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 x14ac:dyDescent="0.2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 x14ac:dyDescent="0.25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 x14ac:dyDescent="0.2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 x14ac:dyDescent="0.2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 x14ac:dyDescent="0.25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 x14ac:dyDescent="0.2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 x14ac:dyDescent="0.25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 x14ac:dyDescent="0.25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 x14ac:dyDescent="0.25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 x14ac:dyDescent="0.25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265</v>
      </c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 x14ac:dyDescent="0.25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 x14ac:dyDescent="0.25">
      <c r="A353" s="70">
        <v>46217</v>
      </c>
      <c r="B353" s="32">
        <v>0.33333333333333298</v>
      </c>
      <c r="C353" s="33" t="s">
        <v>21</v>
      </c>
      <c r="D353" s="62" t="s">
        <v>30</v>
      </c>
      <c r="E353" s="62" t="s">
        <v>235</v>
      </c>
      <c r="F353" s="27">
        <v>16</v>
      </c>
      <c r="G353" s="34">
        <f t="shared" ref="G353:G364" si="78">IF(F353="","",IF(E353="PC 17",F353*4.2,IF(E353="PC 19",F353*5,"")))</f>
        <v>67.2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 t="s">
        <v>21</v>
      </c>
      <c r="D354" s="62" t="s">
        <v>30</v>
      </c>
      <c r="E354" s="62" t="s">
        <v>235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 t="s">
        <v>21</v>
      </c>
      <c r="D355" s="62" t="s">
        <v>30</v>
      </c>
      <c r="E355" s="62" t="s">
        <v>235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 t="s">
        <v>21</v>
      </c>
      <c r="D356" s="62" t="s">
        <v>30</v>
      </c>
      <c r="E356" s="62" t="s">
        <v>235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 t="s">
        <v>21</v>
      </c>
      <c r="D357" s="62" t="s">
        <v>30</v>
      </c>
      <c r="E357" s="62" t="s">
        <v>235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 t="s">
        <v>21</v>
      </c>
      <c r="D358" s="62" t="s">
        <v>30</v>
      </c>
      <c r="E358" s="62" t="s">
        <v>235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 t="s">
        <v>21</v>
      </c>
      <c r="D359" s="62" t="s">
        <v>30</v>
      </c>
      <c r="E359" s="62" t="s">
        <v>235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 t="s">
        <v>21</v>
      </c>
      <c r="D360" s="62" t="s">
        <v>30</v>
      </c>
      <c r="E360" s="62" t="s">
        <v>235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 t="s">
        <v>21</v>
      </c>
      <c r="D361" s="62" t="s">
        <v>30</v>
      </c>
      <c r="E361" s="62" t="s">
        <v>235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 t="s">
        <v>21</v>
      </c>
      <c r="D362" s="62" t="s">
        <v>30</v>
      </c>
      <c r="E362" s="62" t="s">
        <v>235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 t="s">
        <v>21</v>
      </c>
      <c r="D363" s="62" t="s">
        <v>30</v>
      </c>
      <c r="E363" s="62" t="s">
        <v>235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 t="s">
        <v>21</v>
      </c>
      <c r="D364" s="62" t="s">
        <v>30</v>
      </c>
      <c r="E364" s="62" t="s">
        <v>235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16</v>
      </c>
      <c r="G365" s="36">
        <f>SUM(G353:G364)</f>
        <v>67.2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 x14ac:dyDescent="0.25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16</v>
      </c>
      <c r="G379" s="40">
        <f>G365+G378</f>
        <v>67.2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 x14ac:dyDescent="0.25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 x14ac:dyDescent="0.25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 x14ac:dyDescent="0.25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 x14ac:dyDescent="0.25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 x14ac:dyDescent="0.25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 x14ac:dyDescent="0.25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 x14ac:dyDescent="0.25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 x14ac:dyDescent="0.25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 x14ac:dyDescent="0.25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 x14ac:dyDescent="0.25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 x14ac:dyDescent="0.25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 x14ac:dyDescent="0.25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 x14ac:dyDescent="0.25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 x14ac:dyDescent="0.25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 x14ac:dyDescent="0.25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 x14ac:dyDescent="0.25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4" zoomScale="80" zoomScaleNormal="80" workbookViewId="0">
      <selection activeCell="E364" sqref="E364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266</v>
      </c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267</v>
      </c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 x14ac:dyDescent="0.25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268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 x14ac:dyDescent="0.25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269</v>
      </c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 x14ac:dyDescent="0.2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270</v>
      </c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 x14ac:dyDescent="0.25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 x14ac:dyDescent="0.2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271</v>
      </c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 x14ac:dyDescent="0.2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 x14ac:dyDescent="0.25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 x14ac:dyDescent="0.2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 x14ac:dyDescent="0.2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 x14ac:dyDescent="0.25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 x14ac:dyDescent="0.2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272</v>
      </c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 x14ac:dyDescent="0.2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273</v>
      </c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 x14ac:dyDescent="0.25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 x14ac:dyDescent="0.25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274</v>
      </c>
      <c r="N166" s="27" t="s">
        <v>275</v>
      </c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 x14ac:dyDescent="0.2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 x14ac:dyDescent="0.25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 x14ac:dyDescent="0.25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276</v>
      </c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 x14ac:dyDescent="0.2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 x14ac:dyDescent="0.25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 x14ac:dyDescent="0.2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 x14ac:dyDescent="0.2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 x14ac:dyDescent="0.25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 x14ac:dyDescent="0.2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 x14ac:dyDescent="0.2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277</v>
      </c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278</v>
      </c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 x14ac:dyDescent="0.25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 x14ac:dyDescent="0.2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 x14ac:dyDescent="0.2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279</v>
      </c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280</v>
      </c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 x14ac:dyDescent="0.25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 x14ac:dyDescent="0.2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281</v>
      </c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 x14ac:dyDescent="0.25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282</v>
      </c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 x14ac:dyDescent="0.25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 x14ac:dyDescent="0.25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284</v>
      </c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270</v>
      </c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 x14ac:dyDescent="0.25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 x14ac:dyDescent="0.25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 x14ac:dyDescent="0.25">
      <c r="A353" s="70">
        <v>46217</v>
      </c>
      <c r="B353" s="32">
        <v>0.33333333333333298</v>
      </c>
      <c r="C353" s="33" t="s">
        <v>21</v>
      </c>
      <c r="D353" s="62" t="s">
        <v>30</v>
      </c>
      <c r="E353" s="62" t="s">
        <v>235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 t="s">
        <v>21</v>
      </c>
      <c r="D354" s="62" t="s">
        <v>30</v>
      </c>
      <c r="E354" s="62" t="s">
        <v>235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 t="s">
        <v>21</v>
      </c>
      <c r="D355" s="62" t="s">
        <v>30</v>
      </c>
      <c r="E355" s="62" t="s">
        <v>235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 t="s">
        <v>21</v>
      </c>
      <c r="D356" s="62" t="s">
        <v>30</v>
      </c>
      <c r="E356" s="62" t="s">
        <v>235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 t="s">
        <v>21</v>
      </c>
      <c r="D357" s="62" t="s">
        <v>30</v>
      </c>
      <c r="E357" s="62" t="s">
        <v>235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 t="s">
        <v>21</v>
      </c>
      <c r="D358" s="62" t="s">
        <v>30</v>
      </c>
      <c r="E358" s="62" t="s">
        <v>235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 t="s">
        <v>21</v>
      </c>
      <c r="D359" s="62" t="s">
        <v>30</v>
      </c>
      <c r="E359" s="62" t="s">
        <v>235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 t="s">
        <v>21</v>
      </c>
      <c r="D360" s="62" t="s">
        <v>30</v>
      </c>
      <c r="E360" s="62" t="s">
        <v>235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 t="s">
        <v>21</v>
      </c>
      <c r="D361" s="62" t="s">
        <v>30</v>
      </c>
      <c r="E361" s="62" t="s">
        <v>235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 t="s">
        <v>21</v>
      </c>
      <c r="D362" s="62" t="s">
        <v>30</v>
      </c>
      <c r="E362" s="62" t="s">
        <v>235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 t="s">
        <v>21</v>
      </c>
      <c r="D363" s="62" t="s">
        <v>30</v>
      </c>
      <c r="E363" s="62" t="s">
        <v>235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 t="s">
        <v>21</v>
      </c>
      <c r="D364" s="62" t="s">
        <v>30</v>
      </c>
      <c r="E364" s="62" t="s">
        <v>235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 x14ac:dyDescent="0.25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 x14ac:dyDescent="0.25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25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 x14ac:dyDescent="0.25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 x14ac:dyDescent="0.25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 x14ac:dyDescent="0.25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 x14ac:dyDescent="0.25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 x14ac:dyDescent="0.25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 x14ac:dyDescent="0.25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 x14ac:dyDescent="0.25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 x14ac:dyDescent="0.25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 x14ac:dyDescent="0.25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 x14ac:dyDescent="0.25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 x14ac:dyDescent="0.25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 x14ac:dyDescent="0.25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 x14ac:dyDescent="0.25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 x14ac:dyDescent="0.25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 x14ac:dyDescent="0.25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80" zoomScaleNormal="80" workbookViewId="0">
      <pane ySplit="1" topLeftCell="A337" activePane="bottomLeft" state="frozen"/>
      <selection pane="bottomLeft" activeCell="E364" sqref="E364"/>
    </sheetView>
  </sheetViews>
  <sheetFormatPr defaultColWidth="8.5703125" defaultRowHeight="15" x14ac:dyDescent="0.2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285</v>
      </c>
      <c r="O2" s="60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270</v>
      </c>
      <c r="O3" s="60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286</v>
      </c>
      <c r="O16" s="60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 x14ac:dyDescent="0.25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287</v>
      </c>
      <c r="O29" s="60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288</v>
      </c>
      <c r="O34" s="60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 x14ac:dyDescent="0.25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289</v>
      </c>
      <c r="L58" s="29">
        <v>0.54097222222222219</v>
      </c>
      <c r="M58" s="30" t="str">
        <f t="shared" ca="1" si="13"/>
        <v/>
      </c>
      <c r="N58" s="27" t="s">
        <v>290</v>
      </c>
      <c r="O58" s="60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 x14ac:dyDescent="0.2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266</v>
      </c>
      <c r="O70" s="60"/>
    </row>
    <row r="71" spans="1:15" ht="15" customHeight="1" x14ac:dyDescent="0.2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2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291</v>
      </c>
      <c r="O72" s="60"/>
    </row>
    <row r="73" spans="1:15" ht="15" customHeight="1" x14ac:dyDescent="0.2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292</v>
      </c>
      <c r="O73" s="60"/>
    </row>
    <row r="74" spans="1:15" ht="15" customHeight="1" x14ac:dyDescent="0.2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293</v>
      </c>
      <c r="O74" s="60"/>
    </row>
    <row r="75" spans="1:15" ht="15" customHeight="1" x14ac:dyDescent="0.2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294</v>
      </c>
      <c r="O75" s="60"/>
    </row>
    <row r="76" spans="1:15" ht="15" customHeight="1" x14ac:dyDescent="0.2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2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2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 x14ac:dyDescent="0.25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 x14ac:dyDescent="0.2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295</v>
      </c>
      <c r="O83" s="60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2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 x14ac:dyDescent="0.2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2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2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 x14ac:dyDescent="0.25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 x14ac:dyDescent="0.2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296</v>
      </c>
      <c r="O110" s="60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 x14ac:dyDescent="0.2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297</v>
      </c>
      <c r="O124" s="60"/>
    </row>
    <row r="125" spans="1:15" ht="15" customHeight="1" x14ac:dyDescent="0.2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298</v>
      </c>
      <c r="O125" s="60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2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9.9684143518970814E-2</v>
      </c>
      <c r="N128" s="27"/>
      <c r="O128" s="60"/>
    </row>
    <row r="129" spans="1:18" ht="15" customHeight="1" x14ac:dyDescent="0.2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 x14ac:dyDescent="0.2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0.29898969907452644</v>
      </c>
      <c r="N135" s="36" t="s">
        <v>219</v>
      </c>
      <c r="O135" s="39">
        <v>729290</v>
      </c>
    </row>
    <row r="136" spans="1:18" ht="18" customHeight="1" x14ac:dyDescent="0.25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0.66635081018563747</v>
      </c>
      <c r="N136" s="40" t="s">
        <v>222</v>
      </c>
      <c r="O136" s="48">
        <f>IFERROR(O122+O135,"")</f>
        <v>1003740</v>
      </c>
    </row>
    <row r="137" spans="1:18" ht="15" customHeight="1" x14ac:dyDescent="0.2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2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2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299</v>
      </c>
      <c r="O139" s="31"/>
    </row>
    <row r="140" spans="1:18" ht="15" customHeight="1" x14ac:dyDescent="0.2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2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 x14ac:dyDescent="0.2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300</v>
      </c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 x14ac:dyDescent="0.25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 x14ac:dyDescent="0.25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301</v>
      </c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 x14ac:dyDescent="0.2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 x14ac:dyDescent="0.25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 x14ac:dyDescent="0.25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302</v>
      </c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303</v>
      </c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 x14ac:dyDescent="0.2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2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304</v>
      </c>
      <c r="O206" s="60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2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2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 x14ac:dyDescent="0.25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 x14ac:dyDescent="0.2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305</v>
      </c>
      <c r="O218" s="60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306</v>
      </c>
      <c r="O220" s="60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2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 x14ac:dyDescent="0.2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308</v>
      </c>
      <c r="O232" s="60"/>
    </row>
    <row r="233" spans="1:15" ht="15" customHeight="1" x14ac:dyDescent="0.2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2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2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 x14ac:dyDescent="0.25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 x14ac:dyDescent="0.2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309</v>
      </c>
      <c r="O245" s="60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 x14ac:dyDescent="0.2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2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 x14ac:dyDescent="0.25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 x14ac:dyDescent="0.2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 x14ac:dyDescent="0.2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2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2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2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2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 x14ac:dyDescent="0.25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 x14ac:dyDescent="0.2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310</v>
      </c>
      <c r="O299" s="60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 x14ac:dyDescent="0.25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25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25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25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 x14ac:dyDescent="0.25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25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25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 x14ac:dyDescent="0.25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 x14ac:dyDescent="0.25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25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270</v>
      </c>
      <c r="O327" s="60"/>
    </row>
    <row r="328" spans="1:15" ht="15" customHeight="1" x14ac:dyDescent="0.25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25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 x14ac:dyDescent="0.25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25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25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25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25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25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312</v>
      </c>
      <c r="O347" s="60"/>
    </row>
    <row r="348" spans="1:15" ht="15" customHeight="1" x14ac:dyDescent="0.25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 x14ac:dyDescent="0.25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 x14ac:dyDescent="0.25">
      <c r="A353" s="70">
        <v>46217</v>
      </c>
      <c r="B353" s="32">
        <v>0.33333333333333298</v>
      </c>
      <c r="C353" s="33" t="s">
        <v>21</v>
      </c>
      <c r="D353" s="62" t="s">
        <v>30</v>
      </c>
      <c r="E353" s="62" t="s">
        <v>235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 t="s">
        <v>21</v>
      </c>
      <c r="D354" s="62" t="s">
        <v>30</v>
      </c>
      <c r="E354" s="62" t="s">
        <v>235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 t="s">
        <v>21</v>
      </c>
      <c r="D355" s="62" t="s">
        <v>30</v>
      </c>
      <c r="E355" s="62" t="s">
        <v>235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 t="s">
        <v>21</v>
      </c>
      <c r="D356" s="62" t="s">
        <v>30</v>
      </c>
      <c r="E356" s="62" t="s">
        <v>235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 t="s">
        <v>21</v>
      </c>
      <c r="D357" s="62" t="s">
        <v>30</v>
      </c>
      <c r="E357" s="62" t="s">
        <v>235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 t="s">
        <v>21</v>
      </c>
      <c r="D358" s="62" t="s">
        <v>30</v>
      </c>
      <c r="E358" s="62" t="s">
        <v>235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 t="s">
        <v>21</v>
      </c>
      <c r="D359" s="62" t="s">
        <v>30</v>
      </c>
      <c r="E359" s="62" t="s">
        <v>235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 t="s">
        <v>21</v>
      </c>
      <c r="D360" s="62" t="s">
        <v>30</v>
      </c>
      <c r="E360" s="62" t="s">
        <v>235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70">
        <v>46217</v>
      </c>
      <c r="B361" s="32">
        <f t="shared" si="80"/>
        <v>0.6666666666666663</v>
      </c>
      <c r="C361" s="33" t="s">
        <v>21</v>
      </c>
      <c r="D361" s="62" t="s">
        <v>30</v>
      </c>
      <c r="E361" s="62" t="s">
        <v>235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 t="s">
        <v>21</v>
      </c>
      <c r="D362" s="62" t="s">
        <v>30</v>
      </c>
      <c r="E362" s="62" t="s">
        <v>235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 t="s">
        <v>21</v>
      </c>
      <c r="D363" s="62" t="s">
        <v>30</v>
      </c>
      <c r="E363" s="62" t="s">
        <v>235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 t="s">
        <v>21</v>
      </c>
      <c r="D364" s="62" t="s">
        <v>30</v>
      </c>
      <c r="E364" s="62" t="s">
        <v>235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 x14ac:dyDescent="0.25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 x14ac:dyDescent="0.25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 x14ac:dyDescent="0.25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 x14ac:dyDescent="0.25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 x14ac:dyDescent="0.25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 x14ac:dyDescent="0.25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 x14ac:dyDescent="0.25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25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 x14ac:dyDescent="0.25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 x14ac:dyDescent="0.25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 x14ac:dyDescent="0.25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 x14ac:dyDescent="0.25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 x14ac:dyDescent="0.25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 x14ac:dyDescent="0.25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 x14ac:dyDescent="0.25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 x14ac:dyDescent="0.25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 x14ac:dyDescent="0.25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 x14ac:dyDescent="0.25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2026-07-14T12:23:32Z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