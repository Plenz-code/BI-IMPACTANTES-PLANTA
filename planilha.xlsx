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2161" documentId="8_{AF585B22-221D-4780-BB9C-493D365A6A02}" xr6:coauthVersionLast="47" xr6:coauthVersionMax="47" xr10:uidLastSave="{FA812736-E59F-47F7-B824-25F1E2DEB6FB}"/>
  <bookViews>
    <workbookView xWindow="-110" yWindow="-110" windowWidth="25820" windowHeight="15500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98" i="6" l="1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<sst xmlns="http://schemas.openxmlformats.org/spreadsheetml/2006/main" count="2383" uniqueCount="233">
  <si>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</si>
  <si>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</si>
  <si>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</si>
  <si>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</si>
  <si>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</si>
  <si>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</si>
  <si>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</si>
  <si>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</si>
  <si>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</si>
  <si>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</si>
  <si>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</si>
  <si>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</si>
  <si>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</si>
  <si>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</si>
  <si>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</si>
  <si>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</si>
  <si>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</si>
  <si>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</si>
  <si>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</si>
  <si>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</si>
  <si>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</si>
  <si>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</si>
  <si>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</si>
  <si>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</si>
  <si>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</si>
  <si>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</si>
  <si>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</si>
  <si>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</si>
  <si>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</si>
  <si>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</si>
  <si>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</si>
  <si>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</si>
  <si>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</si>
  <si>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</si>
  <si>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</si>
  <si>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</si>
  <si>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</si>
  <si>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</si>
  <si>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</si>
  <si>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</si>
  <si>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</si>
  <si>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</si>
  <si>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</si>
  <si>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</si>
  <si>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</si>
  <si>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</si>
  <si>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</si>
  <si>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</si>
  <si>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</si>
  <si>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</si>
  <si>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</si>
  <si>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</si>
  <si>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</si>
  <si>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</si>
  <si>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</si>
  <si>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</si>
  <si>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</si>
  <si>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</si>
  <si>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</si>
  <si>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</si>
  <si>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</si>
  <si>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</si>
  <si>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</si>
  <si>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</si>
  <si>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</si>
  <si>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</si>
  <si>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</si>
  <si>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</si>
  <si>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</si>
  <si>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</si>
  <si>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</si>
  <si>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</si>
  <si>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</si>
  <si>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</si>
  <si>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</si>
  <si>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</si>
  <si>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</si>
  <si>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</si>
  <si>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</si>
  <si>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</si>
  <si>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</si>
  <si>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</si>
  <si>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</si>
  <si>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</si>
  <si>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</si>
  <si>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</si>
  <si>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</si>
  <si>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</si>
  <si>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</si>
  <si>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</si>
  <si>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</si>
  <si>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</si>
  <si>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</si>
  <si>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</si>
  <si>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</si>
  <si>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</si>
  <si>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</si>
  <si>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</si>
  <si>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</si>
  <si>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</si>
  <si>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</si>
  <si>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</si>
  <si>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</si>
  <si>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</si>
  <si>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</si>
  <si>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</si>
  <si>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</si>
  <si>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</si>
  <si>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</si>
  <si>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</si>
  <si>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</si>
  <si>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</si>
  <si>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</si>
  <si>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</si>
  <si>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</si>
  <si>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</si>
  <si>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</si>
  <si>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</si>
  <si>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</si>
  <si>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</si>
  <si>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</si>
  <si>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</si>
  <si>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</si>
  <si>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</si>
  <si>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</si>
  <si>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</si>
  <si>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</si>
  <si>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</si>
  <si>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</si>
  <si>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</si>
  <si>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</si>
  <si>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</si>
  <si>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</si>
  <si>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</si>
  <si>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</si>
  <si>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</si>
  <si>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</si>
  <si>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</si>
  <si>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</si>
  <si>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</si>
  <si>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</si>
  <si>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</si>
  <si>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</si>
  <si>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</si>
  <si>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</si>
  <si>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</si>
  <si>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</si>
  <si>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</si>
  <si>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</si>
  <si>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</si>
  <si>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</si>
  <si>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</si>
  <si>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</si>
  <si>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</si>
  <si>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</si>
  <si>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</si>
  <si>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</si>
  <si>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</si>
  <si>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</si>
  <si>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</si>
  <si>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</si>
  <si>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</si>
  <si>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</si>
  <si>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</si>
  <si>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</si>
  <si>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</si>
  <si>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</si>
  <si>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</si>
  <si>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</si>
  <si>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</si>
  <si>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</si>
  <si>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</si>
  <si>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</si>
  <si>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</si>
  <si>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</si>
  <si>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</si>
  <si>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</si>
  <si>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</si>
  <si>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</si>
  <si>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</si>
  <si>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</si>
  <si>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</si>
  <si>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</si>
  <si>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Parafuso do acoplamento solto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</si>
  <si>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</si>
  <si>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</si>
  <si>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</si>
  <si>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</si>
  <si>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</si>
  <si>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</si>
  <si>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</si>
  <si>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</si>
  <si>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</si>
  <si>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</si>
  <si>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</si>
  <si>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</si>
  <si>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</si>
  <si>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</si>
  <si>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</si>
  <si>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</si>
  <si>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</si>
  <si>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</si>
  <si>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</si>
  <si>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</si>
  <si>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</si>
  <si>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</si>
  <si>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</si>
  <si>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</si>
  <si>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</si>
  <si>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</si>
  <si>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</si>
  <si>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</si>
  <si>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</si>
  <si>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</si>
  <si>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</si>
  <si>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</si>
  <si>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</si>
  <si>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</si>
  <si>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</si>
  <si>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</si>
  <si>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</si>
  <si>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</si>
  <si>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</si>
  <si>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</si>
  <si>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</si>
  <si>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</si>
  <si>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</si>
  <si>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</si>
  <si>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</si>
  <si>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</si>
  <si>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</si>
  <si>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</si>
  <si>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 xml:space="preserve">borracha da TC3 saindo do lugar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</si>
</sst>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6" sqref="G6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2" t="s">
        <v>0</v>
      </c>
      <c r="B1" s="92"/>
      <c r="C1" s="92"/>
      <c r="D1" s="92"/>
      <c r="E1" s="92"/>
      <c r="F1" s="92"/>
      <c r="G1" s="92"/>
    </row>
    <row r="2" spans="1:7" ht="24.75" customHeight="1">
      <c r="A2" s="93"/>
      <c r="B2" s="93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1704450</v>
      </c>
      <c r="D7" s="11">
        <f>IFERROR('Linha 1'!O109,"")</f>
        <v>577610</v>
      </c>
      <c r="E7" s="11">
        <f>IFERROR('Linha 2'!O109,"")</f>
        <v>536290</v>
      </c>
      <c r="F7" s="11">
        <f>IFERROR('Linha 3'!O109,"")</f>
        <v>776910</v>
      </c>
      <c r="G7" s="12">
        <f t="shared" si="0"/>
        <v>1890810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4" t="s">
        <v>9</v>
      </c>
      <c r="B35" s="94"/>
      <c r="C35" s="13">
        <f>IFERROR(SUM(C4:C34),"")</f>
        <v>8276020</v>
      </c>
      <c r="D35" s="13">
        <f>IFERROR(SUM(D4:D34),"")</f>
        <v>3014030</v>
      </c>
      <c r="E35" s="13">
        <f>IFERROR(SUM(E4:E34),"")</f>
        <v>2304980</v>
      </c>
      <c r="F35" s="13">
        <f>IFERROR(SUM(F4:F34),"")</f>
        <v>3413600</v>
      </c>
      <c r="G35" s="13">
        <f>IFERROR(SUM(G4:G34),"")</f>
        <v>8732610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I32" zoomScale="85" zoomScaleNormal="85" workbookViewId="0">
      <selection activeCell="M48" sqref="M4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5" t="s">
        <v>10</v>
      </c>
      <c r="B1" s="95"/>
      <c r="C1" s="95"/>
      <c r="D1" s="95"/>
      <c r="E1" s="95"/>
      <c r="F1" s="95"/>
      <c r="G1" s="95"/>
      <c r="H1" s="96"/>
      <c r="I1" s="97" t="s">
        <v>11</v>
      </c>
      <c r="J1" s="97"/>
      <c r="K1" s="97"/>
      <c r="L1" s="97"/>
      <c r="M1" s="97"/>
    </row>
    <row r="2" spans="1:13" ht="4.5" customHeight="1">
      <c r="H2" s="96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6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6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6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6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6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6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6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6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6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6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6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96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96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96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96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96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96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96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96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96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96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96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96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96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96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96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96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96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96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96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96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96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96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96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96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96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96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96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96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96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96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96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96"/>
      <c r="I45" s="17"/>
      <c r="J45" s="17"/>
      <c r="K45" s="17"/>
      <c r="L45" s="17"/>
      <c r="M45" s="17" t="s">
        <v>172</v>
      </c>
    </row>
    <row r="46" spans="1:13" ht="15.75" customHeight="1">
      <c r="A46" s="16"/>
      <c r="C46" s="16"/>
      <c r="E46" s="16"/>
      <c r="G46" s="16"/>
      <c r="H46" s="96"/>
      <c r="I46" s="16"/>
      <c r="J46" s="16"/>
      <c r="K46" s="16" t="s">
        <v>173</v>
      </c>
      <c r="L46" s="16"/>
      <c r="M46" s="16" t="s">
        <v>174</v>
      </c>
    </row>
    <row r="47" spans="1:13" ht="15.75" customHeight="1">
      <c r="A47" s="17"/>
      <c r="C47" s="17"/>
      <c r="E47" s="17"/>
      <c r="G47" s="17"/>
      <c r="H47" s="96"/>
      <c r="I47" s="17"/>
      <c r="J47" s="17"/>
      <c r="K47" s="17" t="s">
        <v>175</v>
      </c>
      <c r="L47" s="17"/>
      <c r="M47" s="17" t="s">
        <v>176</v>
      </c>
    </row>
    <row r="48" spans="1:13" ht="15.75" customHeight="1">
      <c r="A48" s="16"/>
      <c r="C48" s="16"/>
      <c r="E48" s="16"/>
      <c r="G48" s="16"/>
      <c r="H48" s="96"/>
      <c r="I48" s="16"/>
      <c r="J48" s="16"/>
      <c r="K48" s="16" t="s">
        <v>177</v>
      </c>
      <c r="L48" s="16"/>
      <c r="M48" s="16"/>
    </row>
    <row r="49" spans="1:13" ht="18" customHeight="1">
      <c r="H49" s="96"/>
      <c r="I49" s="17"/>
      <c r="J49" s="17"/>
      <c r="K49" s="17" t="s">
        <v>178</v>
      </c>
      <c r="L49" s="17"/>
      <c r="M49" s="17"/>
    </row>
    <row r="50" spans="1:13" ht="21" customHeight="1">
      <c r="A50" s="19" t="s">
        <v>179</v>
      </c>
      <c r="B50" s="19"/>
      <c r="C50" s="19"/>
      <c r="D50" s="19"/>
      <c r="E50" s="19"/>
      <c r="F50" s="19"/>
      <c r="G50" s="19"/>
      <c r="H50" s="96"/>
      <c r="I50" s="16"/>
      <c r="J50" s="16"/>
      <c r="K50" s="16" t="s">
        <v>180</v>
      </c>
      <c r="L50" s="16"/>
      <c r="M50" s="16"/>
    </row>
    <row r="51" spans="1:13" ht="24" customHeight="1">
      <c r="H51" s="96"/>
      <c r="I51" s="17"/>
      <c r="J51" s="17"/>
      <c r="K51" s="17" t="s">
        <v>181</v>
      </c>
      <c r="L51" s="17"/>
      <c r="M51" s="17"/>
    </row>
    <row r="52" spans="1:13" ht="24" customHeight="1">
      <c r="H52" s="96"/>
      <c r="I52" s="16"/>
      <c r="J52" s="16"/>
      <c r="K52" s="16" t="s">
        <v>182</v>
      </c>
      <c r="L52" s="16"/>
      <c r="M52" s="16"/>
    </row>
    <row r="53" spans="1:13" ht="36" customHeight="1">
      <c r="H53" s="96"/>
      <c r="I53" s="17"/>
      <c r="J53" s="17"/>
      <c r="K53" s="17" t="s">
        <v>183</v>
      </c>
      <c r="L53" s="17"/>
      <c r="M53" s="17"/>
    </row>
    <row r="54" spans="1:13" ht="15" customHeight="1">
      <c r="H54" s="96"/>
      <c r="I54" s="16"/>
      <c r="J54" s="16"/>
      <c r="K54" s="16"/>
      <c r="L54" s="16"/>
      <c r="M54" s="16"/>
    </row>
    <row r="55" spans="1:13" ht="15" customHeight="1">
      <c r="H55" s="96"/>
      <c r="I55" s="17"/>
      <c r="J55" s="17"/>
      <c r="K55" s="17"/>
      <c r="L55" s="17"/>
      <c r="M55" s="17"/>
    </row>
    <row r="56" spans="1:13" ht="15" customHeight="1">
      <c r="H56" s="96"/>
      <c r="I56" s="16"/>
      <c r="J56" s="16"/>
      <c r="K56" s="16"/>
      <c r="L56" s="16"/>
      <c r="M56" s="16"/>
    </row>
    <row r="57" spans="1:13" ht="15" customHeight="1">
      <c r="H57" s="96"/>
      <c r="I57" s="17"/>
      <c r="J57" s="17"/>
      <c r="K57" s="17"/>
      <c r="L57" s="17"/>
      <c r="M57" s="17"/>
    </row>
    <row r="58" spans="1:13" ht="15" customHeight="1">
      <c r="H58" s="96"/>
      <c r="I58" s="16"/>
      <c r="J58" s="16"/>
      <c r="K58" s="16"/>
      <c r="L58" s="16"/>
      <c r="M58" s="16"/>
    </row>
    <row r="59" spans="1:13" ht="15" customHeight="1">
      <c r="H59" s="96"/>
      <c r="I59" s="17"/>
      <c r="J59" s="17"/>
      <c r="K59" s="17"/>
      <c r="L59" s="17"/>
      <c r="M59" s="17"/>
    </row>
    <row r="60" spans="1:13" ht="15" customHeight="1">
      <c r="H60" s="96"/>
      <c r="I60" s="16"/>
      <c r="J60" s="16"/>
      <c r="K60" s="16"/>
      <c r="L60" s="16"/>
      <c r="M60" s="16"/>
    </row>
    <row r="61" spans="1:13" ht="15" customHeight="1">
      <c r="H61" s="96"/>
      <c r="I61" s="17"/>
      <c r="J61" s="17"/>
      <c r="K61" s="17"/>
      <c r="L61" s="17"/>
      <c r="M61" s="17"/>
    </row>
    <row r="62" spans="1:13" ht="15" customHeight="1">
      <c r="H62" s="96"/>
      <c r="I62" s="16"/>
      <c r="J62" s="16"/>
      <c r="K62" s="16"/>
      <c r="L62" s="16"/>
      <c r="M62" s="16"/>
    </row>
    <row r="63" spans="1:13" ht="15" customHeight="1">
      <c r="H63" s="96"/>
      <c r="I63" s="17"/>
      <c r="J63" s="17"/>
      <c r="K63" s="17"/>
      <c r="L63" s="17"/>
      <c r="M63" s="17"/>
    </row>
    <row r="64" spans="1:13" ht="15" customHeight="1">
      <c r="H64" s="96"/>
      <c r="I64" s="16"/>
      <c r="J64" s="16"/>
      <c r="K64" s="16"/>
      <c r="L64" s="16"/>
      <c r="M64" s="16"/>
    </row>
    <row r="65" spans="8:13" ht="15" customHeight="1">
      <c r="H65" s="96"/>
      <c r="I65" s="17"/>
      <c r="J65" s="17"/>
      <c r="K65" s="17"/>
      <c r="L65" s="17"/>
      <c r="M65" s="17"/>
    </row>
    <row r="66" spans="8:13" ht="15" customHeight="1">
      <c r="H66" s="96"/>
      <c r="I66" s="16"/>
      <c r="J66" s="16"/>
      <c r="K66" s="16"/>
      <c r="L66" s="16"/>
      <c r="M66" s="16"/>
    </row>
    <row r="67" spans="8:13" ht="15" customHeight="1">
      <c r="H67" s="96"/>
      <c r="I67" s="17"/>
      <c r="J67" s="17"/>
      <c r="K67" s="17"/>
      <c r="L67" s="17"/>
      <c r="M67" s="17"/>
    </row>
    <row r="68" spans="8:13" ht="15" customHeight="1">
      <c r="H68" s="96"/>
      <c r="I68" s="16"/>
      <c r="J68" s="16"/>
      <c r="K68" s="16"/>
      <c r="L68" s="16"/>
      <c r="M68" s="16"/>
    </row>
    <row r="69" spans="8:13" ht="15" customHeight="1">
      <c r="H69" s="96"/>
      <c r="I69" s="17"/>
      <c r="J69" s="17"/>
      <c r="K69" s="17"/>
      <c r="L69" s="17"/>
      <c r="M69" s="17"/>
    </row>
    <row r="70" spans="8:13" ht="15" customHeight="1">
      <c r="H70" s="96"/>
      <c r="I70" s="16"/>
      <c r="J70" s="16"/>
      <c r="K70" s="16"/>
      <c r="L70" s="16"/>
      <c r="M70" s="16"/>
    </row>
    <row r="71" spans="8:13" ht="15" customHeight="1">
      <c r="H71" s="96"/>
      <c r="I71" s="17"/>
      <c r="J71" s="17"/>
      <c r="K71" s="17"/>
      <c r="L71" s="17"/>
      <c r="M71" s="17"/>
    </row>
    <row r="72" spans="8:13" ht="15" customHeight="1">
      <c r="H72" s="96"/>
      <c r="I72" s="16"/>
      <c r="J72" s="16"/>
      <c r="K72" s="16"/>
      <c r="L72" s="16"/>
      <c r="M72" s="16"/>
    </row>
    <row r="73" spans="8:13" ht="15" customHeight="1">
      <c r="H73" s="96"/>
      <c r="I73" s="17"/>
      <c r="J73" s="17"/>
      <c r="K73" s="17"/>
      <c r="L73" s="17"/>
      <c r="M73" s="17"/>
    </row>
    <row r="74" spans="8:13" ht="15" customHeight="1">
      <c r="H74" s="96"/>
      <c r="I74" s="16"/>
      <c r="J74" s="16"/>
      <c r="K74" s="16"/>
      <c r="L74" s="16"/>
      <c r="M74" s="16"/>
    </row>
    <row r="75" spans="8:13" ht="15" customHeight="1">
      <c r="H75" s="96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73" activePane="bottomLeft" state="frozen"/>
      <selection pane="bottomLeft" activeCell="N97" sqref="N97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184</v>
      </c>
      <c r="C1" s="23" t="s">
        <v>12</v>
      </c>
      <c r="D1" s="22" t="s">
        <v>13</v>
      </c>
      <c r="E1" s="22" t="s">
        <v>185</v>
      </c>
      <c r="F1" s="23" t="s">
        <v>186</v>
      </c>
      <c r="G1" s="23" t="s">
        <v>187</v>
      </c>
      <c r="H1" s="23" t="s">
        <v>14</v>
      </c>
      <c r="I1" s="23" t="s">
        <v>15</v>
      </c>
      <c r="J1" s="23" t="s">
        <v>188</v>
      </c>
      <c r="K1" s="23" t="s">
        <v>189</v>
      </c>
      <c r="L1" s="23" t="s">
        <v>190</v>
      </c>
      <c r="M1" s="24" t="s">
        <v>191</v>
      </c>
      <c r="N1" s="23" t="s">
        <v>192</v>
      </c>
      <c r="O1" s="23" t="s">
        <v>193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194</v>
      </c>
      <c r="E2" s="59" t="s">
        <v>195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196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195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195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195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195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195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195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195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195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195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195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195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6" t="s">
        <v>197</v>
      </c>
      <c r="B14" s="87"/>
      <c r="C14" s="87"/>
      <c r="D14" s="87"/>
      <c r="E14" s="88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198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195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195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195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195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195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195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195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195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195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195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195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195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6" t="s">
        <v>199</v>
      </c>
      <c r="B27" s="87"/>
      <c r="C27" s="87"/>
      <c r="D27" s="87"/>
      <c r="E27" s="88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198</v>
      </c>
      <c r="O27" s="39">
        <v>1183060</v>
      </c>
    </row>
    <row r="28" spans="1:15" ht="18" customHeight="1">
      <c r="A28" s="89" t="s">
        <v>200</v>
      </c>
      <c r="B28" s="90"/>
      <c r="C28" s="90"/>
      <c r="D28" s="90"/>
      <c r="E28" s="91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201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195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195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175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202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195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195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195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195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195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195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195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6" t="s">
        <v>197</v>
      </c>
      <c r="B41" s="87"/>
      <c r="C41" s="87"/>
      <c r="D41" s="87"/>
      <c r="E41" s="88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198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195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195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195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195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195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195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195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195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195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195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195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6" t="s">
        <v>199</v>
      </c>
      <c r="B54" s="87"/>
      <c r="C54" s="87"/>
      <c r="D54" s="87"/>
      <c r="E54" s="88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198</v>
      </c>
      <c r="O54" s="39">
        <v>959290</v>
      </c>
    </row>
    <row r="55" spans="1:15" ht="18" customHeight="1">
      <c r="A55" s="89" t="s">
        <v>200</v>
      </c>
      <c r="B55" s="90"/>
      <c r="C55" s="90"/>
      <c r="D55" s="90"/>
      <c r="E55" s="91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201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195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195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195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195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195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195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195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195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195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195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195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195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6" t="s">
        <v>197</v>
      </c>
      <c r="B68" s="87"/>
      <c r="C68" s="87"/>
      <c r="D68" s="87"/>
      <c r="E68" s="88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198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195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172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195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124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203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195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195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195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195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195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195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195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195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195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195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6" t="s">
        <v>199</v>
      </c>
      <c r="B81" s="87"/>
      <c r="C81" s="87"/>
      <c r="D81" s="87"/>
      <c r="E81" s="88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198</v>
      </c>
      <c r="O81" s="39">
        <v>878050</v>
      </c>
    </row>
    <row r="82" spans="1:15" ht="18" customHeight="1">
      <c r="A82" s="89" t="s">
        <v>200</v>
      </c>
      <c r="B82" s="90"/>
      <c r="C82" s="90"/>
      <c r="D82" s="90"/>
      <c r="E82" s="91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201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195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158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204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195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195</v>
      </c>
      <c r="F85" s="27">
        <v>0</v>
      </c>
      <c r="G85" s="28">
        <f t="shared" si="18"/>
        <v>0</v>
      </c>
      <c r="H85" s="33" t="s">
        <v>20</v>
      </c>
      <c r="I85" s="33" t="s">
        <v>136</v>
      </c>
      <c r="J85" s="33" t="s">
        <v>121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195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181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195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195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195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195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195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195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6" t="s">
        <v>197</v>
      </c>
      <c r="B95" s="87"/>
      <c r="C95" s="87"/>
      <c r="D95" s="87"/>
      <c r="E95" s="88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198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205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6" t="s">
        <v>199</v>
      </c>
      <c r="B108" s="87"/>
      <c r="C108" s="87"/>
      <c r="D108" s="87"/>
      <c r="E108" s="88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198</v>
      </c>
      <c r="O108" s="39"/>
    </row>
    <row r="109" spans="1:15" ht="18" customHeight="1">
      <c r="A109" s="89" t="s">
        <v>200</v>
      </c>
      <c r="B109" s="90"/>
      <c r="C109" s="90"/>
      <c r="D109" s="90"/>
      <c r="E109" s="91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201</v>
      </c>
      <c r="O109" s="43">
        <f>IFERROR(O95+O108,"")</f>
        <v>1704450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6" t="s">
        <v>197</v>
      </c>
      <c r="B122" s="87"/>
      <c r="C122" s="87"/>
      <c r="D122" s="87"/>
      <c r="E122" s="88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198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6" t="s">
        <v>199</v>
      </c>
      <c r="B135" s="87"/>
      <c r="C135" s="87"/>
      <c r="D135" s="87"/>
      <c r="E135" s="8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198</v>
      </c>
      <c r="O135" s="39"/>
    </row>
    <row r="136" spans="1:15" ht="18" customHeight="1">
      <c r="A136" s="89" t="s">
        <v>200</v>
      </c>
      <c r="B136" s="90"/>
      <c r="C136" s="90"/>
      <c r="D136" s="90"/>
      <c r="E136" s="91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201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6" t="s">
        <v>197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198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6" t="s">
        <v>199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198</v>
      </c>
      <c r="O162" s="44"/>
    </row>
    <row r="163" spans="1:15" ht="18" customHeight="1">
      <c r="A163" s="89" t="s">
        <v>200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201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6" t="s">
        <v>197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198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6" t="s">
        <v>199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198</v>
      </c>
      <c r="O189" s="39"/>
    </row>
    <row r="190" spans="1:15" ht="18" customHeight="1">
      <c r="A190" s="89" t="s">
        <v>200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201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6" t="s">
        <v>197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198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6" t="s">
        <v>199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198</v>
      </c>
      <c r="O216" s="45"/>
    </row>
    <row r="217" spans="1:15" ht="18" customHeight="1">
      <c r="A217" s="89" t="s">
        <v>200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201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6" t="s">
        <v>197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198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6" t="s">
        <v>199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198</v>
      </c>
      <c r="O243" s="39"/>
    </row>
    <row r="244" spans="1:15" ht="18" customHeight="1">
      <c r="A244" s="89" t="s">
        <v>200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201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6" t="s">
        <v>197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198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6" t="s">
        <v>199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198</v>
      </c>
      <c r="O270" s="39"/>
    </row>
    <row r="271" spans="1:15" ht="18" customHeight="1">
      <c r="A271" s="89" t="s">
        <v>200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201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6" t="s">
        <v>197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198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6" t="s">
        <v>199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198</v>
      </c>
      <c r="O297" s="39"/>
    </row>
    <row r="298" spans="1:15" ht="18" customHeight="1">
      <c r="A298" s="89" t="s">
        <v>200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201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6" t="s">
        <v>197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198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6" t="s">
        <v>199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198</v>
      </c>
      <c r="O324" s="39"/>
    </row>
    <row r="325" spans="1:15" ht="18" customHeight="1">
      <c r="A325" s="89" t="s">
        <v>200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201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6" t="s">
        <v>197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6" t="s">
        <v>199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198</v>
      </c>
      <c r="O351" s="39"/>
    </row>
    <row r="352" spans="1:15" ht="18" customHeight="1">
      <c r="A352" s="89" t="s">
        <v>200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6" t="s">
        <v>197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6" t="s">
        <v>199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198</v>
      </c>
      <c r="O378" s="39"/>
    </row>
    <row r="379" spans="1:15" ht="18" customHeight="1">
      <c r="A379" s="89" t="s">
        <v>200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6" t="s">
        <v>197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6" t="s">
        <v>199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198</v>
      </c>
      <c r="O405" s="39"/>
    </row>
    <row r="406" spans="1:15" ht="18" customHeight="1">
      <c r="A406" s="89" t="s">
        <v>200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6" t="s">
        <v>197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6" t="s">
        <v>199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198</v>
      </c>
      <c r="O432" s="39"/>
    </row>
    <row r="433" spans="1:15" ht="18" customHeight="1">
      <c r="A433" s="89" t="s">
        <v>200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6" t="s">
        <v>197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6" t="s">
        <v>199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198</v>
      </c>
      <c r="O459" s="39"/>
    </row>
    <row r="460" spans="1:15" ht="18" customHeight="1">
      <c r="A460" s="89" t="s">
        <v>200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6" t="s">
        <v>197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6" t="s">
        <v>199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198</v>
      </c>
      <c r="O486" s="39"/>
    </row>
    <row r="487" spans="1:15" ht="18" customHeight="1">
      <c r="A487" s="89" t="s">
        <v>200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6" t="s">
        <v>197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6" t="s">
        <v>199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198</v>
      </c>
      <c r="O513" s="39"/>
    </row>
    <row r="514" spans="1:15" ht="18" customHeight="1">
      <c r="A514" s="89" t="s">
        <v>200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6" t="s">
        <v>197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6" t="s">
        <v>199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198</v>
      </c>
      <c r="O540" s="39"/>
    </row>
    <row r="541" spans="1:15" ht="18" customHeight="1">
      <c r="A541" s="89" t="s">
        <v>200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6" t="s">
        <v>197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6" t="s">
        <v>199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198</v>
      </c>
      <c r="O567" s="39"/>
    </row>
    <row r="568" spans="1:15" ht="18" customHeight="1">
      <c r="A568" s="89" t="s">
        <v>200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6" t="s">
        <v>197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6" t="s">
        <v>199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198</v>
      </c>
      <c r="O594" s="39"/>
    </row>
    <row r="595" spans="1:15" ht="18" customHeight="1">
      <c r="A595" s="89" t="s">
        <v>200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6" t="s">
        <v>197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6" t="s">
        <v>199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198</v>
      </c>
      <c r="O621" s="39"/>
    </row>
    <row r="622" spans="1:15" ht="18" customHeight="1">
      <c r="A622" s="89" t="s">
        <v>200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6" t="s">
        <v>197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6" t="s">
        <v>199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198</v>
      </c>
      <c r="O648" s="39"/>
    </row>
    <row r="649" spans="1:15" ht="18" customHeight="1">
      <c r="A649" s="89" t="s">
        <v>200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6" t="s">
        <v>197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6" t="s">
        <v>199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198</v>
      </c>
      <c r="O675" s="39"/>
    </row>
    <row r="676" spans="1:15" ht="18" customHeight="1">
      <c r="A676" s="89" t="s">
        <v>200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6" t="s">
        <v>197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6" t="s">
        <v>199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198</v>
      </c>
      <c r="O702" s="39"/>
    </row>
    <row r="703" spans="1:15" ht="18" customHeight="1">
      <c r="A703" s="89" t="s">
        <v>200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6" t="s">
        <v>197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6" t="s">
        <v>199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198</v>
      </c>
      <c r="O729" s="39"/>
    </row>
    <row r="730" spans="1:15" ht="18" customHeight="1">
      <c r="A730" s="89" t="s">
        <v>200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6" t="s">
        <v>197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6" t="s">
        <v>199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198</v>
      </c>
      <c r="O756" s="39"/>
    </row>
    <row r="757" spans="1:15" ht="18" customHeight="1">
      <c r="A757" s="89" t="s">
        <v>200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6" t="s">
        <v>197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6" t="s">
        <v>199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198</v>
      </c>
      <c r="O783" s="39"/>
    </row>
    <row r="784" spans="1:15" ht="18" customHeight="1">
      <c r="A784" s="89" t="s">
        <v>200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6" t="s">
        <v>197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6" t="s">
        <v>199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198</v>
      </c>
      <c r="O810" s="39"/>
    </row>
    <row r="811" spans="1:15" ht="18" customHeight="1">
      <c r="A811" s="89" t="s">
        <v>200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201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72" activePane="bottomLeft" state="frozen"/>
      <selection pane="bottomLeft" activeCell="K99" sqref="K99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184</v>
      </c>
      <c r="C1" s="23" t="s">
        <v>12</v>
      </c>
      <c r="D1" s="22" t="s">
        <v>13</v>
      </c>
      <c r="E1" s="22" t="s">
        <v>185</v>
      </c>
      <c r="F1" s="23" t="s">
        <v>186</v>
      </c>
      <c r="G1" s="23" t="s">
        <v>187</v>
      </c>
      <c r="H1" s="23" t="s">
        <v>14</v>
      </c>
      <c r="I1" s="23" t="s">
        <v>15</v>
      </c>
      <c r="J1" s="23" t="s">
        <v>188</v>
      </c>
      <c r="K1" s="23" t="s">
        <v>189</v>
      </c>
      <c r="L1" s="23" t="s">
        <v>190</v>
      </c>
      <c r="M1" s="24" t="s">
        <v>191</v>
      </c>
      <c r="N1" s="23" t="s">
        <v>192</v>
      </c>
      <c r="O1" s="23" t="s">
        <v>193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206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206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206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206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206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206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206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206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206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206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206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6" t="s">
        <v>197</v>
      </c>
      <c r="B14" s="87"/>
      <c r="C14" s="87"/>
      <c r="D14" s="87"/>
      <c r="E14" s="88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198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206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206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206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206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206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206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206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206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206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206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206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6" t="s">
        <v>199</v>
      </c>
      <c r="B27" s="87"/>
      <c r="C27" s="87"/>
      <c r="D27" s="87"/>
      <c r="E27" s="88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198</v>
      </c>
      <c r="O27" s="78">
        <v>393200</v>
      </c>
    </row>
    <row r="28" spans="1:15" ht="18" customHeight="1">
      <c r="A28" s="89" t="s">
        <v>200</v>
      </c>
      <c r="B28" s="90"/>
      <c r="C28" s="90"/>
      <c r="D28" s="90"/>
      <c r="E28" s="91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201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206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207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206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181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206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206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206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206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206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206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206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206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6" t="s">
        <v>197</v>
      </c>
      <c r="B41" s="87"/>
      <c r="C41" s="87"/>
      <c r="D41" s="87"/>
      <c r="E41" s="88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198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206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206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206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96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208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206</v>
      </c>
      <c r="F45" s="27">
        <v>0</v>
      </c>
      <c r="G45" s="28">
        <f t="shared" si="9"/>
        <v>0</v>
      </c>
      <c r="H45" s="33" t="s">
        <v>20</v>
      </c>
      <c r="I45" s="33" t="s">
        <v>149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206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206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206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206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206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206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206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206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6" t="s">
        <v>199</v>
      </c>
      <c r="B54" s="87"/>
      <c r="C54" s="87"/>
      <c r="D54" s="87"/>
      <c r="E54" s="88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198</v>
      </c>
      <c r="O54" s="85">
        <v>276360</v>
      </c>
    </row>
    <row r="55" spans="1:15" ht="18" customHeight="1">
      <c r="A55" s="89" t="s">
        <v>200</v>
      </c>
      <c r="B55" s="90"/>
      <c r="C55" s="90"/>
      <c r="D55" s="90"/>
      <c r="E55" s="91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201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96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209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210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6" t="s">
        <v>197</v>
      </c>
      <c r="B68" s="87"/>
      <c r="C68" s="87"/>
      <c r="D68" s="87"/>
      <c r="E68" s="88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198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206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206</v>
      </c>
      <c r="F70" s="27">
        <v>18</v>
      </c>
      <c r="G70" s="28">
        <f t="shared" si="15"/>
        <v>75.600000000000009</v>
      </c>
      <c r="H70" s="26" t="s">
        <v>19</v>
      </c>
      <c r="I70" s="26" t="s">
        <v>149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206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206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206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206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206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206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206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206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206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6" t="s">
        <v>199</v>
      </c>
      <c r="B81" s="87"/>
      <c r="C81" s="87"/>
      <c r="D81" s="87"/>
      <c r="E81" s="88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198</v>
      </c>
      <c r="O81" s="54">
        <v>787860</v>
      </c>
    </row>
    <row r="82" spans="1:15" ht="18" customHeight="1">
      <c r="A82" s="89" t="s">
        <v>200</v>
      </c>
      <c r="B82" s="90"/>
      <c r="C82" s="90"/>
      <c r="D82" s="90"/>
      <c r="E82" s="91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201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206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211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206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176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206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206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206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195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195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195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195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6" t="s">
        <v>197</v>
      </c>
      <c r="B95" s="87"/>
      <c r="C95" s="87"/>
      <c r="D95" s="87"/>
      <c r="E95" s="88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198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206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137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212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206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213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206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146</v>
      </c>
      <c r="K98" s="29">
        <v>0.1875</v>
      </c>
      <c r="L98" s="29"/>
      <c r="M98" s="30">
        <f t="shared" ca="1" si="22"/>
        <v>0.99991099537146511</v>
      </c>
      <c r="N98" s="46" t="s">
        <v>214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206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206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206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206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206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206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206</v>
      </c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206</v>
      </c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206</v>
      </c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6" t="s">
        <v>199</v>
      </c>
      <c r="B108" s="87"/>
      <c r="C108" s="87"/>
      <c r="D108" s="87"/>
      <c r="E108" s="88">
        <f>SUM(E96:E107)</f>
        <v>0</v>
      </c>
      <c r="F108" s="36">
        <f>SUM(F96:F107)</f>
        <v>136</v>
      </c>
      <c r="G108" s="36">
        <f>SUM(G96:G107)</f>
        <v>571.19999999999993</v>
      </c>
      <c r="H108" s="37"/>
      <c r="I108" s="37"/>
      <c r="J108" s="37"/>
      <c r="K108" s="37"/>
      <c r="L108" s="37"/>
      <c r="M108" s="38">
        <f ca="1">IFERROR(SUM(M96:M107),"")</f>
        <v>1.0506054398159095</v>
      </c>
      <c r="N108" s="36" t="s">
        <v>198</v>
      </c>
      <c r="O108" s="54"/>
    </row>
    <row r="109" spans="1:15" ht="18" customHeight="1">
      <c r="A109" s="89" t="s">
        <v>200</v>
      </c>
      <c r="B109" s="90"/>
      <c r="C109" s="90"/>
      <c r="D109" s="90"/>
      <c r="E109" s="91">
        <f>E95+E108</f>
        <v>0</v>
      </c>
      <c r="F109" s="40">
        <f>F95+F108</f>
        <v>248</v>
      </c>
      <c r="G109" s="40">
        <f>G95+G108</f>
        <v>1090.4000000000001</v>
      </c>
      <c r="H109" s="41"/>
      <c r="I109" s="41"/>
      <c r="J109" s="41"/>
      <c r="K109" s="41"/>
      <c r="L109" s="41"/>
      <c r="M109" s="42">
        <f ca="1">IFERROR(M95+M108,"")</f>
        <v>1.3124109953714651</v>
      </c>
      <c r="N109" s="40" t="s">
        <v>201</v>
      </c>
      <c r="O109" s="83">
        <f>IFERROR(O95+O108,"")</f>
        <v>577610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6" t="s">
        <v>197</v>
      </c>
      <c r="B122" s="87"/>
      <c r="C122" s="87"/>
      <c r="D122" s="87"/>
      <c r="E122" s="88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198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6" t="s">
        <v>199</v>
      </c>
      <c r="B135" s="87"/>
      <c r="C135" s="87"/>
      <c r="D135" s="87"/>
      <c r="E135" s="8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198</v>
      </c>
      <c r="O135" s="54"/>
    </row>
    <row r="136" spans="1:15" ht="18" customHeight="1">
      <c r="A136" s="89" t="s">
        <v>200</v>
      </c>
      <c r="B136" s="90"/>
      <c r="C136" s="90"/>
      <c r="D136" s="90"/>
      <c r="E136" s="91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201</v>
      </c>
      <c r="O136" s="8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6" t="s">
        <v>197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198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6" t="s">
        <v>199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198</v>
      </c>
      <c r="O162" s="54"/>
    </row>
    <row r="163" spans="1:15" ht="18" customHeight="1">
      <c r="A163" s="89" t="s">
        <v>200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201</v>
      </c>
      <c r="O163" s="8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6" t="s">
        <v>197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198</v>
      </c>
      <c r="O176" s="78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6" t="s">
        <v>199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198</v>
      </c>
      <c r="O189" s="78"/>
    </row>
    <row r="190" spans="1:15" ht="18" customHeight="1">
      <c r="A190" s="89" t="s">
        <v>200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201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6" t="s">
        <v>197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198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6" t="s">
        <v>199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198</v>
      </c>
      <c r="O216" s="78"/>
    </row>
    <row r="217" spans="1:15" ht="18" customHeight="1">
      <c r="A217" s="89" t="s">
        <v>200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201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6" t="s">
        <v>197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198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6" t="s">
        <v>199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198</v>
      </c>
      <c r="O243" s="78"/>
    </row>
    <row r="244" spans="1:15" ht="18" customHeight="1">
      <c r="A244" s="89" t="s">
        <v>200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201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6" t="s">
        <v>197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198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6" t="s">
        <v>199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198</v>
      </c>
      <c r="O270" s="78"/>
    </row>
    <row r="271" spans="1:15" ht="18" customHeight="1">
      <c r="A271" s="89" t="s">
        <v>200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201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6" t="s">
        <v>197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198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6" t="s">
        <v>199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198</v>
      </c>
      <c r="O297" s="78"/>
    </row>
    <row r="298" spans="1:15" ht="18" customHeight="1">
      <c r="A298" s="89" t="s">
        <v>200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201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6" t="s">
        <v>197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198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6" t="s">
        <v>199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198</v>
      </c>
      <c r="O324" s="78"/>
    </row>
    <row r="325" spans="1:15" ht="18" customHeight="1">
      <c r="A325" s="89" t="s">
        <v>200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201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6" t="s">
        <v>197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198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6" t="s">
        <v>199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198</v>
      </c>
      <c r="O351" s="78"/>
    </row>
    <row r="352" spans="1:15" ht="18" customHeight="1">
      <c r="A352" s="89" t="s">
        <v>200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201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6" t="s">
        <v>197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198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6" t="s">
        <v>199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198</v>
      </c>
      <c r="O378" s="78"/>
    </row>
    <row r="379" spans="1:15" ht="18" customHeight="1">
      <c r="A379" s="89" t="s">
        <v>200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201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6" t="s">
        <v>197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198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6" t="s">
        <v>199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198</v>
      </c>
      <c r="O405" s="78"/>
    </row>
    <row r="406" spans="1:15" ht="18" customHeight="1">
      <c r="A406" s="89" t="s">
        <v>200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201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6" t="s">
        <v>197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198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6" t="s">
        <v>199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198</v>
      </c>
      <c r="O432" s="78"/>
    </row>
    <row r="433" spans="1:15" ht="18" customHeight="1">
      <c r="A433" s="89" t="s">
        <v>200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201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6" t="s">
        <v>197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198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6" t="s">
        <v>199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198</v>
      </c>
      <c r="O459" s="78"/>
    </row>
    <row r="460" spans="1:15" ht="18" customHeight="1">
      <c r="A460" s="89" t="s">
        <v>200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201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6" t="s">
        <v>197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198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6" t="s">
        <v>199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198</v>
      </c>
      <c r="O486" s="78"/>
    </row>
    <row r="487" spans="1:15" ht="18" customHeight="1">
      <c r="A487" s="89" t="s">
        <v>200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201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6" t="s">
        <v>197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198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6" t="s">
        <v>199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198</v>
      </c>
      <c r="O513" s="78"/>
    </row>
    <row r="514" spans="1:15" ht="18" customHeight="1">
      <c r="A514" s="89" t="s">
        <v>200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201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6" t="s">
        <v>197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198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6" t="s">
        <v>199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198</v>
      </c>
      <c r="O540" s="78"/>
    </row>
    <row r="541" spans="1:15" ht="18" customHeight="1">
      <c r="A541" s="89" t="s">
        <v>200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201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6" t="s">
        <v>197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198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6" t="s">
        <v>199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198</v>
      </c>
      <c r="O567" s="78"/>
    </row>
    <row r="568" spans="1:15" ht="18" customHeight="1">
      <c r="A568" s="89" t="s">
        <v>200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201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6" t="s">
        <v>197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198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6" t="s">
        <v>199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198</v>
      </c>
      <c r="O594" s="78"/>
    </row>
    <row r="595" spans="1:15" ht="18" customHeight="1">
      <c r="A595" s="89" t="s">
        <v>200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201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6" t="s">
        <v>197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198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6" t="s">
        <v>199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198</v>
      </c>
      <c r="O621" s="78"/>
    </row>
    <row r="622" spans="1:15" ht="18" customHeight="1">
      <c r="A622" s="89" t="s">
        <v>200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201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6" t="s">
        <v>197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198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6" t="s">
        <v>199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198</v>
      </c>
      <c r="O648" s="78"/>
    </row>
    <row r="649" spans="1:15" ht="18" customHeight="1">
      <c r="A649" s="89" t="s">
        <v>200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201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6" t="s">
        <v>197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198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6" t="s">
        <v>199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198</v>
      </c>
      <c r="O675" s="78"/>
    </row>
    <row r="676" spans="1:15" ht="18" customHeight="1">
      <c r="A676" s="89" t="s">
        <v>200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201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6" t="s">
        <v>197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198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6" t="s">
        <v>199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198</v>
      </c>
      <c r="O702" s="78"/>
    </row>
    <row r="703" spans="1:15" ht="18" customHeight="1">
      <c r="A703" s="89" t="s">
        <v>200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201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6" t="s">
        <v>197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198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6" t="s">
        <v>199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198</v>
      </c>
      <c r="O729" s="78"/>
    </row>
    <row r="730" spans="1:15" ht="18" customHeight="1">
      <c r="A730" s="89" t="s">
        <v>200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201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6" t="s">
        <v>197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198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6" t="s">
        <v>199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198</v>
      </c>
      <c r="O756" s="39"/>
    </row>
    <row r="757" spans="1:15" ht="18" customHeight="1">
      <c r="A757" s="89" t="s">
        <v>200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201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6" t="s">
        <v>197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198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6" t="s">
        <v>199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198</v>
      </c>
      <c r="O783" s="39"/>
    </row>
    <row r="784" spans="1:15" ht="18" customHeight="1">
      <c r="A784" s="89" t="s">
        <v>200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201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6" t="s">
        <v>197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198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6" t="s">
        <v>199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198</v>
      </c>
      <c r="O810" s="39"/>
    </row>
    <row r="811" spans="1:15" ht="18" customHeight="1">
      <c r="A811" s="89" t="s">
        <v>200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201</v>
      </c>
      <c r="O811" s="8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80" activePane="bottomLeft" state="frozen"/>
      <selection pane="bottomLeft" activeCell="I101" sqref="I10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0" style="20" customWidth="1"/>
    <col min="15" max="15" width="14" customWidth="1"/>
  </cols>
  <sheetData>
    <row r="1" spans="1:15" ht="37.5" customHeight="1">
      <c r="A1" s="68" t="s">
        <v>7</v>
      </c>
      <c r="B1" s="23" t="s">
        <v>184</v>
      </c>
      <c r="C1" s="23" t="s">
        <v>12</v>
      </c>
      <c r="D1" s="22" t="s">
        <v>13</v>
      </c>
      <c r="E1" s="22" t="s">
        <v>185</v>
      </c>
      <c r="F1" s="23" t="s">
        <v>186</v>
      </c>
      <c r="G1" s="23" t="s">
        <v>187</v>
      </c>
      <c r="H1" s="23" t="s">
        <v>14</v>
      </c>
      <c r="I1" s="23" t="s">
        <v>15</v>
      </c>
      <c r="J1" s="23" t="s">
        <v>188</v>
      </c>
      <c r="K1" s="23" t="s">
        <v>189</v>
      </c>
      <c r="L1" s="23" t="s">
        <v>190</v>
      </c>
      <c r="M1" s="24" t="s">
        <v>191</v>
      </c>
      <c r="N1" s="23" t="s">
        <v>192</v>
      </c>
      <c r="O1" s="23" t="s">
        <v>193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206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206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215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206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206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216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206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206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206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206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206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206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206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6" t="s">
        <v>197</v>
      </c>
      <c r="B14" s="87"/>
      <c r="C14" s="87"/>
      <c r="D14" s="87"/>
      <c r="E14" s="88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198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206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206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206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206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206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206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206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206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206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206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206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206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6" t="s">
        <v>199</v>
      </c>
      <c r="B27" s="87"/>
      <c r="C27" s="87"/>
      <c r="D27" s="87"/>
      <c r="E27" s="88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198</v>
      </c>
      <c r="O27" s="39">
        <v>308500</v>
      </c>
    </row>
    <row r="28" spans="1:15" ht="18" customHeight="1">
      <c r="A28" s="89" t="s">
        <v>200</v>
      </c>
      <c r="B28" s="90"/>
      <c r="C28" s="90"/>
      <c r="D28" s="90"/>
      <c r="E28" s="91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201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206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217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206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206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206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206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206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206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206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206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206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206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206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6" t="s">
        <v>197</v>
      </c>
      <c r="B41" s="87"/>
      <c r="C41" s="87"/>
      <c r="D41" s="87"/>
      <c r="E41" s="88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198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206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206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206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206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206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206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206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206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206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206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206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206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6" t="s">
        <v>199</v>
      </c>
      <c r="B54" s="87"/>
      <c r="C54" s="87"/>
      <c r="D54" s="87"/>
      <c r="E54" s="88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198</v>
      </c>
      <c r="O54" s="39">
        <v>124290</v>
      </c>
    </row>
    <row r="55" spans="1:15" ht="18" customHeight="1">
      <c r="A55" s="89" t="s">
        <v>200</v>
      </c>
      <c r="B55" s="90"/>
      <c r="C55" s="90"/>
      <c r="D55" s="90"/>
      <c r="E55" s="91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201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206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206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206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206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218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206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206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206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206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206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206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206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206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6" t="s">
        <v>197</v>
      </c>
      <c r="B68" s="87"/>
      <c r="C68" s="87"/>
      <c r="D68" s="87"/>
      <c r="E68" s="88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198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206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157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219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206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206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206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206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206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206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206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206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206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6" t="s">
        <v>199</v>
      </c>
      <c r="B81" s="87"/>
      <c r="C81" s="87"/>
      <c r="D81" s="87"/>
      <c r="E81" s="88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198</v>
      </c>
      <c r="O81" s="39">
        <v>396340</v>
      </c>
    </row>
    <row r="82" spans="1:15" ht="18" customHeight="1">
      <c r="A82" s="89" t="s">
        <v>200</v>
      </c>
      <c r="B82" s="90"/>
      <c r="C82" s="90"/>
      <c r="D82" s="90"/>
      <c r="E82" s="91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201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195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195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195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195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195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195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220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195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195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195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195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195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6" t="s">
        <v>197</v>
      </c>
      <c r="B95" s="87"/>
      <c r="C95" s="87"/>
      <c r="D95" s="87"/>
      <c r="E95" s="88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198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206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/>
      <c r="M96" s="30">
        <f t="shared" ref="M96:M107" ca="1" si="22">IFERROR(IF(K96="","",IF(L96="",MOD(NOW()-K96,1),IF(L96&gt;=K96,L96-K96,L96+1-K96))),"")</f>
        <v>0.31171655092475703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206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206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206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206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206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206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206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206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206</v>
      </c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206</v>
      </c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206</v>
      </c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6" t="s">
        <v>199</v>
      </c>
      <c r="B108" s="87"/>
      <c r="C108" s="87"/>
      <c r="D108" s="87"/>
      <c r="E108" s="88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0.31171655092475703</v>
      </c>
      <c r="N108" s="36" t="s">
        <v>198</v>
      </c>
      <c r="O108" s="39"/>
    </row>
    <row r="109" spans="1:15" ht="18" customHeight="1">
      <c r="A109" s="89" t="s">
        <v>200</v>
      </c>
      <c r="B109" s="90"/>
      <c r="C109" s="90"/>
      <c r="D109" s="90"/>
      <c r="E109" s="91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0.51310543981364587</v>
      </c>
      <c r="N109" s="40" t="s">
        <v>201</v>
      </c>
      <c r="O109" s="43">
        <f>IFERROR(O95+O108,"")</f>
        <v>536290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6" t="s">
        <v>197</v>
      </c>
      <c r="B122" s="87"/>
      <c r="C122" s="87"/>
      <c r="D122" s="87"/>
      <c r="E122" s="88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198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6" t="s">
        <v>199</v>
      </c>
      <c r="B135" s="87"/>
      <c r="C135" s="87"/>
      <c r="D135" s="87"/>
      <c r="E135" s="8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198</v>
      </c>
      <c r="O135" s="39"/>
    </row>
    <row r="136" spans="1:15" ht="18" customHeight="1">
      <c r="A136" s="89" t="s">
        <v>200</v>
      </c>
      <c r="B136" s="90"/>
      <c r="C136" s="90"/>
      <c r="D136" s="90"/>
      <c r="E136" s="91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201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6" t="s">
        <v>197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198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6" t="s">
        <v>199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198</v>
      </c>
      <c r="O162" s="39"/>
    </row>
    <row r="163" spans="1:15" ht="18" customHeight="1">
      <c r="A163" s="89" t="s">
        <v>200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201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6" t="s">
        <v>197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198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6" t="s">
        <v>199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198</v>
      </c>
      <c r="O189" s="39"/>
    </row>
    <row r="190" spans="1:15" ht="18" customHeight="1">
      <c r="A190" s="89" t="s">
        <v>200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201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6" t="s">
        <v>197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198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6" t="s">
        <v>199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198</v>
      </c>
      <c r="O216" s="39"/>
    </row>
    <row r="217" spans="1:15" ht="18" customHeight="1">
      <c r="A217" s="89" t="s">
        <v>200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201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6" t="s">
        <v>197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198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6" t="s">
        <v>199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198</v>
      </c>
      <c r="O243" s="39"/>
    </row>
    <row r="244" spans="1:15" ht="18" customHeight="1">
      <c r="A244" s="89" t="s">
        <v>200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201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6" t="s">
        <v>197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198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6" t="s">
        <v>199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198</v>
      </c>
      <c r="O270" s="39"/>
    </row>
    <row r="271" spans="1:15" ht="18" customHeight="1">
      <c r="A271" s="89" t="s">
        <v>200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201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6" t="s">
        <v>197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198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6" t="s">
        <v>199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198</v>
      </c>
      <c r="O297" s="39"/>
    </row>
    <row r="298" spans="1:15" ht="18" customHeight="1">
      <c r="A298" s="89" t="s">
        <v>200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201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6" t="s">
        <v>197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198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6" t="s">
        <v>199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198</v>
      </c>
      <c r="O324" s="39"/>
    </row>
    <row r="325" spans="1:15" ht="18" customHeight="1">
      <c r="A325" s="89" t="s">
        <v>200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201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6" t="s">
        <v>197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6" t="s">
        <v>199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198</v>
      </c>
      <c r="O351" s="39"/>
    </row>
    <row r="352" spans="1:15" ht="18" customHeight="1">
      <c r="A352" s="89" t="s">
        <v>200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6" t="s">
        <v>197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6" t="s">
        <v>199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198</v>
      </c>
      <c r="O378" s="39"/>
    </row>
    <row r="379" spans="1:15" ht="18" customHeight="1">
      <c r="A379" s="89" t="s">
        <v>200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6" t="s">
        <v>197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6" t="s">
        <v>199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198</v>
      </c>
      <c r="O405" s="39"/>
    </row>
    <row r="406" spans="1:15" ht="18" customHeight="1">
      <c r="A406" s="89" t="s">
        <v>200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6" t="s">
        <v>197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6" t="s">
        <v>199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198</v>
      </c>
      <c r="O432" s="39"/>
    </row>
    <row r="433" spans="1:15" ht="18" customHeight="1">
      <c r="A433" s="89" t="s">
        <v>200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6" t="s">
        <v>197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6" t="s">
        <v>199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198</v>
      </c>
      <c r="O459" s="39"/>
    </row>
    <row r="460" spans="1:15" ht="18" customHeight="1">
      <c r="A460" s="89" t="s">
        <v>200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6" t="s">
        <v>197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6" t="s">
        <v>199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198</v>
      </c>
      <c r="O486" s="39"/>
    </row>
    <row r="487" spans="1:15" ht="18" customHeight="1">
      <c r="A487" s="89" t="s">
        <v>200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6" t="s">
        <v>197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6" t="s">
        <v>199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198</v>
      </c>
      <c r="O513" s="39"/>
    </row>
    <row r="514" spans="1:15" ht="18" customHeight="1">
      <c r="A514" s="89" t="s">
        <v>200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6" t="s">
        <v>197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6" t="s">
        <v>199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198</v>
      </c>
      <c r="O540" s="39"/>
    </row>
    <row r="541" spans="1:15" ht="18" customHeight="1">
      <c r="A541" s="89" t="s">
        <v>200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6" t="s">
        <v>197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6" t="s">
        <v>199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198</v>
      </c>
      <c r="O567" s="39"/>
    </row>
    <row r="568" spans="1:15" ht="18" customHeight="1">
      <c r="A568" s="89" t="s">
        <v>200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6" t="s">
        <v>197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6" t="s">
        <v>199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198</v>
      </c>
      <c r="O594" s="39"/>
    </row>
    <row r="595" spans="1:15" ht="18" customHeight="1">
      <c r="A595" s="89" t="s">
        <v>200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6" t="s">
        <v>197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6" t="s">
        <v>199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198</v>
      </c>
      <c r="O621" s="39"/>
    </row>
    <row r="622" spans="1:15" ht="18" customHeight="1">
      <c r="A622" s="89" t="s">
        <v>200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6" t="s">
        <v>197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6" t="s">
        <v>199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198</v>
      </c>
      <c r="O648" s="39"/>
    </row>
    <row r="649" spans="1:15" ht="18" customHeight="1">
      <c r="A649" s="89" t="s">
        <v>200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6" t="s">
        <v>197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6" t="s">
        <v>199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198</v>
      </c>
      <c r="O675" s="39"/>
    </row>
    <row r="676" spans="1:15" ht="18" customHeight="1">
      <c r="A676" s="89" t="s">
        <v>200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6" t="s">
        <v>197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6" t="s">
        <v>199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198</v>
      </c>
      <c r="O702" s="39"/>
    </row>
    <row r="703" spans="1:15" ht="18" customHeight="1">
      <c r="A703" s="89" t="s">
        <v>200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6" t="s">
        <v>197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6" t="s">
        <v>199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198</v>
      </c>
      <c r="O729" s="39"/>
    </row>
    <row r="730" spans="1:15" ht="18" customHeight="1">
      <c r="A730" s="89" t="s">
        <v>200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6" t="s">
        <v>197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6" t="s">
        <v>199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198</v>
      </c>
      <c r="O756" s="39"/>
    </row>
    <row r="757" spans="1:15" ht="18" customHeight="1">
      <c r="A757" s="89" t="s">
        <v>200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6" t="s">
        <v>197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6" t="s">
        <v>199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198</v>
      </c>
      <c r="O783" s="39"/>
    </row>
    <row r="784" spans="1:15" ht="18" customHeight="1">
      <c r="A784" s="89" t="s">
        <v>200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6" t="s">
        <v>197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6" t="s">
        <v>199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198</v>
      </c>
      <c r="O810" s="39"/>
    </row>
    <row r="811" spans="1:15" ht="18" customHeight="1">
      <c r="A811" s="89" t="s">
        <v>200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201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zoomScale="50" zoomScaleNormal="50" workbookViewId="0">
      <pane ySplit="1" topLeftCell="A73" activePane="bottomLeft" state="frozen"/>
      <selection pane="bottomLeft" activeCell="F105" sqref="F105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2.140625" style="57" customWidth="1"/>
    <col min="15" max="15" width="14" customWidth="1"/>
  </cols>
  <sheetData>
    <row r="1" spans="1:15" ht="37.5" customHeight="1">
      <c r="A1" s="68" t="s">
        <v>7</v>
      </c>
      <c r="B1" s="23" t="s">
        <v>184</v>
      </c>
      <c r="C1" s="23" t="s">
        <v>12</v>
      </c>
      <c r="D1" s="22" t="s">
        <v>13</v>
      </c>
      <c r="E1" s="22" t="s">
        <v>185</v>
      </c>
      <c r="F1" s="23" t="s">
        <v>186</v>
      </c>
      <c r="G1" s="23" t="s">
        <v>187</v>
      </c>
      <c r="H1" s="23" t="s">
        <v>14</v>
      </c>
      <c r="I1" s="23" t="s">
        <v>15</v>
      </c>
      <c r="J1" s="23" t="s">
        <v>188</v>
      </c>
      <c r="K1" s="23" t="s">
        <v>189</v>
      </c>
      <c r="L1" s="23" t="s">
        <v>190</v>
      </c>
      <c r="M1" s="24" t="s">
        <v>191</v>
      </c>
      <c r="N1" s="23" t="s">
        <v>192</v>
      </c>
      <c r="O1" s="23" t="s">
        <v>193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206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221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206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219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206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206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206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206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206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206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206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206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206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206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6" t="s">
        <v>197</v>
      </c>
      <c r="B14" s="87"/>
      <c r="C14" s="87"/>
      <c r="D14" s="87"/>
      <c r="E14" s="88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198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206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206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222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206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206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206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206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206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206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206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206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6" t="s">
        <v>199</v>
      </c>
      <c r="B27" s="87"/>
      <c r="C27" s="87"/>
      <c r="D27" s="87"/>
      <c r="E27" s="88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198</v>
      </c>
      <c r="O27" s="39">
        <v>202230</v>
      </c>
    </row>
    <row r="28" spans="1:15" ht="18" customHeight="1">
      <c r="A28" s="89" t="s">
        <v>200</v>
      </c>
      <c r="B28" s="90"/>
      <c r="C28" s="90"/>
      <c r="D28" s="90"/>
      <c r="E28" s="91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201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206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182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223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206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206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206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206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206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224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206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206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206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206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206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6" t="s">
        <v>197</v>
      </c>
      <c r="B41" s="87"/>
      <c r="C41" s="87"/>
      <c r="D41" s="87"/>
      <c r="E41" s="88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198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206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206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206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206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206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206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206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206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206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206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6" t="s">
        <v>199</v>
      </c>
      <c r="B54" s="87"/>
      <c r="C54" s="87"/>
      <c r="D54" s="87"/>
      <c r="E54" s="88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198</v>
      </c>
      <c r="O54" s="39">
        <v>473910</v>
      </c>
    </row>
    <row r="55" spans="1:15" ht="18" customHeight="1">
      <c r="A55" s="89" t="s">
        <v>200</v>
      </c>
      <c r="B55" s="90"/>
      <c r="C55" s="90"/>
      <c r="D55" s="90"/>
      <c r="E55" s="91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201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206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206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206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225</v>
      </c>
      <c r="L58" s="29">
        <v>0.54097222222222219</v>
      </c>
      <c r="M58" s="30" t="str">
        <f t="shared" ca="1" si="13"/>
        <v/>
      </c>
      <c r="N58" s="27" t="s">
        <v>226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206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206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206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206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206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206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206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206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206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6" t="s">
        <v>197</v>
      </c>
      <c r="B68" s="87"/>
      <c r="C68" s="87"/>
      <c r="D68" s="87"/>
      <c r="E68" s="88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198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206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206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215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206</v>
      </c>
      <c r="F71" s="27">
        <v>12</v>
      </c>
      <c r="G71" s="34">
        <f t="shared" si="15"/>
        <v>50.400000000000006</v>
      </c>
      <c r="H71" s="33" t="s">
        <v>18</v>
      </c>
      <c r="I71" s="33" t="s">
        <v>119</v>
      </c>
      <c r="J71" s="33" t="s">
        <v>183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206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157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227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206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157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228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206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229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206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157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230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206</v>
      </c>
      <c r="F76" s="27">
        <v>1</v>
      </c>
      <c r="G76" s="28">
        <f t="shared" si="15"/>
        <v>4.2</v>
      </c>
      <c r="H76" s="26" t="s">
        <v>20</v>
      </c>
      <c r="I76" s="26" t="s">
        <v>142</v>
      </c>
      <c r="J76" s="26" t="s">
        <v>174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206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206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6" t="s">
        <v>199</v>
      </c>
      <c r="B81" s="87"/>
      <c r="C81" s="87"/>
      <c r="D81" s="87"/>
      <c r="E81" s="88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198</v>
      </c>
      <c r="O81" s="39">
        <v>565120</v>
      </c>
    </row>
    <row r="82" spans="1:15" ht="18" customHeight="1">
      <c r="A82" s="89" t="s">
        <v>200</v>
      </c>
      <c r="B82" s="90"/>
      <c r="C82" s="90"/>
      <c r="D82" s="90"/>
      <c r="E82" s="91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201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231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206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206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195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195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195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195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195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195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195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6" t="s">
        <v>197</v>
      </c>
      <c r="B95" s="87"/>
      <c r="C95" s="87"/>
      <c r="D95" s="87"/>
      <c r="E95" s="88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198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206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152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206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206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96</v>
      </c>
      <c r="K98" s="29">
        <v>0.99791666666666667</v>
      </c>
      <c r="L98" s="29"/>
      <c r="M98" s="35">
        <f t="shared" ca="1" si="22"/>
        <v>0.18949432870431338</v>
      </c>
      <c r="N98" s="27" t="s">
        <v>232</v>
      </c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206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206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206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206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206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206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206</v>
      </c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206</v>
      </c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206</v>
      </c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6" t="s">
        <v>199</v>
      </c>
      <c r="B108" s="87"/>
      <c r="C108" s="87"/>
      <c r="D108" s="87"/>
      <c r="E108" s="88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0.2242165509265357</v>
      </c>
      <c r="N108" s="36" t="s">
        <v>198</v>
      </c>
      <c r="O108" s="39"/>
    </row>
    <row r="109" spans="1:15" ht="18" customHeight="1">
      <c r="A109" s="89" t="s">
        <v>200</v>
      </c>
      <c r="B109" s="90"/>
      <c r="C109" s="90"/>
      <c r="D109" s="90"/>
      <c r="E109" s="91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0.41241099537098019</v>
      </c>
      <c r="N109" s="40" t="s">
        <v>201</v>
      </c>
      <c r="O109" s="48">
        <f>IFERROR(O95+O108,"")</f>
        <v>776910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6" t="s">
        <v>197</v>
      </c>
      <c r="B122" s="87"/>
      <c r="C122" s="87"/>
      <c r="D122" s="87"/>
      <c r="E122" s="88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198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86" t="s">
        <v>199</v>
      </c>
      <c r="B135" s="87"/>
      <c r="C135" s="87"/>
      <c r="D135" s="87"/>
      <c r="E135" s="8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198</v>
      </c>
      <c r="O135" s="39"/>
    </row>
    <row r="136" spans="1:15" ht="18" customHeight="1">
      <c r="A136" s="89" t="s">
        <v>200</v>
      </c>
      <c r="B136" s="90"/>
      <c r="C136" s="90"/>
      <c r="D136" s="90"/>
      <c r="E136" s="91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201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6" t="s">
        <v>197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198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6" t="s">
        <v>199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198</v>
      </c>
      <c r="O162" s="39"/>
    </row>
    <row r="163" spans="1:15" ht="18" customHeight="1">
      <c r="A163" s="89" t="s">
        <v>200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201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6" t="s">
        <v>197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198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6" t="s">
        <v>199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198</v>
      </c>
      <c r="O189" s="39"/>
    </row>
    <row r="190" spans="1:15" ht="18" customHeight="1">
      <c r="A190" s="89" t="s">
        <v>200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201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6" t="s">
        <v>197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198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6" t="s">
        <v>199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198</v>
      </c>
      <c r="O216" s="45"/>
    </row>
    <row r="217" spans="1:15" ht="18" customHeight="1">
      <c r="A217" s="89" t="s">
        <v>200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201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6" t="s">
        <v>197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198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6" t="s">
        <v>199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198</v>
      </c>
      <c r="O243" s="39"/>
    </row>
    <row r="244" spans="1:15" ht="18" customHeight="1">
      <c r="A244" s="89" t="s">
        <v>200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201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6" t="s">
        <v>197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198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6" t="s">
        <v>199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198</v>
      </c>
      <c r="O270" s="39"/>
    </row>
    <row r="271" spans="1:15" ht="18" customHeight="1">
      <c r="A271" s="89" t="s">
        <v>200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201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6" t="s">
        <v>197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198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6" t="s">
        <v>199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198</v>
      </c>
      <c r="O297" s="39"/>
    </row>
    <row r="298" spans="1:15" ht="18" customHeight="1">
      <c r="A298" s="89" t="s">
        <v>200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201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6" t="s">
        <v>197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198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6" t="s">
        <v>199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198</v>
      </c>
      <c r="O324" s="39"/>
    </row>
    <row r="325" spans="1:15" ht="18" customHeight="1">
      <c r="A325" s="89" t="s">
        <v>200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201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6" t="s">
        <v>197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6" t="s">
        <v>199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198</v>
      </c>
      <c r="O351" s="39"/>
    </row>
    <row r="352" spans="1:15" ht="18" customHeight="1">
      <c r="A352" s="89" t="s">
        <v>200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201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6" t="s">
        <v>197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6" t="s">
        <v>199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198</v>
      </c>
      <c r="O378" s="39"/>
    </row>
    <row r="379" spans="1:15" ht="18" customHeight="1">
      <c r="A379" s="89" t="s">
        <v>200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201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6" t="s">
        <v>197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6" t="s">
        <v>199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198</v>
      </c>
      <c r="O405" s="39"/>
    </row>
    <row r="406" spans="1:15" ht="18" customHeight="1">
      <c r="A406" s="89" t="s">
        <v>200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201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6" t="s">
        <v>197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6" t="s">
        <v>199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198</v>
      </c>
      <c r="O432" s="39"/>
    </row>
    <row r="433" spans="1:17" ht="18" customHeight="1">
      <c r="A433" s="89" t="s">
        <v>200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201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6" t="s">
        <v>197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198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6" t="s">
        <v>199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198</v>
      </c>
      <c r="O459" s="39"/>
    </row>
    <row r="460" spans="1:15" ht="18" customHeight="1">
      <c r="A460" s="89" t="s">
        <v>200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201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6" t="s">
        <v>197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6" t="s">
        <v>199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198</v>
      </c>
      <c r="O486" s="39"/>
    </row>
    <row r="487" spans="1:15" ht="18" customHeight="1">
      <c r="A487" s="89" t="s">
        <v>200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201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6" t="s">
        <v>197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6" t="s">
        <v>199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198</v>
      </c>
      <c r="O513" s="39"/>
    </row>
    <row r="514" spans="1:15" ht="18" customHeight="1">
      <c r="A514" s="89" t="s">
        <v>200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201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6" t="s">
        <v>197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6" t="s">
        <v>199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198</v>
      </c>
      <c r="O540" s="39"/>
    </row>
    <row r="541" spans="1:15" ht="18" customHeight="1">
      <c r="A541" s="89" t="s">
        <v>200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201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6" t="s">
        <v>197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6" t="s">
        <v>199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198</v>
      </c>
      <c r="O567" s="39"/>
    </row>
    <row r="568" spans="1:15" ht="18" customHeight="1">
      <c r="A568" s="89" t="s">
        <v>200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201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6" t="s">
        <v>197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6" t="s">
        <v>199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198</v>
      </c>
      <c r="O594" s="39"/>
    </row>
    <row r="595" spans="1:15" ht="18" customHeight="1">
      <c r="A595" s="89" t="s">
        <v>200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201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6" t="s">
        <v>197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6" t="s">
        <v>199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198</v>
      </c>
      <c r="O621" s="39"/>
    </row>
    <row r="622" spans="1:15" ht="18" customHeight="1">
      <c r="A622" s="89" t="s">
        <v>200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201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6" t="s">
        <v>197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6" t="s">
        <v>199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198</v>
      </c>
      <c r="O648" s="39"/>
    </row>
    <row r="649" spans="1:15" ht="18" customHeight="1">
      <c r="A649" s="89" t="s">
        <v>200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201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6" t="s">
        <v>197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6" t="s">
        <v>199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198</v>
      </c>
      <c r="O675" s="39"/>
    </row>
    <row r="676" spans="1:15" ht="18" customHeight="1">
      <c r="A676" s="89" t="s">
        <v>200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201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6" t="s">
        <v>197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6" t="s">
        <v>199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198</v>
      </c>
      <c r="O702" s="39"/>
    </row>
    <row r="703" spans="1:15" ht="18" customHeight="1">
      <c r="A703" s="89" t="s">
        <v>200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201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6" t="s">
        <v>197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6" t="s">
        <v>199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198</v>
      </c>
      <c r="O729" s="39"/>
    </row>
    <row r="730" spans="1:15" ht="18" customHeight="1">
      <c r="A730" s="89" t="s">
        <v>200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201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6" t="s">
        <v>197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6" t="s">
        <v>199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198</v>
      </c>
      <c r="O756" s="39"/>
    </row>
    <row r="757" spans="1:15" ht="18" customHeight="1">
      <c r="A757" s="89" t="s">
        <v>200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201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6" t="s">
        <v>197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6" t="s">
        <v>199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198</v>
      </c>
      <c r="O783" s="39"/>
    </row>
    <row r="784" spans="1:15" ht="18" customHeight="1">
      <c r="A784" s="89" t="s">
        <v>200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201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6" t="s">
        <v>197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6" t="s">
        <v>199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198</v>
      </c>
      <c r="O810" s="39"/>
    </row>
    <row r="811" spans="1:15" ht="18" customHeight="1">
      <c r="A811" s="89" t="s">
        <v>200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201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2026-07-05T08:30:18Z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