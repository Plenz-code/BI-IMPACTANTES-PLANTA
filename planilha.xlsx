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08" documentId="13_ncr:1_{0A10D8D4-8450-4366-8075-B53B08E6B7EA}" xr6:coauthVersionLast="47" xr6:coauthVersionMax="47" xr10:uidLastSave="{180971E3-06B0-44BC-B4B9-E9572A9F4D86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<sst xmlns="http://schemas.openxmlformats.org/spreadsheetml/2006/main" count="7098" uniqueCount="354">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</sst>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8" sqref="F40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40</v>
      </c>
      <c r="G419" s="36">
        <f>SUM(G407:G418)</f>
        <v>200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40</v>
      </c>
      <c r="G433" s="40">
        <f>G419+G432</f>
        <v>200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0.21372905091993744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0.35261793980882633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0.43734016203104864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259</v>
      </c>
      <c r="F407" s="140">
        <f>IFERROR(IF($D407="","",VLOOKUP($D407,Cadastro!$C$4:$E$7,3,FALSE)),"")</f>
        <v>0.35</v>
      </c>
      <c r="G407" s="105">
        <v>2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8.4</v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259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259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259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259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259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259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259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259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259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2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8.4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8.4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259</v>
      </c>
      <c r="F407" s="140">
        <f>IFERROR(IF($D407="","",VLOOKUP($D407,Cadastro!$C$4:$E$7,3,FALSE)),"")</f>
        <v>0.35</v>
      </c>
      <c r="G407" s="105">
        <v>3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12.600000000000001</v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29</v>
      </c>
      <c r="E408" s="109" t="s">
        <v>259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29</v>
      </c>
      <c r="E409" s="109" t="s">
        <v>259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29</v>
      </c>
      <c r="E410" s="109" t="s">
        <v>259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29</v>
      </c>
      <c r="E411" s="109" t="s">
        <v>259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29</v>
      </c>
      <c r="E412" s="109" t="s">
        <v>259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29</v>
      </c>
      <c r="E413" s="109" t="s">
        <v>259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29</v>
      </c>
      <c r="E414" s="109" t="s">
        <v>259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29</v>
      </c>
      <c r="E415" s="109" t="s">
        <v>259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29</v>
      </c>
      <c r="E416" s="109" t="s">
        <v>259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3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12.600000000000001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12.600000000000001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0.70747905092139263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0.77206238425472584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0.83178460647694807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259</v>
      </c>
      <c r="F407" s="140">
        <f>IFERROR(IF($D407="","",VLOOKUP($D407,Cadastro!$C$4:$E$7,3,FALSE)),"")</f>
        <v>0.35</v>
      </c>
      <c r="G407" s="105">
        <v>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16.8</v>
      </c>
      <c r="L407" s="33" t="s">
        <v>25</v>
      </c>
      <c r="M407" s="33"/>
      <c r="N407" s="33" t="s">
        <v>232</v>
      </c>
      <c r="O407" s="29">
        <v>0.32777777777777778</v>
      </c>
      <c r="P407" s="29"/>
      <c r="Q407" s="35">
        <f t="shared" ref="Q407:Q418" ca="1" si="100">IFERROR(IF(O407="","",IF(P407="",MOD(NOW()-O407,1),IF(P407&gt;=O407,P407-O407,P407+1-O407))),"")</f>
        <v>7.4790509243030101E-3</v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259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259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259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259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259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259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259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259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259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16.8</v>
      </c>
      <c r="L419" s="37"/>
      <c r="M419" s="37"/>
      <c r="N419" s="37"/>
      <c r="O419" s="61"/>
      <c r="P419" s="61"/>
      <c r="Q419" s="38">
        <f ca="1">IFERROR(SUM(Q407:Q418),"")</f>
        <v>7.4790509243030101E-3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16.8</v>
      </c>
      <c r="L433" s="41"/>
      <c r="M433" s="41"/>
      <c r="N433" s="41"/>
      <c r="O433" s="63"/>
      <c r="P433" s="63"/>
      <c r="Q433" s="42">
        <f ca="1">IFERROR(Q419+Q432,"")</f>
        <v>7.4790509243030101E-3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2026-08-16T12:03:09Z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