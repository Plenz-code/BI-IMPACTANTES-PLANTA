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20" documentId="8_{AF585B22-221D-4780-BB9C-493D365A6A02}" xr6:coauthVersionLast="47" xr6:coauthVersionMax="47" xr10:uidLastSave="{12C08DE9-1D11-4DF5-AC02-5B4C1F0E5B0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<sst xmlns="http://schemas.openxmlformats.org/spreadsheetml/2006/main" count="6327" uniqueCount="319">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</sst>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6" sqref="K6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2" sqref="F3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60</v>
      </c>
      <c r="G392" s="36">
        <f>SUM(G380:G391)</f>
        <v>300</v>
      </c>
      <c r="H392" s="37"/>
      <c r="I392" s="37"/>
      <c r="J392" s="37"/>
      <c r="K392" s="37"/>
      <c r="L392" s="37"/>
      <c r="M392" s="38">
        <f ca="1">IFERROR(SUM(M380:M391),"")</f>
        <v>4.1666666666666519E-3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60</v>
      </c>
      <c r="G406" s="40">
        <f>G392+G405</f>
        <v>300</v>
      </c>
      <c r="H406" s="41"/>
      <c r="I406" s="41"/>
      <c r="J406" s="41"/>
      <c r="K406" s="41"/>
      <c r="L406" s="41"/>
      <c r="M406" s="42">
        <f ca="1">IFERROR(M392+M405,"")</f>
        <v>4.1666666666666519E-3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63" activePane="bottomLeft" state="frozen"/>
      <selection pane="bottomLeft" activeCell="J381" sqref="J38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0.15760219906951534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0.31524108795840422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0.42496331018062639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/>
      <c r="J381" s="33" t="s">
        <v>206</v>
      </c>
      <c r="K381" s="29">
        <v>0.3888888888888889</v>
      </c>
      <c r="L381" s="29"/>
      <c r="M381" s="35">
        <f t="shared" ca="1" si="85"/>
        <v>8.2966435147682205E-3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32</v>
      </c>
      <c r="G392" s="36">
        <f>SUM(G380:G391)</f>
        <v>134.4</v>
      </c>
      <c r="H392" s="37"/>
      <c r="I392" s="37"/>
      <c r="J392" s="37"/>
      <c r="K392" s="37"/>
      <c r="L392" s="37"/>
      <c r="M392" s="38">
        <f ca="1">IFERROR(SUM(M380:M391),"")</f>
        <v>4.301886573699043E-2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32</v>
      </c>
      <c r="G406" s="40">
        <f>G392+G405</f>
        <v>134.4</v>
      </c>
      <c r="H406" s="41"/>
      <c r="I406" s="41"/>
      <c r="J406" s="41"/>
      <c r="K406" s="41"/>
      <c r="L406" s="41"/>
      <c r="M406" s="42">
        <f ca="1">IFERROR(M392+M405,"")</f>
        <v>4.301886573699043E-2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2" sqref="F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278</v>
      </c>
      <c r="N166" s="27" t="s">
        <v>279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/>
      <c r="G382" s="28" t="str">
        <f>IF(F382="","",IF(#REF!="PC 17",F382*4.2,IF(#REF!="PC 19",F382*5,"")))</f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16</v>
      </c>
      <c r="G392" s="36">
        <f>SUM(G380:G391)</f>
        <v>67.2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16</v>
      </c>
      <c r="G406" s="40">
        <f>G392+G405</f>
        <v>67.2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E391" sqref="E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293</v>
      </c>
      <c r="L58" s="29">
        <v>0.54097222222222219</v>
      </c>
      <c r="M58" s="30" t="str">
        <f t="shared" ca="1" si="13"/>
        <v/>
      </c>
      <c r="N58" s="27" t="s">
        <v>294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0.14787997685198206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0.34718553240753769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0.71454664351864872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/>
      <c r="M381" s="35">
        <f t="shared" ca="1" si="85"/>
        <v>2.4963310184830334E-2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13</v>
      </c>
      <c r="G392" s="36">
        <f>SUM(G380:G391)</f>
        <v>54.6</v>
      </c>
      <c r="H392" s="37"/>
      <c r="I392" s="37"/>
      <c r="J392" s="37"/>
      <c r="K392" s="61"/>
      <c r="L392" s="61"/>
      <c r="M392" s="38">
        <f ca="1">IFERROR(SUM(M380:M391),"")</f>
        <v>3.8852199073719229E-2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13</v>
      </c>
      <c r="G406" s="40">
        <f>G392+G405</f>
        <v>54.6</v>
      </c>
      <c r="H406" s="41"/>
      <c r="I406" s="41"/>
      <c r="J406" s="41"/>
      <c r="K406" s="63"/>
      <c r="L406" s="63"/>
      <c r="M406" s="42">
        <f ca="1">IFERROR(M392+M405,"")</f>
        <v>3.8852199073719229E-2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2026-07-15T13:33:08Z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