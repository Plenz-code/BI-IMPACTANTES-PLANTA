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13" documentId="8_{C51EB6CB-002B-4D6B-B68F-DDEBDB4460C0}" xr6:coauthVersionLast="47" xr6:coauthVersionMax="47" xr10:uidLastSave="{6E156F36-B57A-42F7-A5D3-FB79B3AFB776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<sst xmlns="http://schemas.openxmlformats.org/spreadsheetml/2006/main" count="5080" uniqueCount="325">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</sst>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1" activePane="bottomLeft" state="frozen"/>
      <selection pane="bottomLeft" activeCell="F258" sqref="F25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/>
      <c r="G258" s="34" t="str">
        <f t="shared" ref="G258:G269" si="57">IF(F258="","",IF(E258="PC 17",F258*4.2,IF(E258="PC 19",F258*5,IF(E258="CB",F258*35,""))))</f>
        <v/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/>
      <c r="M258" s="30">
        <f t="shared" ref="M258:M269" ca="1" si="58">IFERROR(IF(K258="","",IF(L258="",MOD(NOW()-K258,1),IF(L258&gt;=K258,L258-K258,L258+1-K258))),"")</f>
        <v>3.3857523150800262E-2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3.3857523150800262E-2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284</v>
      </c>
      <c r="G271" s="40">
        <f>G257+G270</f>
        <v>1420</v>
      </c>
      <c r="H271" s="41"/>
      <c r="I271" s="41"/>
      <c r="J271" s="41"/>
      <c r="K271" s="41"/>
      <c r="L271" s="41"/>
      <c r="M271" s="42">
        <f ca="1">IFERROR(M257+M270,"")</f>
        <v>8.9413078706355842E-2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59" sqref="F2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0.70885752314643469</v>
      </c>
      <c r="N53" s="46" t="s">
        <v>265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0.84774641203532353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0.93246863425754589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14</v>
      </c>
      <c r="G270" s="36">
        <f>SUM(G258:G269)</f>
        <v>58.800000000000004</v>
      </c>
      <c r="H270" s="37"/>
      <c r="I270" s="37"/>
      <c r="J270" s="37"/>
      <c r="K270" s="37"/>
      <c r="L270" s="37"/>
      <c r="M270" s="38">
        <f ca="1">IFERROR(SUM(M258:M269),"")</f>
        <v>4.1666666666666519E-3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197</v>
      </c>
      <c r="G271" s="40">
        <f>G257+G270</f>
        <v>884.19999999999993</v>
      </c>
      <c r="H271" s="41"/>
      <c r="I271" s="41"/>
      <c r="J271" s="41"/>
      <c r="K271" s="41"/>
      <c r="L271" s="41"/>
      <c r="M271" s="42">
        <f ca="1">IFERROR(M257+M270,"")</f>
        <v>3.1250000000000056E-2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35" zoomScale="50" zoomScaleNormal="50" workbookViewId="0">
      <selection activeCell="F259" sqref="F2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/>
      <c r="G259" s="28" t="str">
        <f>IF(F259="","",IF(E260="PC 17",F259*4.2,IF(E260="PC 19",F259*5,IF(E260="CB",F259*24,""))))</f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/>
      <c r="G260" s="34" t="str">
        <f>IF(F260="","",IF(#REF!="PC 17",F260*4.2,IF(#REF!="PC 19",F260*5,IF(#REF!="CB",F260*24,""))))</f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9</v>
      </c>
      <c r="G270" s="36">
        <f>SUM(G258:G269)</f>
        <v>37.800000000000004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122</v>
      </c>
      <c r="G271" s="40">
        <f>G257+G270</f>
        <v>550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34" activePane="bottomLeft" state="frozen"/>
      <selection pane="bottomLeft" activeCell="F259" sqref="F2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/>
      <c r="M258" s="35">
        <f t="shared" ref="M258:M269" ca="1" si="58">IFERROR(IF(K258="","",IF(L258="",MOD(NOW()-K258,1),IF(L258&gt;=K258,L258-K258,L258+1-K258))),"")</f>
        <v>3.3163078704092186E-2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</v>
      </c>
      <c r="G270" s="36">
        <f>SUM(G258:G269)</f>
        <v>4.2</v>
      </c>
      <c r="H270" s="37"/>
      <c r="I270" s="37"/>
      <c r="J270" s="37"/>
      <c r="K270" s="61"/>
      <c r="L270" s="61"/>
      <c r="M270" s="38">
        <f ca="1">IFERROR(SUM(M258:M269),"")</f>
        <v>3.3163078704092186E-2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183</v>
      </c>
      <c r="G271" s="40">
        <f>G257+G270</f>
        <v>827.00000000000011</v>
      </c>
      <c r="H271" s="41"/>
      <c r="I271" s="41"/>
      <c r="J271" s="41"/>
      <c r="K271" s="63"/>
      <c r="L271" s="63"/>
      <c r="M271" s="42">
        <f ca="1">IFERROR(M257+M270,"")</f>
        <v>0.12482974537075892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2026-08-10T23:56:05Z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