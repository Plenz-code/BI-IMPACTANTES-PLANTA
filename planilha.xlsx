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15" documentId="8_{AF585B22-221D-4780-BB9C-493D365A6A02}" xr6:coauthVersionLast="47" xr6:coauthVersionMax="47" xr10:uidLastSave="{B4DF7CE0-285C-4B95-871C-BF949EC57874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<sst xmlns="http://schemas.openxmlformats.org/spreadsheetml/2006/main" count="12350" uniqueCount="439">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</sst>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0" activePane="bottomLeft" state="frozen"/>
      <selection pane="bottomLeft" activeCell="G813" sqref="G8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233</v>
      </c>
      <c r="F812" s="100">
        <v>18</v>
      </c>
      <c r="G812" s="104">
        <v>50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233</v>
      </c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233</v>
      </c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233</v>
      </c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233</v>
      </c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233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233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233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233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18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18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1" activePane="bottomLeft" state="frozen"/>
      <selection pane="bottomLeft" activeCell="F813" sqref="F8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9.1769791666592937E-2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0.24940868055548182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0.35913090277770399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7.0242013891402166E-2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0.24107534722473553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0.38621423611362438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15</v>
      </c>
      <c r="G812" s="104">
        <f>IF(F812="","",IF(E812="PC 17",F812*4.2,IF(E812="PC 19",F812*5,"")))</f>
        <v>63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15</v>
      </c>
      <c r="G824" s="109">
        <f>SUM(G812:G823)</f>
        <v>63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15</v>
      </c>
      <c r="G838" s="111">
        <f>G824+G837</f>
        <v>63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3" sqref="F8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10</v>
      </c>
      <c r="G824" s="109">
        <f>SUM(G812:G823)</f>
        <v>42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10</v>
      </c>
      <c r="G838" s="111">
        <f>G824+G837</f>
        <v>42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3" sqref="F81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8.2047569449059665E-2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0.28135312500461529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0.64871423611572632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/>
      <c r="M812" s="78">
        <f ca="1">IFERROR(IF(K812="","",IF(L812="",MOD(NOW()-K812,1),IF(L812&gt;=K812,L812-K812,L812+1-K812))),"")</f>
        <v>4.9642361118458211E-3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10</v>
      </c>
      <c r="G824" s="109">
        <f>SUM(G812:G823)</f>
        <v>42</v>
      </c>
      <c r="H824" s="37"/>
      <c r="I824" s="37"/>
      <c r="J824" s="37"/>
      <c r="K824" s="37"/>
      <c r="L824" s="37"/>
      <c r="M824" s="110">
        <f ca="1">IFERROR(SUM(M812:M823),"")</f>
        <v>4.9642361118458211E-3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10</v>
      </c>
      <c r="G838" s="111">
        <f>G824+G837</f>
        <v>42</v>
      </c>
      <c r="H838" s="41"/>
      <c r="I838" s="41"/>
      <c r="J838" s="41"/>
      <c r="K838" s="41"/>
      <c r="L838" s="41"/>
      <c r="M838" s="112">
        <f ca="1">IFERROR(M824+M837,"")</f>
        <v>4.9642361118458211E-3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2026-07-31T11:57:14Z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