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655" documentId="8_{AF585B22-221D-4780-BB9C-493D365A6A02}" xr6:coauthVersionLast="47" xr6:coauthVersionMax="47" xr10:uidLastSave="{E16D5A02-B802-47AF-B066-FA60FB3538A7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<sst xmlns="http://schemas.openxmlformats.org/spreadsheetml/2006/main" count="4343" uniqueCount="283">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</sst>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6" zoomScale="85" zoomScaleNormal="85" workbookViewId="0">
      <selection activeCell="K62" sqref="K6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8" activePane="bottomLeft" state="frozen"/>
      <selection pane="bottomLeft" activeCell="F250" sqref="F25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200</v>
      </c>
      <c r="C1" s="23" t="s">
        <v>12</v>
      </c>
      <c r="D1" s="22" t="s">
        <v>13</v>
      </c>
      <c r="E1" s="22" t="s">
        <v>201</v>
      </c>
      <c r="F1" s="23" t="s">
        <v>202</v>
      </c>
      <c r="G1" s="23" t="s">
        <v>203</v>
      </c>
      <c r="H1" s="23" t="s">
        <v>14</v>
      </c>
      <c r="I1" s="23" t="s">
        <v>15</v>
      </c>
      <c r="J1" s="23" t="s">
        <v>204</v>
      </c>
      <c r="K1" s="23" t="s">
        <v>205</v>
      </c>
      <c r="L1" s="23" t="s">
        <v>206</v>
      </c>
      <c r="M1" s="24" t="s">
        <v>207</v>
      </c>
      <c r="N1" s="23" t="s">
        <v>208</v>
      </c>
      <c r="O1" s="23" t="s">
        <v>209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210</v>
      </c>
      <c r="E2" s="59" t="s">
        <v>211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214</v>
      </c>
      <c r="O27" s="39">
        <v>1183060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214</v>
      </c>
      <c r="O54" s="39">
        <v>959290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219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214</v>
      </c>
      <c r="O81" s="39">
        <v>878050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217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211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214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214</v>
      </c>
      <c r="O108" s="39">
        <v>1700000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217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214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214</v>
      </c>
      <c r="O135" s="39">
        <v>862330</v>
      </c>
    </row>
    <row r="136" spans="1:15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217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214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214</v>
      </c>
      <c r="O162" s="44">
        <v>1546080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217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214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214</v>
      </c>
      <c r="O189" s="39">
        <v>2355810</v>
      </c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217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214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214</v>
      </c>
      <c r="O216" s="45">
        <v>2013260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217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213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214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214</v>
      </c>
      <c r="O243" s="39">
        <v>1545480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217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211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211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211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211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211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211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211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110</v>
      </c>
      <c r="G257" s="36">
        <f>SUM(G245:G256)</f>
        <v>550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214</v>
      </c>
      <c r="O270" s="39"/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110</v>
      </c>
      <c r="G271" s="40">
        <f>G257+G270</f>
        <v>550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214</v>
      </c>
      <c r="O297" s="39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214</v>
      </c>
      <c r="O324" s="39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214</v>
      </c>
      <c r="O351" s="39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214</v>
      </c>
      <c r="O378" s="39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214</v>
      </c>
      <c r="O405" s="39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214</v>
      </c>
      <c r="O432" s="39"/>
    </row>
    <row r="433" spans="1:15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214</v>
      </c>
      <c r="O459" s="39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214</v>
      </c>
      <c r="O486" s="39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214</v>
      </c>
      <c r="O513" s="39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214</v>
      </c>
      <c r="O540" s="39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214</v>
      </c>
      <c r="O567" s="39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214</v>
      </c>
      <c r="O594" s="39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214</v>
      </c>
      <c r="O621" s="39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214</v>
      </c>
      <c r="O648" s="39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214</v>
      </c>
      <c r="O675" s="39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214</v>
      </c>
      <c r="O702" s="39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214</v>
      </c>
      <c r="O729" s="39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18" activePane="bottomLeft" state="frozen"/>
      <selection pane="bottomLeft" activeCell="F250" sqref="F2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200</v>
      </c>
      <c r="C1" s="23" t="s">
        <v>12</v>
      </c>
      <c r="D1" s="22" t="s">
        <v>13</v>
      </c>
      <c r="E1" s="22" t="s">
        <v>201</v>
      </c>
      <c r="F1" s="23" t="s">
        <v>202</v>
      </c>
      <c r="G1" s="23" t="s">
        <v>203</v>
      </c>
      <c r="H1" s="23" t="s">
        <v>14</v>
      </c>
      <c r="I1" s="23" t="s">
        <v>15</v>
      </c>
      <c r="J1" s="23" t="s">
        <v>204</v>
      </c>
      <c r="K1" s="23" t="s">
        <v>205</v>
      </c>
      <c r="L1" s="23" t="s">
        <v>206</v>
      </c>
      <c r="M1" s="24" t="s">
        <v>207</v>
      </c>
      <c r="N1" s="23" t="s">
        <v>208</v>
      </c>
      <c r="O1" s="23" t="s">
        <v>209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224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214</v>
      </c>
      <c r="O27" s="78">
        <v>393200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217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214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224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214</v>
      </c>
      <c r="O54" s="85">
        <v>276360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217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214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214</v>
      </c>
      <c r="O81" s="54">
        <v>787860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217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214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214</v>
      </c>
      <c r="O108" s="54">
        <v>1087080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217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214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211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214</v>
      </c>
      <c r="O135" s="54">
        <v>794480</v>
      </c>
    </row>
    <row r="136" spans="1:15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217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214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214</v>
      </c>
      <c r="O162" s="54">
        <v>882280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217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214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214</v>
      </c>
      <c r="O189" s="78"/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217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214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214</v>
      </c>
      <c r="O216" s="78">
        <v>648410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217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213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214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214</v>
      </c>
      <c r="O243" s="78">
        <v>849060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217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11</v>
      </c>
      <c r="G249" s="28">
        <f t="shared" si="54"/>
        <v>46.2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57</v>
      </c>
      <c r="G257" s="36">
        <f>SUM(G245:G256)</f>
        <v>239.39999999999998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214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214</v>
      </c>
      <c r="O270" s="78"/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57</v>
      </c>
      <c r="G271" s="40">
        <f>G257+G270</f>
        <v>239.39999999999998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217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214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214</v>
      </c>
      <c r="O297" s="78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217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214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214</v>
      </c>
      <c r="O324" s="78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217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214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214</v>
      </c>
      <c r="O351" s="78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217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214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214</v>
      </c>
      <c r="O378" s="78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217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214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214</v>
      </c>
      <c r="O405" s="78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217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214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214</v>
      </c>
      <c r="O432" s="78"/>
    </row>
    <row r="433" spans="1:15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217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214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214</v>
      </c>
      <c r="O459" s="78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217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214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214</v>
      </c>
      <c r="O486" s="78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217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214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214</v>
      </c>
      <c r="O513" s="78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217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214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214</v>
      </c>
      <c r="O540" s="78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217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214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214</v>
      </c>
      <c r="O567" s="78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217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214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214</v>
      </c>
      <c r="O594" s="78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217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214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214</v>
      </c>
      <c r="O621" s="78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217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214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214</v>
      </c>
      <c r="O648" s="78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217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214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214</v>
      </c>
      <c r="O675" s="78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217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214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214</v>
      </c>
      <c r="O702" s="78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217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214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214</v>
      </c>
      <c r="O729" s="78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217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214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217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214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217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214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217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1" zoomScale="50" zoomScaleNormal="50" workbookViewId="0">
      <selection activeCell="F250" sqref="F2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200</v>
      </c>
      <c r="C1" s="23" t="s">
        <v>12</v>
      </c>
      <c r="D1" s="22" t="s">
        <v>13</v>
      </c>
      <c r="E1" s="22" t="s">
        <v>201</v>
      </c>
      <c r="F1" s="23" t="s">
        <v>202</v>
      </c>
      <c r="G1" s="23" t="s">
        <v>203</v>
      </c>
      <c r="H1" s="23" t="s">
        <v>14</v>
      </c>
      <c r="I1" s="23" t="s">
        <v>15</v>
      </c>
      <c r="J1" s="23" t="s">
        <v>204</v>
      </c>
      <c r="K1" s="23" t="s">
        <v>205</v>
      </c>
      <c r="L1" s="23" t="s">
        <v>206</v>
      </c>
      <c r="M1" s="24" t="s">
        <v>207</v>
      </c>
      <c r="N1" s="23" t="s">
        <v>208</v>
      </c>
      <c r="O1" s="23" t="s">
        <v>209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214</v>
      </c>
      <c r="O27" s="39">
        <v>308500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214</v>
      </c>
      <c r="O54" s="39">
        <v>124290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214</v>
      </c>
      <c r="O81" s="39">
        <v>396340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217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214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214</v>
      </c>
      <c r="O108" s="39">
        <v>41230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217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214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214</v>
      </c>
      <c r="O135" s="39">
        <v>381250</v>
      </c>
    </row>
    <row r="136" spans="1:15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217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214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214</v>
      </c>
      <c r="O162" s="39">
        <v>337120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217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255</v>
      </c>
      <c r="N166" s="27" t="s">
        <v>256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214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214</v>
      </c>
      <c r="O189" s="39">
        <v>747210</v>
      </c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217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214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214</v>
      </c>
      <c r="O216" s="39">
        <v>468430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217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213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214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211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214</v>
      </c>
      <c r="O243" s="39">
        <v>575930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217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25</v>
      </c>
      <c r="G245" s="28">
        <f t="shared" ref="G245:G256" si="54">IF(F245="","",IF(E245="PC 17",F245*4.2,IF(E245="PC 19",F245*5,"")))</f>
        <v>105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15</v>
      </c>
      <c r="G246" s="34">
        <f t="shared" si="54"/>
        <v>63</v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12</v>
      </c>
      <c r="G247" s="28">
        <f t="shared" si="54"/>
        <v>50.400000000000006</v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18</v>
      </c>
      <c r="G248" s="34">
        <f t="shared" si="54"/>
        <v>75.600000000000009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78</v>
      </c>
      <c r="G257" s="36">
        <f>SUM(G245:G256)</f>
        <v>327.60000000000002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214</v>
      </c>
      <c r="O270" s="39"/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78</v>
      </c>
      <c r="G271" s="40">
        <f>G257+G270</f>
        <v>327.60000000000002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214</v>
      </c>
      <c r="O297" s="39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214</v>
      </c>
      <c r="O324" s="39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214</v>
      </c>
      <c r="O351" s="39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214</v>
      </c>
      <c r="O378" s="39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214</v>
      </c>
      <c r="O405" s="39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214</v>
      </c>
      <c r="O432" s="39"/>
    </row>
    <row r="433" spans="1:15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214</v>
      </c>
      <c r="O459" s="39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214</v>
      </c>
      <c r="O486" s="39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214</v>
      </c>
      <c r="O513" s="39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214</v>
      </c>
      <c r="O540" s="39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214</v>
      </c>
      <c r="O567" s="39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214</v>
      </c>
      <c r="O594" s="39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214</v>
      </c>
      <c r="O621" s="39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214</v>
      </c>
      <c r="O648" s="39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214</v>
      </c>
      <c r="O675" s="39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214</v>
      </c>
      <c r="O702" s="39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214</v>
      </c>
      <c r="O729" s="39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7" activePane="bottomLeft" state="frozen"/>
      <selection pane="bottomLeft" activeCell="F250" sqref="F25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200</v>
      </c>
      <c r="C1" s="23" t="s">
        <v>12</v>
      </c>
      <c r="D1" s="22" t="s">
        <v>13</v>
      </c>
      <c r="E1" s="22" t="s">
        <v>201</v>
      </c>
      <c r="F1" s="23" t="s">
        <v>202</v>
      </c>
      <c r="G1" s="23" t="s">
        <v>203</v>
      </c>
      <c r="H1" s="23" t="s">
        <v>14</v>
      </c>
      <c r="I1" s="23" t="s">
        <v>15</v>
      </c>
      <c r="J1" s="23" t="s">
        <v>204</v>
      </c>
      <c r="K1" s="23" t="s">
        <v>205</v>
      </c>
      <c r="L1" s="23" t="s">
        <v>206</v>
      </c>
      <c r="M1" s="24" t="s">
        <v>207</v>
      </c>
      <c r="N1" s="23" t="s">
        <v>208</v>
      </c>
      <c r="O1" s="23" t="s">
        <v>209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214</v>
      </c>
      <c r="O27" s="39">
        <v>202230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214</v>
      </c>
      <c r="O54" s="39">
        <v>473910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262</v>
      </c>
      <c r="L58" s="29">
        <v>0.54097222222222219</v>
      </c>
      <c r="M58" s="30" t="str">
        <f t="shared" ca="1" si="13"/>
        <v/>
      </c>
      <c r="N58" s="27" t="s">
        <v>263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214</v>
      </c>
      <c r="O81" s="39">
        <v>565120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217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214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214</v>
      </c>
      <c r="O108" s="39">
        <v>558590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217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214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211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211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0.25813599536922993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0.45744155092478556</v>
      </c>
      <c r="N135" s="36" t="s">
        <v>214</v>
      </c>
      <c r="O135" s="39">
        <v>729290</v>
      </c>
    </row>
    <row r="136" spans="1:18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0.82480266203589658</v>
      </c>
      <c r="N136" s="40" t="s">
        <v>217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211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214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214</v>
      </c>
      <c r="O162" s="39">
        <v>697320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217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224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224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214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214</v>
      </c>
      <c r="O189" s="39">
        <v>973580</v>
      </c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217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224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224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224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214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214</v>
      </c>
      <c r="O216" s="45">
        <v>1060630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217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213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214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214</v>
      </c>
      <c r="O243" s="39">
        <v>982340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217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17</v>
      </c>
      <c r="G247" s="28">
        <f t="shared" si="54"/>
        <v>71.400000000000006</v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5</v>
      </c>
      <c r="G248" s="34">
        <f t="shared" si="54"/>
        <v>21</v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77</v>
      </c>
      <c r="G257" s="36">
        <f>SUM(G245:G256)</f>
        <v>323.39999999999998</v>
      </c>
      <c r="H257" s="37"/>
      <c r="I257" s="37"/>
      <c r="J257" s="37"/>
      <c r="K257" s="61"/>
      <c r="L257" s="61"/>
      <c r="M257" s="38">
        <f ca="1">IFERROR(SUM(M245:M256),"")</f>
        <v>9.2361111111111116E-2</v>
      </c>
      <c r="N257" s="36" t="s">
        <v>214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214</v>
      </c>
      <c r="O270" s="39"/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77</v>
      </c>
      <c r="G271" s="40">
        <f>G257+G270</f>
        <v>323.39999999999998</v>
      </c>
      <c r="H271" s="41"/>
      <c r="I271" s="41"/>
      <c r="J271" s="41"/>
      <c r="K271" s="63"/>
      <c r="L271" s="63"/>
      <c r="M271" s="42">
        <f ca="1">IFERROR(M257+M270,"")</f>
        <v>9.2361111111111116E-2</v>
      </c>
      <c r="N271" s="40" t="s">
        <v>217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214</v>
      </c>
      <c r="O297" s="39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214</v>
      </c>
      <c r="O324" s="39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214</v>
      </c>
      <c r="O351" s="39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214</v>
      </c>
      <c r="O378" s="39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214</v>
      </c>
      <c r="O405" s="39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214</v>
      </c>
      <c r="O432" s="39"/>
    </row>
    <row r="433" spans="1:17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214</v>
      </c>
      <c r="O459" s="39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214</v>
      </c>
      <c r="O486" s="39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214</v>
      </c>
      <c r="O513" s="39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214</v>
      </c>
      <c r="O540" s="39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214</v>
      </c>
      <c r="O567" s="39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214</v>
      </c>
      <c r="O594" s="39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214</v>
      </c>
      <c r="O621" s="39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214</v>
      </c>
      <c r="O648" s="39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214</v>
      </c>
      <c r="O675" s="39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214</v>
      </c>
      <c r="O702" s="39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214</v>
      </c>
      <c r="O729" s="39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2026-07-10T16:10:59Z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