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53" documentId="8_{AF585B22-221D-4780-BB9C-493D365A6A02}" xr6:coauthVersionLast="47" xr6:coauthVersionMax="47" xr10:uidLastSave="{670FFAF7-F151-4876-8347-B740844D28C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<sst xmlns="http://schemas.openxmlformats.org/spreadsheetml/2006/main" count="2963" uniqueCount="251">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</sst>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0" sqref="E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20</v>
      </c>
      <c r="G162" s="36">
        <f>SUM(G150:G161)</f>
        <v>100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99</v>
      </c>
      <c r="G163" s="40">
        <f>G149+G162</f>
        <v>495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J146" sqref="J1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</v>
      </c>
      <c r="G162" s="36">
        <f>SUM(G150:G161)</f>
        <v>70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</v>
      </c>
      <c r="G162" s="36">
        <f>SUM(G150:G161)</f>
        <v>40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126</v>
      </c>
      <c r="G163" s="40">
        <f>G149+G162</f>
        <v>630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J150" sqref="J1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0.59518692129495321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0.79449247685050883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1.1618535879616199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/>
      <c r="M150" s="30">
        <f t="shared" ref="M150:M161" ca="1" si="34">IFERROR(IF(K150="","",IF(L150="",MOD(NOW()-K150,1),IF(L150&gt;=K150,L150-K150,L150+1-K150))),"")</f>
        <v>2.8258101810934022E-3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</v>
      </c>
      <c r="G162" s="36">
        <f>SUM(G150:G161)</f>
        <v>80</v>
      </c>
      <c r="H162" s="37"/>
      <c r="I162" s="37"/>
      <c r="J162" s="37"/>
      <c r="K162" s="61"/>
      <c r="L162" s="61"/>
      <c r="M162" s="38">
        <f ca="1">IFERROR(SUM(M150:M161),"")</f>
        <v>2.8258101810934022E-3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1185</v>
      </c>
      <c r="H163" s="41"/>
      <c r="I163" s="41"/>
      <c r="J163" s="41"/>
      <c r="K163" s="63"/>
      <c r="L163" s="63"/>
      <c r="M163" s="42">
        <f ca="1">IFERROR(M149+M162,"")</f>
        <v>6.8103587958871226E-2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2026-07-07T00:16:22Z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