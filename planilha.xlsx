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97" documentId="13_ncr:1_{0A10D8D4-8450-4366-8075-B53B08E6B7EA}" xr6:coauthVersionLast="47" xr6:coauthVersionMax="47" xr10:uidLastSave="{6D7F5556-88A5-4C66-A52A-FC57B00415E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<sst xmlns="http://schemas.openxmlformats.org/spreadsheetml/2006/main" count="6538" uniqueCount="348">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</sst>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0" sqref="F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145</v>
      </c>
      <c r="G378" s="36">
        <f>SUM(G366:G377)</f>
        <v>725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545</v>
      </c>
      <c r="G379" s="40">
        <f>G365+G378</f>
        <v>2691.4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K367" sqref="K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0.8611986111063743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1.0000874999952631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1.0848097222174855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51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214.2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667.8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0" sqref="G3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29.400000000000002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97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407.40000000000009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N369" sqref="N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35</v>
      </c>
      <c r="O369" s="29">
        <v>0.9819444444444444</v>
      </c>
      <c r="P369" s="29"/>
      <c r="Q369" s="35">
        <f t="shared" ca="1" si="88"/>
        <v>7.8194444358814508E-4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331.79999999999995</v>
      </c>
      <c r="L378" s="37"/>
      <c r="M378" s="37"/>
      <c r="N378" s="37"/>
      <c r="O378" s="61"/>
      <c r="P378" s="61"/>
      <c r="Q378" s="38">
        <f ca="1">IFERROR(SUM(Q366:Q377),"")</f>
        <v>5.2170833332476962E-2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275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1155</v>
      </c>
      <c r="L379" s="41"/>
      <c r="M379" s="41"/>
      <c r="N379" s="41"/>
      <c r="O379" s="63"/>
      <c r="P379" s="63"/>
      <c r="Q379" s="42">
        <f ca="1">IFERROR(Q365+Q378,"")</f>
        <v>0.17022638888803265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2026-08-15T03:35:25Z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