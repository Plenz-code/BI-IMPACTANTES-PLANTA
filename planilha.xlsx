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109" documentId="8_{AF585B22-221D-4780-BB9C-493D365A6A02}" xr6:coauthVersionLast="47" xr6:coauthVersionMax="47" xr10:uidLastSave="{6FED72DD-C6D1-47A9-9F14-600A7E62699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<sst xmlns="http://schemas.openxmlformats.org/spreadsheetml/2006/main" count="12600" uniqueCount="445">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</sst>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L828" sqref="L8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 t="s">
        <v>20</v>
      </c>
      <c r="I827" s="81" t="s">
        <v>23</v>
      </c>
      <c r="J827" s="81" t="s">
        <v>200</v>
      </c>
      <c r="K827" s="98">
        <v>0.2638888888888889</v>
      </c>
      <c r="L827" s="98">
        <v>0.29166666666666669</v>
      </c>
      <c r="M827" s="79">
        <f ca="1">IFERROR(IF(K827="","",IF(L827="",MOD(NOW()-K827,1),IF(L827&gt;=K827,L827-K827,L827+1-K827))),"")</f>
        <v>2.777777777777779E-2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>
        <v>36</v>
      </c>
      <c r="G834" s="101">
        <f>IF(F834="","",IF(E834="PC 17",F834*4.2,IF(E834="PC 19",F834*5,"")))</f>
        <v>180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>
        <v>28</v>
      </c>
      <c r="G835" s="101">
        <f>IF(F835="","",IF(E835="PC 17",F835*4.2,IF(E835="PC 19",F835*5,"")))</f>
        <v>140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297</v>
      </c>
      <c r="G837" s="109">
        <f>SUM(G825:G836)</f>
        <v>1485</v>
      </c>
      <c r="H837" s="37"/>
      <c r="I837" s="37"/>
      <c r="J837" s="37"/>
      <c r="K837" s="37"/>
      <c r="L837" s="37"/>
      <c r="M837" s="110">
        <f ca="1">IFERROR(SUM(M825:M836),"")</f>
        <v>4.0972222222222313E-2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430</v>
      </c>
      <c r="G838" s="111">
        <f>G824+G837</f>
        <v>1485</v>
      </c>
      <c r="H838" s="41"/>
      <c r="I838" s="41"/>
      <c r="J838" s="41"/>
      <c r="K838" s="41"/>
      <c r="L838" s="41"/>
      <c r="M838" s="112">
        <f ca="1">IFERROR(M824+M837,"")</f>
        <v>0.20069444444444451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F837" sqref="F8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3.0106134254310746E-2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0.18774502314319963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0.2974672453654218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8.5783564791199751E-3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0.17941168981245334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0.32455057870134219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>
        <v>10</v>
      </c>
      <c r="G834" s="104">
        <f>IF(F834="","",IF(E834="PC 17",F834*4.2,IF(E834="PC 19",F834*5,"")))</f>
        <v>42</v>
      </c>
      <c r="H834" s="80" t="s">
        <v>20</v>
      </c>
      <c r="I834" s="80" t="s">
        <v>136</v>
      </c>
      <c r="J834" s="80" t="s">
        <v>74</v>
      </c>
      <c r="K834" s="98">
        <v>0.21458333333333332</v>
      </c>
      <c r="L834" s="98">
        <v>0.22222222222222221</v>
      </c>
      <c r="M834" s="78">
        <f ca="1">IFERROR(IF(K834="","",IF(L834="",MOD(NOW()-K834,1),IF(L834&gt;=K834,L834-K834,L834+1-K834))),"")</f>
        <v>7.6388888888888895E-3</v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>
        <v>13</v>
      </c>
      <c r="G835" s="104">
        <f>IF(F835="","",IF(E835="PC 17",F835*4.2,IF(E835="PC 19",F835*5,"")))</f>
        <v>54.6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>
        <v>3</v>
      </c>
      <c r="G836" s="104">
        <f>IF(F836="","",IF(E836="PC 17",F836*4.2,IF(E836="PC 19",F836*5,"")))</f>
        <v>12.600000000000001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193</v>
      </c>
      <c r="G837" s="109">
        <f>SUM(G825:G836)</f>
        <v>823.40000000000009</v>
      </c>
      <c r="H837" s="37"/>
      <c r="I837" s="37"/>
      <c r="J837" s="37"/>
      <c r="K837" s="37"/>
      <c r="L837" s="37"/>
      <c r="M837" s="110">
        <f ca="1">IFERROR(SUM(M825:M836),"")</f>
        <v>6.944444444444435E-2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362</v>
      </c>
      <c r="G838" s="111">
        <f>G824+G837</f>
        <v>1533.2000000000003</v>
      </c>
      <c r="H838" s="41"/>
      <c r="I838" s="41"/>
      <c r="J838" s="41"/>
      <c r="K838" s="41"/>
      <c r="L838" s="41"/>
      <c r="M838" s="112">
        <f ca="1">IFERROR(M824+M837,"")</f>
        <v>0.17430555555555549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1" zoomScale="50" zoomScaleNormal="50" workbookViewId="0">
      <selection activeCell="F837" sqref="F8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ca="1">IFERROR(IF(K826="","",IF(L826="",MOD(NOW()-K826,1),IF(L826&gt;=K826,L826-K826,L826+1-K826))),"")</f>
        <v>1.2500000000000011E-2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 t="s">
        <v>20</v>
      </c>
      <c r="I827" s="81" t="s">
        <v>136</v>
      </c>
      <c r="J827" s="81" t="s">
        <v>74</v>
      </c>
      <c r="K827" s="98">
        <v>0.22569444444444445</v>
      </c>
      <c r="L827" s="98">
        <v>0.23472222222222222</v>
      </c>
      <c r="M827" s="79">
        <f ca="1">IFERROR(IF(K827="","",IF(L827="",MOD(NOW()-K827,1),IF(L827&gt;=K827,L827-K827,L827+1-K827))),"")</f>
        <v>9.0277777777777735E-3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2</v>
      </c>
      <c r="G834" s="104">
        <f>IF(F834="","",IF(E834="PC 17",F834*4.2,IF(E834="PC 19",F834*5,"")))</f>
        <v>8.4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>
        <v>1</v>
      </c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137</v>
      </c>
      <c r="G837" s="109">
        <f>SUM(G825:G836)</f>
        <v>579.99999999999989</v>
      </c>
      <c r="H837" s="37"/>
      <c r="I837" s="37"/>
      <c r="J837" s="37"/>
      <c r="K837" s="37"/>
      <c r="L837" s="37"/>
      <c r="M837" s="110">
        <f ca="1">IFERROR(SUM(M825:M836),"")</f>
        <v>2.361111111111111E-2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232</v>
      </c>
      <c r="G838" s="111">
        <f>G824+G837</f>
        <v>978.99999999999977</v>
      </c>
      <c r="H838" s="41"/>
      <c r="I838" s="41"/>
      <c r="J838" s="41"/>
      <c r="K838" s="41"/>
      <c r="L838" s="41"/>
      <c r="M838" s="112">
        <f ca="1">IFERROR(M824+M837,"")</f>
        <v>8.1250000000000017E-2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F837" sqref="F8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2.0383912036777474E-2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0.2196894675923331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0.58705057870344413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 t="s">
        <v>20</v>
      </c>
      <c r="I831" s="81" t="s">
        <v>57</v>
      </c>
      <c r="J831" s="81" t="s">
        <v>28</v>
      </c>
      <c r="K831" s="98">
        <v>0.23749999999999999</v>
      </c>
      <c r="L831" s="98"/>
      <c r="M831" s="79">
        <f ca="1">IFERROR(IF(K831="","",IF(L831="",MOD(NOW()-K831,1),IF(L831&gt;=K831,L831-K831,L831+1-K831))),"")</f>
        <v>3.2189467587159015E-2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12</v>
      </c>
      <c r="G834" s="104">
        <f>IF(F834="","",IF(E834="PC 17",F834*4.2,IF(E834="PC 19",F834*5,"")))</f>
        <v>50.400000000000006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>
        <v>0</v>
      </c>
      <c r="G836" s="104">
        <f>IF(F836="","",IF(E836="PC 17",F836*4.2,IF(E836="PC 19",F836*5,"")))</f>
        <v>0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139</v>
      </c>
      <c r="G837" s="109">
        <f>SUM(G825:G836)</f>
        <v>583.79999999999995</v>
      </c>
      <c r="H837" s="37"/>
      <c r="I837" s="37"/>
      <c r="J837" s="37"/>
      <c r="K837" s="37"/>
      <c r="L837" s="37"/>
      <c r="M837" s="110">
        <f ca="1">IFERROR(SUM(M825:M836),"")</f>
        <v>8.0800578698270134E-2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258</v>
      </c>
      <c r="G838" s="111">
        <f>G824+G837</f>
        <v>1083.5999999999999</v>
      </c>
      <c r="H838" s="41"/>
      <c r="I838" s="41"/>
      <c r="J838" s="41"/>
      <c r="K838" s="41"/>
      <c r="L838" s="41"/>
      <c r="M838" s="112">
        <f ca="1">IFERROR(M824+M837,"")</f>
        <v>0.19677280092049226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2026-08-01T10:28:43Z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