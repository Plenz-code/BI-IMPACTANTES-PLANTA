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07" documentId="8_{C51EB6CB-002B-4D6B-B68F-DDEBDB4460C0}" xr6:coauthVersionLast="47" xr6:coauthVersionMax="47" xr10:uidLastSave="{7DDFA020-67F7-46F5-9464-B23C83BDFB72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<sst xmlns="http://schemas.openxmlformats.org/spreadsheetml/2006/main" count="2611" uniqueCount="265">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</sst>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99" sqref="F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104</v>
      </c>
      <c r="G108" s="36">
        <f>SUM(G96:G107)</f>
        <v>520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413</v>
      </c>
      <c r="G109" s="40">
        <f>G95+G108</f>
        <v>2065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97" sqref="F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0.80309745370323071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0.94198634259211955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1.0267085648143419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/>
      <c r="F96" s="27">
        <v>3</v>
      </c>
      <c r="G96" s="34" t="str">
        <f t="shared" ref="G96:G107" si="21">IF(F96="","",IF(E96="PC 17",F96*4.2,IF(E96="PC 19",F96*5,IF(E96="CB",F96*24,""))))</f>
        <v/>
      </c>
      <c r="H96" s="26" t="s">
        <v>18</v>
      </c>
      <c r="I96" s="26" t="s">
        <v>138</v>
      </c>
      <c r="J96" s="26"/>
      <c r="K96" s="29">
        <v>0.79166666666666663</v>
      </c>
      <c r="L96" s="29"/>
      <c r="M96" s="30">
        <f t="shared" ref="M96:M107" ca="1" si="22">IFERROR(IF(K96="","",IF(L96="",MOD(NOW()-K96,1),IF(L96&gt;=K96,L96-K96,L96+1-K96))),"")</f>
        <v>0.1329585648200009</v>
      </c>
      <c r="N96" s="46" t="s">
        <v>251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0.1329585648200009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99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0.34962523148666763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8" zoomScale="50" zoomScaleNormal="50" workbookViewId="0">
      <selection activeCell="I97" sqref="I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/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/>
      <c r="G97" s="28" t="str">
        <f t="shared" si="21"/>
        <v/>
      </c>
      <c r="H97" s="33" t="s">
        <v>18</v>
      </c>
      <c r="I97" s="33" t="s">
        <v>135</v>
      </c>
      <c r="J97" s="33"/>
      <c r="K97" s="29">
        <v>0.90833333333333333</v>
      </c>
      <c r="L97" s="29"/>
      <c r="M97" s="35">
        <f t="shared" ca="1" si="22"/>
        <v>1.629189815139398E-2</v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10</v>
      </c>
      <c r="G108" s="36">
        <f>SUM(G96:G107)</f>
        <v>42</v>
      </c>
      <c r="H108" s="37"/>
      <c r="I108" s="37"/>
      <c r="J108" s="37"/>
      <c r="K108" s="37"/>
      <c r="L108" s="37"/>
      <c r="M108" s="38">
        <f ca="1">IFERROR(SUM(M96:M107),"")</f>
        <v>2.2541898151393958E-2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58</v>
      </c>
      <c r="G109" s="40">
        <f>G95+G108</f>
        <v>243.6</v>
      </c>
      <c r="H109" s="41"/>
      <c r="I109" s="41"/>
      <c r="J109" s="41"/>
      <c r="K109" s="41"/>
      <c r="L109" s="41"/>
      <c r="M109" s="42">
        <f ca="1">IFERROR(M95+M108,"")</f>
        <v>0.17879189815139396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99" sqref="F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55</v>
      </c>
      <c r="G108" s="36">
        <f>SUM(G96:G107)</f>
        <v>231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238</v>
      </c>
      <c r="G109" s="40">
        <f>G95+G108</f>
        <v>999.6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2026-08-05T02:11:34Z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