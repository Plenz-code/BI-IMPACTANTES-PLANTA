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099" documentId="8_{AF585B22-221D-4780-BB9C-493D365A6A02}" xr6:coauthVersionLast="47" xr6:coauthVersionMax="47" xr10:uidLastSave="{8ED78C00-0A31-4C33-B0DD-636C84940163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<sst xmlns="http://schemas.openxmlformats.org/spreadsheetml/2006/main" count="3112" uniqueCount="255">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</sst>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A32" zoomScale="85" zoomScaleNormal="85" workbookViewId="0">
      <selection activeCell="K58" sqref="K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5" activePane="bottomLeft" state="frozen"/>
      <selection pane="bottomLeft" activeCell="F158" sqref="F15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/>
      <c r="M150" s="30">
        <f t="shared" ref="M150:M161" ca="1" si="34">IFERROR(IF(K150="","",IF(L150="",MOD(NOW()-K150,1),IF(L150&gt;=K150,L150-K150,L150+1-K150))),"")</f>
        <v>1.8614236112625804E-2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203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203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203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203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224</v>
      </c>
      <c r="G162" s="36">
        <f>SUM(G150:G161)</f>
        <v>1120</v>
      </c>
      <c r="H162" s="37"/>
      <c r="I162" s="37"/>
      <c r="J162" s="37"/>
      <c r="K162" s="37"/>
      <c r="L162" s="37"/>
      <c r="M162" s="38">
        <f ca="1">IFERROR(SUM(M150:M161),"")</f>
        <v>1.8614236112625804E-2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303</v>
      </c>
      <c r="G163" s="40">
        <f>G149+G162</f>
        <v>1515</v>
      </c>
      <c r="H163" s="41"/>
      <c r="I163" s="41"/>
      <c r="J163" s="41"/>
      <c r="K163" s="41"/>
      <c r="L163" s="41"/>
      <c r="M163" s="42">
        <f ca="1">IFERROR(M149+M162,"")</f>
        <v>0.23528090277929226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59" sqref="F1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229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19</v>
      </c>
      <c r="G151" s="34">
        <f t="shared" si="33"/>
        <v>95</v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160</v>
      </c>
      <c r="G162" s="36">
        <f>SUM(G150:G161)</f>
        <v>698.40000000000009</v>
      </c>
      <c r="H162" s="37"/>
      <c r="I162" s="37"/>
      <c r="J162" s="37"/>
      <c r="K162" s="37"/>
      <c r="L162" s="37"/>
      <c r="M162" s="38">
        <f ca="1">IFERROR(SUM(M150:M161),"")</f>
        <v>2.2222222222222143E-2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255</v>
      </c>
      <c r="G163" s="40">
        <f>G149+G162</f>
        <v>1173.4000000000001</v>
      </c>
      <c r="H163" s="41"/>
      <c r="I163" s="41"/>
      <c r="J163" s="41"/>
      <c r="K163" s="41"/>
      <c r="L163" s="41"/>
      <c r="M163" s="42">
        <f ca="1">IFERROR(M149+M162,"")</f>
        <v>0.23333333333333323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35" activePane="bottomLeft" state="frozen"/>
      <selection pane="bottomLeft" activeCell="F159" sqref="F1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238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74</v>
      </c>
      <c r="G162" s="36">
        <f>SUM(G150:G161)</f>
        <v>325.2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192</v>
      </c>
      <c r="G163" s="40">
        <f>G149+G162</f>
        <v>915.2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F159" sqref="F15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243</v>
      </c>
      <c r="L58" s="29">
        <v>0.54097222222222219</v>
      </c>
      <c r="M58" s="30" t="str">
        <f t="shared" ca="1" si="13"/>
        <v/>
      </c>
      <c r="N58" s="27" t="s">
        <v>244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0.92069756944692926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1.1200031250024849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1.4873642361135959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134</v>
      </c>
      <c r="G162" s="36">
        <f>SUM(G150:G161)</f>
        <v>586.80000000000007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355</v>
      </c>
      <c r="G163" s="40">
        <f>G149+G162</f>
        <v>1691.8000000000002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2026-07-07T08:05:22Z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