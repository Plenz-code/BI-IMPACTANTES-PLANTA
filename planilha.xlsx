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218" documentId="8_{AF585B22-221D-4780-BB9C-493D365A6A02}" xr6:coauthVersionLast="47" xr6:coauthVersionMax="47" xr10:uidLastSave="{3F4D9C4D-7A7B-4DF6-A820-D2A882F10597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<sst xmlns="http://schemas.openxmlformats.org/spreadsheetml/2006/main" count="5546" uniqueCount="310">
  <si>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</si>
  <si>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</si>
  <si>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</si>
  <si>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</si>
  <si>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</si>
  <si>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</si>
  <si>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</si>
  <si>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</si>
  <si>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</si>
  <si>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</si>
  <si>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</si>
  <si>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</si>
  <si>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</si>
  <si>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</si>
  <si>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</si>
  <si>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</si>
  <si>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</si>
  <si>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</si>
  <si>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</si>
  <si>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</si>
  <si>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</si>
  <si>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</si>
  <si>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</si>
  <si>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</si>
  <si>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</si>
  <si>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</si>
  <si>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</si>
  <si>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</si>
  <si>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</si>
  <si>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</si>
  <si>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</si>
  <si>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</si>
  <si>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</si>
  <si>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</si>
  <si>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</si>
  <si>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</si>
  <si>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</si>
  <si>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</si>
  <si>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</si>
  <si>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</si>
  <si>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</si>
  <si>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</si>
  <si>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</si>
  <si>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</si>
  <si>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</si>
  <si>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</si>
  <si>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</si>
  <si>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</si>
  <si>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</si>
  <si>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</si>
  <si>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</si>
  <si>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</si>
  <si>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</si>
  <si>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</si>
  <si>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</si>
  <si>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</si>
  <si>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</si>
  <si>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</si>
  <si>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</si>
  <si>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</si>
  <si>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</si>
  <si>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</si>
  <si>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</si>
  <si>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</si>
  <si>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</si>
  <si>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</si>
  <si>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</si>
  <si>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</si>
  <si>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</si>
  <si>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</si>
  <si>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</si>
  <si>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</si>
  <si>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</si>
  <si>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</si>
  <si>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</si>
  <si>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</si>
  <si>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</si>
  <si>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</si>
  <si>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</si>
  <si>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</si>
  <si>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</si>
  <si>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</si>
  <si>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</si>
  <si>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</si>
  <si>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</si>
  <si>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</si>
  <si>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</si>
  <si>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</si>
  <si>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</si>
  <si>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</si>
  <si>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</si>
  <si>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</si>
  <si>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</si>
  <si>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</si>
  <si>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</si>
  <si>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</si>
  <si>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</si>
  <si>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</si>
  <si>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</si>
  <si>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</si>
  <si>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</si>
  <si>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</si>
  <si>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</si>
  <si>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</si>
  <si>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</si>
  <si>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</si>
  <si>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</si>
  <si>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</si>
  <si>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</si>
  <si>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</si>
  <si>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</si>
  <si>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</si>
  <si>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</si>
  <si>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</si>
  <si>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</si>
  <si>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</si>
  <si>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</si>
  <si>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</si>
  <si>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</si>
  <si>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</si>
  <si>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</si>
  <si>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</si>
  <si>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</si>
  <si>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</si>
  <si>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</si>
  <si>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</si>
  <si>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</si>
  <si>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</si>
  <si>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</si>
  <si>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</si>
  <si>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</si>
  <si>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</si>
  <si>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</si>
  <si>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</si>
  <si>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</si>
  <si>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</si>
  <si>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</si>
  <si>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</si>
  <si>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</si>
  <si>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</si>
  <si>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</si>
  <si>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</si>
  <si>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</si>
  <si>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</si>
  <si>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</si>
  <si>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</si>
  <si>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</si>
  <si>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</si>
  <si>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</si>
  <si>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</si>
  <si>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</si>
  <si>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</si>
  <si>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</si>
  <si>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</si>
  <si>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</si>
  <si>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</si>
  <si>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</si>
  <si>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</si>
  <si>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</si>
  <si>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</si>
  <si>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</si>
  <si>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</si>
  <si>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</si>
  <si>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</si>
  <si>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</si>
  <si>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</si>
  <si>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</si>
  <si>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</si>
  <si>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</si>
  <si>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</si>
  <si>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</si>
  <si>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</si>
  <si>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</si>
  <si>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</si>
  <si>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</si>
  <si>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</si>
  <si>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</si>
  <si>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</si>
  <si>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</si>
  <si>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</si>
  <si>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</si>
  <si>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</si>
  <si>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</si>
  <si>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</si>
  <si>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</si>
  <si>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</si>
  <si>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</si>
  <si>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</si>
  <si>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</si>
  <si>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</si>
  <si>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</si>
  <si>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</si>
  <si>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</si>
  <si>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</si>
  <si>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</si>
  <si>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</si>
  <si>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</si>
  <si>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</si>
  <si>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</si>
  <si>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</si>
  <si>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</si>
  <si>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</si>
  <si>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</si>
  <si>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</si>
  <si>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</si>
  <si>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</si>
  <si>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</si>
  <si>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</si>
  <si>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</si>
  <si>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</si>
  <si>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</si>
  <si>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</si>
  <si>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</si>
  <si>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</si>
  <si>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</si>
  <si>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</si>
  <si>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</si>
  <si>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</si>
  <si>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</si>
  <si>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</si>
  <si>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</si>
  <si>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</si>
  <si>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</si>
  <si>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</si>
  <si>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</si>
  <si>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</si>
  <si>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</si>
  <si>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</si>
  <si>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</si>
  <si>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</si>
  <si>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</si>
  <si>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</si>
  <si>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</si>
  <si>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</si>
  <si>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balata arrebentou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</si>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</sst>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36763228</v>
      </c>
      <c r="D35" s="13">
        <f>IFERROR(SUM(D4:D34),"")</f>
        <v>12990250</v>
      </c>
      <c r="E35" s="13">
        <f>IFERROR(SUM(E4:E34),"")</f>
        <v>9191510</v>
      </c>
      <c r="F35" s="13">
        <f>IFERROR(SUM(F4:F34),"")</f>
        <v>16638500</v>
      </c>
      <c r="G35" s="13">
        <f>IFERROR(SUM(G4:G34),"")</f>
        <v>38820260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04" activePane="bottomLeft" state="frozen"/>
      <selection pane="bottomLeft" activeCell="N327" sqref="N32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/>
      <c r="M326" s="30">
        <f t="shared" ref="M326:M337" ca="1" si="73">IFERROR(IF(K326="","",IF(L326="",MOD(NOW()-K326,1),IF(L326&gt;=K326,L326-K326,L326+1-K326))),"")</f>
        <v>3.4721990734396968E-2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293</v>
      </c>
      <c r="G338" s="36">
        <f>SUM(G326:G337)</f>
        <v>1465</v>
      </c>
      <c r="H338" s="37"/>
      <c r="I338" s="37"/>
      <c r="J338" s="37"/>
      <c r="K338" s="37"/>
      <c r="L338" s="37"/>
      <c r="M338" s="38">
        <f ca="1">IFERROR(SUM(M326:M337),"")</f>
        <v>3.4721990734396968E-2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293</v>
      </c>
      <c r="G352" s="40">
        <f>G338+G351</f>
        <v>1465</v>
      </c>
      <c r="H352" s="41"/>
      <c r="I352" s="41"/>
      <c r="J352" s="41"/>
      <c r="K352" s="41"/>
      <c r="L352" s="41"/>
      <c r="M352" s="42">
        <f ca="1">IFERROR(M338+M351,"")</f>
        <v>3.4721990734396968E-2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01" activePane="bottomLeft" state="frozen"/>
      <selection pane="bottomLeft" activeCell="F336" sqref="F33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174</v>
      </c>
      <c r="G338" s="36">
        <f>SUM(G326:G337)</f>
        <v>740.40000000000009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174</v>
      </c>
      <c r="G352" s="40">
        <f>G338+G351</f>
        <v>740.40000000000009</v>
      </c>
      <c r="H352" s="41"/>
      <c r="I352" s="41"/>
      <c r="J352" s="41"/>
      <c r="K352" s="41"/>
      <c r="L352" s="41"/>
      <c r="M352" s="42">
        <f ca="1">IFERROR(M338+M351,"")</f>
        <v>6.9444444444444475E-2</v>
      </c>
      <c r="N352" s="40" t="s">
        <v>222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5" zoomScale="50" zoomScaleNormal="50" workbookViewId="0">
      <selection activeCell="F336" sqref="F33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273</v>
      </c>
      <c r="N166" s="27" t="s">
        <v>274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276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277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281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/>
      <c r="M332" s="30">
        <f t="shared" ca="1" si="73"/>
        <v>6.9442129606613889E-3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33</v>
      </c>
      <c r="G338" s="36">
        <f>SUM(G326:G337)</f>
        <v>138.60000000000002</v>
      </c>
      <c r="H338" s="37"/>
      <c r="I338" s="37"/>
      <c r="J338" s="37"/>
      <c r="K338" s="37"/>
      <c r="L338" s="37"/>
      <c r="M338" s="38">
        <f ca="1">IFERROR(SUM(M326:M337),"")</f>
        <v>0.22569421296066144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33</v>
      </c>
      <c r="G352" s="40">
        <f>G338+G351</f>
        <v>138.60000000000002</v>
      </c>
      <c r="H352" s="41"/>
      <c r="I352" s="41"/>
      <c r="J352" s="41"/>
      <c r="K352" s="41"/>
      <c r="L352" s="41"/>
      <c r="M352" s="42">
        <f ca="1">IFERROR(M338+M351,"")</f>
        <v>0.22569421296066144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02" activePane="bottomLeft" state="frozen"/>
      <selection pane="bottomLeft" activeCell="F336" sqref="F33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288</v>
      </c>
      <c r="L58" s="29">
        <v>0.54097222222222219</v>
      </c>
      <c r="M58" s="30" t="str">
        <f t="shared" ca="1" si="13"/>
        <v/>
      </c>
      <c r="N58" s="27" t="s">
        <v>289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0.46041643518401543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0.65972199073957105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1.0270831018506821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309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269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161</v>
      </c>
      <c r="G338" s="36">
        <f>SUM(G326:G337)</f>
        <v>688.2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161</v>
      </c>
      <c r="G352" s="40">
        <f>G338+G351</f>
        <v>688.2</v>
      </c>
      <c r="H352" s="41"/>
      <c r="I352" s="41"/>
      <c r="J352" s="41"/>
      <c r="K352" s="63"/>
      <c r="L352" s="63"/>
      <c r="M352" s="42">
        <f ca="1">IFERROR(M338+M351,"")</f>
        <v>0.10902777777777772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2026-07-13T21:03:38Z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