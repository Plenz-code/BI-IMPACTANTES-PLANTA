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147" documentId="8_{AF585B22-221D-4780-BB9C-493D365A6A02}" xr6:coauthVersionLast="47" xr6:coauthVersionMax="47" xr10:uidLastSave="{6F4B4B4B-391E-4AC0-A1C3-5154E929A7B4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<sst xmlns="http://schemas.openxmlformats.org/spreadsheetml/2006/main" count="11169" uniqueCount="413">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</sst>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F739" sqref="F73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231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231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231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231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231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231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231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231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231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231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231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338</v>
      </c>
      <c r="G743" s="36">
        <f>SUM(G731:G742)</f>
        <v>1690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338</v>
      </c>
      <c r="G757" s="40">
        <f>G743+G756</f>
        <v>1690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H735" sqref="H7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0.45923541666707024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0.61687430555595912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0.72659652777818129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0.43770763889187947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0.60854097222521286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0.75367986111410179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12</v>
      </c>
      <c r="G735" s="34">
        <f t="shared" si="162"/>
        <v>50.400000000000006</v>
      </c>
      <c r="H735" s="33"/>
      <c r="I735" s="33"/>
      <c r="J735" s="33"/>
      <c r="K735" s="29">
        <v>0.68680555555555556</v>
      </c>
      <c r="L735" s="29"/>
      <c r="M735" s="35">
        <f t="shared" ca="1" si="163"/>
        <v>1.2013194449536968E-2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27</v>
      </c>
      <c r="G737" s="34">
        <f t="shared" si="162"/>
        <v>113.4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106</v>
      </c>
      <c r="G743" s="36">
        <f>SUM(G731:G742)</f>
        <v>445.20000000000005</v>
      </c>
      <c r="H743" s="37"/>
      <c r="I743" s="37"/>
      <c r="J743" s="37"/>
      <c r="K743" s="37"/>
      <c r="L743" s="37"/>
      <c r="M743" s="38">
        <f ca="1">IFERROR(SUM(M731:M742),"")</f>
        <v>5.6457638893981366E-2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106</v>
      </c>
      <c r="G757" s="40">
        <f>G743+G756</f>
        <v>445.20000000000005</v>
      </c>
      <c r="H757" s="41"/>
      <c r="I757" s="41"/>
      <c r="J757" s="41"/>
      <c r="K757" s="41"/>
      <c r="L757" s="41"/>
      <c r="M757" s="42">
        <f ca="1">IFERROR(M743+M756,"")</f>
        <v>5.6457638893981366E-2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21" zoomScale="50" zoomScaleNormal="50" workbookViewId="0">
      <selection activeCell="L736" sqref="L7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338</v>
      </c>
      <c r="N166" s="27" t="s">
        <v>339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258</v>
      </c>
      <c r="F731" s="27">
        <v>1</v>
      </c>
      <c r="G731" s="34">
        <f t="shared" ref="G731:G740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258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319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258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258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258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319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258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258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258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258</v>
      </c>
      <c r="F741" s="27"/>
      <c r="G741" s="34" t="str">
        <f>IF(F741="","",IF(E742="PC 17",F741*4.2,IF(E742="PC 19",F741*5,"")))</f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258</v>
      </c>
      <c r="F742" s="27"/>
      <c r="G742" s="28" t="str">
        <f>IF(F742="","",IF(#REF!="PC 17",F742*4.2,IF(#REF!="PC 19",F742*5,"")))</f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51</v>
      </c>
      <c r="G743" s="36">
        <f>SUM(G731:G742)</f>
        <v>214.2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51</v>
      </c>
      <c r="G757" s="40">
        <f>G743+G756</f>
        <v>214.2</v>
      </c>
      <c r="H757" s="41"/>
      <c r="I757" s="41"/>
      <c r="J757" s="41"/>
      <c r="K757" s="41"/>
      <c r="L757" s="41"/>
      <c r="M757" s="42">
        <f ca="1">IFERROR(M743+M756,"")</f>
        <v>6.458333333333327E-2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28" activePane="bottomLeft" state="frozen"/>
      <selection pane="bottomLeft" activeCell="F737" sqref="F7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364</v>
      </c>
      <c r="L58" s="29">
        <v>0.54097222222222219</v>
      </c>
      <c r="M58" s="30" t="str">
        <f t="shared" ca="1" si="13"/>
        <v/>
      </c>
      <c r="N58" s="27" t="s">
        <v>365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0.44951319444953697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0.64881875000509259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1.0161798611162036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406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407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408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409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410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258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258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411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258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258</v>
      </c>
      <c r="F734" s="27">
        <v>16</v>
      </c>
      <c r="G734" s="28">
        <f t="shared" si="162"/>
        <v>67.2</v>
      </c>
      <c r="H734" s="26" t="s">
        <v>20</v>
      </c>
      <c r="I734" s="26" t="s">
        <v>155</v>
      </c>
      <c r="J734" s="26" t="s">
        <v>74</v>
      </c>
      <c r="K734" s="29">
        <v>0.37430555555555556</v>
      </c>
      <c r="L734" s="29">
        <v>0.38333333333333336</v>
      </c>
      <c r="M734" s="30">
        <f t="shared" ca="1" si="163"/>
        <v>9.0277777777778012E-3</v>
      </c>
      <c r="N734" s="27" t="s">
        <v>412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258</v>
      </c>
      <c r="F735" s="27">
        <v>14</v>
      </c>
      <c r="G735" s="34">
        <f t="shared" si="162"/>
        <v>58.800000000000004</v>
      </c>
      <c r="H735" s="33" t="s">
        <v>18</v>
      </c>
      <c r="I735" s="33" t="s">
        <v>127</v>
      </c>
      <c r="J735" s="33" t="s">
        <v>164</v>
      </c>
      <c r="K735" s="29">
        <v>0.42708333333333331</v>
      </c>
      <c r="L735" s="29">
        <v>0.4513888888888889</v>
      </c>
      <c r="M735" s="35">
        <f t="shared" ca="1" si="163"/>
        <v>2.430555555555558E-2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258</v>
      </c>
      <c r="F736" s="27">
        <v>0</v>
      </c>
      <c r="G736" s="28">
        <f t="shared" si="162"/>
        <v>0</v>
      </c>
      <c r="H736" s="26" t="s">
        <v>20</v>
      </c>
      <c r="I736" s="26" t="s">
        <v>155</v>
      </c>
      <c r="J736" s="26" t="s">
        <v>74</v>
      </c>
      <c r="K736" s="29">
        <v>0.46875</v>
      </c>
      <c r="L736" s="29">
        <v>0.47152777777777777</v>
      </c>
      <c r="M736" s="30">
        <f t="shared" ca="1" si="163"/>
        <v>2.7777777777777679E-3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258</v>
      </c>
      <c r="F737" s="27">
        <v>26</v>
      </c>
      <c r="G737" s="34">
        <f t="shared" si="162"/>
        <v>109.2</v>
      </c>
      <c r="H737" s="33" t="s">
        <v>19</v>
      </c>
      <c r="I737" s="33" t="s">
        <v>52</v>
      </c>
      <c r="J737" s="33" t="s">
        <v>27</v>
      </c>
      <c r="K737" s="29">
        <v>0.6069444444444444</v>
      </c>
      <c r="L737" s="29">
        <v>0.61875000000000002</v>
      </c>
      <c r="M737" s="35">
        <f t="shared" ca="1" si="163"/>
        <v>1.1805555555555625E-2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258</v>
      </c>
      <c r="F738" s="27">
        <v>25</v>
      </c>
      <c r="G738" s="28">
        <f t="shared" si="162"/>
        <v>105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258</v>
      </c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258</v>
      </c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258</v>
      </c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258</v>
      </c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112</v>
      </c>
      <c r="G743" s="36">
        <f>SUM(G731:G742)</f>
        <v>470.4</v>
      </c>
      <c r="H743" s="37"/>
      <c r="I743" s="37"/>
      <c r="J743" s="37"/>
      <c r="K743" s="61"/>
      <c r="L743" s="61"/>
      <c r="M743" s="38">
        <f ca="1">IFERROR(SUM(M731:M742),"")</f>
        <v>9.8611111111111149E-2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112</v>
      </c>
      <c r="G757" s="40">
        <f>G743+G756</f>
        <v>470.4</v>
      </c>
      <c r="H757" s="41"/>
      <c r="I757" s="41"/>
      <c r="J757" s="41"/>
      <c r="K757" s="63"/>
      <c r="L757" s="63"/>
      <c r="M757" s="42">
        <f ca="1">IFERROR(M743+M756,"")</f>
        <v>9.8611111111111149E-2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2026-07-28T20:48:20Z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