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088" documentId="8_{1D11E9C4-FEA4-4128-910F-91CB6BBF9255}" xr6:coauthVersionLast="47" xr6:coauthVersionMax="47" xr10:uidLastSave="{90CD7BB6-FFE6-429A-80D2-A3ED44E24073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2" i="3" l="1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<sst xmlns="http://schemas.openxmlformats.org/spreadsheetml/2006/main" count="8417" uniqueCount="376">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</sst>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928270</v>
      </c>
      <c r="D32" s="49">
        <f>IFERROR('Linha 1'!N784,"")</f>
        <v>309470</v>
      </c>
      <c r="E32" s="49">
        <f>IFERROR('Linha 2'!N784,"")</f>
        <v>216400</v>
      </c>
      <c r="F32" s="49">
        <f>IFERROR('Linha 3'!N784,"")</f>
        <v>769540</v>
      </c>
      <c r="G32" s="50">
        <f t="shared" si="0"/>
        <v>1295410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49730180</v>
      </c>
      <c r="D34" s="55">
        <f t="shared" si="1"/>
        <v>24507090</v>
      </c>
      <c r="E34" s="55">
        <f t="shared" si="1"/>
        <v>9873850</v>
      </c>
      <c r="F34" s="55">
        <f t="shared" si="1"/>
        <v>28584285</v>
      </c>
      <c r="G34" s="55">
        <f t="shared" si="1"/>
        <v>62965225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177</v>
      </c>
      <c r="L48" s="3"/>
      <c r="M48" s="3"/>
    </row>
    <row r="49" spans="1:13" ht="18" customHeight="1">
      <c r="H49" s="106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180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70" activePane="bottomLeft" state="frozen"/>
      <selection pane="bottomLeft" activeCell="E774" sqref="E774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191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193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191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193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191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193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191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193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191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193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191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193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191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193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191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193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191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193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191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193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191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193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191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193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191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193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191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193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191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193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191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193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193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191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193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191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193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191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193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191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193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191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193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191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193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191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193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191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193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191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193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191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193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191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7</v>
      </c>
      <c r="F773" s="17">
        <f t="shared" si="174"/>
        <v>35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193</v>
      </c>
      <c r="B783" s="108"/>
      <c r="C783" s="108"/>
      <c r="D783" s="108"/>
      <c r="E783" s="19">
        <f>SUM(E771:E782)</f>
        <v>55</v>
      </c>
      <c r="F783" s="19">
        <f>SUM(F771:F782)</f>
        <v>275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201</v>
      </c>
      <c r="F784" s="22">
        <f>F770+F783</f>
        <v>1005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928270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191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193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0" zoomScale="85" zoomScaleNormal="85" workbookViewId="0">
      <selection activeCell="F771" sqref="F771:F77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191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25</v>
      </c>
      <c r="F783" s="19">
        <f>SUM(F771:F782)</f>
        <v>100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105</v>
      </c>
      <c r="F784" s="22">
        <f>F770+F783</f>
        <v>420</v>
      </c>
      <c r="G784" s="21"/>
      <c r="H784" s="21"/>
      <c r="I784" s="21"/>
      <c r="J784" s="21"/>
      <c r="K784" s="21"/>
      <c r="L784" s="73">
        <f>IFERROR(L770+L783,"")</f>
        <v>0.11874999999999997</v>
      </c>
      <c r="M784" s="22" t="s">
        <v>195</v>
      </c>
      <c r="N784" s="31">
        <f>IFERROR(N770+N783,"")</f>
        <v>309470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E774" sqref="E77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12</v>
      </c>
      <c r="F783" s="19">
        <f>SUM(F771:F782)</f>
        <v>48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72</v>
      </c>
      <c r="F784" s="22">
        <f>F770+F783</f>
        <v>288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216400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70" activePane="bottomLeft" state="frozen"/>
      <selection pane="bottomLeft" activeCell="E774" sqref="E774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191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191</v>
      </c>
      <c r="B770" s="100"/>
      <c r="C770" s="100"/>
      <c r="D770" s="101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66</v>
      </c>
      <c r="F783" s="19">
        <f>SUM(F771:F782)</f>
        <v>264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241</v>
      </c>
      <c r="F784" s="22">
        <f>F770+F783</f>
        <v>964</v>
      </c>
      <c r="G784" s="39"/>
      <c r="H784" s="39"/>
      <c r="I784" s="39"/>
      <c r="J784" s="39"/>
      <c r="K784" s="39"/>
      <c r="L784" s="73">
        <f>IFERROR(L770+L783,"")</f>
        <v>7.3611111111111127E-2</v>
      </c>
      <c r="M784" s="22" t="s">
        <v>195</v>
      </c>
      <c r="N784" s="31">
        <f>IFERROR(N770+N783,"")</f>
        <v>769540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2026-06-30T02:01:53Z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