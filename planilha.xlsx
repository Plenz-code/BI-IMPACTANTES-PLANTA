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869" documentId="8_{C51EB6CB-002B-4D6B-B68F-DDEBDB4460C0}" xr6:coauthVersionLast="47" xr6:coauthVersionMax="47" xr10:uidLastSave="{CF4A5BA9-E2FC-4340-8F4B-59B14365BD85}"/>
  <bookViews>
    <workbookView xWindow="-108" yWindow="-108" windowWidth="23256" windowHeight="12456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" i="1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<sst xmlns="http://schemas.openxmlformats.org/spreadsheetml/2006/main" count="2466" uniqueCount="262">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</sst>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0" sqref="G2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7779405</v>
      </c>
      <c r="D35" s="13">
        <f>IFERROR(SUM(D4:D34),"")</f>
        <v>2894080</v>
      </c>
      <c r="E35" s="13">
        <f>IFERROR(SUM(E4:E34),"")</f>
        <v>1608880</v>
      </c>
      <c r="F35" s="13">
        <f>IFERROR(SUM(F4:F34),"")</f>
        <v>3261670</v>
      </c>
      <c r="G35" s="13">
        <f>IFERROR(SUM(G4:G34),"")</f>
        <v>7764630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7" sqref="M5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63" activePane="bottomLeft" state="frozen"/>
      <selection pane="bottomLeft" activeCell="F88" sqref="F88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228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228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228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228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228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228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228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228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228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228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228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228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230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228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228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228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231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228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228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228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228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228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228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228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230</v>
      </c>
      <c r="O27" s="39">
        <v>997910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234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228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228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235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228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231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228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228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228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228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228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228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230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228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236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228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228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228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228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228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228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230</v>
      </c>
      <c r="O54" s="39">
        <v>981310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234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228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228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228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228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228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228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228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228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228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228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228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228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230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228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228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237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228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228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228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228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228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228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228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228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230</v>
      </c>
      <c r="O81" s="39">
        <v>1547910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234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228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228</v>
      </c>
      <c r="F84" s="27">
        <v>30</v>
      </c>
      <c r="G84" s="34">
        <f t="shared" si="18"/>
        <v>150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228</v>
      </c>
      <c r="F85" s="27">
        <v>35</v>
      </c>
      <c r="G85" s="28">
        <f t="shared" si="18"/>
        <v>175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228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228</v>
      </c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228</v>
      </c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228</v>
      </c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228</v>
      </c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228</v>
      </c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228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228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149</v>
      </c>
      <c r="G95" s="36">
        <f>SUM(G83:G94)</f>
        <v>745</v>
      </c>
      <c r="H95" s="37"/>
      <c r="I95" s="37"/>
      <c r="J95" s="37"/>
      <c r="K95" s="37"/>
      <c r="L95" s="37"/>
      <c r="M95" s="38">
        <f ca="1">IFERROR(SUM(M83:M94),"")</f>
        <v>2.7083333333333348E-2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149</v>
      </c>
      <c r="G109" s="40">
        <f>G95+G108</f>
        <v>745</v>
      </c>
      <c r="H109" s="41"/>
      <c r="I109" s="41"/>
      <c r="J109" s="41"/>
      <c r="K109" s="41"/>
      <c r="L109" s="41"/>
      <c r="M109" s="42">
        <f ca="1">IFERROR(M95+M108,"")</f>
        <v>2.7083333333333348E-2</v>
      </c>
      <c r="N109" s="40" t="s">
        <v>234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4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12" t="s">
        <v>233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79" activePane="bottomLeft" state="frozen"/>
      <selection pane="bottomLeft" activeCell="F88" sqref="F8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238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239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238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238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238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240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238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241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238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238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238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238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238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238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238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230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238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238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238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238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238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242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238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243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238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238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238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238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238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230</v>
      </c>
      <c r="O27" s="77">
        <v>549860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234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238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238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238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238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238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238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238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238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238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238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238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238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230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238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238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238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238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238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238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238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244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238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245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238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238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238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246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238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0.38280868055153405</v>
      </c>
      <c r="N53" s="46" t="s">
        <v>247</v>
      </c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0.52169756944042289</v>
      </c>
      <c r="N54" s="36" t="s">
        <v>230</v>
      </c>
      <c r="O54" s="84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0.60641979166264526</v>
      </c>
      <c r="N55" s="40" t="s">
        <v>234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238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238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238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238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238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238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238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238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239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238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238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238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238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230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238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238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238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238</v>
      </c>
      <c r="F72" s="27">
        <v>5</v>
      </c>
      <c r="G72" s="28">
        <f t="shared" si="15"/>
        <v>21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238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238</v>
      </c>
      <c r="F74" s="27">
        <v>19</v>
      </c>
      <c r="G74" s="28">
        <f t="shared" si="15"/>
        <v>79.8</v>
      </c>
      <c r="H74" s="26" t="s">
        <v>20</v>
      </c>
      <c r="I74" s="26" t="s">
        <v>154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238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238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197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248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238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238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238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238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230</v>
      </c>
      <c r="O81" s="54">
        <v>634210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234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249</v>
      </c>
      <c r="E83" s="59" t="s">
        <v>238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135</v>
      </c>
      <c r="J83" s="33" t="s">
        <v>206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238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238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238</v>
      </c>
      <c r="F86" s="27">
        <v>13</v>
      </c>
      <c r="G86" s="34">
        <f t="shared" si="18"/>
        <v>54.6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238</v>
      </c>
      <c r="F87" s="27">
        <v>14</v>
      </c>
      <c r="G87" s="28">
        <f t="shared" si="18"/>
        <v>58.800000000000004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238</v>
      </c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238</v>
      </c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238</v>
      </c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238</v>
      </c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238</v>
      </c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238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238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60</v>
      </c>
      <c r="G95" s="36">
        <f>SUM(G83:G94)</f>
        <v>252.00000000000003</v>
      </c>
      <c r="H95" s="37"/>
      <c r="I95" s="37"/>
      <c r="J95" s="37"/>
      <c r="K95" s="37"/>
      <c r="L95" s="37"/>
      <c r="M95" s="38">
        <f ca="1">IFERROR(SUM(M83:M94),"")</f>
        <v>3.9583333333333359E-2</v>
      </c>
      <c r="N95" s="36" t="s">
        <v>230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54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60</v>
      </c>
      <c r="G109" s="40">
        <f>G95+G108</f>
        <v>252.00000000000003</v>
      </c>
      <c r="H109" s="41"/>
      <c r="I109" s="41"/>
      <c r="J109" s="41"/>
      <c r="K109" s="41"/>
      <c r="L109" s="41"/>
      <c r="M109" s="42">
        <f ca="1">IFERROR(M95+M108,"")</f>
        <v>3.9583333333333359E-2</v>
      </c>
      <c r="N109" s="40" t="s">
        <v>234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54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5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77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77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229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77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77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77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77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77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77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77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77"/>
    </row>
    <row r="433" spans="1:15" ht="18" customHeight="1">
      <c r="A433" s="92" t="s">
        <v>233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77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77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7"/>
    </row>
    <row r="514" spans="1:15" ht="18" customHeight="1">
      <c r="A514" s="92" t="s">
        <v>233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7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7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7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7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7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7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7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7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84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54" zoomScale="50" zoomScaleNormal="50" workbookViewId="0">
      <selection activeCell="F88" sqref="F8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238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238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238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238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238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238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238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238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238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238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238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230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238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250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238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238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238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242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238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251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238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238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238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238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238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238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238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230</v>
      </c>
      <c r="O27" s="39">
        <v>358000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234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238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238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238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238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238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238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238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238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238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238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238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238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230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238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248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238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250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238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238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238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238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238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238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238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250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238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238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238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230</v>
      </c>
      <c r="O54" s="39">
        <v>279980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234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238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238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238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238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238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238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238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252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238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238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238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238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238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230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238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253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238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238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238</v>
      </c>
      <c r="F72" s="27">
        <v>0</v>
      </c>
      <c r="G72" s="28">
        <f t="shared" si="15"/>
        <v>0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238</v>
      </c>
      <c r="F73" s="27">
        <v>7</v>
      </c>
      <c r="G73" s="34">
        <f t="shared" si="15"/>
        <v>29.400000000000002</v>
      </c>
      <c r="H73" s="33" t="s">
        <v>20</v>
      </c>
      <c r="I73" s="33" t="s">
        <v>154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238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238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238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238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230</v>
      </c>
      <c r="O81" s="39">
        <v>185920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234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238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254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238</v>
      </c>
      <c r="F85" s="27">
        <v>5</v>
      </c>
      <c r="G85" s="28">
        <f t="shared" si="18"/>
        <v>21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238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238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238</v>
      </c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238</v>
      </c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238</v>
      </c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238</v>
      </c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238</v>
      </c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238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238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30</v>
      </c>
      <c r="G95" s="36">
        <f>SUM(G83:G94)</f>
        <v>126.00000000000001</v>
      </c>
      <c r="H95" s="37"/>
      <c r="I95" s="37"/>
      <c r="J95" s="37"/>
      <c r="K95" s="37"/>
      <c r="L95" s="37"/>
      <c r="M95" s="38">
        <f ca="1">IFERROR(SUM(M83:M94),"")</f>
        <v>3.1944444444444442E-2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30</v>
      </c>
      <c r="G109" s="40">
        <f>G95+G108</f>
        <v>126.00000000000001</v>
      </c>
      <c r="H109" s="41"/>
      <c r="I109" s="41"/>
      <c r="J109" s="41"/>
      <c r="K109" s="41"/>
      <c r="L109" s="41"/>
      <c r="M109" s="42">
        <f ca="1">IFERROR(M95+M108,"")</f>
        <v>3.1944444444444442E-2</v>
      </c>
      <c r="N109" s="40" t="s">
        <v>234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39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65" activePane="bottomLeft" state="frozen"/>
      <selection pane="bottomLeft" activeCell="F88" sqref="F8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238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238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238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238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238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238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238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238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238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238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238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230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238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238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255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238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245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238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250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238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256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238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238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238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257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238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238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238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238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230</v>
      </c>
      <c r="O27" s="39">
        <v>491520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234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238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238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238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238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238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238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238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238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238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238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229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230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238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238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238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238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258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238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238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238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238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238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238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238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238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230</v>
      </c>
      <c r="O54" s="39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234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238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238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238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238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259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238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260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238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238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238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238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238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238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230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238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261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238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238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238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127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250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238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238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203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238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238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238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238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238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230</v>
      </c>
      <c r="O81" s="39">
        <v>612410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234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238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159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238</v>
      </c>
      <c r="F84" s="27">
        <v>20</v>
      </c>
      <c r="G84" s="34">
        <f t="shared" si="18"/>
        <v>84</v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238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238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238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238</v>
      </c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238</v>
      </c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238</v>
      </c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238</v>
      </c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238</v>
      </c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238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238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79</v>
      </c>
      <c r="G95" s="36">
        <f>SUM(G83:G94)</f>
        <v>331.79999999999995</v>
      </c>
      <c r="H95" s="37"/>
      <c r="I95" s="37"/>
      <c r="J95" s="37"/>
      <c r="K95" s="61"/>
      <c r="L95" s="61"/>
      <c r="M95" s="38">
        <f ca="1">IFERROR(SUM(M83:M94),"")</f>
        <v>1.9444444444444431E-2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79</v>
      </c>
      <c r="G109" s="40">
        <f>G95+G108</f>
        <v>331.79999999999995</v>
      </c>
      <c r="H109" s="41"/>
      <c r="I109" s="41"/>
      <c r="J109" s="41"/>
      <c r="K109" s="63"/>
      <c r="L109" s="63"/>
      <c r="M109" s="42">
        <f ca="1">IFERROR(M95+M108,"")</f>
        <v>1.9444444444444431E-2</v>
      </c>
      <c r="N109" s="40" t="s">
        <v>234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230</v>
      </c>
      <c r="O135" s="39"/>
    </row>
    <row r="136" spans="1:18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234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229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230</v>
      </c>
      <c r="O432" s="39"/>
    </row>
    <row r="433" spans="1:17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230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234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2026-08-04T16:06:23Z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