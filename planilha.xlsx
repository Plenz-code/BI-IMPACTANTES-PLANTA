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25" documentId="8_{C51EB6CB-002B-4D6B-B68F-DDEBDB4460C0}" xr6:coauthVersionLast="47" xr6:coauthVersionMax="47" xr10:uidLastSave="{E8215CF6-2D11-4779-B1B2-0495819465EB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<sst xmlns="http://schemas.openxmlformats.org/spreadsheetml/2006/main" count="5083" uniqueCount="325">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</sst>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1" sqref="F2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20</v>
      </c>
      <c r="G260" s="34">
        <f t="shared" si="57"/>
        <v>100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20</v>
      </c>
      <c r="G270" s="36">
        <f>SUM(G258:G269)</f>
        <v>100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304</v>
      </c>
      <c r="G271" s="40">
        <f>G257+G270</f>
        <v>1520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0.79923680554929888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0.93812569443818772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1.0228479166604101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/>
      <c r="M259" s="35">
        <f t="shared" ca="1" si="58"/>
        <v>1.7292361109866761E-2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21</v>
      </c>
      <c r="G270" s="36">
        <f>SUM(G258:G269)</f>
        <v>88.2</v>
      </c>
      <c r="H270" s="37"/>
      <c r="I270" s="37"/>
      <c r="J270" s="37"/>
      <c r="K270" s="37"/>
      <c r="L270" s="37"/>
      <c r="M270" s="38">
        <f ca="1">IFERROR(SUM(M258:M269),"")</f>
        <v>2.1459027776533413E-2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204</v>
      </c>
      <c r="G271" s="40">
        <f>G257+G270</f>
        <v>913.6</v>
      </c>
      <c r="H271" s="41"/>
      <c r="I271" s="41"/>
      <c r="J271" s="41"/>
      <c r="K271" s="41"/>
      <c r="L271" s="41"/>
      <c r="M271" s="42">
        <f ca="1">IFERROR(M257+M270,"")</f>
        <v>4.8542361109866816E-2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61" sqref="F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 t="e">
        <f>IF(F260="","",IF(#REF!="PC 17",F260*4.2,IF(#REF!="PC 19",F260*5,IF(#REF!="CB",F260*24,""))))</f>
        <v>#REF!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</v>
      </c>
      <c r="G270" s="36" t="e">
        <f>SUM(G258:G269)</f>
        <v>#REF!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129</v>
      </c>
      <c r="G271" s="40" t="e">
        <f>G257+G270</f>
        <v>#REF!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1" sqref="F2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</v>
      </c>
      <c r="G270" s="36">
        <f>SUM(G258:G269)</f>
        <v>67.2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198</v>
      </c>
      <c r="G271" s="40">
        <f>G257+G270</f>
        <v>890.00000000000011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2026-08-11T02:06:06Z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