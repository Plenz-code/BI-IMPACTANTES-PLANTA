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928" documentId="8_{AF585B22-221D-4780-BB9C-493D365A6A02}" xr6:coauthVersionLast="47" xr6:coauthVersionMax="47" xr10:uidLastSave="{55E401FC-7E7F-4955-8F55-82A888283850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<sst xmlns="http://schemas.openxmlformats.org/spreadsheetml/2006/main" count="11773" uniqueCount="426">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</sst>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8" activePane="bottomLeft" state="frozen"/>
      <selection pane="bottomLeft" activeCell="F778" sqref="F7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/>
      <c r="M771" s="35">
        <f t="shared" ref="M771:M782" ca="1" si="172">IFERROR(IF(K771="","",IF(L771="",MOD(NOW()-K771,1),IF(L771&gt;=K771,L771-K771,L771+1-K771))),"")</f>
        <v>1.6947453703323845E-2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210</v>
      </c>
      <c r="G783" s="36">
        <f>SUM(G771:G782)</f>
        <v>1050</v>
      </c>
      <c r="H783" s="37"/>
      <c r="I783" s="37"/>
      <c r="J783" s="37"/>
      <c r="K783" s="37"/>
      <c r="L783" s="37"/>
      <c r="M783" s="38">
        <f ca="1">IFERROR(SUM(M771:M782),"")</f>
        <v>1.6947453703323845E-2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560</v>
      </c>
      <c r="G784" s="40">
        <f>G770+G783</f>
        <v>2800</v>
      </c>
      <c r="H784" s="41"/>
      <c r="I784" s="41"/>
      <c r="J784" s="41"/>
      <c r="K784" s="41"/>
      <c r="L784" s="41"/>
      <c r="M784" s="42">
        <f ca="1">IFERROR(M770+M783,"")</f>
        <v>8.8475231481101591E-2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50" activePane="bottomLeft" state="frozen"/>
      <selection pane="bottomLeft" activeCell="J775" sqref="J7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0.85653078703762731</v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1.0141696759265162</v>
      </c>
      <c r="N378" s="36" t="s">
        <v>235</v>
      </c>
      <c r="O378" s="77">
        <v>511980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1.1238918981487385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0.83500300926243654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1.0058363425957699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1.1509752314846589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120</v>
      </c>
      <c r="G783" s="36">
        <f>SUM(G771:G782)</f>
        <v>512.79999999999995</v>
      </c>
      <c r="H783" s="37"/>
      <c r="I783" s="37"/>
      <c r="J783" s="37"/>
      <c r="K783" s="37"/>
      <c r="L783" s="37"/>
      <c r="M783" s="38">
        <f ca="1">IFERROR(SUM(M771:M782),"")</f>
        <v>5.0694444444444486E-2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254</v>
      </c>
      <c r="G784" s="40">
        <f>G770+G783</f>
        <v>1083.5999999999999</v>
      </c>
      <c r="H784" s="41"/>
      <c r="I784" s="41"/>
      <c r="J784" s="41"/>
      <c r="K784" s="41"/>
      <c r="L784" s="41"/>
      <c r="M784" s="42">
        <f ca="1">IFERROR(M770+M783,"")</f>
        <v>0.14583333333333331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F778" sqref="F7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37</v>
      </c>
      <c r="G783" s="36">
        <f>SUM(G771:G782)</f>
        <v>159.39999999999998</v>
      </c>
      <c r="H783" s="37"/>
      <c r="I783" s="37"/>
      <c r="J783" s="37"/>
      <c r="K783" s="37"/>
      <c r="L783" s="37"/>
      <c r="M783" s="38">
        <f ca="1">IFERROR(SUM(M771:M782),"")</f>
        <v>5.9027777777777901E-2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78</v>
      </c>
      <c r="G784" s="40">
        <f>G770+G783</f>
        <v>335.59999999999997</v>
      </c>
      <c r="H784" s="41"/>
      <c r="I784" s="41"/>
      <c r="J784" s="41"/>
      <c r="K784" s="41"/>
      <c r="L784" s="41"/>
      <c r="M784" s="42">
        <f ca="1">IFERROR(M770+M783,"")</f>
        <v>0.17291666666666683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64" activePane="bottomLeft" state="frozen"/>
      <selection pane="bottomLeft" activeCell="F778" sqref="F7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0.84680856482009403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1.0461141203756497</v>
      </c>
      <c r="N135" s="36" t="s">
        <v>235</v>
      </c>
      <c r="O135" s="39">
        <v>729290</v>
      </c>
    </row>
    <row r="136" spans="1:18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1.4134752314867607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234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422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124</v>
      </c>
      <c r="G783" s="36">
        <f>SUM(G771:G782)</f>
        <v>530.4</v>
      </c>
      <c r="H783" s="37"/>
      <c r="I783" s="37"/>
      <c r="J783" s="37"/>
      <c r="K783" s="61"/>
      <c r="L783" s="61"/>
      <c r="M783" s="38">
        <f ca="1">IFERROR(SUM(M771:M782),"")</f>
        <v>3.6111111111111219E-2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132</v>
      </c>
      <c r="G784" s="40">
        <f>G770+G783</f>
        <v>564</v>
      </c>
      <c r="H784" s="41"/>
      <c r="I784" s="41"/>
      <c r="J784" s="41"/>
      <c r="K784" s="63"/>
      <c r="L784" s="63"/>
      <c r="M784" s="42">
        <f ca="1">IFERROR(M770+M783,"")</f>
        <v>0.50000000000000011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2026-07-30T06:18:26Z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