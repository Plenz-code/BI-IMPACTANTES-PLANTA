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6" documentId="8_{C51EB6CB-002B-4D6B-B68F-DDEBDB4460C0}" xr6:coauthVersionLast="47" xr6:coauthVersionMax="47" xr10:uidLastSave="{B70AABE5-16BB-43F6-9A25-B25725A19EAF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271" i="5" s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E271" i="5" s="1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8" i="1" l="1"/>
  <c r="G20" i="1"/>
  <c r="E271" i="4"/>
  <c r="F271" i="4"/>
  <c r="E271" i="6"/>
  <c r="G270" i="4"/>
  <c r="F271" i="6"/>
  <c r="G31" i="1"/>
  <c r="G270" i="6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71" i="3" l="1"/>
  <c r="M487" i="3"/>
  <c r="M838" i="4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<sst xmlns="http://schemas.openxmlformats.org/spreadsheetml/2006/main" count="5208" uniqueCount="326">
  <si>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</si>
  <si>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</si>
  <si>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</si>
  <si>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</si>
  <si>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</si>
  <si>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</si>
  <si>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</si>
  <si>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</si>
  <si>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</si>
  <si>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</si>
  <si>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</si>
  <si>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</si>
  <si>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</si>
  <si>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</si>
  <si>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</si>
  <si>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</si>
  <si>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</si>
  <si>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</si>
  <si>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</si>
  <si>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</si>
  <si>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</si>
  <si>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</si>
  <si>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</si>
  <si>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</si>
  <si>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</si>
  <si>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</si>
  <si>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</si>
  <si>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</si>
  <si>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</si>
  <si>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</si>
  <si>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</si>
  <si>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</si>
  <si>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</si>
  <si>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</si>
  <si>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</si>
  <si>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</si>
  <si>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</si>
  <si>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</si>
  <si>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</si>
  <si>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</si>
  <si>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</si>
  <si>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</si>
  <si>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</si>
  <si>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</si>
  <si>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</si>
  <si>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</si>
  <si>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</si>
  <si>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</si>
  <si>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</si>
  <si>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</si>
  <si>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</si>
  <si>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</si>
  <si>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</si>
  <si>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</si>
  <si>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</si>
  <si>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</si>
  <si>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</si>
  <si>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</si>
  <si>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</si>
  <si>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</si>
  <si>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</si>
  <si>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</si>
  <si>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</si>
  <si>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</si>
  <si>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</si>
  <si>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</si>
  <si>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</si>
  <si>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</si>
  <si>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</si>
  <si>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</si>
  <si>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</si>
  <si>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</si>
  <si>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</si>
  <si>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</si>
  <si>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</si>
  <si>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</si>
  <si>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</si>
  <si>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</si>
  <si>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</si>
  <si>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</si>
  <si>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</si>
  <si>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</si>
  <si>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</si>
  <si>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</si>
  <si>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</si>
  <si>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</si>
  <si>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</si>
  <si>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</si>
  <si>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</si>
  <si>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</si>
  <si>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</si>
  <si>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</si>
  <si>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</si>
  <si>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</si>
  <si>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</si>
  <si>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</si>
  <si>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</si>
  <si>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</si>
  <si>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</si>
  <si>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</si>
  <si>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</si>
  <si>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</si>
  <si>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</si>
  <si>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</si>
  <si>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</si>
  <si>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</si>
  <si>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</si>
  <si>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</si>
  <si>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</si>
  <si>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</si>
  <si>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</si>
  <si>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</si>
  <si>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</si>
  <si>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</si>
  <si>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</si>
  <si>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</si>
  <si>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</si>
  <si>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</si>
  <si>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</si>
  <si>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</si>
  <si>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</si>
  <si>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</si>
  <si>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</si>
  <si>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</si>
  <si>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</si>
  <si>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</si>
  <si>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</si>
  <si>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</si>
  <si>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</si>
  <si>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</si>
  <si>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</si>
  <si>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</si>
  <si>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</si>
  <si>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</si>
  <si>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</si>
  <si>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</si>
  <si>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</si>
  <si>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</si>
  <si>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</si>
  <si>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</si>
  <si>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</si>
  <si>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</si>
  <si>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</si>
  <si>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</si>
  <si>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</si>
  <si>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</si>
  <si>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</si>
  <si>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</si>
  <si>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</si>
  <si>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</si>
  <si>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</si>
  <si>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</si>
  <si>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</si>
  <si>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</si>
  <si>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</si>
  <si>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</si>
  <si>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</si>
  <si>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</si>
  <si>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</si>
  <si>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</si>
  <si>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</si>
  <si>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</si>
  <si>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</si>
  <si>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</si>
  <si>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</si>
  <si>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</si>
  <si>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</si>
  <si>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</si>
  <si>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</si>
  <si>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</si>
  <si>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</si>
  <si>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</si>
  <si>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</si>
  <si>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</si>
  <si>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</si>
  <si>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</si>
  <si>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</si>
  <si>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</si>
  <si>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</si>
  <si>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</si>
  <si>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</si>
  <si>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</si>
  <si>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</si>
  <si>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</si>
  <si>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</si>
  <si>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</si>
  <si>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</si>
  <si>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</si>
  <si>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</si>
  <si>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</si>
  <si>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</si>
  <si>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</si>
  <si>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</si>
  <si>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</si>
  <si>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</si>
  <si>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</si>
  <si>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</si>
  <si>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</si>
  <si>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</si>
  <si>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</si>
  <si>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</si>
  <si>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</si>
  <si>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</si>
  <si>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</si>
  <si>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</si>
  <si>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</si>
  <si>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</si>
  <si>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</si>
  <si>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</si>
  <si>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</si>
  <si>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</si>
  <si>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</si>
  <si>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</si>
  <si>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</si>
  <si>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</si>
  <si>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</si>
  <si>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</si>
  <si>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</si>
  <si>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</si>
  <si>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</si>
  <si>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</si>
  <si>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</si>
  <si>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</si>
  <si>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</si>
  <si>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</si>
  <si>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</si>
  <si>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</si>
  <si>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</si>
  <si>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</si>
  <si>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</si>
  <si>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</si>
  <si>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</si>
  <si>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</si>
  <si>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</si>
  <si>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</si>
  <si>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</si>
  <si>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</si>
  <si>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</si>
  <si>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</si>
  <si>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</si>
  <si>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</si>
  <si>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</si>
  <si>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</si>
  <si>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</si>
  <si>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</si>
  <si>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</si>
  <si>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</si>
  <si>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</si>
  <si>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</si>
  <si>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</si>
  <si>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</si>
  <si>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</si>
  <si>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</si>
  <si>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</si>
  <si>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</si>
  <si>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</si>
  <si>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</si>
  <si>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</si>
  <si>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</si>
  <si>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</si>
  <si>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</si>
  <si>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</si>
  <si>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</si>
  <si>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</si>
  <si>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</si>
  <si>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</si>
  <si>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</si>
  <si>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</si>
  <si>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</si>
  <si>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</si>
  <si>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</si>
  <si>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</si>
  <si>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</si>
  <si>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</si>
  <si>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</si>
  <si>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</si>
  <si>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</si>
  <si>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</si>
  <si>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</si>
  <si>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</si>
  <si>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</si>
  <si>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</si>
  <si>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</si>
  <si>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</si>
  <si>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</si>
  <si>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</si>
  <si>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</si>
  <si>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</si>
  <si>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</si>
  <si>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</si>
  <si>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</si>
  <si>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</si>
  <si>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</si>
  <si>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</si>
  <si>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</si>
  <si>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</si>
  <si>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</si>
  <si>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</si>
  <si>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</si>
  <si>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</si>
  <si>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</si>
  <si>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</si>
  <si>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</si>
  <si>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</si>
  <si>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</si>
  <si>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</si>
  <si>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</si>
  <si>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</si>
  <si>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</si>
  <si>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</si>
  <si>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</si>
  <si>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</si>
  <si>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</si>
  <si>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</si>
  <si>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</si>
  <si>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</si>
  <si>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</si>
  <si>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</si>
  <si>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</si>
  <si>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</si>
  <si>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</si>
  <si>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facas quebrou</t>
  </si>
  <si>
    <t>12 viagens com caminhão</t>
  </si>
  <si>
    <t>troca de pino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</si>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</sst>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 x14ac:dyDescent="0.3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7" t="s">
        <v>9</v>
      </c>
      <c r="B35" s="117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 x14ac:dyDescent="0.3">
      <c r="H2" s="119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3">
      <c r="H58" s="119"/>
      <c r="I58" s="16"/>
      <c r="J58" s="16"/>
      <c r="K58" s="16" t="s">
        <v>208</v>
      </c>
      <c r="L58" s="16"/>
      <c r="M58" s="16"/>
    </row>
    <row r="59" spans="1:13" ht="15" customHeight="1" x14ac:dyDescent="0.3">
      <c r="H59" s="119"/>
      <c r="I59" s="17"/>
      <c r="J59" s="17"/>
      <c r="K59" s="17" t="s">
        <v>209</v>
      </c>
      <c r="L59" s="17"/>
      <c r="M59" s="17"/>
    </row>
    <row r="60" spans="1:13" ht="15" customHeight="1" x14ac:dyDescent="0.3">
      <c r="H60" s="119"/>
      <c r="I60" s="16"/>
      <c r="J60" s="16"/>
      <c r="K60" s="86" t="s">
        <v>105</v>
      </c>
      <c r="L60" s="16"/>
      <c r="M60" s="16"/>
    </row>
    <row r="61" spans="1:13" ht="15" customHeight="1" x14ac:dyDescent="0.3">
      <c r="H61" s="119"/>
      <c r="I61" s="17"/>
      <c r="J61" s="17"/>
      <c r="K61" s="17" t="s">
        <v>210</v>
      </c>
      <c r="L61" s="17"/>
      <c r="M61" s="17"/>
    </row>
    <row r="62" spans="1:13" ht="15" customHeight="1" x14ac:dyDescent="0.3">
      <c r="H62" s="119"/>
      <c r="I62" s="16"/>
      <c r="J62" s="16"/>
      <c r="K62" s="16" t="s">
        <v>211</v>
      </c>
      <c r="L62" s="16"/>
      <c r="M62" s="16"/>
    </row>
    <row r="63" spans="1:13" ht="15" customHeight="1" x14ac:dyDescent="0.3">
      <c r="H63" s="119"/>
      <c r="I63" s="17"/>
      <c r="J63" s="17"/>
      <c r="K63" s="17" t="s">
        <v>212</v>
      </c>
      <c r="L63" s="17"/>
      <c r="M63" s="17"/>
    </row>
    <row r="64" spans="1:13" ht="15" customHeight="1" x14ac:dyDescent="0.3">
      <c r="H64" s="119"/>
      <c r="I64" s="16"/>
      <c r="J64" s="16"/>
      <c r="K64" s="16" t="s">
        <v>213</v>
      </c>
      <c r="L64" s="16"/>
      <c r="M64" s="16"/>
    </row>
    <row r="65" spans="8:13" ht="15" customHeight="1" x14ac:dyDescent="0.3">
      <c r="H65" s="119"/>
      <c r="I65" s="17"/>
      <c r="J65" s="17"/>
      <c r="K65" s="17" t="s">
        <v>214</v>
      </c>
      <c r="L65" s="17"/>
      <c r="M65" s="17"/>
    </row>
    <row r="66" spans="8:13" ht="15" customHeight="1" x14ac:dyDescent="0.3">
      <c r="H66" s="119"/>
      <c r="I66" s="16"/>
      <c r="J66" s="16"/>
      <c r="K66" s="16" t="s">
        <v>215</v>
      </c>
      <c r="L66" s="16"/>
      <c r="M66" s="16"/>
    </row>
    <row r="67" spans="8:13" ht="15" customHeight="1" x14ac:dyDescent="0.3">
      <c r="H67" s="119"/>
      <c r="I67" s="17"/>
      <c r="J67" s="17"/>
      <c r="K67" s="17" t="s">
        <v>216</v>
      </c>
      <c r="L67" s="17"/>
      <c r="M67" s="17"/>
    </row>
    <row r="68" spans="8:13" ht="15" customHeight="1" x14ac:dyDescent="0.3">
      <c r="H68" s="119"/>
      <c r="I68" s="16"/>
      <c r="J68" s="16"/>
      <c r="K68" s="16" t="s">
        <v>217</v>
      </c>
      <c r="L68" s="16"/>
      <c r="M68" s="16"/>
    </row>
    <row r="69" spans="8:13" ht="15" customHeight="1" x14ac:dyDescent="0.3">
      <c r="H69" s="119"/>
      <c r="I69" s="17"/>
      <c r="J69" s="17"/>
      <c r="K69" s="17" t="s">
        <v>218</v>
      </c>
      <c r="L69" s="17"/>
      <c r="M69" s="17"/>
    </row>
    <row r="70" spans="8:13" ht="15" customHeight="1" x14ac:dyDescent="0.3">
      <c r="H70" s="119"/>
      <c r="I70" s="16"/>
      <c r="J70" s="16"/>
      <c r="K70" s="16" t="s">
        <v>219</v>
      </c>
      <c r="L70" s="16"/>
      <c r="M70" s="16"/>
    </row>
    <row r="71" spans="8:13" ht="15" customHeight="1" x14ac:dyDescent="0.3">
      <c r="H71" s="119"/>
      <c r="I71" s="17"/>
      <c r="J71" s="17"/>
      <c r="K71" s="17" t="s">
        <v>220</v>
      </c>
      <c r="L71" s="17"/>
      <c r="M71" s="17"/>
    </row>
    <row r="72" spans="8:13" ht="15" customHeight="1" x14ac:dyDescent="0.3">
      <c r="H72" s="119"/>
      <c r="I72" s="16"/>
      <c r="J72" s="16"/>
      <c r="K72" s="16" t="s">
        <v>221</v>
      </c>
      <c r="L72" s="16"/>
      <c r="M72" s="16"/>
    </row>
    <row r="73" spans="8:13" ht="15" customHeight="1" x14ac:dyDescent="0.3">
      <c r="H73" s="119"/>
      <c r="I73" s="17"/>
      <c r="J73" s="17"/>
      <c r="K73" s="17" t="s">
        <v>222</v>
      </c>
      <c r="L73" s="17"/>
      <c r="M73" s="17"/>
    </row>
    <row r="74" spans="8:13" ht="15" customHeight="1" x14ac:dyDescent="0.3">
      <c r="H74" s="119"/>
      <c r="I74" s="16"/>
      <c r="J74" s="16"/>
      <c r="K74" s="16" t="s">
        <v>223</v>
      </c>
      <c r="L74" s="16"/>
      <c r="M74" s="16"/>
    </row>
    <row r="75" spans="8:13" ht="15" customHeight="1" x14ac:dyDescent="0.3">
      <c r="H75" s="119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7" activePane="bottomLeft" state="frozen"/>
      <selection pane="bottomLeft" activeCell="R268" sqref="R268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321</v>
      </c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322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323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4" activePane="bottomLeft" state="frozen"/>
      <selection pane="bottomLeft" activeCell="F255" sqref="F255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0.18120787036605179</v>
      </c>
      <c r="N53" s="46" t="s">
        <v>262</v>
      </c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0.32009675925494069</v>
      </c>
      <c r="N54" s="36" t="s">
        <v>236</v>
      </c>
      <c r="O54" s="84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0.404818981477163</v>
      </c>
      <c r="N55" s="40" t="s">
        <v>240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1.1068981482821982E-2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1.1068981482821982E-2</v>
      </c>
      <c r="N284" s="36" t="s">
        <v>236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1.1068981482821982E-2</v>
      </c>
      <c r="N298" s="40" t="s">
        <v>240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3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3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9" zoomScale="50" zoomScaleNormal="50" workbookViewId="0">
      <selection activeCell="F255" sqref="F255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263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0.10829120370181045</v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0.170096759257366</v>
      </c>
      <c r="N270" s="36" t="s">
        <v>236</v>
      </c>
      <c r="O270" s="39">
        <v>327900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0.23120787036847718</v>
      </c>
      <c r="N271" s="40" t="s">
        <v>240</v>
      </c>
      <c r="O271" s="48">
        <f>IFERROR(O257+O270,"")</f>
        <v>877340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1.1068981482821982E-2</v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1.1068981482821982E-2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1.1068981482821982E-2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43" activePane="bottomLeft" state="frozen"/>
      <selection pane="bottomLeft" activeCell="O271" sqref="O271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319</v>
      </c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320</v>
      </c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287</v>
      </c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/>
      <c r="M272" s="30">
        <f t="shared" ref="M272:M277" ca="1" si="61">IFERROR(IF(K272="","",IF(L272="",MOD(NOW()-K272,1),IF(L272&gt;=K272,L272-K272,L272+1-K272))),"")</f>
        <v>4.8189814770012163E-3</v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4.8189814770012163E-3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4.8189814770012163E-3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2026-08-11T11:15:56Z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