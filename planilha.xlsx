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401" documentId="8_{AF585B22-221D-4780-BB9C-493D365A6A02}" xr6:coauthVersionLast="47" xr6:coauthVersionMax="47" xr10:uidLastSave="{4D8E92C5-26D9-450C-B458-8ADEB9485E78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<sst xmlns="http://schemas.openxmlformats.org/spreadsheetml/2006/main" count="4152" uniqueCount="279">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</sst>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3" sqref="G13:G34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1436170</v>
      </c>
      <c r="D12" s="8">
        <f>IFERROR('Linha 1'!O244,"")</f>
        <v>482110</v>
      </c>
      <c r="E12" s="8">
        <f>IFERROR('Linha 2'!O244,"")</f>
        <v>469520</v>
      </c>
      <c r="F12" s="8">
        <f>IFERROR('Linha 3'!O244,"")</f>
        <v>587230</v>
      </c>
      <c r="G12" s="9">
        <f t="shared" si="0"/>
        <v>1538860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24777850</v>
      </c>
      <c r="D35" s="13">
        <f>IFERROR(SUM(D4:D34),"")</f>
        <v>8369450</v>
      </c>
      <c r="E35" s="13">
        <f>IFERROR(SUM(E4:E34),"")</f>
        <v>5901340</v>
      </c>
      <c r="F35" s="13">
        <f>IFERROR(SUM(F4:F34),"")</f>
        <v>10527840</v>
      </c>
      <c r="G35" s="13">
        <f>IFERROR(SUM(G4:G34),"")</f>
        <v>24798630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7" sqref="I1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/>
    </row>
    <row r="53" spans="1:13" ht="36" customHeight="1">
      <c r="H53" s="101"/>
      <c r="I53" s="17"/>
      <c r="J53" s="17"/>
      <c r="K53" s="17" t="s">
        <v>193</v>
      </c>
      <c r="L53" s="17"/>
      <c r="M53" s="17"/>
    </row>
    <row r="54" spans="1:13" ht="15" customHeight="1">
      <c r="H54" s="101"/>
      <c r="I54" s="16"/>
      <c r="J54" s="16"/>
      <c r="K54" s="16" t="s">
        <v>194</v>
      </c>
      <c r="L54" s="16"/>
      <c r="M54" s="16"/>
    </row>
    <row r="55" spans="1:13" ht="15" customHeight="1">
      <c r="H55" s="101"/>
      <c r="I55" s="17"/>
      <c r="J55" s="17"/>
      <c r="K55" s="17" t="s">
        <v>195</v>
      </c>
      <c r="L55" s="17"/>
      <c r="M55" s="17"/>
    </row>
    <row r="56" spans="1:13" ht="15" customHeight="1">
      <c r="H56" s="101"/>
      <c r="I56" s="16"/>
      <c r="J56" s="16"/>
      <c r="K56" s="16" t="s">
        <v>196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197</v>
      </c>
      <c r="L58" s="16"/>
      <c r="M58" s="16"/>
    </row>
    <row r="59" spans="1:13" ht="15" customHeight="1">
      <c r="H59" s="101"/>
      <c r="I59" s="17"/>
      <c r="J59" s="17"/>
      <c r="K59" s="17" t="s">
        <v>198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/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216" activePane="bottomLeft" state="frozen"/>
      <selection pane="bottomLeft" activeCell="D232" sqref="D232:D24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209</v>
      </c>
      <c r="E2" s="59" t="s">
        <v>210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213</v>
      </c>
      <c r="O27" s="39">
        <v>1183060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213</v>
      </c>
      <c r="O54" s="39">
        <v>959290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213</v>
      </c>
      <c r="O81" s="39">
        <v>878050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213</v>
      </c>
      <c r="O108" s="39">
        <v>1700000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213</v>
      </c>
      <c r="O135" s="39">
        <v>862330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213</v>
      </c>
      <c r="O162" s="44">
        <v>1546080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213</v>
      </c>
      <c r="O189" s="39">
        <v>2355810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213</v>
      </c>
      <c r="O216" s="45">
        <v>2013260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210</v>
      </c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210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210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210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210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210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210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210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210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79</v>
      </c>
      <c r="G243" s="36">
        <f>SUM(G231:G242)</f>
        <v>395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213</v>
      </c>
      <c r="O243" s="39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317</v>
      </c>
      <c r="G244" s="40">
        <f>G230+G243</f>
        <v>1585</v>
      </c>
      <c r="H244" s="41"/>
      <c r="I244" s="41"/>
      <c r="J244" s="41"/>
      <c r="K244" s="41"/>
      <c r="L244" s="41"/>
      <c r="M244" s="42">
        <f ca="1">IFERROR(M230+M243,"")</f>
        <v>7.8472222222222221E-2</v>
      </c>
      <c r="N244" s="40" t="s">
        <v>216</v>
      </c>
      <c r="O244" s="48">
        <f>IFERROR(O230+O243,"")</f>
        <v>1436170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39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09" activePane="bottomLeft" state="frozen"/>
      <selection pane="bottomLeft" activeCell="F235" sqref="F23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213</v>
      </c>
      <c r="O27" s="78">
        <v>393200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222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213</v>
      </c>
      <c r="O54" s="85">
        <v>276360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213</v>
      </c>
      <c r="O81" s="54">
        <v>787860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213</v>
      </c>
      <c r="O108" s="54">
        <v>1087080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194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194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213</v>
      </c>
      <c r="O135" s="54">
        <v>794480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194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213</v>
      </c>
      <c r="O162" s="54">
        <v>882280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213</v>
      </c>
      <c r="O189" s="78"/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213</v>
      </c>
      <c r="O216" s="78">
        <v>648410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5</v>
      </c>
      <c r="G232" s="28">
        <f t="shared" si="51"/>
        <v>21</v>
      </c>
      <c r="H232" s="26" t="s">
        <v>16</v>
      </c>
      <c r="I232" s="26" t="s">
        <v>31</v>
      </c>
      <c r="J232" s="26" t="s">
        <v>243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/>
      <c r="M233" s="35">
        <f t="shared" ca="1" si="52"/>
        <v>2.4055208334175404E-2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8</v>
      </c>
      <c r="G234" s="28">
        <f t="shared" si="51"/>
        <v>33.6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29</v>
      </c>
      <c r="G243" s="36">
        <f>SUM(G231:G242)</f>
        <v>121.80000000000001</v>
      </c>
      <c r="H243" s="37"/>
      <c r="I243" s="37"/>
      <c r="J243" s="37"/>
      <c r="K243" s="37"/>
      <c r="L243" s="37"/>
      <c r="M243" s="38">
        <f ca="1">IFERROR(SUM(M231:M242),"")</f>
        <v>0.11086076388973098</v>
      </c>
      <c r="N243" s="36" t="s">
        <v>213</v>
      </c>
      <c r="O243" s="78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144</v>
      </c>
      <c r="G244" s="40">
        <f>G230+G243</f>
        <v>604.79999999999995</v>
      </c>
      <c r="H244" s="41"/>
      <c r="I244" s="41"/>
      <c r="J244" s="41"/>
      <c r="K244" s="41"/>
      <c r="L244" s="41"/>
      <c r="M244" s="42">
        <f ca="1">IFERROR(M230+M243,"")</f>
        <v>0.44141631944528648</v>
      </c>
      <c r="N244" s="40" t="s">
        <v>216</v>
      </c>
      <c r="O244" s="84">
        <f>IFERROR(O230+O243,"")</f>
        <v>482110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78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78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78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78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78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78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78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78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78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78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78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78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78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78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78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78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78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78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16" zoomScale="50" zoomScaleNormal="50" workbookViewId="0">
      <selection activeCell="F235" sqref="F23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213</v>
      </c>
      <c r="O27" s="39">
        <v>308500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213</v>
      </c>
      <c r="O54" s="39">
        <v>124290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213</v>
      </c>
      <c r="O81" s="39">
        <v>396340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213</v>
      </c>
      <c r="O108" s="39">
        <v>41230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213</v>
      </c>
      <c r="O135" s="39">
        <v>381250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213</v>
      </c>
      <c r="O162" s="39">
        <v>337120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252</v>
      </c>
      <c r="N166" s="27" t="s">
        <v>253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213</v>
      </c>
      <c r="O189" s="39">
        <v>747210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213</v>
      </c>
      <c r="O216" s="39">
        <v>468430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/>
      <c r="M231" s="35">
        <f t="shared" ref="M231:M242" ca="1" si="52">IFERROR(IF(K231="","",IF(L231="",MOD(NOW()-K231,1),IF(L231&gt;=K231,L231-K231,L231+1-K231))),"")</f>
        <v>2.4055208334175404E-2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7</v>
      </c>
      <c r="G232" s="28">
        <f t="shared" si="51"/>
        <v>29.400000000000002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14</v>
      </c>
      <c r="G233" s="34">
        <f t="shared" si="51"/>
        <v>58.800000000000004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4</v>
      </c>
      <c r="G234" s="28">
        <f t="shared" si="51"/>
        <v>16.8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45</v>
      </c>
      <c r="G243" s="36">
        <f>SUM(G231:G242)</f>
        <v>189.00000000000003</v>
      </c>
      <c r="H243" s="37"/>
      <c r="I243" s="37"/>
      <c r="J243" s="37"/>
      <c r="K243" s="37"/>
      <c r="L243" s="37"/>
      <c r="M243" s="38">
        <f ca="1">IFERROR(SUM(M231:M242),"")</f>
        <v>2.4055208334175404E-2</v>
      </c>
      <c r="N243" s="36" t="s">
        <v>213</v>
      </c>
      <c r="O243" s="39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147</v>
      </c>
      <c r="G244" s="40">
        <f>G230+G243</f>
        <v>617.4</v>
      </c>
      <c r="H244" s="41"/>
      <c r="I244" s="41"/>
      <c r="J244" s="41"/>
      <c r="K244" s="41"/>
      <c r="L244" s="41"/>
      <c r="M244" s="42">
        <f ca="1">IFERROR(M230+M243,"")</f>
        <v>5.9471875000842167E-2</v>
      </c>
      <c r="N244" s="40" t="s">
        <v>216</v>
      </c>
      <c r="O244" s="48">
        <f>IFERROR(O230+O243,"")</f>
        <v>469520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39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10" activePane="bottomLeft" state="frozen"/>
      <selection pane="bottomLeft" activeCell="F235" sqref="F23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213</v>
      </c>
      <c r="O27" s="39">
        <v>202230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213</v>
      </c>
      <c r="O54" s="39">
        <v>473910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259</v>
      </c>
      <c r="L58" s="29">
        <v>0.54097222222222219</v>
      </c>
      <c r="M58" s="30" t="str">
        <f t="shared" ca="1" si="13"/>
        <v/>
      </c>
      <c r="N58" s="27" t="s">
        <v>260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213</v>
      </c>
      <c r="O81" s="39">
        <v>565120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213</v>
      </c>
      <c r="O108" s="39">
        <v>558590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194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196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0.71224965278088348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0.9115552083364391</v>
      </c>
      <c r="N135" s="36" t="s">
        <v>213</v>
      </c>
      <c r="O135" s="39">
        <v>729290</v>
      </c>
    </row>
    <row r="136" spans="1:18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1.2789163194475501</v>
      </c>
      <c r="N136" s="40" t="s">
        <v>216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213</v>
      </c>
      <c r="O162" s="39">
        <v>697320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222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222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222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222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213</v>
      </c>
      <c r="O189" s="39">
        <v>973580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222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222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272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222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273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274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213</v>
      </c>
      <c r="O216" s="45">
        <v>1060630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275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276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222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277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21</v>
      </c>
      <c r="G232" s="28">
        <f t="shared" si="51"/>
        <v>88.2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278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1</v>
      </c>
      <c r="G233" s="34">
        <f t="shared" si="51"/>
        <v>4.2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20</v>
      </c>
      <c r="G234" s="28">
        <f t="shared" si="51"/>
        <v>84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65</v>
      </c>
      <c r="G243" s="36">
        <f>SUM(G231:G242)</f>
        <v>273</v>
      </c>
      <c r="H243" s="37"/>
      <c r="I243" s="37"/>
      <c r="J243" s="37"/>
      <c r="K243" s="61"/>
      <c r="L243" s="61"/>
      <c r="M243" s="38">
        <f ca="1">IFERROR(SUM(M231:M242),"")</f>
        <v>5.9722222222222232E-2</v>
      </c>
      <c r="N243" s="36" t="s">
        <v>213</v>
      </c>
      <c r="O243" s="39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183</v>
      </c>
      <c r="G244" s="40">
        <f>G230+G243</f>
        <v>768.6</v>
      </c>
      <c r="H244" s="41"/>
      <c r="I244" s="41"/>
      <c r="J244" s="41"/>
      <c r="K244" s="63"/>
      <c r="L244" s="63"/>
      <c r="M244" s="42">
        <f ca="1">IFERROR(M230+M243,"")</f>
        <v>0.2562500000000002</v>
      </c>
      <c r="N244" s="40" t="s">
        <v>216</v>
      </c>
      <c r="O244" s="48">
        <f>IFERROR(O230+O243,"")</f>
        <v>587230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213</v>
      </c>
      <c r="O432" s="39"/>
    </row>
    <row r="433" spans="1:17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2026-07-10T03:04:44Z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