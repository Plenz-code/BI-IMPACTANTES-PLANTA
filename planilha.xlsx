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00" documentId="8_{AF585B22-221D-4780-BB9C-493D365A6A02}" xr6:coauthVersionLast="47" xr6:coauthVersionMax="47" xr10:uidLastSave="{0B7E0F12-5C44-4FFF-BF44-00495BD0F913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24" i="3" l="1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4" i="4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G769" i="4"/>
  <c r="G768" i="4"/>
  <c r="G767" i="4"/>
  <c r="G766" i="4"/>
  <c r="G765" i="4"/>
  <c r="G764" i="4"/>
  <c r="G763" i="4"/>
  <c r="G762" i="4"/>
  <c r="G761" i="4"/>
  <c r="G760" i="4"/>
  <c r="G759" i="4"/>
  <c r="G770" i="4" s="1"/>
  <c r="G784" i="4" s="1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F730" i="4" s="1"/>
  <c r="G728" i="4"/>
  <c r="G727" i="4"/>
  <c r="G726" i="4"/>
  <c r="G725" i="4"/>
  <c r="G724" i="4"/>
  <c r="G723" i="4"/>
  <c r="G722" i="4"/>
  <c r="G721" i="4"/>
  <c r="G720" i="4"/>
  <c r="G729" i="4" s="1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89" i="4" s="1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F649" i="4" s="1"/>
  <c r="G647" i="4"/>
  <c r="G646" i="4"/>
  <c r="G645" i="4"/>
  <c r="G644" i="4"/>
  <c r="G643" i="4"/>
  <c r="G642" i="4"/>
  <c r="G641" i="4"/>
  <c r="G648" i="4" s="1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G649" i="4" s="1"/>
  <c r="G621" i="4"/>
  <c r="F621" i="4"/>
  <c r="G620" i="4"/>
  <c r="G619" i="4"/>
  <c r="G618" i="4"/>
  <c r="G617" i="4"/>
  <c r="G616" i="4"/>
  <c r="G614" i="4"/>
  <c r="G613" i="4"/>
  <c r="G612" i="4"/>
  <c r="G611" i="4"/>
  <c r="G610" i="4"/>
  <c r="G609" i="4"/>
  <c r="F608" i="4"/>
  <c r="F622" i="4" s="1"/>
  <c r="G607" i="4"/>
  <c r="G606" i="4"/>
  <c r="G605" i="4"/>
  <c r="G604" i="4"/>
  <c r="G603" i="4"/>
  <c r="G602" i="4"/>
  <c r="G601" i="4"/>
  <c r="G600" i="4"/>
  <c r="G608" i="4" s="1"/>
  <c r="G622" i="4" s="1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G581" i="4"/>
  <c r="G595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F567" i="4"/>
  <c r="F568" i="4" s="1"/>
  <c r="G566" i="4"/>
  <c r="G567" i="4" s="1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7" i="4" s="1"/>
  <c r="G541" i="4" s="1"/>
  <c r="G525" i="4"/>
  <c r="G524" i="4"/>
  <c r="G523" i="4"/>
  <c r="G522" i="4"/>
  <c r="G521" i="4"/>
  <c r="G520" i="4"/>
  <c r="G519" i="4"/>
  <c r="G518" i="4"/>
  <c r="G517" i="4"/>
  <c r="G516" i="4"/>
  <c r="G515" i="4"/>
  <c r="F513" i="4"/>
  <c r="F514" i="4" s="1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7" i="4"/>
  <c r="G486" i="4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F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G446" i="4"/>
  <c r="G460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F432" i="4"/>
  <c r="F433" i="4" s="1"/>
  <c r="G431" i="4"/>
  <c r="G430" i="4"/>
  <c r="G429" i="4"/>
  <c r="G428" i="4"/>
  <c r="G427" i="4"/>
  <c r="G426" i="4"/>
  <c r="G425" i="4"/>
  <c r="G424" i="4"/>
  <c r="G423" i="4"/>
  <c r="G422" i="4"/>
  <c r="G432" i="4" s="1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92" i="4" s="1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78" i="4" s="1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G379" i="4" s="1"/>
  <c r="F351" i="4"/>
  <c r="F352" i="4" s="1"/>
  <c r="G350" i="4"/>
  <c r="G349" i="4"/>
  <c r="G348" i="4"/>
  <c r="G347" i="4"/>
  <c r="G346" i="4"/>
  <c r="G345" i="4"/>
  <c r="G344" i="4"/>
  <c r="G343" i="4"/>
  <c r="G351" i="4" s="1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38" i="4" s="1"/>
  <c r="G352" i="4" s="1"/>
  <c r="G326" i="4"/>
  <c r="G324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F311" i="4"/>
  <c r="F325" i="4" s="1"/>
  <c r="G310" i="4"/>
  <c r="G309" i="4"/>
  <c r="G308" i="4"/>
  <c r="G307" i="4"/>
  <c r="G306" i="4"/>
  <c r="G305" i="4"/>
  <c r="G304" i="4"/>
  <c r="G303" i="4"/>
  <c r="G311" i="4" s="1"/>
  <c r="G325" i="4" s="1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G284" i="4"/>
  <c r="G298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F270" i="4"/>
  <c r="F271" i="4" s="1"/>
  <c r="G269" i="4"/>
  <c r="G270" i="4" s="1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G271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30" i="4" s="1"/>
  <c r="G244" i="4" s="1"/>
  <c r="G228" i="4"/>
  <c r="G227" i="4"/>
  <c r="G226" i="4"/>
  <c r="G225" i="4"/>
  <c r="G224" i="4"/>
  <c r="G223" i="4"/>
  <c r="G222" i="4"/>
  <c r="G221" i="4"/>
  <c r="G220" i="4"/>
  <c r="G219" i="4"/>
  <c r="G218" i="4"/>
  <c r="F216" i="4"/>
  <c r="F217" i="4" s="1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90" i="4"/>
  <c r="G189" i="4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F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G149" i="4"/>
  <c r="G163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F135" i="4"/>
  <c r="F136" i="4" s="1"/>
  <c r="G134" i="4"/>
  <c r="G133" i="4"/>
  <c r="G132" i="4"/>
  <c r="G131" i="4"/>
  <c r="G130" i="4"/>
  <c r="G129" i="4"/>
  <c r="G128" i="4"/>
  <c r="G127" i="4"/>
  <c r="G126" i="4"/>
  <c r="G125" i="4"/>
  <c r="G135" i="4" s="1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G136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95" i="4" s="1"/>
  <c r="G109" i="4" s="1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81" i="4" s="1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G82" i="4" s="1"/>
  <c r="F54" i="4"/>
  <c r="F55" i="4" s="1"/>
  <c r="G53" i="4"/>
  <c r="G52" i="4"/>
  <c r="G51" i="4"/>
  <c r="G50" i="4"/>
  <c r="G49" i="4"/>
  <c r="G48" i="4"/>
  <c r="G47" i="4"/>
  <c r="G46" i="4"/>
  <c r="G54" i="4" s="1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41" i="4" s="1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F55" i="5" s="1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7" i="4"/>
  <c r="B788" i="4" s="1"/>
  <c r="B789" i="4" s="1"/>
  <c r="B790" i="4" s="1"/>
  <c r="B791" i="4" s="1"/>
  <c r="B792" i="4" s="1"/>
  <c r="B793" i="4" s="1"/>
  <c r="B794" i="4" s="1"/>
  <c r="B795" i="4" s="1"/>
  <c r="B796" i="4" s="1"/>
  <c r="B786" i="4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69" i="4"/>
  <c r="B760" i="4"/>
  <c r="B761" i="4" s="1"/>
  <c r="B762" i="4" s="1"/>
  <c r="B763" i="4" s="1"/>
  <c r="B764" i="4" s="1"/>
  <c r="B765" i="4" s="1"/>
  <c r="B766" i="4" s="1"/>
  <c r="B767" i="4" s="1"/>
  <c r="B768" i="4" s="1"/>
  <c r="B759" i="4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E730" i="4" s="1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E703" i="4" s="1"/>
  <c r="B692" i="4"/>
  <c r="B693" i="4" s="1"/>
  <c r="B694" i="4" s="1"/>
  <c r="B695" i="4" s="1"/>
  <c r="B696" i="4" s="1"/>
  <c r="B697" i="4" s="1"/>
  <c r="B698" i="4" s="1"/>
  <c r="B699" i="4" s="1"/>
  <c r="B700" i="4" s="1"/>
  <c r="B701" i="4" s="1"/>
  <c r="B691" i="4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6" i="4"/>
  <c r="E675" i="4"/>
  <c r="B665" i="4"/>
  <c r="B666" i="4" s="1"/>
  <c r="B667" i="4" s="1"/>
  <c r="B668" i="4" s="1"/>
  <c r="B669" i="4" s="1"/>
  <c r="B670" i="4" s="1"/>
  <c r="B671" i="4" s="1"/>
  <c r="B672" i="4" s="1"/>
  <c r="B673" i="4" s="1"/>
  <c r="B674" i="4" s="1"/>
  <c r="B664" i="4"/>
  <c r="E662" i="4"/>
  <c r="B652" i="4"/>
  <c r="B653" i="4" s="1"/>
  <c r="B654" i="4" s="1"/>
  <c r="B655" i="4" s="1"/>
  <c r="B656" i="4" s="1"/>
  <c r="B657" i="4" s="1"/>
  <c r="B658" i="4" s="1"/>
  <c r="B659" i="4" s="1"/>
  <c r="B660" i="4" s="1"/>
  <c r="B661" i="4" s="1"/>
  <c r="B651" i="4"/>
  <c r="E648" i="4"/>
  <c r="E649" i="4" s="1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60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7" i="4"/>
  <c r="B558" i="4" s="1"/>
  <c r="B559" i="4" s="1"/>
  <c r="B560" i="4" s="1"/>
  <c r="B561" i="4" s="1"/>
  <c r="B562" i="4" s="1"/>
  <c r="B563" i="4" s="1"/>
  <c r="B564" i="4" s="1"/>
  <c r="B565" i="4" s="1"/>
  <c r="B566" i="4" s="1"/>
  <c r="B556" i="4"/>
  <c r="E554" i="4"/>
  <c r="E568" i="4" s="1"/>
  <c r="B544" i="4"/>
  <c r="B545" i="4" s="1"/>
  <c r="B546" i="4" s="1"/>
  <c r="B547" i="4" s="1"/>
  <c r="B548" i="4" s="1"/>
  <c r="B549" i="4" s="1"/>
  <c r="B550" i="4" s="1"/>
  <c r="B551" i="4" s="1"/>
  <c r="B552" i="4" s="1"/>
  <c r="B553" i="4" s="1"/>
  <c r="B543" i="4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E514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7" i="4"/>
  <c r="E486" i="4"/>
  <c r="B480" i="4"/>
  <c r="B481" i="4" s="1"/>
  <c r="B482" i="4" s="1"/>
  <c r="B483" i="4" s="1"/>
  <c r="B484" i="4" s="1"/>
  <c r="B485" i="4" s="1"/>
  <c r="B475" i="4"/>
  <c r="B476" i="4" s="1"/>
  <c r="B477" i="4" s="1"/>
  <c r="B478" i="4" s="1"/>
  <c r="B479" i="4" s="1"/>
  <c r="E473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E460" i="4" s="1"/>
  <c r="B449" i="4"/>
  <c r="B450" i="4" s="1"/>
  <c r="B451" i="4" s="1"/>
  <c r="B452" i="4" s="1"/>
  <c r="B453" i="4" s="1"/>
  <c r="B454" i="4" s="1"/>
  <c r="B455" i="4" s="1"/>
  <c r="B456" i="4" s="1"/>
  <c r="B457" i="4" s="1"/>
  <c r="B458" i="4" s="1"/>
  <c r="B448" i="4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11" i="4"/>
  <c r="B412" i="4" s="1"/>
  <c r="B413" i="4" s="1"/>
  <c r="B414" i="4" s="1"/>
  <c r="B415" i="4" s="1"/>
  <c r="B416" i="4" s="1"/>
  <c r="B417" i="4" s="1"/>
  <c r="B418" i="4" s="1"/>
  <c r="B410" i="4"/>
  <c r="B409" i="4"/>
  <c r="B408" i="4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B367" i="4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E325" i="4" s="1"/>
  <c r="B314" i="4"/>
  <c r="B315" i="4" s="1"/>
  <c r="B316" i="4" s="1"/>
  <c r="B317" i="4" s="1"/>
  <c r="B318" i="4" s="1"/>
  <c r="B319" i="4" s="1"/>
  <c r="B320" i="4" s="1"/>
  <c r="B321" i="4" s="1"/>
  <c r="B322" i="4" s="1"/>
  <c r="B323" i="4" s="1"/>
  <c r="B313" i="4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E298" i="4" s="1"/>
  <c r="B290" i="4"/>
  <c r="B291" i="4" s="1"/>
  <c r="B292" i="4" s="1"/>
  <c r="B293" i="4" s="1"/>
  <c r="B294" i="4" s="1"/>
  <c r="B295" i="4" s="1"/>
  <c r="B296" i="4" s="1"/>
  <c r="B286" i="4"/>
  <c r="B287" i="4" s="1"/>
  <c r="B288" i="4" s="1"/>
  <c r="B289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E271" i="4" s="1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7" i="4"/>
  <c r="B248" i="4" s="1"/>
  <c r="B249" i="4" s="1"/>
  <c r="B250" i="4" s="1"/>
  <c r="B251" i="4" s="1"/>
  <c r="B252" i="4" s="1"/>
  <c r="B253" i="4" s="1"/>
  <c r="B254" i="4" s="1"/>
  <c r="B255" i="4" s="1"/>
  <c r="B256" i="4" s="1"/>
  <c r="B246" i="4"/>
  <c r="E243" i="4"/>
  <c r="E244" i="4" s="1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5" i="4"/>
  <c r="B196" i="4" s="1"/>
  <c r="B197" i="4" s="1"/>
  <c r="B198" i="4" s="1"/>
  <c r="B199" i="4" s="1"/>
  <c r="B200" i="4" s="1"/>
  <c r="B201" i="4" s="1"/>
  <c r="B202" i="4" s="1"/>
  <c r="B193" i="4"/>
  <c r="B194" i="4" s="1"/>
  <c r="B192" i="4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B165" i="4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E136" i="4" s="1"/>
  <c r="B125" i="4"/>
  <c r="B126" i="4" s="1"/>
  <c r="B127" i="4" s="1"/>
  <c r="B128" i="4" s="1"/>
  <c r="B129" i="4" s="1"/>
  <c r="B130" i="4" s="1"/>
  <c r="B131" i="4" s="1"/>
  <c r="B132" i="4" s="1"/>
  <c r="B133" i="4" s="1"/>
  <c r="B134" i="4" s="1"/>
  <c r="B124" i="4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9" i="4"/>
  <c r="E108" i="4"/>
  <c r="B98" i="4"/>
  <c r="B99" i="4" s="1"/>
  <c r="B100" i="4" s="1"/>
  <c r="B101" i="4" s="1"/>
  <c r="B102" i="4" s="1"/>
  <c r="B103" i="4" s="1"/>
  <c r="B104" i="4" s="1"/>
  <c r="B105" i="4" s="1"/>
  <c r="B106" i="4" s="1"/>
  <c r="B107" i="4" s="1"/>
  <c r="B97" i="4"/>
  <c r="E95" i="4"/>
  <c r="B85" i="4"/>
  <c r="B86" i="4" s="1"/>
  <c r="B87" i="4" s="1"/>
  <c r="B88" i="4" s="1"/>
  <c r="B89" i="4" s="1"/>
  <c r="B90" i="4" s="1"/>
  <c r="B91" i="4" s="1"/>
  <c r="B92" i="4" s="1"/>
  <c r="B93" i="4" s="1"/>
  <c r="B94" i="4" s="1"/>
  <c r="B84" i="4"/>
  <c r="E81" i="4"/>
  <c r="E82" i="4" s="1"/>
  <c r="B71" i="4"/>
  <c r="B72" i="4" s="1"/>
  <c r="B73" i="4" s="1"/>
  <c r="B74" i="4" s="1"/>
  <c r="B75" i="4" s="1"/>
  <c r="B76" i="4" s="1"/>
  <c r="B77" i="4" s="1"/>
  <c r="B78" i="4" s="1"/>
  <c r="B79" i="4" s="1"/>
  <c r="B80" i="4" s="1"/>
  <c r="B70" i="4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E55" i="4" s="1"/>
  <c r="B52" i="4"/>
  <c r="B53" i="4" s="1"/>
  <c r="B43" i="4"/>
  <c r="B44" i="4" s="1"/>
  <c r="B45" i="4" s="1"/>
  <c r="B46" i="4" s="1"/>
  <c r="B47" i="4" s="1"/>
  <c r="B48" i="4" s="1"/>
  <c r="B49" i="4" s="1"/>
  <c r="B50" i="4" s="1"/>
  <c r="B51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5" i="4"/>
  <c r="B6" i="4" s="1"/>
  <c r="B7" i="4" s="1"/>
  <c r="B8" i="4" s="1"/>
  <c r="B9" i="4" s="1"/>
  <c r="B10" i="4" s="1"/>
  <c r="B11" i="4" s="1"/>
  <c r="B12" i="4" s="1"/>
  <c r="B13" i="4" s="1"/>
  <c r="B4" i="4"/>
  <c r="B3" i="4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G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G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6" i="5"/>
  <c r="M25" i="5"/>
  <c r="M24" i="5"/>
  <c r="M23" i="5"/>
  <c r="M22" i="5"/>
  <c r="M21" i="5"/>
  <c r="M20" i="5"/>
  <c r="M19" i="5"/>
  <c r="M18" i="5"/>
  <c r="M17" i="5"/>
  <c r="M16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O28" i="4"/>
  <c r="D4" i="1" s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G34" i="1" s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G19" i="1"/>
  <c r="F19" i="1"/>
  <c r="E19" i="1"/>
  <c r="D19" i="1"/>
  <c r="C19" i="1"/>
  <c r="E18" i="1"/>
  <c r="D18" i="1"/>
  <c r="G18" i="1" s="1"/>
  <c r="C18" i="1"/>
  <c r="D17" i="1"/>
  <c r="F16" i="1"/>
  <c r="C16" i="1"/>
  <c r="E15" i="1"/>
  <c r="D15" i="1"/>
  <c r="F14" i="1"/>
  <c r="G14" i="1" s="1"/>
  <c r="E14" i="1"/>
  <c r="D14" i="1"/>
  <c r="F13" i="1"/>
  <c r="D13" i="1"/>
  <c r="G13" i="1" s="1"/>
  <c r="C13" i="1"/>
  <c r="G12" i="1"/>
  <c r="C12" i="1"/>
  <c r="G11" i="1"/>
  <c r="F11" i="1"/>
  <c r="E10" i="1"/>
  <c r="G10" i="1" s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5" i="6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14" i="5" l="1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460" i="3" l="1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<sst xmlns="http://schemas.openxmlformats.org/spreadsheetml/2006/main" count="1318" uniqueCount="201">
  <si>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</si>
  <si>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</si>
  <si>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</si>
  <si>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</si>
  <si>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</si>
  <si>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</si>
  <si>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</si>
  <si>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</si>
  <si>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</si>
  <si>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</si>
  <si>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</si>
  <si>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</si>
  <si>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</si>
  <si>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</si>
  <si>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</si>
  <si>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</si>
  <si>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</si>
  <si>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</si>
  <si>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</si>
  <si>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</si>
  <si>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</si>
  <si>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</si>
  <si>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</si>
  <si>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</si>
  <si>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</si>
  <si>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</si>
  <si>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</si>
  <si>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</si>
  <si>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</si>
  <si>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</si>
  <si>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</si>
  <si>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</si>
  <si>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</si>
  <si>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</si>
  <si>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</si>
  <si>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</si>
  <si>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</si>
  <si>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</si>
  <si>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</si>
  <si>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</si>
  <si>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</si>
  <si>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</si>
  <si>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</si>
  <si>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</si>
  <si>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</si>
  <si>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</si>
  <si>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</si>
  <si>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</si>
  <si>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</si>
  <si>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</si>
  <si>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</si>
  <si>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</si>
  <si>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</si>
  <si>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</si>
  <si>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</si>
  <si>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</si>
  <si>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</si>
  <si>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</si>
  <si>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</si>
  <si>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</si>
  <si>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</si>
  <si>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</si>
  <si>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</si>
  <si>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</si>
  <si>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</si>
  <si>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</si>
  <si>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</si>
  <si>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</si>
  <si>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</si>
  <si>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</si>
  <si>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</si>
  <si>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</si>
  <si>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</si>
  <si>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</si>
  <si>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</si>
  <si>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</si>
  <si>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</si>
  <si>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</si>
  <si>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</si>
  <si>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</si>
  <si>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</si>
  <si>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</si>
  <si>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</si>
  <si>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</si>
  <si>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</si>
  <si>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</si>
  <si>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</si>
  <si>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</si>
  <si>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</si>
  <si>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</si>
  <si>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</si>
  <si>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</si>
  <si>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</si>
  <si>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</si>
  <si>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</si>
  <si>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</si>
  <si>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</si>
  <si>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</si>
  <si>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</si>
  <si>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</si>
  <si>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</si>
  <si>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</si>
  <si>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</si>
  <si>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</si>
  <si>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</si>
  <si>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</si>
  <si>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</si>
  <si>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</si>
  <si>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</si>
  <si>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</si>
  <si>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</si>
  <si>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</si>
  <si>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</si>
  <si>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</si>
  <si>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</si>
  <si>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</si>
  <si>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</si>
  <si>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</si>
  <si>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</si>
  <si>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</si>
  <si>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</si>
  <si>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</si>
  <si>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</si>
  <si>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</si>
  <si>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</si>
  <si>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</si>
  <si>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</si>
  <si>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</si>
  <si>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</si>
  <si>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</si>
  <si>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</si>
  <si>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</si>
  <si>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</si>
  <si>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</si>
  <si>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</si>
  <si>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</si>
  <si>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</si>
  <si>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</si>
  <si>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</si>
  <si>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</si>
  <si>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</si>
  <si>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</si>
  <si>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</si>
  <si>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</si>
  <si>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</si>
  <si>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</si>
  <si>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</si>
  <si>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</si>
  <si>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</si>
  <si>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</si>
  <si>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</si>
  <si>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</si>
  <si>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</si>
  <si>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</si>
  <si>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</si>
  <si>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</si>
  <si>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</si>
  <si>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</si>
  <si>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</si>
  <si>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</si>
  <si>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</si>
  <si>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</si>
  <si>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</si>
  <si>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</si>
  <si>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</si>
  <si>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</si>
  <si>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</si>
  <si>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</si>
  <si>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</si>
  <si>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</si>
  <si>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</si>
  <si>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</si>
  <si>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</si>
  <si>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</si>
  <si>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</si>
  <si>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</si>
  <si>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</si>
  <si>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</si>
  <si>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</si>
  <si>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</si>
  <si>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</si>
  <si>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</si>
  <si>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</si>
  <si>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</si>
  <si>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</si>
  <si>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</si>
  <si>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</si>
  <si>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</si>
  <si>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</si>
  <si>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</si>
  <si>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</si>
  <si>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</si>
  <si>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</si>
  <si>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</si>
  <si>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</si>
  <si>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</si>
  <si>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solda na grelha</t>
  </si>
  <si>
    <t>solda na tampa do moinho</t>
  </si>
  <si>
    <t>manutençao no rolamento do moinho 4</t>
  </si>
  <si>
    <t>troca de martelo</t>
  </si>
  <si>
    <t>OBS: APENAS MM 05 EM OPERACÃO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</si>
</sst>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19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1" fillId="13" borderId="2" xfId="0" applyFont="1" applyFill="1" applyBorder="1" applyAlignment="1" applyProtection="1">
      <alignment horizontal="center" vertical="center" wrapText="1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3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1489420</v>
      </c>
      <c r="D4" s="8">
        <f>IFERROR('Linha 1'!O28,"")</f>
        <v>627260</v>
      </c>
      <c r="E4" s="8">
        <f>IFERROR('Linha 2'!O28,"")</f>
        <v>292530</v>
      </c>
      <c r="F4" s="8">
        <f>IFERROR('Linha 3'!O28,"")</f>
        <v>327070</v>
      </c>
      <c r="G4" s="9">
        <f t="shared" ref="G4:G34" si="0">IFERROR(D4+E4+F4,"")</f>
        <v>1246860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1489420</v>
      </c>
      <c r="D35" s="13">
        <f>IFERROR(SUM(D4:D34),"")</f>
        <v>627260</v>
      </c>
      <c r="E35" s="13">
        <f>IFERROR(SUM(E4:E34),"")</f>
        <v>292530</v>
      </c>
      <c r="F35" s="13">
        <f>IFERROR(SUM(F4:F34),"")</f>
        <v>327070</v>
      </c>
      <c r="G35" s="13">
        <f>IFERROR(SUM(G4:G34),"")</f>
        <v>1246860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51" sqref="I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176</v>
      </c>
      <c r="L50" s="16"/>
      <c r="M50" s="16"/>
    </row>
    <row r="51" spans="1:13" ht="24" customHeight="1">
      <c r="H51" s="87"/>
      <c r="I51" s="17"/>
      <c r="J51" s="17"/>
      <c r="K51" s="17"/>
      <c r="L51" s="17"/>
      <c r="M51" s="17"/>
    </row>
    <row r="52" spans="1:13" ht="24" customHeight="1">
      <c r="H52" s="87"/>
      <c r="I52" s="16"/>
      <c r="J52" s="16"/>
      <c r="K52" s="16"/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9" activePane="bottomLeft" state="frozen"/>
      <selection pane="bottomLeft" activeCell="F27" sqref="F2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187</v>
      </c>
      <c r="E2" s="59" t="s">
        <v>188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189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188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188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188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188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188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188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188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188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188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188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188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188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188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188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188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188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188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188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188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188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188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188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188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194</v>
      </c>
      <c r="O28" s="43">
        <f>IFERROR(O14+O27,"")</f>
        <v>1489420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4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" activePane="bottomLeft" state="frozen"/>
      <selection pane="bottomLeft" activeCell="F27" sqref="F2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99.42578125" style="20" customWidth="1"/>
    <col min="15" max="15" width="20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191</v>
      </c>
      <c r="O14" s="54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89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191</v>
      </c>
      <c r="O27" s="54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194</v>
      </c>
      <c r="O28" s="43">
        <f>IFERROR(O14+O27,"")</f>
        <v>627260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54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54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54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54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5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9" activePane="bottomLeft" state="frozen"/>
      <selection pane="bottomLeft" activeCell="F27" sqref="F2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196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197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/>
      <c r="M15" s="35"/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0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0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0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0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0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5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0.16736111111111113</v>
      </c>
      <c r="N28" s="40" t="s">
        <v>194</v>
      </c>
      <c r="O28" s="43">
        <f>IFERROR(O14+O27,"")</f>
        <v>292530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39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9" activePane="bottomLeft" state="frozen"/>
      <selection pane="bottomLeft" activeCell="F27" sqref="F2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126.42578125" style="57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198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199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/>
      <c r="M16" s="30"/>
      <c r="N16" s="27" t="s">
        <v>200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3.0555555555555558E-2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0.25138888888888883</v>
      </c>
      <c r="N28" s="40" t="s">
        <v>194</v>
      </c>
      <c r="O28" s="48">
        <f>IFERROR(O14+O27,"")</f>
        <v>327070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194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194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194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194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191</v>
      </c>
      <c r="O432" s="39"/>
    </row>
    <row r="433" spans="1:17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2026-07-02T10:27:45Z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