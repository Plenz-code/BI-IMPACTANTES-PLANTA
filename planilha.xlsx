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17" documentId="8_{AF585B22-221D-4780-BB9C-493D365A6A02}" xr6:coauthVersionLast="47" xr6:coauthVersionMax="47" xr10:uidLastSave="{144E966F-034C-4A12-9579-BC4F088F142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<sst xmlns="http://schemas.openxmlformats.org/spreadsheetml/2006/main" count="12602" uniqueCount="447">
  <si>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</si>
  <si>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</si>
  <si>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</si>
  <si>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</si>
  <si>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</si>
  <si>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</si>
  <si>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</si>
  <si>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</si>
  <si>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</si>
  <si>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</si>
  <si>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</si>
  <si>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</si>
  <si>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</si>
  <si>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</si>
  <si>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</si>
  <si>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</si>
  <si>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</si>
  <si>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</si>
  <si>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</si>
  <si>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</si>
  <si>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</si>
  <si>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</si>
  <si>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</si>
  <si>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</si>
  <si>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</si>
  <si>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</si>
  <si>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</si>
  <si>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</si>
  <si>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</si>
  <si>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</si>
  <si>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</si>
  <si>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</si>
  <si>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</si>
  <si>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</si>
  <si>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</si>
  <si>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</si>
  <si>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</si>
  <si>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</si>
  <si>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</si>
  <si>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</si>
  <si>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</si>
  <si>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</si>
  <si>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</si>
  <si>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</si>
  <si>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</si>
  <si>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</si>
  <si>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</si>
  <si>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</si>
  <si>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</si>
  <si>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</si>
  <si>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</si>
  <si>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</si>
  <si>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</si>
  <si>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</si>
  <si>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</si>
  <si>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</si>
  <si>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</si>
  <si>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</si>
  <si>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</si>
  <si>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</si>
  <si>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</si>
  <si>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</si>
  <si>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</si>
  <si>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</si>
  <si>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</si>
  <si>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</si>
  <si>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</si>
  <si>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</si>
  <si>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</si>
  <si>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</si>
  <si>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</si>
  <si>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</si>
  <si>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</si>
  <si>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</si>
  <si>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</si>
  <si>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</si>
  <si>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</si>
  <si>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</si>
  <si>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</si>
  <si>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</si>
  <si>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</si>
  <si>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</si>
  <si>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</si>
  <si>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</si>
  <si>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</si>
  <si>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</si>
  <si>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</si>
  <si>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</si>
  <si>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</si>
  <si>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</si>
  <si>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</si>
  <si>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</si>
  <si>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</si>
  <si>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</si>
  <si>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</si>
  <si>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</si>
  <si>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</si>
  <si>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</si>
  <si>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</si>
  <si>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</si>
  <si>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</si>
  <si>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</si>
  <si>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</si>
  <si>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</si>
  <si>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</si>
  <si>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</si>
  <si>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</si>
  <si>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</si>
  <si>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</si>
  <si>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</si>
  <si>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</si>
  <si>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</si>
  <si>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</si>
  <si>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</si>
  <si>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</si>
  <si>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</si>
  <si>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</si>
  <si>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</si>
  <si>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</si>
  <si>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</si>
  <si>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</si>
  <si>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</si>
  <si>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</si>
  <si>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</si>
  <si>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</si>
  <si>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</si>
  <si>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</si>
  <si>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</si>
  <si>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</si>
  <si>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</si>
  <si>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</si>
  <si>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</si>
  <si>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</si>
  <si>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</si>
  <si>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</si>
  <si>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</si>
  <si>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</si>
  <si>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</si>
  <si>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</si>
  <si>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</si>
  <si>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</si>
  <si>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</si>
  <si>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</si>
  <si>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</si>
  <si>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</si>
  <si>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</si>
  <si>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</si>
  <si>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</si>
  <si>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</si>
  <si>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</si>
  <si>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</si>
  <si>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</si>
  <si>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</si>
  <si>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</si>
  <si>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</si>
  <si>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</si>
  <si>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</si>
  <si>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</si>
  <si>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</si>
  <si>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</si>
  <si>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</si>
  <si>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</si>
  <si>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</si>
  <si>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</si>
  <si>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</si>
  <si>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</si>
  <si>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</si>
  <si>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</si>
  <si>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</si>
  <si>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</si>
  <si>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</si>
  <si>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</si>
  <si>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</si>
  <si>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</si>
  <si>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</si>
  <si>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</si>
  <si>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</si>
  <si>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</si>
  <si>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</si>
  <si>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</si>
  <si>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</si>
  <si>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</si>
  <si>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</si>
  <si>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</si>
  <si>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</si>
  <si>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</si>
  <si>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</si>
  <si>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</si>
  <si>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</si>
  <si>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</si>
  <si>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</si>
  <si>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</si>
  <si>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</si>
  <si>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</si>
  <si>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</si>
  <si>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</si>
  <si>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</si>
  <si>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</si>
  <si>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</si>
  <si>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</si>
  <si>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</si>
  <si>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</si>
  <si>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</si>
  <si>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</si>
  <si>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</si>
  <si>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</si>
  <si>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</si>
  <si>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</si>
  <si>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</si>
  <si>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</si>
  <si>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</si>
  <si>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</si>
  <si>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</si>
  <si>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</si>
  <si>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</si>
  <si>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</si>
  <si>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</si>
  <si>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</si>
  <si>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</si>
  <si>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</si>
  <si>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</si>
  <si>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</si>
  <si>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</si>
  <si>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</si>
  <si>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</si>
  <si>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</si>
  <si>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</si>
  <si>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</si>
  <si>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</si>
  <si>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</si>
  <si>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</si>
  <si>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</si>
  <si>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</si>
  <si>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</si>
  <si>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</si>
  <si>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</si>
  <si>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</si>
  <si>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</si>
  <si>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</si>
  <si>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</si>
  <si>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</si>
  <si>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</si>
  <si>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</si>
  <si>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</si>
  <si>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</si>
  <si>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</si>
  <si>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</si>
  <si>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</si>
  <si>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</si>
  <si>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</si>
  <si>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</si>
  <si>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</si>
  <si>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</si>
  <si>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</si>
  <si>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</si>
  <si>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</si>
  <si>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</si>
  <si>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</si>
  <si>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</si>
  <si>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</si>
  <si>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</si>
  <si>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</si>
  <si>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</si>
  <si>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</si>
  <si>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</si>
  <si>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</si>
  <si>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</si>
  <si>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</si>
  <si>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</si>
  <si>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</si>
  <si>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</si>
  <si>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</si>
  <si>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</si>
  <si>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</si>
  <si>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</si>
  <si>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</si>
  <si>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</si>
  <si>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</si>
  <si>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</si>
  <si>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carregamento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</si>
  <si>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</si>
  <si>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</si>
  <si>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</si>
  <si>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</si>
  <si>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</si>
  <si>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</si>
  <si>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</si>
  <si>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</si>
  <si>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</si>
  <si>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</si>
  <si>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</si>
  <si>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</si>
  <si>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</si>
  <si>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</si>
  <si>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</si>
  <si>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</si>
  <si>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</si>
  <si>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</si>
  <si>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</si>
  <si>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</si>
  <si>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</si>
  <si>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</si>
  <si>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</si>
  <si>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</si>
  <si>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</si>
  <si>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</si>
  <si>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</si>
  <si>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</si>
  <si>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</si>
  <si>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</si>
  <si>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</si>
  <si>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</si>
  <si>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</si>
  <si>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</si>
  <si>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</si>
  <si>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</si>
  <si>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</si>
  <si>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</si>
  <si>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</si>
  <si>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</si>
  <si>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</si>
  <si>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</si>
  <si>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</si>
  <si>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</si>
  <si>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</si>
  <si>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</si>
  <si>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</si>
  <si>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</si>
  <si>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</si>
  <si>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</si>
  <si>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</si>
  <si>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</si>
  <si>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</si>
  <si>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</si>
  <si>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</si>
  <si>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</si>
  <si>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</si>
  <si>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</si>
  <si>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</si>
  <si>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</si>
  <si>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</si>
  <si>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</si>
  <si>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</si>
  <si>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</si>
  <si>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</si>
  <si>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</si>
  <si>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</si>
  <si>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</si>
  <si>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</si>
  <si>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</si>
  <si>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</si>
  <si>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</si>
  <si>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aa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</si>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</sst>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1539440</v>
      </c>
      <c r="E34" s="11">
        <f>IFERROR('Linha 2'!O838,"")</f>
        <v>1038070</v>
      </c>
      <c r="F34" s="11">
        <f>IFERROR('Linha 3'!O838,"")</f>
        <v>1316480</v>
      </c>
      <c r="G34" s="12">
        <f t="shared" si="0"/>
        <v>3893990</v>
      </c>
    </row>
    <row r="35" spans="1:7" ht="14.25" customHeight="1">
      <c r="A35" s="127" t="s">
        <v>9</v>
      </c>
      <c r="B35" s="127"/>
      <c r="C35" s="13">
        <f>IFERROR(SUM(C4:C34),"")</f>
        <v>96893558</v>
      </c>
      <c r="D35" s="13">
        <f>IFERROR(SUM(D4:D34),"")</f>
        <v>39099530</v>
      </c>
      <c r="E35" s="13">
        <f>IFERROR(SUM(E4:E34),"")</f>
        <v>21892050</v>
      </c>
      <c r="F35" s="13">
        <f>IFERROR(SUM(F4:F34),"")</f>
        <v>38989910</v>
      </c>
      <c r="G35" s="13">
        <f>IFERROR(SUM(G4:G34),"")</f>
        <v>99981490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6" activePane="bottomLeft" state="frozen"/>
      <selection pane="bottomLeft" activeCell="N835" sqref="N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 t="s">
        <v>279</v>
      </c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>
        <v>0</v>
      </c>
      <c r="G836" s="101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51"/>
  <sheetViews>
    <sheetView showGridLines="0" tabSelected="1" zoomScale="50" zoomScaleNormal="50" workbookViewId="0">
      <pane ySplit="1" topLeftCell="A818" activePane="bottomLeft" state="frozen"/>
      <selection pane="bottomLeft" activeCell="G851" sqref="G8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280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290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300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310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0.10517337962664897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0.26281226851553785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0.37253449073776002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8.3645601851458196E-2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0.25447893518479159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0.39961782407368046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320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330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340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343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345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346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347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348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349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350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351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>IF(F836="","",IF(E836="PC 17",F836*4.2,IF(E836="PC 19",F836*5,"")))</f>
        <v>12.600000000000001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>
        <v>798270</v>
      </c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1539440</v>
      </c>
    </row>
    <row r="851" spans="7:7">
      <c r="G851" s="20" t="s">
        <v>352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21" zoomScale="50" zoomScaleNormal="50" workbookViewId="0">
      <selection activeCell="O838" sqref="O8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330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293</v>
      </c>
      <c r="K141" s="29">
        <v>0.71597222222222223</v>
      </c>
      <c r="L141" s="29" t="s">
        <v>358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360</v>
      </c>
      <c r="N166" s="27" t="s">
        <v>361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370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371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380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381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330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382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383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330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385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346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347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348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386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330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>
        <v>596800</v>
      </c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1038070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5" activePane="bottomLeft" state="frozen"/>
      <selection pane="bottomLeft" activeCell="O838" sqref="O8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390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391</v>
      </c>
      <c r="L58" s="29">
        <v>0.54097222222222219</v>
      </c>
      <c r="M58" s="30" t="str">
        <f t="shared" ca="1" si="13"/>
        <v/>
      </c>
      <c r="N58" s="27" t="s">
        <v>392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330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400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9.5451157409115694E-2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0.29475671296467132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0.66211782407578235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401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410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411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420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421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430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431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330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437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438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439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345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436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440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441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442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443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444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445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446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330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386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>
        <v>0.2722222222222222</v>
      </c>
      <c r="M831" s="79">
        <f ca="1">IFERROR(IF(K831="","",IF(L831="",MOD(NOW()-K831,1),IF(L831&gt;=K831,L831-K831,L831+1-K831))),"")</f>
        <v>3.472222222222221E-2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8.3333333333333329E-2</v>
      </c>
      <c r="N837" s="109" t="s">
        <v>237</v>
      </c>
      <c r="O837" s="77">
        <v>770670</v>
      </c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0.19930555555555546</v>
      </c>
      <c r="N838" s="111" t="s">
        <v>240</v>
      </c>
      <c r="O838" s="82">
        <f>IFERROR(O824+O837,"")</f>
        <v>1316480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2026-08-01T12:16:42Z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