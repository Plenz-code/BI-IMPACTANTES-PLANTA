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21" documentId="8_{AF585B22-221D-4780-BB9C-493D365A6A02}" xr6:coauthVersionLast="47" xr6:coauthVersionMax="47" xr10:uidLastSave="{EF1FBAB6-025A-4F15-9BCF-3007236CB1E8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<sst xmlns="http://schemas.openxmlformats.org/spreadsheetml/2006/main" count="12565" uniqueCount="445">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</sst>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31" sqref="F83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153</v>
      </c>
      <c r="G837" s="109">
        <f>SUM(G825:G836)</f>
        <v>765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286</v>
      </c>
      <c r="G838" s="111">
        <f>G824+G837</f>
        <v>765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11" activePane="bottomLeft" state="frozen"/>
      <selection pane="bottomLeft" activeCell="F831" sqref="F8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0.82810578703356441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0.9857446759224533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1.0954668981446756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0.80657800925837364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0.97741134259170703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1.122550231480596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122</v>
      </c>
      <c r="G837" s="109">
        <f>SUM(G825:G836)</f>
        <v>525.20000000000005</v>
      </c>
      <c r="H837" s="37"/>
      <c r="I837" s="37"/>
      <c r="J837" s="37"/>
      <c r="K837" s="37"/>
      <c r="L837" s="37"/>
      <c r="M837" s="110">
        <f ca="1">IFERROR(SUM(M825:M836),"")</f>
        <v>2.7777777777777707E-2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291</v>
      </c>
      <c r="G838" s="111">
        <f>G824+G837</f>
        <v>1235</v>
      </c>
      <c r="H838" s="41"/>
      <c r="I838" s="41"/>
      <c r="J838" s="41"/>
      <c r="K838" s="41"/>
      <c r="L838" s="41"/>
      <c r="M838" s="112">
        <f ca="1">IFERROR(M824+M837,"")</f>
        <v>0.13263888888888883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95" zoomScale="50" zoomScaleNormal="50" workbookViewId="0">
      <selection activeCell="F831" sqref="F8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76</v>
      </c>
      <c r="G837" s="109">
        <f>SUM(G825:G836)</f>
        <v>328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171</v>
      </c>
      <c r="G838" s="111">
        <f>G824+G837</f>
        <v>727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12" activePane="bottomLeft" state="frozen"/>
      <selection pane="bottomLeft" activeCell="J830" sqref="J83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0.81838356481603114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1.0176891203715868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1.3850502314826978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/>
      <c r="M830" s="78">
        <f ca="1">IFERROR(IF(K830="","",IF(L830="",MOD(NOW()-K830,1),IF(L830&gt;=K830,L830-K830,L830+1-K830))),"")</f>
        <v>3.800115744525101E-3</v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64</v>
      </c>
      <c r="G837" s="109">
        <f>SUM(G825:G836)</f>
        <v>268.8</v>
      </c>
      <c r="H837" s="37"/>
      <c r="I837" s="37"/>
      <c r="J837" s="37"/>
      <c r="K837" s="37"/>
      <c r="L837" s="37"/>
      <c r="M837" s="110">
        <f ca="1">IFERROR(SUM(M825:M836),"")</f>
        <v>3.4355671300080659E-2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183</v>
      </c>
      <c r="G838" s="111">
        <f>G824+G837</f>
        <v>768.60000000000014</v>
      </c>
      <c r="H838" s="41"/>
      <c r="I838" s="41"/>
      <c r="J838" s="41"/>
      <c r="K838" s="41"/>
      <c r="L838" s="41"/>
      <c r="M838" s="112">
        <f ca="1">IFERROR(M824+M837,"")</f>
        <v>0.1503278935223028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2026-08-01T05:37:55Z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