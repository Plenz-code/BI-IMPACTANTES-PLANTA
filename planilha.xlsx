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539" documentId="8_{AF585B22-221D-4780-BB9C-493D365A6A02}" xr6:coauthVersionLast="47" xr6:coauthVersionMax="47" xr10:uidLastSave="{5D4DCE95-670B-4871-89E2-265D419EB779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<sst xmlns="http://schemas.openxmlformats.org/spreadsheetml/2006/main" count="1917" uniqueCount="216">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</sst>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1953130</v>
      </c>
      <c r="D6" s="8">
        <f>IFERROR('Linha 1'!O82,"")</f>
        <v>0</v>
      </c>
      <c r="E6" s="8">
        <f>IFERROR('Linha 2'!O82,"")</f>
        <v>441440</v>
      </c>
      <c r="F6" s="8">
        <f>IFERROR('Linha 3'!O82,"")</f>
        <v>763370</v>
      </c>
      <c r="G6" s="9">
        <f t="shared" si="0"/>
        <v>1204810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5693520</v>
      </c>
      <c r="D35" s="13">
        <f>IFERROR(SUM(D4:D34),"")</f>
        <v>1648560</v>
      </c>
      <c r="E35" s="13">
        <f>IFERROR(SUM(E4:E34),"")</f>
        <v>1372350</v>
      </c>
      <c r="F35" s="13">
        <f>IFERROR(SUM(F4:F34),"")</f>
        <v>2071570</v>
      </c>
      <c r="G35" s="13">
        <f>IFERROR(SUM(G4:G34),"")</f>
        <v>5092480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8" zoomScale="85" zoomScaleNormal="85" workbookViewId="0">
      <selection activeCell="K54" sqref="K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 t="s">
        <v>180</v>
      </c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55" activePane="bottomLeft" state="frozen"/>
      <selection pane="bottomLeft" activeCell="F70" sqref="F7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191</v>
      </c>
      <c r="E2" s="59" t="s">
        <v>192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194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196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195</v>
      </c>
      <c r="O27" s="39">
        <v>1183060</v>
      </c>
    </row>
    <row r="28" spans="1:15" ht="18" customHeight="1">
      <c r="A28" s="83" t="s">
        <v>197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194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196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195</v>
      </c>
      <c r="O54" s="39">
        <v>959290</v>
      </c>
    </row>
    <row r="55" spans="1:15" ht="18" customHeight="1">
      <c r="A55" s="83" t="s">
        <v>197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194</v>
      </c>
      <c r="B68" s="81"/>
      <c r="C68" s="81"/>
      <c r="D68" s="81"/>
      <c r="E68" s="82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>
        <v>30</v>
      </c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196</v>
      </c>
      <c r="B81" s="81"/>
      <c r="C81" s="81"/>
      <c r="D81" s="81"/>
      <c r="E81" s="82">
        <f>SUM(E69:E80)</f>
        <v>0</v>
      </c>
      <c r="F81" s="36">
        <f>SUM(F69:F80)</f>
        <v>30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195</v>
      </c>
      <c r="O81" s="39"/>
    </row>
    <row r="82" spans="1:15" ht="18" customHeight="1">
      <c r="A82" s="83" t="s">
        <v>197</v>
      </c>
      <c r="B82" s="84"/>
      <c r="C82" s="84"/>
      <c r="D82" s="84"/>
      <c r="E82" s="85">
        <f>E68+E81</f>
        <v>0</v>
      </c>
      <c r="F82" s="40">
        <f>F68+F81</f>
        <v>399</v>
      </c>
      <c r="G82" s="40">
        <f>G68+G81</f>
        <v>1845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198</v>
      </c>
      <c r="O82" s="43">
        <f>IFERROR(O68+O81,"")</f>
        <v>1953130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194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195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196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195</v>
      </c>
      <c r="O108" s="39"/>
    </row>
    <row r="109" spans="1:15" ht="18" customHeight="1">
      <c r="A109" s="83" t="s">
        <v>197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198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194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195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196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195</v>
      </c>
      <c r="O135" s="39"/>
    </row>
    <row r="136" spans="1:15" ht="18" customHeight="1">
      <c r="A136" s="83" t="s">
        <v>197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198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194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195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196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195</v>
      </c>
      <c r="O162" s="44"/>
    </row>
    <row r="163" spans="1:15" ht="18" customHeight="1">
      <c r="A163" s="83" t="s">
        <v>197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194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196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3" t="s">
        <v>197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194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196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195</v>
      </c>
      <c r="O216" s="45"/>
    </row>
    <row r="217" spans="1:15" ht="18" customHeight="1">
      <c r="A217" s="83" t="s">
        <v>197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194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196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3" t="s">
        <v>197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194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196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3" t="s">
        <v>197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194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196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3" t="s">
        <v>197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194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196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3" t="s">
        <v>197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194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196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3" t="s">
        <v>197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194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196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3" t="s">
        <v>197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194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196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3" t="s">
        <v>197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194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196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195</v>
      </c>
      <c r="O432" s="39"/>
    </row>
    <row r="433" spans="1:15" ht="18" customHeight="1">
      <c r="A433" s="83" t="s">
        <v>197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194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196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3" t="s">
        <v>197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194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196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3" t="s">
        <v>197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194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196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3" t="s">
        <v>197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194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196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3" t="s">
        <v>197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194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196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3" t="s">
        <v>197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194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196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3" t="s">
        <v>197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194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196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3" t="s">
        <v>197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194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196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3" t="s">
        <v>197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194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196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3" t="s">
        <v>197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194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196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3" t="s">
        <v>197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194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196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3" t="s">
        <v>197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194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196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3" t="s">
        <v>197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194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196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3" t="s">
        <v>197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194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196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3" t="s">
        <v>197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2" activePane="bottomLeft" state="frozen"/>
      <selection pane="bottomLeft" activeCell="F70" sqref="F7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200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200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194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196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195</v>
      </c>
      <c r="O27" s="78">
        <v>393200</v>
      </c>
    </row>
    <row r="28" spans="1:15" ht="18" customHeight="1">
      <c r="A28" s="83" t="s">
        <v>197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198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93">
        <f t="shared" ref="M29:M40" ca="1" si="7">IFERROR(IF(K29="","",IF(L29="",MOD(NOW()-K29,1),IF(L29&gt;=K29,L29-K29,L29+1-K29))),"")</f>
        <v>7.1527777777777746E-2</v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194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195</v>
      </c>
      <c r="O41" s="92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200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196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195</v>
      </c>
      <c r="O54" s="92">
        <v>276360</v>
      </c>
    </row>
    <row r="55" spans="1:15" ht="18" customHeight="1">
      <c r="A55" s="83" t="s">
        <v>197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198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194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195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>
        <v>17</v>
      </c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196</v>
      </c>
      <c r="B81" s="81"/>
      <c r="C81" s="81"/>
      <c r="D81" s="81"/>
      <c r="E81" s="82">
        <f>SUM(E69:E80)</f>
        <v>0</v>
      </c>
      <c r="F81" s="36">
        <f>SUM(F69:F80)</f>
        <v>17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195</v>
      </c>
      <c r="O81" s="54"/>
    </row>
    <row r="82" spans="1:15" ht="18" customHeight="1">
      <c r="A82" s="83" t="s">
        <v>197</v>
      </c>
      <c r="B82" s="84"/>
      <c r="C82" s="84"/>
      <c r="D82" s="84"/>
      <c r="E82" s="85">
        <f>E68+E81</f>
        <v>0</v>
      </c>
      <c r="F82" s="40">
        <f>F68+F81</f>
        <v>17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0.43749999999999989</v>
      </c>
      <c r="N82" s="40" t="s">
        <v>198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194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195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196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195</v>
      </c>
      <c r="O108" s="54"/>
    </row>
    <row r="109" spans="1:15" ht="18" customHeight="1">
      <c r="A109" s="83" t="s">
        <v>197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198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194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195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196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195</v>
      </c>
      <c r="O135" s="54"/>
    </row>
    <row r="136" spans="1:15" ht="18" customHeight="1">
      <c r="A136" s="83" t="s">
        <v>197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198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194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195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196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195</v>
      </c>
      <c r="O162" s="54"/>
    </row>
    <row r="163" spans="1:15" ht="18" customHeight="1">
      <c r="A163" s="83" t="s">
        <v>197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194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196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3" t="s">
        <v>197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194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196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195</v>
      </c>
      <c r="O216" s="45"/>
    </row>
    <row r="217" spans="1:15" ht="18" customHeight="1">
      <c r="A217" s="83" t="s">
        <v>197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194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196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3" t="s">
        <v>197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194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196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3" t="s">
        <v>197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194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196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3" t="s">
        <v>197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194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196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3" t="s">
        <v>197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194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196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3" t="s">
        <v>197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194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196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3" t="s">
        <v>197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194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196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3" t="s">
        <v>197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194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196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195</v>
      </c>
      <c r="O432" s="39"/>
    </row>
    <row r="433" spans="1:15" ht="18" customHeight="1">
      <c r="A433" s="83" t="s">
        <v>197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194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196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3" t="s">
        <v>197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194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196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3" t="s">
        <v>197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194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196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3" t="s">
        <v>197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194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196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3" t="s">
        <v>197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194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196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3" t="s">
        <v>197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194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196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3" t="s">
        <v>197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194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196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3" t="s">
        <v>197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198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194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195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196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3" t="s">
        <v>197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198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194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196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3" t="s">
        <v>197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194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196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3" t="s">
        <v>197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194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196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3" t="s">
        <v>197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194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196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3" t="s">
        <v>197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194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196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3" t="s">
        <v>197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194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196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3" t="s">
        <v>197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58" activePane="bottomLeft" state="frozen"/>
      <selection pane="bottomLeft" activeCell="D69" sqref="D69:D8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194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196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195</v>
      </c>
      <c r="O27" s="39">
        <v>308500</v>
      </c>
    </row>
    <row r="28" spans="1:15" ht="18" customHeight="1">
      <c r="A28" s="83" t="s">
        <v>197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194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196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195</v>
      </c>
      <c r="O54" s="39">
        <v>124290</v>
      </c>
    </row>
    <row r="55" spans="1:15" ht="18" customHeight="1">
      <c r="A55" s="83" t="s">
        <v>197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208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194</v>
      </c>
      <c r="B68" s="81"/>
      <c r="C68" s="81"/>
      <c r="D68" s="81"/>
      <c r="E68" s="82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/>
      <c r="F69" s="27">
        <v>14</v>
      </c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196</v>
      </c>
      <c r="B81" s="81"/>
      <c r="C81" s="81"/>
      <c r="D81" s="81"/>
      <c r="E81" s="82">
        <f>SUM(E69:E80)</f>
        <v>0</v>
      </c>
      <c r="F81" s="36">
        <f>SUM(F69:F80)</f>
        <v>14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195</v>
      </c>
      <c r="O81" s="39"/>
    </row>
    <row r="82" spans="1:15" ht="18" customHeight="1">
      <c r="A82" s="83" t="s">
        <v>197</v>
      </c>
      <c r="B82" s="84"/>
      <c r="C82" s="84"/>
      <c r="D82" s="84"/>
      <c r="E82" s="85">
        <f>E68+E81</f>
        <v>0</v>
      </c>
      <c r="F82" s="40">
        <f>F68+F81</f>
        <v>118</v>
      </c>
      <c r="G82" s="40">
        <f>G68+G81</f>
        <v>436.8</v>
      </c>
      <c r="H82" s="41"/>
      <c r="I82" s="41"/>
      <c r="J82" s="41"/>
      <c r="K82" s="41"/>
      <c r="L82" s="41"/>
      <c r="M82" s="42">
        <f ca="1">IFERROR(M68+M81,"")</f>
        <v>7.2222222222222132E-2</v>
      </c>
      <c r="N82" s="40" t="s">
        <v>198</v>
      </c>
      <c r="O82" s="43">
        <f>IFERROR(O68+O81,"")</f>
        <v>441440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194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195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196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195</v>
      </c>
      <c r="O108" s="39"/>
    </row>
    <row r="109" spans="1:15" ht="18" customHeight="1">
      <c r="A109" s="83" t="s">
        <v>197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198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194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195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196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195</v>
      </c>
      <c r="O135" s="39"/>
    </row>
    <row r="136" spans="1:15" ht="18" customHeight="1">
      <c r="A136" s="83" t="s">
        <v>197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198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194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196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195</v>
      </c>
      <c r="O162" s="39"/>
    </row>
    <row r="163" spans="1:15" ht="18" customHeight="1">
      <c r="A163" s="83" t="s">
        <v>197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194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196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3" t="s">
        <v>197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194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195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196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195</v>
      </c>
      <c r="O216" s="39"/>
    </row>
    <row r="217" spans="1:15" ht="18" customHeight="1">
      <c r="A217" s="83" t="s">
        <v>197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194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196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3" t="s">
        <v>197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194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196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3" t="s">
        <v>197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194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196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3" t="s">
        <v>197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194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196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3" t="s">
        <v>197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194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196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3" t="s">
        <v>197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194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196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3" t="s">
        <v>197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194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196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3" t="s">
        <v>197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194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196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195</v>
      </c>
      <c r="O432" s="39"/>
    </row>
    <row r="433" spans="1:15" ht="18" customHeight="1">
      <c r="A433" s="83" t="s">
        <v>197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194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196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3" t="s">
        <v>197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194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196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3" t="s">
        <v>197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194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196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3" t="s">
        <v>197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194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196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3" t="s">
        <v>197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194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196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3" t="s">
        <v>197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194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196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3" t="s">
        <v>197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194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196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3" t="s">
        <v>197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194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196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3" t="s">
        <v>197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194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196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3" t="s">
        <v>197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194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196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3" t="s">
        <v>197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194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196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3" t="s">
        <v>197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194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196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3" t="s">
        <v>197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194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196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3" t="s">
        <v>197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194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196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3" t="s">
        <v>197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55" activePane="bottomLeft" state="frozen"/>
      <selection pane="bottomLeft" activeCell="C69" sqref="C69:C8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200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194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196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195</v>
      </c>
      <c r="O27" s="39">
        <v>202230</v>
      </c>
    </row>
    <row r="28" spans="1:15" ht="18" customHeight="1">
      <c r="A28" s="83" t="s">
        <v>197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200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200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194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196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195</v>
      </c>
      <c r="O54" s="39">
        <v>473910</v>
      </c>
    </row>
    <row r="55" spans="1:15" ht="18" customHeight="1">
      <c r="A55" s="83" t="s">
        <v>197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214</v>
      </c>
      <c r="L58" s="29">
        <v>0.54097222222222219</v>
      </c>
      <c r="M58" s="30" t="str">
        <f t="shared" ca="1" si="13"/>
        <v/>
      </c>
      <c r="N58" s="27" t="s">
        <v>215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194</v>
      </c>
      <c r="B68" s="81"/>
      <c r="C68" s="81"/>
      <c r="D68" s="81"/>
      <c r="E68" s="82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200</v>
      </c>
      <c r="F70" s="27"/>
      <c r="G70" s="28" t="str">
        <f t="shared" si="15"/>
        <v/>
      </c>
      <c r="H70" s="26" t="s">
        <v>18</v>
      </c>
      <c r="I70" s="26" t="s">
        <v>119</v>
      </c>
      <c r="J70" s="26" t="s">
        <v>180</v>
      </c>
      <c r="K70" s="29">
        <v>0.85416666666666663</v>
      </c>
      <c r="L70" s="29"/>
      <c r="M70" s="30">
        <f t="shared" ca="1" si="16"/>
        <v>3.065393517317716E-3</v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200</v>
      </c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200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200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200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200</v>
      </c>
      <c r="F75" s="27"/>
      <c r="G75" s="34" t="str">
        <f>IF(F75="","",IF(E75="PC 17",F75*4.2,IF(E75="PC 19",F75*5,"")))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200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200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200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200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200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196</v>
      </c>
      <c r="B81" s="81"/>
      <c r="C81" s="81"/>
      <c r="D81" s="81"/>
      <c r="E81" s="82">
        <f>SUM(E69:E80)</f>
        <v>0</v>
      </c>
      <c r="F81" s="36">
        <f>SUM(F69:F80)</f>
        <v>27</v>
      </c>
      <c r="G81" s="36">
        <f>SUM(G69:G80)</f>
        <v>113.4</v>
      </c>
      <c r="H81" s="37"/>
      <c r="I81" s="37"/>
      <c r="J81" s="37"/>
      <c r="K81" s="61"/>
      <c r="L81" s="61"/>
      <c r="M81" s="38">
        <f ca="1">IFERROR(SUM(M69:M80),"")</f>
        <v>5.8431712950954839E-3</v>
      </c>
      <c r="N81" s="36" t="s">
        <v>195</v>
      </c>
      <c r="O81" s="39"/>
    </row>
    <row r="82" spans="1:15" ht="18" customHeight="1">
      <c r="A82" s="83" t="s">
        <v>197</v>
      </c>
      <c r="B82" s="84"/>
      <c r="C82" s="84"/>
      <c r="D82" s="84"/>
      <c r="E82" s="85">
        <f>E68+E81</f>
        <v>0</v>
      </c>
      <c r="F82" s="40">
        <f>F68+F81</f>
        <v>222</v>
      </c>
      <c r="G82" s="40">
        <f>G68+G81</f>
        <v>932.40000000000009</v>
      </c>
      <c r="H82" s="41"/>
      <c r="I82" s="41"/>
      <c r="J82" s="41"/>
      <c r="K82" s="63"/>
      <c r="L82" s="63"/>
      <c r="M82" s="42">
        <f ca="1">IFERROR(M68+M81,"")</f>
        <v>6.5565393517317716E-2</v>
      </c>
      <c r="N82" s="40" t="s">
        <v>198</v>
      </c>
      <c r="O82" s="48">
        <f>IFERROR(O68+O81,"")</f>
        <v>763370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194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195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196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195</v>
      </c>
      <c r="O108" s="39"/>
    </row>
    <row r="109" spans="1:15" ht="18" customHeight="1">
      <c r="A109" s="83" t="s">
        <v>197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198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194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195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196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195</v>
      </c>
      <c r="O135" s="39"/>
    </row>
    <row r="136" spans="1:15" ht="18" customHeight="1">
      <c r="A136" s="83" t="s">
        <v>197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198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194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196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195</v>
      </c>
      <c r="O162" s="39"/>
    </row>
    <row r="163" spans="1:15" ht="18" customHeight="1">
      <c r="A163" s="83" t="s">
        <v>197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194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196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3" t="s">
        <v>197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194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196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195</v>
      </c>
      <c r="O216" s="45"/>
    </row>
    <row r="217" spans="1:15" ht="18" customHeight="1">
      <c r="A217" s="83" t="s">
        <v>197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194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196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3" t="s">
        <v>197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194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196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3" t="s">
        <v>197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194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196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3" t="s">
        <v>197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194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196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3" t="s">
        <v>197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194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196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3" t="s">
        <v>197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194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196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3" t="s">
        <v>197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194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196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3" t="s">
        <v>197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194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196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195</v>
      </c>
      <c r="O432" s="39"/>
    </row>
    <row r="433" spans="1:17" ht="18" customHeight="1">
      <c r="A433" s="83" t="s">
        <v>197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194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196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3" t="s">
        <v>197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194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196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3" t="s">
        <v>197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194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196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3" t="s">
        <v>197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194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196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3" t="s">
        <v>197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194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196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3" t="s">
        <v>197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194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196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3" t="s">
        <v>197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194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196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3" t="s">
        <v>197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194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196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3" t="s">
        <v>197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194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196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3" t="s">
        <v>197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194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196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3" t="s">
        <v>197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194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196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3" t="s">
        <v>197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194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196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3" t="s">
        <v>197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194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196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3" t="s">
        <v>197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194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196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3" t="s">
        <v>197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2026-07-04T00:34:50Z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