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382" documentId="8_{AF585B22-221D-4780-BB9C-493D365A6A02}" xr6:coauthVersionLast="47" xr6:coauthVersionMax="47" xr10:uidLastSave="{6C6B0CC9-76C2-4022-833D-CA69B60468FD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<sst xmlns="http://schemas.openxmlformats.org/spreadsheetml/2006/main" count="4934" uniqueCount="293">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</sst>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293" sqref="F29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214</v>
      </c>
      <c r="G297" s="36">
        <f>SUM(G285:G296)</f>
        <v>1070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530</v>
      </c>
      <c r="G298" s="40">
        <f>G284+G297</f>
        <v>2650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68" activePane="bottomLeft" state="frozen"/>
      <selection pane="bottomLeft" activeCell="J290" sqref="J29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/>
      <c r="M290" s="30">
        <f t="shared" ca="1" si="64"/>
        <v>1.7814814782468602E-3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115</v>
      </c>
      <c r="G297" s="36">
        <f>SUM(G285:G296)</f>
        <v>489.4</v>
      </c>
      <c r="H297" s="37"/>
      <c r="I297" s="37"/>
      <c r="J297" s="37"/>
      <c r="K297" s="37"/>
      <c r="L297" s="37"/>
      <c r="M297" s="38">
        <f ca="1">IFERROR(SUM(M285:M296),"")</f>
        <v>0.10872592592269129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298</v>
      </c>
      <c r="G298" s="40">
        <f>G284+G297</f>
        <v>1258</v>
      </c>
      <c r="H298" s="41"/>
      <c r="I298" s="41"/>
      <c r="J298" s="41"/>
      <c r="K298" s="41"/>
      <c r="L298" s="41"/>
      <c r="M298" s="42">
        <f ca="1">IFERROR(M284+M297,"")</f>
        <v>0.26636481481158014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73" zoomScale="50" zoomScaleNormal="50" workbookViewId="0">
      <selection activeCell="F292" sqref="F29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261</v>
      </c>
      <c r="N166" s="27" t="s">
        <v>262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11</v>
      </c>
      <c r="G291" s="34">
        <f t="shared" si="63"/>
        <v>46.2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72</v>
      </c>
      <c r="G297" s="36">
        <f>SUM(G285:G296)</f>
        <v>302.40000000000003</v>
      </c>
      <c r="H297" s="37"/>
      <c r="I297" s="37"/>
      <c r="J297" s="37"/>
      <c r="K297" s="37"/>
      <c r="L297" s="37"/>
      <c r="M297" s="38">
        <f ca="1">IFERROR(SUM(M285:M296),"")</f>
        <v>8.3333333333333384E-2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72</v>
      </c>
      <c r="G298" s="40">
        <f>G284+G297</f>
        <v>609</v>
      </c>
      <c r="H298" s="41"/>
      <c r="I298" s="41"/>
      <c r="J298" s="41"/>
      <c r="K298" s="41"/>
      <c r="L298" s="41"/>
      <c r="M298" s="42">
        <f ca="1">IFERROR(M284+M297,"")</f>
        <v>0.1388888888888889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62" activePane="bottomLeft" state="frozen"/>
      <selection pane="bottomLeft" activeCell="F292" sqref="F29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272</v>
      </c>
      <c r="L58" s="29">
        <v>0.54097222222222219</v>
      </c>
      <c r="M58" s="30" t="str">
        <f t="shared" ca="1" si="13"/>
        <v/>
      </c>
      <c r="N58" s="27" t="s">
        <v>273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0.88025370370451128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1.0795592592600669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1.4469203703711779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16</v>
      </c>
      <c r="G288" s="28">
        <f t="shared" si="63"/>
        <v>67.2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17</v>
      </c>
      <c r="G289" s="34">
        <f t="shared" si="63"/>
        <v>85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25</v>
      </c>
      <c r="G290" s="28">
        <f t="shared" si="63"/>
        <v>105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21</v>
      </c>
      <c r="G291" s="34">
        <f t="shared" si="63"/>
        <v>88.2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120</v>
      </c>
      <c r="G297" s="36">
        <f>SUM(G285:G296)</f>
        <v>517.6</v>
      </c>
      <c r="H297" s="37"/>
      <c r="I297" s="37"/>
      <c r="J297" s="37"/>
      <c r="K297" s="61"/>
      <c r="L297" s="61"/>
      <c r="M297" s="38">
        <f ca="1">IFERROR(SUM(M285:M296),"")</f>
        <v>8.2638888888888942E-2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307</v>
      </c>
      <c r="G298" s="40">
        <f>G284+G297</f>
        <v>1303</v>
      </c>
      <c r="H298" s="41"/>
      <c r="I298" s="41"/>
      <c r="J298" s="41"/>
      <c r="K298" s="63"/>
      <c r="L298" s="63"/>
      <c r="M298" s="42">
        <f ca="1">IFERROR(M284+M297,"")</f>
        <v>0.14652777777777776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2026-07-12T07:06:34Z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