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86" documentId="8_{AF585B22-221D-4780-BB9C-493D365A6A02}" xr6:coauthVersionLast="47" xr6:coauthVersionMax="47" xr10:uidLastSave="{6F12C157-93B8-4FB0-98B8-8B28ADD55CC2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<sst xmlns="http://schemas.openxmlformats.org/spreadsheetml/2006/main" count="3580" uniqueCount="262">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</sst>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194" sqref="F1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74</v>
      </c>
      <c r="G203" s="36">
        <f>SUM(G191:G202)</f>
        <v>370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74</v>
      </c>
      <c r="G217" s="40">
        <f>G203+G216</f>
        <v>370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F194" sqref="F1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/>
      <c r="M192" s="30">
        <f t="shared" ca="1" si="43"/>
        <v>4.2180439813819248E-2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2</v>
      </c>
      <c r="G193" s="34">
        <f t="shared" si="42"/>
        <v>8.4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12</v>
      </c>
      <c r="G203" s="36">
        <f>SUM(G191:G202)</f>
        <v>50.4</v>
      </c>
      <c r="H203" s="37"/>
      <c r="I203" s="37"/>
      <c r="J203" s="37"/>
      <c r="K203" s="37"/>
      <c r="L203" s="37"/>
      <c r="M203" s="38">
        <f ca="1">IFERROR(SUM(M191:M202),"")</f>
        <v>6.3708217591597061E-2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12</v>
      </c>
      <c r="G217" s="40">
        <f>G203+G216</f>
        <v>50.4</v>
      </c>
      <c r="H217" s="41"/>
      <c r="I217" s="41"/>
      <c r="J217" s="41"/>
      <c r="K217" s="41"/>
      <c r="L217" s="41"/>
      <c r="M217" s="42">
        <f ca="1">IFERROR(M203+M216,"")</f>
        <v>6.3708217591597061E-2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70" activePane="bottomLeft" state="frozen"/>
      <selection pane="bottomLeft" activeCell="I192" sqref="I1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0.17551377315248828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0.37481932870804391</v>
      </c>
      <c r="N135" s="36" t="s">
        <v>209</v>
      </c>
      <c r="O135" s="39">
        <v>729290</v>
      </c>
    </row>
    <row r="136" spans="1:18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0.74218043981915494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154</v>
      </c>
      <c r="J192" s="26" t="s">
        <v>27</v>
      </c>
      <c r="K192" s="29">
        <v>0.40625</v>
      </c>
      <c r="L192" s="29"/>
      <c r="M192" s="30">
        <f t="shared" ca="1" si="43"/>
        <v>1.8569328705780208E-2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15</v>
      </c>
      <c r="G193" s="34">
        <f t="shared" si="42"/>
        <v>63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50</v>
      </c>
      <c r="G203" s="36">
        <f>SUM(G191:G202)</f>
        <v>210</v>
      </c>
      <c r="H203" s="37"/>
      <c r="I203" s="37"/>
      <c r="J203" s="37"/>
      <c r="K203" s="61"/>
      <c r="L203" s="61"/>
      <c r="M203" s="38">
        <f ca="1">IFERROR(SUM(M191:M202),"")</f>
        <v>2.5513773150224683E-2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50</v>
      </c>
      <c r="G217" s="40">
        <f>G203+G216</f>
        <v>210</v>
      </c>
      <c r="H217" s="41"/>
      <c r="I217" s="41"/>
      <c r="J217" s="41"/>
      <c r="K217" s="63"/>
      <c r="L217" s="63"/>
      <c r="M217" s="42">
        <f ca="1">IFERROR(M203+M216,"")</f>
        <v>2.5513773150224683E-2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2026-07-08T14:12:18Z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