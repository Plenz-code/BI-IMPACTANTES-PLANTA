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634" documentId="8_{AF585B22-221D-4780-BB9C-493D365A6A02}" xr6:coauthVersionLast="47" xr6:coauthVersionMax="47" xr10:uidLastSave="{2774C8E6-4B41-4122-A417-3BE3730ED4B4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<sst xmlns="http://schemas.openxmlformats.org/spreadsheetml/2006/main" count="7513" uniqueCount="351">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</sst>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0" sqref="G20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870930</v>
      </c>
      <c r="E21" s="11">
        <f>IFERROR('Linha 2'!O487,"")</f>
        <v>228940</v>
      </c>
      <c r="F21" s="11">
        <f>IFERROR('Linha 3'!O487,"")</f>
        <v>774200</v>
      </c>
      <c r="G21" s="12">
        <f t="shared" si="0"/>
        <v>1874070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52240442</v>
      </c>
      <c r="D35" s="13">
        <f>IFERROR(SUM(D4:D34),"")</f>
        <v>20116680</v>
      </c>
      <c r="E35" s="13">
        <f>IFERROR(SUM(E4:E34),"")</f>
        <v>12475680</v>
      </c>
      <c r="F35" s="13">
        <f>IFERROR(SUM(F4:F34),"")</f>
        <v>24305660</v>
      </c>
      <c r="G35" s="13">
        <f>IFERROR(SUM(G4:G34),"")</f>
        <v>56898020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M56" sqref="M5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48" activePane="bottomLeft" state="frozen"/>
      <selection pane="bottomLeft" activeCell="H470" sqref="H47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29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226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227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227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227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227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230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230</v>
      </c>
      <c r="O27" s="39">
        <v>1183060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233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234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230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227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227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227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227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227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227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227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227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227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230</v>
      </c>
      <c r="O54" s="39">
        <v>959290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233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227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227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227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227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227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227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227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227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230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235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227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230</v>
      </c>
      <c r="O81" s="39">
        <v>878050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233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227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227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230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>
        <v>1700000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233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230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230</v>
      </c>
      <c r="O135" s="39">
        <v>862330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233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230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227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230</v>
      </c>
      <c r="O162" s="44">
        <v>1546080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233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227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227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227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227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227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227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230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227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227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>
        <v>2355810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233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227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227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227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227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227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227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227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227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227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227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227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227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230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230</v>
      </c>
      <c r="O216" s="45">
        <v>2013260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233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238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230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230</v>
      </c>
      <c r="O243" s="39">
        <v>1545480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233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239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230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>
        <v>1182690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233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230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240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241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241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241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241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241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241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241</v>
      </c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230</v>
      </c>
      <c r="O297" s="39">
        <v>1843460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233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242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227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227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243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227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227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227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227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227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227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227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230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244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244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227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244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244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244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227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244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>
        <v>1940000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233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227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227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227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227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227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227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227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227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227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227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230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227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227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227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227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227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227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227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227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227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227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227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227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230</v>
      </c>
      <c r="O351" s="39">
        <v>701874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233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246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227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227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227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227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227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227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227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227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227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227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227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230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227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227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227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227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227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227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227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227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227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227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227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230</v>
      </c>
      <c r="O378" s="39">
        <v>1088710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233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227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227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247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227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248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227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227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227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227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227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227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227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227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230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227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227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249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227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227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227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227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227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227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227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227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227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230</v>
      </c>
      <c r="O405" s="39">
        <v>1202270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233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227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250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227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227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251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227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227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227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227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227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252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252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227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230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227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227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227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227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227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227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227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227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227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227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227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>
        <v>1801910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233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227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253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227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227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227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227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227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227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227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227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230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254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254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254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254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254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254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254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254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254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254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254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254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230</v>
      </c>
      <c r="O459" s="39">
        <v>2675000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233</v>
      </c>
      <c r="O460" s="48">
        <f>IFERROR(O446+O459,"")</f>
        <v>3916480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44</v>
      </c>
      <c r="G487" s="40">
        <f>G473+G486</f>
        <v>220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59" t="s">
        <v>227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51" activePane="bottomLeft" state="frozen"/>
      <selection pane="bottomLeft" activeCell="O474" sqref="O47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230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230</v>
      </c>
      <c r="O27" s="78">
        <v>393200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233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230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254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85">
        <v>276360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233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230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230</v>
      </c>
      <c r="O81" s="54">
        <v>787860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233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230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230</v>
      </c>
      <c r="O108" s="54">
        <v>1087080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233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230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230</v>
      </c>
      <c r="O135" s="54">
        <v>794480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233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230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230</v>
      </c>
      <c r="O162" s="54">
        <v>882280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233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254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230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230</v>
      </c>
      <c r="O189" s="78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233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230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230</v>
      </c>
      <c r="O216" s="78">
        <v>648410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233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229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230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254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230</v>
      </c>
      <c r="O243" s="78">
        <v>849060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233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230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230</v>
      </c>
      <c r="O270" s="78">
        <v>625070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233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230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230</v>
      </c>
      <c r="O297" s="78">
        <v>761660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233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230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230</v>
      </c>
      <c r="O324" s="78">
        <v>524410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233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254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254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254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254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254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254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254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254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230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284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285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230</v>
      </c>
      <c r="O351" s="78">
        <v>598420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233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230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0.53618194444425171</v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0.6938208333331406</v>
      </c>
      <c r="N378" s="36" t="s">
        <v>230</v>
      </c>
      <c r="O378" s="78">
        <v>511980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0.80354305555536276</v>
      </c>
      <c r="N379" s="40" t="s">
        <v>233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269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286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230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254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287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245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230</v>
      </c>
      <c r="O405" s="78">
        <v>552440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233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254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230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0.51465416666906094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231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0.68548750000239433</v>
      </c>
      <c r="N432" s="36" t="s">
        <v>230</v>
      </c>
      <c r="O432" s="78">
        <v>484540</v>
      </c>
    </row>
    <row r="433" spans="1:15" ht="18" customHeight="1">
      <c r="A433" s="94" t="s">
        <v>232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0.83062638889128326</v>
      </c>
      <c r="N433" s="40" t="s">
        <v>233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289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290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230</v>
      </c>
      <c r="O446" s="78">
        <v>849430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291</v>
      </c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230</v>
      </c>
      <c r="O459" s="78">
        <v>631190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233</v>
      </c>
      <c r="O460" s="84">
        <f>IFERROR(O446+O459,"")</f>
        <v>1480620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292</v>
      </c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293</v>
      </c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294</v>
      </c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230</v>
      </c>
      <c r="O473" s="78">
        <v>870930</v>
      </c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8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123</v>
      </c>
      <c r="G487" s="40">
        <f>G473+G486</f>
        <v>615</v>
      </c>
      <c r="H487" s="41"/>
      <c r="I487" s="41"/>
      <c r="J487" s="41"/>
      <c r="K487" s="41"/>
      <c r="L487" s="41"/>
      <c r="M487" s="42">
        <f ca="1">IFERROR(M473+M486,"")</f>
        <v>0.11111111111111099</v>
      </c>
      <c r="N487" s="40" t="s">
        <v>233</v>
      </c>
      <c r="O487" s="84">
        <f>IFERROR(O473+O486,"")</f>
        <v>870930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8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8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8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8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8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8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8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8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8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3">
        <f>IFERROR(O797+O810,"")</f>
        <v>0</v>
      </c>
    </row>
  </sheetData>
  <mergeCells count="87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513:E513"/>
    <mergeCell ref="A514:E514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44" zoomScale="50" zoomScaleNormal="50" workbookViewId="0">
      <selection activeCell="O474" sqref="O47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295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296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230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230</v>
      </c>
      <c r="O27" s="39">
        <v>308500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233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230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39">
        <v>124290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233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298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230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230</v>
      </c>
      <c r="O81" s="39">
        <v>396340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233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299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230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230</v>
      </c>
      <c r="O108" s="39">
        <v>41230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233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230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230</v>
      </c>
      <c r="O135" s="39">
        <v>381250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233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268</v>
      </c>
      <c r="K141" s="29">
        <v>0.71597222222222223</v>
      </c>
      <c r="L141" s="29" t="s">
        <v>301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227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227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230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230</v>
      </c>
      <c r="O162" s="39">
        <v>337120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233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254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303</v>
      </c>
      <c r="N166" s="27" t="s">
        <v>304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254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254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254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254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254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254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254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254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230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230</v>
      </c>
      <c r="O189" s="39">
        <v>747210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233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305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230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230</v>
      </c>
      <c r="O216" s="39">
        <v>468430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233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254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254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254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254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254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230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230</v>
      </c>
      <c r="O243" s="39">
        <v>575930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233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254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254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254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230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306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307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230</v>
      </c>
      <c r="O270" s="39">
        <v>483510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233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230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308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254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309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230</v>
      </c>
      <c r="O297" s="39">
        <v>487980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233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230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311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312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230</v>
      </c>
      <c r="O324" s="39">
        <v>609460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233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254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313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254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227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254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300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254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254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254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254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254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230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230</v>
      </c>
      <c r="O351" s="39">
        <v>437940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233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254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254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230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230</v>
      </c>
      <c r="O378" s="39">
        <v>473310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233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254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254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254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254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254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254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254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254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254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230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230</v>
      </c>
      <c r="O405" s="39">
        <v>507450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233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254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254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254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254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254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254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254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227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227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254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254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230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230</v>
      </c>
      <c r="O432" s="39">
        <v>229150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233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314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230</v>
      </c>
      <c r="O446" s="39">
        <v>191330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230</v>
      </c>
      <c r="O459" s="39">
        <v>409980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233</v>
      </c>
      <c r="O460" s="48">
        <f>IFERROR(O446+O459,"")</f>
        <v>601310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227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227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227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227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230</v>
      </c>
      <c r="O473" s="39">
        <v>228940</v>
      </c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30</v>
      </c>
      <c r="G487" s="40">
        <f>G473+G486</f>
        <v>150</v>
      </c>
      <c r="H487" s="41"/>
      <c r="I487" s="41"/>
      <c r="J487" s="41"/>
      <c r="K487" s="41"/>
      <c r="L487" s="41"/>
      <c r="M487" s="42">
        <f ca="1">IFERROR(M473+M486,"")</f>
        <v>0.12986111111111104</v>
      </c>
      <c r="N487" s="40" t="s">
        <v>233</v>
      </c>
      <c r="O487" s="48">
        <f>IFERROR(O473+O486,"")</f>
        <v>228940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445" activePane="bottomLeft" state="frozen"/>
      <selection pane="bottomLeft" activeCell="O474" sqref="O47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50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230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316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230</v>
      </c>
      <c r="O27" s="39">
        <v>202230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233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317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318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230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230</v>
      </c>
      <c r="O54" s="39">
        <v>473910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233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319</v>
      </c>
      <c r="L58" s="29">
        <v>0.54097222222222219</v>
      </c>
      <c r="M58" s="30" t="str">
        <f t="shared" ca="1" si="13"/>
        <v/>
      </c>
      <c r="N58" s="27" t="s">
        <v>320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230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295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321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322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323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324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230</v>
      </c>
      <c r="O81" s="39">
        <v>565120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233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325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227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230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230</v>
      </c>
      <c r="O108" s="39">
        <v>558590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233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326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230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327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328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0.52645972222671844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0.72576527778227407</v>
      </c>
      <c r="N135" s="36" t="s">
        <v>230</v>
      </c>
      <c r="O135" s="39">
        <v>729290</v>
      </c>
    </row>
    <row r="136" spans="1:18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1.0931263888933851</v>
      </c>
      <c r="N136" s="40" t="s">
        <v>233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329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230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230</v>
      </c>
      <c r="O162" s="39">
        <v>697320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233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254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331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230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230</v>
      </c>
      <c r="O189" s="39">
        <v>973580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233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332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333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230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334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230</v>
      </c>
      <c r="O216" s="45">
        <v>1060630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233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335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336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337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230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338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230</v>
      </c>
      <c r="O243" s="39">
        <v>982340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233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339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230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230</v>
      </c>
      <c r="O270" s="39">
        <v>1208450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233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230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230</v>
      </c>
      <c r="O297" s="39">
        <v>1049090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233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340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230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263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230</v>
      </c>
      <c r="O324" s="39">
        <v>1063720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233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254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254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254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254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254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254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254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254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254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254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229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230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341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342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230</v>
      </c>
      <c r="O351" s="39">
        <v>696140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233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300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229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230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254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254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254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343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230</v>
      </c>
      <c r="O378" s="39">
        <v>704750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233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344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331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230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345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346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230</v>
      </c>
      <c r="O405" s="39">
        <v>958130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233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230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347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230</v>
      </c>
      <c r="O432" s="39">
        <v>605220</v>
      </c>
    </row>
    <row r="433" spans="1:17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233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230</v>
      </c>
      <c r="O446" s="39">
        <v>878370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348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230</v>
      </c>
      <c r="O459" s="39">
        <v>615330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233</v>
      </c>
      <c r="O460" s="48">
        <f>IFERROR(O446+O459,"")</f>
        <v>1493700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349</v>
      </c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350</v>
      </c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324</v>
      </c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230</v>
      </c>
      <c r="O473" s="39">
        <v>774200</v>
      </c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115</v>
      </c>
      <c r="G487" s="40">
        <f>G473+G486</f>
        <v>575</v>
      </c>
      <c r="H487" s="41"/>
      <c r="I487" s="41"/>
      <c r="J487" s="41"/>
      <c r="K487" s="63"/>
      <c r="L487" s="63"/>
      <c r="M487" s="42">
        <f ca="1">IFERROR(M473+M486,"")</f>
        <v>0.14097222222222217</v>
      </c>
      <c r="N487" s="40" t="s">
        <v>233</v>
      </c>
      <c r="O487" s="48">
        <f>IFERROR(O473+O486,"")</f>
        <v>774200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2026-07-18T22:37:10Z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