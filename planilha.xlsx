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03" documentId="13_ncr:1_{A6DBCFB4-28D9-4249-9038-216934055CA6}" xr6:coauthVersionLast="47" xr6:coauthVersionMax="47" xr10:uidLastSave="{2CFF2D0F-7E7E-49C6-BD5A-3A0E7DF1240B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<sst xmlns="http://schemas.openxmlformats.org/spreadsheetml/2006/main" count="8929" uniqueCount="401">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</sst>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N529" sqref="N52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/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188</v>
      </c>
      <c r="G541" s="1">
        <f>G527+G540</f>
        <v>881.6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G529" sqref="G52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0.7199545138864778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0.85884340277536553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0.94356562499758834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31</v>
      </c>
      <c r="E529" s="87" t="s">
        <v>274</v>
      </c>
      <c r="F529" s="88">
        <f>IFERROR(IF($D529="","",VLOOKUP($D529,Cadastro!$C$4:$E$7,3,FALSE())),"")</f>
        <v>0.35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 t="s">
        <v>274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 t="s">
        <v>274</v>
      </c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7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29.400000000000002</v>
      </c>
      <c r="L540" s="72"/>
      <c r="M540" s="72"/>
      <c r="N540" s="72"/>
      <c r="O540" s="72"/>
      <c r="P540" s="72"/>
      <c r="Q540" s="73">
        <f ca="1">IFERROR(SUM(Q528:Q539),"")</f>
        <v>1.1805555555555625E-2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186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854.80000000000007</v>
      </c>
      <c r="L541" s="76"/>
      <c r="M541" s="76"/>
      <c r="N541" s="76"/>
      <c r="O541" s="76"/>
      <c r="P541" s="76"/>
      <c r="Q541" s="77">
        <f ca="1">IFERROR(Q527+Q540,"")</f>
        <v>7.6388888888888895E-2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E537" sqref="E53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/>
      <c r="F528" s="101">
        <f>IFERROR(IF($D528="","",VLOOKUP($D528,Cadastro!$C$4:$E$7,3,FALSE())),"")</f>
        <v>0.35</v>
      </c>
      <c r="G528" s="89"/>
      <c r="H528" s="101" t="str">
        <f>IFERROR(IF($G528="","",$G528*$S$540/$G$540/Cadastro!$E$33),"")</f>
        <v/>
      </c>
      <c r="I528" s="102">
        <f>IFERROR(IF($D528="","",VLOOKUP($D528,Cadastro!$C$4:$G$7,5,FALSE())),"")</f>
        <v>0.6</v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31</v>
      </c>
      <c r="E529" s="87"/>
      <c r="F529" s="88">
        <f>IFERROR(IF($D529="","",VLOOKUP($D529,Cadastro!$C$4:$E$7,3,FALSE())),"")</f>
        <v>0.35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31</v>
      </c>
      <c r="E530" s="87"/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77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349</v>
      </c>
      <c r="L541" s="76"/>
      <c r="M541" s="76"/>
      <c r="N541" s="76"/>
      <c r="O541" s="76"/>
      <c r="P541" s="76"/>
      <c r="Q541" s="77">
        <f ca="1">IFERROR(Q527+Q540,"")</f>
        <v>6.8749999999999922E-2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E536" sqref="E53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/>
      <c r="F528" s="101">
        <f>IFERROR(IF($D528="","",VLOOKUP($D528,Cadastro!$C$4:$E$7,3,FALSE())),"")</f>
        <v>0.35</v>
      </c>
      <c r="G528" s="89"/>
      <c r="H528" s="101" t="str">
        <f>IFERROR(IF($G528="","",$G528*$S$540/$G$540/Cadastro!$E$33),"")</f>
        <v/>
      </c>
      <c r="I528" s="102">
        <f>IFERROR(IF($D528="","",VLOOKUP($D528,Cadastro!$C$4:$G$7,5,FALSE())),"")</f>
        <v>0.6</v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31</v>
      </c>
      <c r="E529" s="87"/>
      <c r="F529" s="88">
        <f>IFERROR(IF($D529="","",VLOOKUP($D529,Cadastro!$C$4:$E$7,3,FALSE())),"")</f>
        <v>0.35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/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197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901</v>
      </c>
      <c r="L541" s="76"/>
      <c r="M541" s="76"/>
      <c r="N541" s="76"/>
      <c r="O541" s="135"/>
      <c r="P541" s="135"/>
      <c r="Q541" s="77">
        <f ca="1">IFERROR(Q527+Q540,"")</f>
        <v>5.00000000000001E-2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2026-08-21T00:11:47Z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