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82" documentId="8_{AF585B22-221D-4780-BB9C-493D365A6A02}" xr6:coauthVersionLast="47" xr6:coauthVersionMax="47" xr10:uidLastSave="{3915B3B9-8F12-46B7-8C76-2B0F4D5011E9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<sst xmlns="http://schemas.openxmlformats.org/spreadsheetml/2006/main" count="5725" uniqueCount="310">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</sst>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28" activePane="bottomLeft" state="frozen"/>
      <selection pane="bottomLeft" activeCell="J341" sqref="J3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/>
      <c r="M341" s="35">
        <f t="shared" ca="1" si="76"/>
        <v>2.2209606482647359E-2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21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0.2069318287048697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326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0.30484849537153635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20" activePane="bottomLeft" state="frozen"/>
      <selection pane="bottomLeft" activeCell="K341" sqref="K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5.9027777777777776E-2</v>
      </c>
      <c r="L340" s="29">
        <v>7.2916666666666671E-2</v>
      </c>
      <c r="M340" s="30">
        <f t="shared" ca="1" si="76"/>
        <v>1.3888888888888895E-2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/>
      <c r="M341" s="35">
        <f t="shared" ca="1" si="76"/>
        <v>6.8182870745658875E-4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75</v>
      </c>
      <c r="G351" s="36">
        <f>SUM(G339:G350)</f>
        <v>315</v>
      </c>
      <c r="H351" s="37"/>
      <c r="I351" s="37"/>
      <c r="J351" s="37"/>
      <c r="K351" s="37"/>
      <c r="L351" s="37"/>
      <c r="M351" s="38">
        <f ca="1">IFERROR(SUM(M339:M350),"")</f>
        <v>2.012627315190102E-2</v>
      </c>
      <c r="N351" s="36" t="s">
        <v>219</v>
      </c>
      <c r="O351" s="78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272</v>
      </c>
      <c r="G352" s="40">
        <f>G338+G351</f>
        <v>1152</v>
      </c>
      <c r="H352" s="41"/>
      <c r="I352" s="41"/>
      <c r="J352" s="41"/>
      <c r="K352" s="41"/>
      <c r="L352" s="41"/>
      <c r="M352" s="42">
        <f ca="1">IFERROR(M338+M351,"")</f>
        <v>8.9570717596345495E-2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5" sqref="F3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53</v>
      </c>
      <c r="G351" s="36">
        <f>SUM(G339:G350)</f>
        <v>222.60000000000002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93</v>
      </c>
      <c r="G352" s="40">
        <f>G338+G351</f>
        <v>390.6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F345" sqref="F3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0.82429293981840601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1.0235984953739616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1.3909596064850727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90</v>
      </c>
      <c r="G351" s="36">
        <f>SUM(G339:G350)</f>
        <v>378</v>
      </c>
      <c r="H351" s="37"/>
      <c r="I351" s="37"/>
      <c r="J351" s="37"/>
      <c r="K351" s="61"/>
      <c r="L351" s="61"/>
      <c r="M351" s="38">
        <f ca="1">IFERROR(SUM(M339:M350),"")</f>
        <v>4.513888888888884E-2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273</v>
      </c>
      <c r="G352" s="40">
        <f>G338+G351</f>
        <v>1158.5999999999999</v>
      </c>
      <c r="H352" s="41"/>
      <c r="I352" s="41"/>
      <c r="J352" s="41"/>
      <c r="K352" s="63"/>
      <c r="L352" s="63"/>
      <c r="M352" s="42">
        <f ca="1">IFERROR(M338+M351,"")</f>
        <v>0.15416666666666656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2026-07-14T05:46:16Z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