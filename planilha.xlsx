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730" documentId="8_{C51EB6CB-002B-4D6B-B68F-DDEBDB4460C0}" xr6:coauthVersionLast="47" xr6:coauthVersionMax="47" xr10:uidLastSave="{6ABC161E-E17B-46A2-A317-BACECBA032AD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<sst xmlns="http://schemas.openxmlformats.org/spreadsheetml/2006/main" count="4782" uniqueCount="318">
  <si>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</si>
  <si>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</si>
  <si>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</si>
  <si>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</si>
  <si>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</si>
  <si>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</si>
  <si>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</si>
  <si>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</si>
  <si>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</si>
  <si>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</si>
  <si>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</si>
  <si>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</si>
  <si>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</si>
  <si>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</si>
  <si>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</si>
  <si>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</si>
  <si>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</si>
  <si>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</si>
  <si>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</si>
  <si>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</si>
  <si>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</si>
  <si>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</si>
  <si>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</si>
  <si>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</si>
  <si>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</si>
  <si>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</si>
  <si>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</si>
  <si>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</si>
  <si>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</si>
  <si>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</si>
  <si>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</si>
  <si>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</si>
  <si>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</si>
  <si>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</si>
  <si>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</si>
  <si>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</si>
  <si>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</si>
  <si>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</si>
  <si>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</si>
  <si>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</si>
  <si>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</si>
  <si>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</si>
  <si>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</si>
  <si>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</si>
  <si>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</si>
  <si>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</si>
  <si>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</si>
  <si>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</si>
  <si>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</si>
  <si>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</si>
  <si>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</si>
  <si>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</si>
  <si>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</si>
  <si>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</si>
  <si>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</si>
  <si>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</si>
  <si>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</si>
  <si>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</si>
  <si>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</si>
  <si>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</si>
  <si>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</si>
  <si>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</si>
  <si>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</si>
  <si>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</si>
  <si>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</si>
  <si>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</si>
  <si>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</si>
  <si>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</si>
  <si>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</si>
  <si>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</si>
  <si>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</si>
  <si>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</si>
  <si>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</si>
  <si>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</si>
  <si>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</si>
  <si>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</si>
  <si>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</si>
  <si>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</si>
  <si>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</si>
  <si>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</si>
  <si>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</si>
  <si>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</si>
  <si>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</si>
  <si>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</si>
  <si>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</si>
  <si>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</si>
  <si>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</si>
  <si>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</si>
  <si>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</si>
  <si>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</si>
  <si>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</si>
  <si>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</si>
  <si>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</si>
  <si>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</si>
  <si>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</si>
  <si>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</si>
  <si>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</si>
  <si>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</si>
  <si>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</si>
  <si>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</si>
  <si>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</si>
  <si>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</si>
  <si>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</si>
  <si>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</si>
  <si>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</si>
  <si>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</si>
  <si>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</si>
  <si>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</si>
  <si>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</si>
  <si>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</si>
  <si>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</si>
  <si>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</si>
  <si>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</si>
  <si>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</si>
  <si>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</si>
  <si>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</si>
  <si>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</si>
  <si>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</si>
  <si>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</si>
  <si>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</si>
  <si>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</si>
  <si>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</si>
  <si>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</si>
  <si>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</si>
  <si>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</si>
  <si>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</si>
  <si>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</si>
  <si>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</si>
  <si>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</si>
  <si>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</si>
  <si>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</si>
  <si>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</si>
  <si>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</si>
  <si>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</si>
  <si>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</si>
  <si>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</si>
  <si>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</si>
  <si>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</si>
  <si>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</si>
  <si>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</si>
  <si>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</si>
  <si>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</si>
  <si>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</si>
  <si>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</si>
  <si>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</si>
  <si>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</si>
  <si>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</si>
  <si>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</si>
  <si>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</si>
  <si>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</si>
  <si>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</si>
  <si>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</si>
  <si>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</si>
  <si>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</si>
  <si>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</si>
  <si>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</si>
  <si>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</si>
  <si>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</si>
  <si>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</si>
  <si>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</si>
  <si>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</si>
  <si>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</si>
  <si>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</si>
  <si>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</si>
  <si>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</si>
  <si>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</si>
  <si>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</si>
  <si>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</si>
  <si>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</si>
  <si>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</si>
  <si>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</si>
  <si>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</si>
  <si>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</si>
  <si>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</si>
  <si>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</si>
  <si>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</si>
  <si>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</si>
  <si>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</si>
  <si>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</si>
  <si>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</si>
  <si>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</si>
  <si>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</si>
  <si>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</si>
  <si>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</si>
  <si>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</si>
  <si>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</si>
  <si>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</si>
  <si>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</si>
  <si>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</si>
  <si>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</si>
  <si>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</si>
  <si>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</si>
  <si>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</si>
  <si>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</si>
  <si>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</si>
  <si>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</si>
  <si>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</si>
  <si>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</si>
  <si>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</si>
  <si>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</si>
  <si>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</si>
  <si>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</si>
  <si>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</si>
  <si>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</si>
  <si>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</si>
  <si>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</si>
  <si>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</si>
  <si>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</si>
  <si>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</si>
  <si>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</si>
  <si>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</si>
  <si>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</si>
  <si>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</si>
  <si>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</si>
  <si>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</si>
  <si>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</si>
  <si>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</si>
  <si>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</si>
  <si>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</si>
  <si>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</si>
  <si>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</si>
  <si>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</si>
  <si>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</si>
  <si>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</si>
  <si>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</si>
  <si>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</si>
  <si>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</si>
  <si>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</si>
  <si>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</si>
  <si>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</si>
  <si>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</si>
  <si>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</si>
  <si>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</si>
  <si>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</si>
  <si>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</si>
  <si>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</si>
  <si>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</si>
  <si>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</si>
  <si>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</si>
  <si>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</si>
  <si>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</si>
  <si>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</si>
  <si>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</si>
  <si>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</si>
  <si>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</si>
  <si>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</si>
  <si>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</si>
  <si>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</si>
  <si>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</si>
  <si>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</si>
  <si>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</si>
  <si>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</si>
  <si>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</si>
  <si>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</si>
  <si>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</si>
  <si>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</si>
  <si>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</si>
  <si>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</si>
  <si>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</si>
  <si>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</si>
  <si>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</si>
  <si>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</si>
  <si>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</si>
  <si>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</si>
  <si>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</si>
  <si>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</si>
  <si>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</si>
  <si>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</si>
  <si>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</si>
  <si>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</si>
  <si>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</si>
  <si>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</si>
  <si>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</si>
  <si>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</si>
  <si>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</si>
  <si>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</si>
  <si>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</si>
  <si>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</si>
  <si>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</si>
  <si>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</si>
  <si>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</si>
  <si>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</si>
  <si>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</si>
  <si>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</si>
  <si>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</si>
  <si>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</si>
  <si>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</si>
  <si>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</si>
  <si>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</si>
  <si>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</si>
  <si>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</si>
  <si>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</si>
  <si>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</si>
  <si>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</si>
  <si>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 xml:space="preserve">observação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</si>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</sst>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30437510</v>
      </c>
      <c r="D35" s="13">
        <f>IFERROR(SUM(D4:D34),"")</f>
        <v>9653100</v>
      </c>
      <c r="E35" s="13">
        <f>IFERROR(SUM(E4:E34),"")</f>
        <v>4559940</v>
      </c>
      <c r="F35" s="13">
        <f>IFERROR(SUM(F4:F34),"")</f>
        <v>12399220</v>
      </c>
      <c r="G35" s="13">
        <f>IFERROR(SUM(G4:G34),"")</f>
        <v>26612260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15" activePane="bottomLeft" state="frozen"/>
      <selection pane="bottomLeft" activeCell="N246" sqref="N24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6" t="s">
        <v>234</v>
      </c>
      <c r="B230" s="117"/>
      <c r="C230" s="117"/>
      <c r="D230" s="117"/>
      <c r="E230" s="118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235</v>
      </c>
      <c r="O243" s="39">
        <v>991010</v>
      </c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239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30" activePane="bottomLeft" state="frozen"/>
      <selection pane="bottomLeft" activeCell="G247" sqref="G24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0.20949456017842749</v>
      </c>
      <c r="N53" s="46" t="s">
        <v>261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0.34838344906731639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0.4331056712895387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253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262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263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264</v>
      </c>
      <c r="M96" s="30" t="str">
        <f t="shared" ref="M96:M107" ca="1" si="22">IFERROR(IF(K96="","",IF(L96="",MOD(NOW()-K96,1),IF(L96&gt;=K96,L96-K96,L96+1-K96))),"")</f>
        <v/>
      </c>
      <c r="N96" s="46" t="s">
        <v>265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266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267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268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269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270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271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272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273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274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275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268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262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276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277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278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236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235</v>
      </c>
      <c r="O243" s="77">
        <v>825930</v>
      </c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239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22" zoomScale="50" zoomScaleNormal="50" workbookViewId="0">
      <selection activeCell="J246" sqref="J24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271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262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289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274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290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292</v>
      </c>
      <c r="M222" s="30" t="str">
        <f t="shared" ca="1" si="49"/>
        <v/>
      </c>
      <c r="N222" s="27" t="s">
        <v>293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235</v>
      </c>
      <c r="O243" s="39">
        <v>352720</v>
      </c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239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/>
      <c r="F245" s="27"/>
      <c r="G245" s="28" t="str">
        <f t="shared" ref="G245:G256" si="54">IF(F245="","",IF(E245="PC 17",F245*4.2,IF(E245="PC 19",F245*5,IF(E245="CB",F245*24,""))))</f>
        <v/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294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/>
      <c r="F246" s="27"/>
      <c r="G246" s="34" t="str">
        <f t="shared" si="54"/>
        <v/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/>
      <c r="M246" s="30">
        <f t="shared" ca="1" si="55"/>
        <v>1.1612268499447964E-3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30</v>
      </c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30</v>
      </c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30</v>
      </c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30</v>
      </c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30</v>
      </c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1.8522337961055901E-2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1.8522337961055901E-2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28" activePane="bottomLeft" state="frozen"/>
      <selection pane="bottomLeft" activeCell="L246" sqref="L24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262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271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235</v>
      </c>
      <c r="O243" s="39">
        <v>795250</v>
      </c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239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/>
      <c r="F245" s="27"/>
      <c r="G245" s="28" t="str">
        <f t="shared" ref="G245:G256" si="54">IF(F245="","",IF(E245="PC 17",F245*4.2,IF(E245="PC 19",F245*5,IF(E245="CB",F245*24,""))))</f>
        <v/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30</v>
      </c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30</v>
      </c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30</v>
      </c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30</v>
      </c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30</v>
      </c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4.1666666666666519E-3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4.1666666666666519E-3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2026-08-10T11:58:10Z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