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64" documentId="8_{C51EB6CB-002B-4D6B-B68F-DDEBDB4460C0}" xr6:coauthVersionLast="47" xr6:coauthVersionMax="47" xr10:uidLastSave="{8FF5998E-DDC9-4823-BB40-0AE903101A7F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<sst xmlns="http://schemas.openxmlformats.org/spreadsheetml/2006/main" count="4131" uniqueCount="301">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</sst>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L194" sqref="L1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206</v>
      </c>
      <c r="G203" s="36">
        <f>SUM(G191:G202)</f>
        <v>1030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206</v>
      </c>
      <c r="G217" s="40">
        <f>G203+G216</f>
        <v>1030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59" activePane="bottomLeft" state="frozen"/>
      <selection pane="bottomLeft" activeCell="I196" sqref="I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0.57756249999511056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0.7164513888839994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0.80117361110622176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101</v>
      </c>
      <c r="G203" s="36">
        <f>SUM(G191:G202)</f>
        <v>424.20000000000005</v>
      </c>
      <c r="H203" s="37"/>
      <c r="I203" s="37"/>
      <c r="J203" s="37"/>
      <c r="K203" s="37"/>
      <c r="L203" s="37"/>
      <c r="M203" s="38">
        <f ca="1">IFERROR(SUM(M191:M202),"")</f>
        <v>0.1243055555555555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101</v>
      </c>
      <c r="G217" s="40">
        <f>G203+G216</f>
        <v>424.20000000000005</v>
      </c>
      <c r="H217" s="41"/>
      <c r="I217" s="41"/>
      <c r="J217" s="41"/>
      <c r="K217" s="41"/>
      <c r="L217" s="41"/>
      <c r="M217" s="42">
        <f ca="1">IFERROR(M203+M216,"")</f>
        <v>0.1243055555555555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J199" sqref="J198:J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9</v>
      </c>
      <c r="G203" s="36">
        <f>SUM(G191:G202)</f>
        <v>37.800000000000004</v>
      </c>
      <c r="H203" s="37"/>
      <c r="I203" s="37"/>
      <c r="J203" s="37"/>
      <c r="K203" s="37"/>
      <c r="L203" s="37"/>
      <c r="M203" s="38">
        <f ca="1">IFERROR(SUM(M191:M202),"")</f>
        <v>0.14583333333333331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9</v>
      </c>
      <c r="G217" s="40">
        <f>G203+G216</f>
        <v>37.800000000000004</v>
      </c>
      <c r="H217" s="41"/>
      <c r="I217" s="41"/>
      <c r="J217" s="41"/>
      <c r="K217" s="41"/>
      <c r="L217" s="41"/>
      <c r="M217" s="42">
        <f ca="1">IFERROR(M203+M216,"")</f>
        <v>0.14583333333333331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J194" sqref="J1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/>
      <c r="M194" s="30">
        <f t="shared" ca="1" si="43"/>
        <v>4.7916666517267004E-4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122</v>
      </c>
      <c r="G203" s="36">
        <f>SUM(G191:G202)</f>
        <v>512.40000000000009</v>
      </c>
      <c r="H203" s="37"/>
      <c r="I203" s="37"/>
      <c r="J203" s="37"/>
      <c r="K203" s="61"/>
      <c r="L203" s="61"/>
      <c r="M203" s="38">
        <f ca="1">IFERROR(SUM(M191:M202),"")</f>
        <v>6.2284722220728284E-2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122</v>
      </c>
      <c r="G217" s="40">
        <f>G203+G216</f>
        <v>512.40000000000009</v>
      </c>
      <c r="H217" s="41"/>
      <c r="I217" s="41"/>
      <c r="J217" s="41"/>
      <c r="K217" s="63"/>
      <c r="L217" s="63"/>
      <c r="M217" s="42">
        <f ca="1">IFERROR(M203+M216,"")</f>
        <v>6.2284722220728284E-2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2026-08-08T20:46:57Z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