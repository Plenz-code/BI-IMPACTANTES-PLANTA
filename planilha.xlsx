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" documentId="13_ncr:1_{A6DBCFB4-28D9-4249-9038-216934055CA6}" xr6:coauthVersionLast="47" xr6:coauthVersionMax="47" xr10:uidLastSave="{2A5DF9C4-8695-4FCD-A295-FBC93FEDF939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<sst xmlns="http://schemas.openxmlformats.org/spreadsheetml/2006/main" count="8425" uniqueCount="394">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</sst>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3" sqref="F49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/>
      <c r="G493" s="69" t="str">
        <f t="shared" si="106"/>
        <v/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6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57</v>
      </c>
      <c r="G500" s="2">
        <f>SUM(G488:G499)</f>
        <v>285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57</v>
      </c>
      <c r="G514" s="1">
        <f>G500+G513</f>
        <v>285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3" sqref="G49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0.40238287036481779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0.54127175925370552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0.62599398147592833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52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227.20000000000002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52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227.20000000000002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1" activePane="bottomLeft" state="frozen"/>
      <selection pane="bottomLeft" activeCell="N488" sqref="N48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/>
      <c r="Q488" s="66">
        <f t="shared" ref="Q488:Q499" ca="1" si="121">IFERROR(IF(O488="","",IF(P488="",MOD(NOW()-O488,1),IF(P488&gt;=O488,P488-O488,P488+1-O488))),"")</f>
        <v>9.9398147722240537E-4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/>
      <c r="M489" s="70"/>
      <c r="N489" s="70"/>
      <c r="O489" s="65"/>
      <c r="P489" s="65"/>
      <c r="Q489" s="71" t="str">
        <f t="shared" ca="1" si="121"/>
        <v/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0"/>
        <v/>
      </c>
      <c r="K493" s="69" t="str">
        <f>IF(G493="","",IF(E494="PC 17",G493*4.2,IF(E494="PC 19",G493*5,IF(E494="CB",G493*24,""))))</f>
        <v/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117.4</v>
      </c>
      <c r="L500" s="72"/>
      <c r="M500" s="72"/>
      <c r="N500" s="72"/>
      <c r="O500" s="72"/>
      <c r="P500" s="72"/>
      <c r="Q500" s="73">
        <f ca="1">IFERROR(SUM(Q488:Q499),"")</f>
        <v>9.9398147722240537E-4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117.4</v>
      </c>
      <c r="L514" s="76"/>
      <c r="M514" s="76"/>
      <c r="N514" s="76"/>
      <c r="O514" s="76"/>
      <c r="P514" s="76"/>
      <c r="Q514" s="77">
        <f ca="1">IFERROR(Q500+Q513,"")</f>
        <v>9.9398147722240537E-4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3" sqref="G49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75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320.60000000000002</v>
      </c>
      <c r="L500" s="72"/>
      <c r="M500" s="72"/>
      <c r="N500" s="72"/>
      <c r="O500" s="134"/>
      <c r="P500" s="134"/>
      <c r="Q500" s="73">
        <f ca="1">IFERROR(SUM(Q488:Q499),"")</f>
        <v>3.9583333333332693E-2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75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320.60000000000002</v>
      </c>
      <c r="L514" s="76"/>
      <c r="M514" s="76"/>
      <c r="N514" s="76"/>
      <c r="O514" s="135"/>
      <c r="P514" s="135"/>
      <c r="Q514" s="77">
        <f ca="1">IFERROR(Q500+Q513,"")</f>
        <v>3.9583333333332693E-2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2026-08-19T16:34:34Z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