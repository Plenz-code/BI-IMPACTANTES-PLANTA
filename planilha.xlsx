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372" documentId="8_{AF585B22-221D-4780-BB9C-493D365A6A02}" xr6:coauthVersionLast="47" xr6:coauthVersionMax="47" xr10:uidLastSave="{3E8BDC64-B09B-4880-BDB8-B13A722A4D0C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<sst xmlns="http://schemas.openxmlformats.org/spreadsheetml/2006/main" count="6521" uniqueCount="327">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</sst>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1576070</v>
      </c>
      <c r="D18" s="8">
        <f>IFERROR('Linha 1'!O406,"")</f>
        <v>281950</v>
      </c>
      <c r="E18" s="8">
        <f>IFERROR('Linha 2'!O406,"")</f>
        <v>399940</v>
      </c>
      <c r="F18" s="8">
        <f>IFERROR('Linha 3'!O406,"")</f>
        <v>565570</v>
      </c>
      <c r="G18" s="9">
        <f t="shared" si="0"/>
        <v>1247460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43719092</v>
      </c>
      <c r="D35" s="13">
        <f>IFERROR(SUM(D4:D34),"")</f>
        <v>16028150</v>
      </c>
      <c r="E35" s="13">
        <f>IFERROR(SUM(E4:E34),"")</f>
        <v>10699830</v>
      </c>
      <c r="F35" s="13">
        <f>IFERROR(SUM(F4:F34),"")</f>
        <v>19982890</v>
      </c>
      <c r="G35" s="13">
        <f>IFERROR(SUM(G4:G34),"")</f>
        <v>46710870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90" activePane="bottomLeft" state="frozen"/>
      <selection pane="bottomLeft" activeCell="J394" sqref="J39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17</v>
      </c>
      <c r="I394" s="26"/>
      <c r="J394" s="26" t="s">
        <v>25</v>
      </c>
      <c r="K394" s="29">
        <v>3.6805555555555557E-2</v>
      </c>
      <c r="L394" s="29"/>
      <c r="M394" s="30">
        <f t="shared" ca="1" si="88"/>
        <v>1.3415509238257073E-3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92</v>
      </c>
      <c r="G405" s="36">
        <f>SUM(G393:G404)</f>
        <v>460</v>
      </c>
      <c r="H405" s="37"/>
      <c r="I405" s="37"/>
      <c r="J405" s="37"/>
      <c r="K405" s="37"/>
      <c r="L405" s="37"/>
      <c r="M405" s="38">
        <f ca="1">IFERROR(SUM(M393:M404),"")</f>
        <v>9.674884257159011E-3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352</v>
      </c>
      <c r="G406" s="40">
        <f>G392+G405</f>
        <v>1760</v>
      </c>
      <c r="H406" s="41"/>
      <c r="I406" s="41"/>
      <c r="J406" s="41"/>
      <c r="K406" s="41"/>
      <c r="L406" s="41"/>
      <c r="M406" s="42">
        <f ca="1">IFERROR(M392+M405,"")</f>
        <v>0.12495266203493677</v>
      </c>
      <c r="N406" s="40" t="s">
        <v>226</v>
      </c>
      <c r="O406" s="48">
        <f>IFERROR(O392+O405,"")</f>
        <v>1576070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87" activePane="bottomLeft" state="frozen"/>
      <selection pane="bottomLeft" activeCell="J396" sqref="J39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0.79856377314717975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0.95620266203606863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1.0659248842582909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242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/>
      <c r="M396" s="30">
        <f t="shared" ca="1" si="88"/>
        <v>1.3415509238257073E-3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10</v>
      </c>
      <c r="G397" s="34">
        <f t="shared" si="87"/>
        <v>42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67</v>
      </c>
      <c r="G405" s="36">
        <f>SUM(G393:G404)</f>
        <v>281.39999999999998</v>
      </c>
      <c r="H405" s="37"/>
      <c r="I405" s="37"/>
      <c r="J405" s="37"/>
      <c r="K405" s="37"/>
      <c r="L405" s="37"/>
      <c r="M405" s="38">
        <f ca="1">IFERROR(SUM(M393:M404),"")</f>
        <v>0.13606377314604795</v>
      </c>
      <c r="N405" s="36" t="s">
        <v>223</v>
      </c>
      <c r="O405" s="78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141</v>
      </c>
      <c r="G406" s="40">
        <f>G392+G405</f>
        <v>592.20000000000005</v>
      </c>
      <c r="H406" s="41"/>
      <c r="I406" s="41"/>
      <c r="J406" s="41"/>
      <c r="K406" s="41"/>
      <c r="L406" s="41"/>
      <c r="M406" s="42">
        <f ca="1">IFERROR(M392+M405,"")</f>
        <v>0.47634155092382569</v>
      </c>
      <c r="N406" s="40" t="s">
        <v>226</v>
      </c>
      <c r="O406" s="84">
        <f>IFERROR(O392+O405,"")</f>
        <v>281950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388" zoomScale="50" zoomScaleNormal="50" workbookViewId="0">
      <selection activeCell="H393" sqref="H39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256</v>
      </c>
      <c r="K141" s="29">
        <v>0.71597222222222223</v>
      </c>
      <c r="L141" s="29" t="s">
        <v>283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285</v>
      </c>
      <c r="N166" s="27" t="s">
        <v>286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/>
      <c r="I393" s="33"/>
      <c r="J393" s="33"/>
      <c r="K393" s="29">
        <v>3.6805555555555557E-2</v>
      </c>
      <c r="L393" s="29"/>
      <c r="M393" s="35">
        <f t="shared" ref="M393:M404" ca="1" si="88">IFERROR(IF(K393="","",IF(L393="",MOD(NOW()-K393,1),IF(L393&gt;=K393,L393-K393,L393+1-K393))),"")</f>
        <v>1.3415509238257073E-3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39</v>
      </c>
      <c r="G405" s="36">
        <f>SUM(G393:G404)</f>
        <v>173.4</v>
      </c>
      <c r="H405" s="37"/>
      <c r="I405" s="37"/>
      <c r="J405" s="37"/>
      <c r="K405" s="37"/>
      <c r="L405" s="37"/>
      <c r="M405" s="38">
        <f ca="1">IFERROR(SUM(M393:M404),"")</f>
        <v>1.3415509238257073E-3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134</v>
      </c>
      <c r="G406" s="40">
        <f>G392+G405</f>
        <v>572.40000000000009</v>
      </c>
      <c r="H406" s="41"/>
      <c r="I406" s="41"/>
      <c r="J406" s="41"/>
      <c r="K406" s="41"/>
      <c r="L406" s="41"/>
      <c r="M406" s="42">
        <f ca="1">IFERROR(M392+M405,"")</f>
        <v>3.1202662034936768E-2</v>
      </c>
      <c r="N406" s="40" t="s">
        <v>226</v>
      </c>
      <c r="O406" s="48">
        <f>IFERROR(O392+O405,"")</f>
        <v>399940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82" activePane="bottomLeft" state="frozen"/>
      <selection pane="bottomLeft" activeCell="L395" sqref="L39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300</v>
      </c>
      <c r="L58" s="29">
        <v>0.54097222222222219</v>
      </c>
      <c r="M58" s="30" t="str">
        <f t="shared" ca="1" si="13"/>
        <v/>
      </c>
      <c r="N58" s="27" t="s">
        <v>301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0.78884155092964647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0.9881471064852021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1.3555082175963131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326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8</v>
      </c>
      <c r="G395" s="34">
        <f t="shared" si="87"/>
        <v>33.6</v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/>
      <c r="F396" s="27">
        <v>21</v>
      </c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/>
      <c r="F397" s="27">
        <v>11</v>
      </c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75</v>
      </c>
      <c r="G405" s="36">
        <f>SUM(G393:G404)</f>
        <v>200.6</v>
      </c>
      <c r="H405" s="37"/>
      <c r="I405" s="37"/>
      <c r="J405" s="37"/>
      <c r="K405" s="61"/>
      <c r="L405" s="61"/>
      <c r="M405" s="38">
        <f ca="1">IFERROR(SUM(M393:M404),"")</f>
        <v>5.2777777777777923E-2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218</v>
      </c>
      <c r="G406" s="40">
        <f>G392+G405</f>
        <v>801.2</v>
      </c>
      <c r="H406" s="41"/>
      <c r="I406" s="41"/>
      <c r="J406" s="41"/>
      <c r="K406" s="63"/>
      <c r="L406" s="63"/>
      <c r="M406" s="42">
        <f ca="1">IFERROR(M392+M405,"")</f>
        <v>0.23541666666666689</v>
      </c>
      <c r="N406" s="40" t="s">
        <v>226</v>
      </c>
      <c r="O406" s="48">
        <f>IFERROR(O392+O405,"")</f>
        <v>565570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2026-07-16T04:54:57Z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