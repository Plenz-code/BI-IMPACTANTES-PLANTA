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52" documentId="13_ncr:1_{A6DBCFB4-28D9-4249-9038-216934055CA6}" xr6:coauthVersionLast="47" xr6:coauthVersionMax="47" xr10:uidLastSave="{3D2E21B8-15BB-44BB-97CB-F26735FA5E9F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2" i="4" l="1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<sst xmlns="http://schemas.openxmlformats.org/spreadsheetml/2006/main" count="9233" uniqueCount="405">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</sst>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P18" sqref="P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24442520</v>
      </c>
      <c r="E35" s="30">
        <f t="shared" si="2"/>
        <v>12931650</v>
      </c>
      <c r="F35" s="30">
        <f t="shared" si="2"/>
        <v>31416610</v>
      </c>
      <c r="G35" s="30">
        <f t="shared" si="2"/>
        <v>68790780</v>
      </c>
      <c r="H35" s="31">
        <f t="shared" si="2"/>
        <v>6165.6854726915117</v>
      </c>
      <c r="I35" s="31">
        <f t="shared" si="2"/>
        <v>4967.05</v>
      </c>
      <c r="J35" s="32">
        <f>I35/H35</f>
        <v>0.80559574795042699</v>
      </c>
      <c r="K35" s="33">
        <f>SUM(K4:K34)</f>
        <v>450.78</v>
      </c>
      <c r="L35" s="34">
        <f>IFERROR(SUM(L4:L34),"")</f>
        <v>6042.6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8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0" activePane="bottomLeft" state="frozen"/>
      <selection pane="bottomLeft" activeCell="J542" sqref="J54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259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259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259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259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261</v>
      </c>
      <c r="O540" s="74">
        <v>667100</v>
      </c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264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/>
      <c r="M542" s="66">
        <f t="shared" ref="M542:M553" ca="1" si="117">IFERROR(IF(K542="","",IF(L542="",MOD(NOW()-K542,1),IF(L542&gt;=K542,L542-K542,L542+1-K542))),"")</f>
        <v>0.25345439815282589</v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0.25345439815282589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0.25345439815282589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G546" sqref="G546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0.4235932870360557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0.56248217592494343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0.64720439814716624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274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338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339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261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264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42</v>
      </c>
      <c r="L543" s="70" t="s">
        <v>27</v>
      </c>
      <c r="M543" s="70" t="s">
        <v>48</v>
      </c>
      <c r="N543" s="70" t="s">
        <v>51</v>
      </c>
      <c r="O543" s="65">
        <v>0.4465277777777778</v>
      </c>
      <c r="P543" s="65"/>
      <c r="Q543" s="71">
        <f t="shared" ca="1" si="140"/>
        <v>9.8593287038966082E-2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29.400000000000002</v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25.200000000000003</v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28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117.60000000000001</v>
      </c>
      <c r="L554" s="72"/>
      <c r="M554" s="72"/>
      <c r="N554" s="72"/>
      <c r="O554" s="72"/>
      <c r="P554" s="72"/>
      <c r="Q554" s="73">
        <f ca="1">IFERROR(SUM(Q542:Q553),"")</f>
        <v>0.11248217592785498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28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117.60000000000001</v>
      </c>
      <c r="L568" s="76"/>
      <c r="M568" s="76"/>
      <c r="N568" s="76"/>
      <c r="O568" s="76"/>
      <c r="P568" s="76"/>
      <c r="Q568" s="77">
        <f ca="1">IFERROR(Q554+Q567,"")</f>
        <v>0.11248217592785498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21" activePane="bottomLeft" state="frozen"/>
      <selection pane="bottomLeft" activeCell="G546" sqref="G54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340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340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340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342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343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344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345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347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348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349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350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351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353</v>
      </c>
      <c r="Q222" s="66" t="str">
        <f t="shared" ca="1" si="49"/>
        <v/>
      </c>
      <c r="R222" s="63" t="s">
        <v>354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355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356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357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358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359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360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360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361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362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347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363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364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365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366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261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264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0</v>
      </c>
      <c r="H542" s="101" t="str">
        <f>IFERROR(IF($G542="","",$G542*$S$554/$G$554/Cadastro!$E$33),"")</f>
        <v/>
      </c>
      <c r="I542" s="102">
        <f>IFERROR(IF($D542="","",VLOOKUP($D542,Cadastro!$C$4:$G$7,5,FALSE())),"")</f>
        <v>0.6</v>
      </c>
      <c r="J542" s="103" t="str">
        <f t="shared" ref="J542:J553" si="135">IFERROR(IF($H542="","",$H542*$F542*$I542),"")</f>
        <v/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/>
      <c r="Q542" s="66">
        <f t="shared" ref="Q542:Q553" ca="1" si="137">IFERROR(IF(O542="","",IF(P542="",MOD(NOW()-O542,1),IF(P542&gt;=O542,P542-O542,P542+1-O542))),"")</f>
        <v>0.25345439815282589</v>
      </c>
      <c r="R542" s="63" t="s">
        <v>367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0</v>
      </c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5"/>
        <v/>
      </c>
      <c r="K543" s="69">
        <f t="shared" si="136"/>
        <v>0</v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0</v>
      </c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5"/>
        <v/>
      </c>
      <c r="K544" s="64">
        <f t="shared" si="136"/>
        <v>0</v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0</v>
      </c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5"/>
        <v/>
      </c>
      <c r="K545" s="69">
        <f t="shared" si="136"/>
        <v>0</v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0.25345439815282589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0.25345439815282589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23" activePane="bottomLeft" state="frozen"/>
      <selection pane="bottomLeft" activeCell="N548" sqref="N548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340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340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340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340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362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261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264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19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79.8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8"/>
        <v/>
      </c>
      <c r="K546" s="64" t="str">
        <f t="shared" si="139"/>
        <v/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8"/>
        <v/>
      </c>
      <c r="K547" s="69" t="str">
        <f t="shared" si="139"/>
        <v/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404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8"/>
        <v/>
      </c>
      <c r="K548" s="64" t="str">
        <f t="shared" si="139"/>
        <v/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/>
      <c r="Q548" s="66">
        <f t="shared" ca="1" si="140"/>
        <v>6.7662037326954305E-4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69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289.8</v>
      </c>
      <c r="L554" s="72"/>
      <c r="M554" s="72"/>
      <c r="N554" s="72"/>
      <c r="O554" s="134"/>
      <c r="P554" s="134"/>
      <c r="Q554" s="73">
        <f ca="1">IFERROR(SUM(Q542:Q553),"")</f>
        <v>8.6787731484380626E-2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69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289.8</v>
      </c>
      <c r="L568" s="76"/>
      <c r="M568" s="76"/>
      <c r="N568" s="76"/>
      <c r="O568" s="135"/>
      <c r="P568" s="135"/>
      <c r="Q568" s="77">
        <f ca="1">IFERROR(Q554+Q567,"")</f>
        <v>8.6787731484380626E-2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2026-08-21T17:06:50Z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