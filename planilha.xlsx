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56" documentId="8_{AF585B22-221D-4780-BB9C-493D365A6A02}" xr6:coauthVersionLast="47" xr6:coauthVersionMax="47" xr10:uidLastSave="{C65EE76C-8D17-4E8D-A1C8-5C2AFFA1236F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<sst xmlns="http://schemas.openxmlformats.org/spreadsheetml/2006/main" count="4702" uniqueCount="288">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</sst>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4" sqref="F2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27</v>
      </c>
      <c r="G284" s="36">
        <f>SUM(G272:G283)</f>
        <v>135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27</v>
      </c>
      <c r="G298" s="40">
        <f>G284+G297</f>
        <v>135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9" activePane="bottomLeft" state="frozen"/>
      <selection pane="bottomLeft" activeCell="H273" sqref="H2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/>
      <c r="I273" s="33"/>
      <c r="J273" s="33"/>
      <c r="K273" s="29">
        <v>0.40416666666666667</v>
      </c>
      <c r="L273" s="29"/>
      <c r="M273" s="35">
        <f t="shared" ca="1" si="61"/>
        <v>3.5866898178937845E-3</v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10</v>
      </c>
      <c r="G284" s="36">
        <f>SUM(G272:G283)</f>
        <v>42</v>
      </c>
      <c r="H284" s="37"/>
      <c r="I284" s="37"/>
      <c r="J284" s="37"/>
      <c r="K284" s="37"/>
      <c r="L284" s="37"/>
      <c r="M284" s="38">
        <f ca="1">IFERROR(SUM(M272:M283),"")</f>
        <v>4.9420023151227122E-2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</v>
      </c>
      <c r="G298" s="40">
        <f>G284+G297</f>
        <v>42</v>
      </c>
      <c r="H298" s="41"/>
      <c r="I298" s="41"/>
      <c r="J298" s="41"/>
      <c r="K298" s="41"/>
      <c r="L298" s="41"/>
      <c r="M298" s="42">
        <f ca="1">IFERROR(M284+M297,"")</f>
        <v>4.9420023151227122E-2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4" sqref="F2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258</v>
      </c>
      <c r="N166" s="27" t="s">
        <v>259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10</v>
      </c>
      <c r="G284" s="36">
        <f>SUM(G272:G283)</f>
        <v>42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</v>
      </c>
      <c r="G298" s="40">
        <f>G284+G297</f>
        <v>42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4" sqref="F2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267</v>
      </c>
      <c r="L58" s="29">
        <v>0.54097222222222219</v>
      </c>
      <c r="M58" s="30" t="str">
        <f t="shared" ca="1" si="13"/>
        <v/>
      </c>
      <c r="N58" s="27" t="s">
        <v>268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0.15844780093175359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0.35775335648730922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0.72511446759842024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41</v>
      </c>
      <c r="G284" s="36">
        <f>SUM(G272:G283)</f>
        <v>172.2</v>
      </c>
      <c r="H284" s="37"/>
      <c r="I284" s="37"/>
      <c r="J284" s="37"/>
      <c r="K284" s="61"/>
      <c r="L284" s="61"/>
      <c r="M284" s="38">
        <f ca="1">IFERROR(SUM(M272:M283),"")</f>
        <v>1.4583333333333337E-2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41</v>
      </c>
      <c r="G298" s="40">
        <f>G284+G297</f>
        <v>172.2</v>
      </c>
      <c r="H298" s="41"/>
      <c r="I298" s="41"/>
      <c r="J298" s="41"/>
      <c r="K298" s="63"/>
      <c r="L298" s="63"/>
      <c r="M298" s="42">
        <f ca="1">IFERROR(M284+M297,"")</f>
        <v>1.4583333333333337E-2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2026-07-11T13:49:11Z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