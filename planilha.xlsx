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74" documentId="13_ncr:1_{9DFDFEE8-78F7-4C04-B87C-99924EE6CC37}" xr6:coauthVersionLast="47" xr6:coauthVersionMax="47" xr10:uidLastSave="{766F33E5-8928-4934-A66F-457C86B4D12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<sst xmlns="http://schemas.openxmlformats.org/spreadsheetml/2006/main" count="8732" uniqueCount="2873">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</sst>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0</v>
      </c>
      <c r="G6" s="20">
        <f t="shared" si="0"/>
        <v>1393500</v>
      </c>
      <c r="H6" s="21">
        <f>IFERROR('Linha 1'!T82+'Linha 2'!T82+'Linha 3'!T82,0)</f>
        <v>560.72799806201544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2319870</v>
      </c>
      <c r="E35" s="31">
        <f t="shared" si="2"/>
        <v>1688830</v>
      </c>
      <c r="F35" s="31">
        <f t="shared" si="2"/>
        <v>2408400</v>
      </c>
      <c r="G35" s="31">
        <f t="shared" si="2"/>
        <v>6417100</v>
      </c>
      <c r="H35" s="32">
        <f>IFERROR(SUM(H4:H34),"")</f>
        <v>2316.5884589315806</v>
      </c>
      <c r="I35" s="32">
        <f>IFERROR(SUM(I4:I34),"")</f>
        <v>1656.9</v>
      </c>
      <c r="J35" s="33">
        <f>IFERROR(IF(OR(H35="",I35="",H35=0,I35=0),"",MIN(H35,I35)/MAX(H35,I35)),"")</f>
        <v>0.71523277844704825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7" sqref="F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362</v>
      </c>
      <c r="G68" s="2">
        <f>SUM(G56:G67)</f>
        <v>1786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362</v>
      </c>
      <c r="G82" s="1">
        <f>G68+G81</f>
        <v>1786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69" sqref="S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172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5" activePane="bottomLeft" state="frozen"/>
      <selection pane="bottomLeft" activeCell="S69" sqref="S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126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8" sqref="G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0</v>
      </c>
      <c r="I66" s="109">
        <f>IFERROR(IF($D66="","",VLOOKUP($D66,Cadastro!$C$4:$G$20,5,FALSE())),"")</f>
        <v>0.6</v>
      </c>
      <c r="J66" s="110">
        <f t="shared" si="16"/>
        <v>0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0</v>
      </c>
      <c r="I67" s="112">
        <f>IFERROR(IF($D67="","",VLOOKUP($D67,Cadastro!$C$4:$G$20,5,FALSE())),"")</f>
        <v>0.6</v>
      </c>
      <c r="J67" s="113">
        <f t="shared" si="16"/>
        <v>0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