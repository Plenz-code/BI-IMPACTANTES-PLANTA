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633" documentId="8_{C51EB6CB-002B-4D6B-B68F-DDEBDB4460C0}" xr6:coauthVersionLast="47" xr6:coauthVersionMax="47" xr10:uidLastSave="{7665FA4F-57A9-4518-8437-42C14A2008B8}"/>
  <bookViews>
    <workbookView xWindow="-108" yWindow="-108" windowWidth="23256" windowHeight="12456" tabRatio="500" firstSheet="2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4" i="3" l="1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6" i="1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<sst xmlns="http://schemas.openxmlformats.org/spreadsheetml/2006/main" count="2283" uniqueCount="266">
  <si>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</si>
  <si>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</si>
  <si>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</si>
  <si>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</si>
  <si>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</si>
  <si>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</si>
  <si>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</si>
  <si>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</si>
  <si>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</si>
  <si>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</si>
  <si>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</si>
  <si>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</si>
  <si>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</si>
  <si>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</si>
  <si>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</si>
  <si>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</si>
  <si>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</si>
  <si>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</si>
  <si>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</si>
  <si>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</si>
  <si>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</si>
  <si>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</si>
  <si>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</si>
  <si>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</si>
  <si>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</si>
  <si>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</si>
  <si>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</si>
  <si>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</si>
  <si>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</si>
  <si>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</si>
  <si>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</si>
  <si>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</si>
  <si>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</si>
  <si>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</si>
  <si>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</si>
  <si>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</si>
  <si>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</si>
  <si>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</si>
  <si>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</si>
  <si>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</si>
  <si>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</si>
  <si>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</si>
  <si>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</si>
  <si>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</si>
  <si>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</si>
  <si>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</si>
  <si>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</si>
  <si>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</si>
  <si>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</si>
  <si>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</si>
  <si>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</si>
  <si>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</si>
  <si>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</si>
  <si>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</si>
  <si>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</si>
  <si>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</si>
  <si>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</si>
  <si>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</si>
  <si>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</si>
  <si>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</si>
  <si>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</si>
  <si>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</si>
  <si>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</si>
  <si>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</si>
  <si>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</si>
  <si>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</si>
  <si>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</si>
  <si>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</si>
  <si>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</si>
  <si>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</si>
  <si>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</si>
  <si>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</si>
  <si>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</si>
  <si>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</si>
  <si>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</si>
  <si>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</si>
  <si>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</si>
  <si>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</si>
  <si>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</si>
  <si>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</si>
  <si>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</si>
  <si>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</si>
  <si>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</si>
  <si>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</si>
  <si>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</si>
  <si>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</si>
  <si>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</si>
  <si>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</si>
  <si>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</si>
  <si>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</si>
  <si>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</si>
  <si>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</si>
  <si>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</si>
  <si>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</si>
  <si>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</si>
  <si>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</si>
  <si>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</si>
  <si>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</si>
  <si>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</si>
  <si>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</si>
  <si>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</si>
  <si>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</si>
  <si>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</si>
  <si>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</si>
  <si>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</si>
  <si>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</si>
  <si>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</si>
  <si>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</si>
  <si>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</si>
  <si>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</si>
  <si>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</si>
  <si>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</si>
  <si>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</si>
  <si>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</si>
  <si>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</si>
  <si>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</si>
  <si>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</si>
  <si>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</si>
  <si>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</si>
  <si>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</si>
  <si>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</si>
  <si>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</si>
  <si>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</si>
  <si>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</si>
  <si>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</si>
  <si>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</si>
  <si>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</si>
  <si>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</si>
  <si>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</si>
  <si>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</si>
  <si>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</si>
  <si>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</si>
  <si>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</si>
  <si>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</si>
  <si>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</si>
  <si>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</si>
  <si>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</si>
  <si>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</si>
  <si>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</si>
  <si>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</si>
  <si>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</si>
  <si>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</si>
  <si>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</si>
  <si>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</si>
  <si>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</si>
  <si>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</si>
  <si>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</si>
  <si>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</si>
  <si>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</si>
  <si>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</si>
  <si>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</si>
  <si>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</si>
  <si>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</si>
  <si>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</si>
  <si>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</si>
  <si>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</si>
  <si>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</si>
  <si>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</si>
  <si>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</si>
  <si>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</si>
  <si>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</si>
  <si>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</si>
  <si>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</si>
  <si>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</si>
  <si>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</si>
  <si>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</si>
  <si>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</si>
  <si>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</si>
  <si>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</si>
  <si>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</si>
  <si>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</si>
  <si>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</si>
  <si>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</si>
  <si>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</si>
  <si>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</si>
  <si>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</si>
  <si>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</si>
  <si>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</si>
  <si>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</si>
  <si>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</si>
  <si>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</si>
  <si>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</si>
  <si>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</si>
  <si>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</si>
  <si>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</si>
  <si>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</si>
  <si>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</si>
  <si>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</si>
  <si>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</si>
  <si>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</si>
  <si>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</si>
  <si>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</si>
  <si>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</si>
  <si>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</si>
  <si>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</si>
  <si>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</si>
  <si>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</si>
  <si>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</si>
  <si>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</si>
  <si>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</si>
  <si>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</si>
  <si>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</si>
  <si>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</si>
  <si>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</si>
  <si>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</si>
  <si>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</si>
  <si>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</si>
  <si>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</si>
  <si>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</si>
  <si>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</si>
  <si>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</si>
  <si>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</si>
  <si>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</si>
  <si>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</si>
  <si>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</si>
  <si>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</si>
  <si>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</si>
  <si>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</si>
  <si>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</si>
  <si>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</si>
  <si>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</si>
  <si>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</si>
  <si>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</si>
  <si>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</si>
  <si>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</si>
  <si>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</si>
  <si>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</si>
  <si>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</si>
  <si>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</si>
  <si>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</si>
  <si>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</si>
  <si>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</si>
  <si>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</si>
  <si>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</si>
  <si>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</si>
  <si>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</si>
  <si>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PC 24</t>
  </si>
  <si>
    <t>PC 25</t>
  </si>
  <si>
    <t>PC 26</t>
  </si>
  <si>
    <t>PC 27</t>
  </si>
  <si>
    <t>PC 28</t>
  </si>
  <si>
    <t>PC 29</t>
  </si>
  <si>
    <t>troca dos pinos ,caiu 1 faca</t>
  </si>
  <si>
    <t>caiu faca,quebrou pino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</si>
  <si>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</si>
  <si>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</si>
  <si>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</si>
  <si>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</si>
  <si>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</si>
  <si>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</si>
  <si>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</si>
  <si>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</si>
  <si>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</si>
  <si>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</si>
  <si>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solda no queixo</t>
  </si>
  <si>
    <t>sem material no estoque</t>
  </si>
  <si>
    <t>troca de martelo</t>
  </si>
  <si>
    <t>bomba 01 parada pra  manutencao eletrica</t>
  </si>
  <si>
    <t>troca de martelo,adicinado 4 grelha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</si>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</sst>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0" sqref="G20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2102950</v>
      </c>
      <c r="D6" s="8">
        <f>IFERROR('Linha 1'!O82,"")</f>
        <v>565230</v>
      </c>
      <c r="E6" s="8">
        <f>IFERROR('Linha 2'!O82,"")</f>
        <v>221380</v>
      </c>
      <c r="F6" s="8">
        <f>IFERROR('Linha 3'!O82,"")</f>
        <v>477090</v>
      </c>
      <c r="G6" s="9">
        <f t="shared" si="0"/>
        <v>1263700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6231495</v>
      </c>
      <c r="D35" s="13">
        <f>IFERROR(SUM(D4:D34),"")</f>
        <v>2259870</v>
      </c>
      <c r="E35" s="13">
        <f>IFERROR(SUM(E4:E34),"")</f>
        <v>1422960</v>
      </c>
      <c r="F35" s="13">
        <f>IFERROR(SUM(F4:F34),"")</f>
        <v>2649260</v>
      </c>
      <c r="G35" s="13">
        <f>IFERROR(SUM(G4:G34),"")</f>
        <v>6332090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7" sqref="M5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3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3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3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3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3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3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3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3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3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3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3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3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3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3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3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3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3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3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3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3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3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3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3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3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3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3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3"/>
      <c r="I57" s="17"/>
      <c r="J57" s="17"/>
      <c r="K57" s="17" t="s">
        <v>50</v>
      </c>
      <c r="L57" s="17"/>
      <c r="M57" s="17"/>
    </row>
    <row r="58" spans="1:13" ht="15" customHeight="1">
      <c r="H58" s="113"/>
      <c r="I58" s="16"/>
      <c r="J58" s="16"/>
      <c r="K58" s="16" t="s">
        <v>204</v>
      </c>
      <c r="L58" s="16"/>
      <c r="M58" s="16"/>
    </row>
    <row r="59" spans="1:13" ht="15" customHeight="1">
      <c r="H59" s="113"/>
      <c r="I59" s="17"/>
      <c r="J59" s="17"/>
      <c r="K59" s="17" t="s">
        <v>205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206</v>
      </c>
      <c r="L61" s="17"/>
      <c r="M61" s="17"/>
    </row>
    <row r="62" spans="1:13" ht="15" customHeight="1">
      <c r="H62" s="113"/>
      <c r="I62" s="16"/>
      <c r="J62" s="16"/>
      <c r="K62" s="16" t="s">
        <v>207</v>
      </c>
      <c r="L62" s="16"/>
      <c r="M62" s="16"/>
    </row>
    <row r="63" spans="1:13" ht="15" customHeight="1">
      <c r="H63" s="113"/>
      <c r="I63" s="17"/>
      <c r="J63" s="17"/>
      <c r="K63" s="17" t="s">
        <v>208</v>
      </c>
      <c r="L63" s="17"/>
      <c r="M63" s="17"/>
    </row>
    <row r="64" spans="1:13" ht="15" customHeight="1">
      <c r="H64" s="113"/>
      <c r="I64" s="16"/>
      <c r="J64" s="16"/>
      <c r="K64" s="16" t="s">
        <v>209</v>
      </c>
      <c r="L64" s="16"/>
      <c r="M64" s="16"/>
    </row>
    <row r="65" spans="8:13" ht="15" customHeight="1">
      <c r="H65" s="113"/>
      <c r="I65" s="17"/>
      <c r="J65" s="17"/>
      <c r="K65" s="17" t="s">
        <v>210</v>
      </c>
      <c r="L65" s="17"/>
      <c r="M65" s="17"/>
    </row>
    <row r="66" spans="8:13" ht="15" customHeight="1">
      <c r="H66" s="113"/>
      <c r="I66" s="16"/>
      <c r="J66" s="16"/>
      <c r="K66" s="16" t="s">
        <v>211</v>
      </c>
      <c r="L66" s="16"/>
      <c r="M66" s="16"/>
    </row>
    <row r="67" spans="8:13" ht="15" customHeight="1">
      <c r="H67" s="113"/>
      <c r="I67" s="17"/>
      <c r="J67" s="17"/>
      <c r="K67" s="17" t="s">
        <v>212</v>
      </c>
      <c r="L67" s="17"/>
      <c r="M67" s="17"/>
    </row>
    <row r="68" spans="8:13" ht="15" customHeight="1">
      <c r="H68" s="113"/>
      <c r="I68" s="16"/>
      <c r="J68" s="16"/>
      <c r="K68" s="16" t="s">
        <v>213</v>
      </c>
      <c r="L68" s="16"/>
      <c r="M68" s="16"/>
    </row>
    <row r="69" spans="8:13" ht="15" customHeight="1">
      <c r="H69" s="113"/>
      <c r="I69" s="17"/>
      <c r="J69" s="17"/>
      <c r="K69" s="17" t="s">
        <v>214</v>
      </c>
      <c r="L69" s="17"/>
      <c r="M69" s="17"/>
    </row>
    <row r="70" spans="8:13" ht="15" customHeight="1">
      <c r="H70" s="113"/>
      <c r="I70" s="16"/>
      <c r="J70" s="16"/>
      <c r="K70" s="16" t="s">
        <v>215</v>
      </c>
      <c r="L70" s="16"/>
      <c r="M70" s="16"/>
    </row>
    <row r="71" spans="8:13" ht="15" customHeight="1">
      <c r="H71" s="113"/>
      <c r="I71" s="17"/>
      <c r="J71" s="17"/>
      <c r="K71" s="17" t="s">
        <v>216</v>
      </c>
      <c r="L71" s="17"/>
      <c r="M71" s="17"/>
    </row>
    <row r="72" spans="8:13" ht="15" customHeight="1">
      <c r="H72" s="113"/>
      <c r="I72" s="16"/>
      <c r="J72" s="16"/>
      <c r="K72" s="16" t="s">
        <v>217</v>
      </c>
      <c r="L72" s="16"/>
      <c r="M72" s="16"/>
    </row>
    <row r="73" spans="8:13" ht="15" customHeight="1">
      <c r="H73" s="113"/>
      <c r="I73" s="17"/>
      <c r="J73" s="17"/>
      <c r="K73" s="17"/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54" activePane="bottomLeft" state="frozen"/>
      <selection pane="bottomLeft" activeCell="N71" sqref="N71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228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228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228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228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228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228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228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228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228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228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228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228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6" t="s">
        <v>229</v>
      </c>
      <c r="B14" s="107"/>
      <c r="C14" s="107"/>
      <c r="D14" s="107"/>
      <c r="E14" s="108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230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228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228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228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231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228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228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228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228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228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228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228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6" t="s">
        <v>232</v>
      </c>
      <c r="B27" s="107"/>
      <c r="C27" s="107"/>
      <c r="D27" s="107"/>
      <c r="E27" s="108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230</v>
      </c>
      <c r="O27" s="39">
        <v>997910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234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228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228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235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228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231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228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228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228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236</v>
      </c>
      <c r="F35" s="27">
        <v>55</v>
      </c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237</v>
      </c>
      <c r="F36" s="27">
        <v>38</v>
      </c>
      <c r="G36" s="34" t="str">
        <f>IF(F36="","",IF(E36="PC 17",F36*4.2,IF(E36="PC 19",F36*5,IF(E36="CB",F36*35,""))))</f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238</v>
      </c>
      <c r="F37" s="27">
        <v>21</v>
      </c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239</v>
      </c>
      <c r="F38" s="27">
        <v>0</v>
      </c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240</v>
      </c>
      <c r="F39" s="27">
        <v>0</v>
      </c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241</v>
      </c>
      <c r="F40" s="27">
        <v>0</v>
      </c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229</v>
      </c>
      <c r="B41" s="107"/>
      <c r="C41" s="107"/>
      <c r="D41" s="107"/>
      <c r="E41" s="108">
        <f>SUM(E29:E40)</f>
        <v>0</v>
      </c>
      <c r="F41" s="36">
        <f>SUM(F29:F40)</f>
        <v>253</v>
      </c>
      <c r="G41" s="36">
        <f>SUM(G29:G40)</f>
        <v>695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230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228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228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228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228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228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228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228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228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228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6" t="s">
        <v>232</v>
      </c>
      <c r="B54" s="107"/>
      <c r="C54" s="107"/>
      <c r="D54" s="107"/>
      <c r="E54" s="108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230</v>
      </c>
      <c r="O54" s="39">
        <v>981310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1555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234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228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153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228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228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228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228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228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228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228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228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228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228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228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229</v>
      </c>
      <c r="B68" s="107"/>
      <c r="C68" s="107"/>
      <c r="D68" s="107"/>
      <c r="E68" s="108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230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228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228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/>
      <c r="M70" s="30">
        <f t="shared" ca="1" si="16"/>
        <v>2.3888310184702277E-2</v>
      </c>
      <c r="N70" s="27" t="s">
        <v>243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228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228</v>
      </c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228</v>
      </c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228</v>
      </c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228</v>
      </c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228</v>
      </c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228</v>
      </c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228</v>
      </c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30</v>
      </c>
      <c r="E79" s="62" t="s">
        <v>228</v>
      </c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30</v>
      </c>
      <c r="E80" s="62" t="s">
        <v>228</v>
      </c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232</v>
      </c>
      <c r="B81" s="107"/>
      <c r="C81" s="107"/>
      <c r="D81" s="107"/>
      <c r="E81" s="108">
        <f>SUM(E69:E80)</f>
        <v>0</v>
      </c>
      <c r="F81" s="36">
        <f>SUM(F69:F80)</f>
        <v>55</v>
      </c>
      <c r="G81" s="36">
        <f>SUM(G69:G80)</f>
        <v>275</v>
      </c>
      <c r="H81" s="37"/>
      <c r="I81" s="37"/>
      <c r="J81" s="37"/>
      <c r="K81" s="37"/>
      <c r="L81" s="37"/>
      <c r="M81" s="38">
        <f ca="1">IFERROR(SUM(M69:M80),"")</f>
        <v>4.0554976851368996E-2</v>
      </c>
      <c r="N81" s="36" t="s">
        <v>230</v>
      </c>
      <c r="O81" s="39"/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430</v>
      </c>
      <c r="G82" s="40">
        <f>G68+G81</f>
        <v>2150</v>
      </c>
      <c r="H82" s="41"/>
      <c r="I82" s="41"/>
      <c r="J82" s="41"/>
      <c r="K82" s="41"/>
      <c r="L82" s="41"/>
      <c r="M82" s="42">
        <f ca="1">IFERROR(M68+M81,"")</f>
        <v>7.3193865740257991E-2</v>
      </c>
      <c r="N82" s="40" t="s">
        <v>234</v>
      </c>
      <c r="O82" s="43">
        <f>IFERROR(O68+O81,"")</f>
        <v>2102950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19",F83*5,IF(E83="CB",F83*35,""))))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229</v>
      </c>
      <c r="B95" s="107"/>
      <c r="C95" s="107"/>
      <c r="D95" s="107"/>
      <c r="E95" s="108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230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232</v>
      </c>
      <c r="B108" s="107"/>
      <c r="C108" s="107"/>
      <c r="D108" s="107"/>
      <c r="E108" s="108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234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229</v>
      </c>
      <c r="B122" s="107"/>
      <c r="C122" s="107"/>
      <c r="D122" s="107"/>
      <c r="E122" s="108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232</v>
      </c>
      <c r="B135" s="107"/>
      <c r="C135" s="107"/>
      <c r="D135" s="107"/>
      <c r="E135" s="10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39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229</v>
      </c>
      <c r="B149" s="107"/>
      <c r="C149" s="107"/>
      <c r="D149" s="107"/>
      <c r="E149" s="10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232</v>
      </c>
      <c r="B162" s="107"/>
      <c r="C162" s="107"/>
      <c r="D162" s="107"/>
      <c r="E162" s="10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44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229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232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229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232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45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6" t="s">
        <v>229</v>
      </c>
      <c r="B230" s="107"/>
      <c r="C230" s="107"/>
      <c r="D230" s="107"/>
      <c r="E230" s="10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232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229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232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229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232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229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232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229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232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229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232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229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232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229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6" t="s">
        <v>232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/>
    </row>
    <row r="433" spans="1:15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229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232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229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232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229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6" t="s">
        <v>232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229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6" t="s">
        <v>232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229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232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229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232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229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232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229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232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229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232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229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232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229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232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229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232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229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232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229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232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0" t="s">
        <v>233</v>
      </c>
      <c r="B811" s="101"/>
      <c r="C811" s="101"/>
      <c r="D811" s="101"/>
      <c r="E811" s="102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229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232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tabSelected="1" zoomScale="50" zoomScaleNormal="50" workbookViewId="0">
      <pane ySplit="1" topLeftCell="A66" activePane="bottomLeft" state="frozen"/>
      <selection pane="bottomLeft" activeCell="J74" sqref="J7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244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245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244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244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244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246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244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247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244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244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244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244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244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244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244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6" t="s">
        <v>229</v>
      </c>
      <c r="B14" s="107"/>
      <c r="C14" s="107"/>
      <c r="D14" s="107"/>
      <c r="E14" s="108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230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244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244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244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244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244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248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244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249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244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244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244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244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244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244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6" t="s">
        <v>232</v>
      </c>
      <c r="B27" s="107"/>
      <c r="C27" s="107"/>
      <c r="D27" s="107"/>
      <c r="E27" s="108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230</v>
      </c>
      <c r="O27" s="77">
        <v>549860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234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244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244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244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244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244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244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244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244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244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244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244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244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6" t="s">
        <v>229</v>
      </c>
      <c r="B41" s="107"/>
      <c r="C41" s="107"/>
      <c r="D41" s="107"/>
      <c r="E41" s="108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230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244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244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244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244</v>
      </c>
      <c r="F45" s="27">
        <v>3</v>
      </c>
      <c r="G45" s="28">
        <f t="shared" si="9"/>
        <v>12.600000000000001</v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244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244</v>
      </c>
      <c r="F47" s="27">
        <v>0</v>
      </c>
      <c r="G47" s="28">
        <f t="shared" si="9"/>
        <v>0</v>
      </c>
      <c r="H47" s="33" t="s">
        <v>20</v>
      </c>
      <c r="I47" s="33" t="s">
        <v>156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244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250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244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251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244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244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244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127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252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244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127</v>
      </c>
      <c r="K53" s="29">
        <v>0.12152777777777778</v>
      </c>
      <c r="L53" s="29"/>
      <c r="M53" s="30">
        <f t="shared" ca="1" si="11"/>
        <v>0.83916608795698266</v>
      </c>
      <c r="N53" s="46" t="s">
        <v>253</v>
      </c>
      <c r="O53" s="31"/>
    </row>
    <row r="54" spans="1:15" ht="15.75" customHeight="1">
      <c r="A54" s="106" t="s">
        <v>232</v>
      </c>
      <c r="B54" s="107"/>
      <c r="C54" s="107"/>
      <c r="D54" s="107"/>
      <c r="E54" s="108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0.9780549768458715</v>
      </c>
      <c r="N54" s="36" t="s">
        <v>230</v>
      </c>
      <c r="O54" s="84">
        <v>352430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1.0627771990680939</v>
      </c>
      <c r="N55" s="40" t="s">
        <v>234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244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244</v>
      </c>
      <c r="F57" s="27">
        <v>17</v>
      </c>
      <c r="G57" s="34">
        <f t="shared" si="12"/>
        <v>71.400000000000006</v>
      </c>
      <c r="H57" s="33" t="s">
        <v>20</v>
      </c>
      <c r="I57" s="33" t="s">
        <v>120</v>
      </c>
      <c r="J57" s="81" t="s">
        <v>113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244</v>
      </c>
      <c r="F58" s="27">
        <v>10</v>
      </c>
      <c r="G58" s="28">
        <f t="shared" si="12"/>
        <v>42</v>
      </c>
      <c r="H58" s="26" t="s">
        <v>20</v>
      </c>
      <c r="I58" s="80" t="s">
        <v>120</v>
      </c>
      <c r="J58" s="26" t="s">
        <v>113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244</v>
      </c>
      <c r="F59" s="27">
        <v>10</v>
      </c>
      <c r="G59" s="34">
        <f t="shared" si="12"/>
        <v>42</v>
      </c>
      <c r="H59" s="33" t="s">
        <v>20</v>
      </c>
      <c r="I59" s="33" t="s">
        <v>120</v>
      </c>
      <c r="J59" s="33" t="s">
        <v>113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244</v>
      </c>
      <c r="F60" s="27">
        <v>6</v>
      </c>
      <c r="G60" s="28">
        <f t="shared" si="12"/>
        <v>25.200000000000003</v>
      </c>
      <c r="H60" s="26" t="s">
        <v>20</v>
      </c>
      <c r="I60" s="26" t="s">
        <v>120</v>
      </c>
      <c r="J60" s="26" t="s">
        <v>113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244</v>
      </c>
      <c r="F61" s="27">
        <v>14</v>
      </c>
      <c r="G61" s="34">
        <f t="shared" si="12"/>
        <v>58.800000000000004</v>
      </c>
      <c r="H61" s="33" t="s">
        <v>20</v>
      </c>
      <c r="I61" s="33" t="s">
        <v>120</v>
      </c>
      <c r="J61" s="33" t="s">
        <v>113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244</v>
      </c>
      <c r="F62" s="27">
        <v>19</v>
      </c>
      <c r="G62" s="28">
        <f t="shared" si="12"/>
        <v>79.8</v>
      </c>
      <c r="H62" s="26" t="s">
        <v>20</v>
      </c>
      <c r="I62" s="26" t="s">
        <v>120</v>
      </c>
      <c r="J62" s="26" t="s">
        <v>113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244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245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244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244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244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244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6" t="s">
        <v>229</v>
      </c>
      <c r="B68" s="107"/>
      <c r="C68" s="107"/>
      <c r="D68" s="107"/>
      <c r="E68" s="108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230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244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146</v>
      </c>
      <c r="J69" s="26" t="s">
        <v>182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244</v>
      </c>
      <c r="F70" s="27">
        <v>14</v>
      </c>
      <c r="G70" s="28">
        <f t="shared" si="15"/>
        <v>58.800000000000004</v>
      </c>
      <c r="H70" s="26" t="s">
        <v>17</v>
      </c>
      <c r="I70" s="26" t="s">
        <v>132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244</v>
      </c>
      <c r="F71" s="27">
        <v>1</v>
      </c>
      <c r="G71" s="34">
        <f t="shared" si="15"/>
        <v>4.2</v>
      </c>
      <c r="H71" s="33" t="s">
        <v>20</v>
      </c>
      <c r="I71" s="33" t="s">
        <v>154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244</v>
      </c>
      <c r="F72" s="27"/>
      <c r="G72" s="28" t="str">
        <f t="shared" si="15"/>
        <v/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244</v>
      </c>
      <c r="F73" s="27"/>
      <c r="G73" s="34" t="str">
        <f t="shared" si="15"/>
        <v/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244</v>
      </c>
      <c r="F74" s="27"/>
      <c r="G74" s="28" t="str">
        <f t="shared" si="15"/>
        <v/>
      </c>
      <c r="H74" s="26" t="s">
        <v>20</v>
      </c>
      <c r="I74" s="26" t="s">
        <v>154</v>
      </c>
      <c r="J74" s="26" t="s">
        <v>74</v>
      </c>
      <c r="K74" s="29"/>
      <c r="L74" s="29"/>
      <c r="M74" s="35" t="str">
        <f t="shared" ca="1" si="17"/>
        <v/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244</v>
      </c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7"/>
        <v/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244</v>
      </c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7"/>
        <v/>
      </c>
      <c r="N76" s="46"/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244</v>
      </c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244</v>
      </c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30</v>
      </c>
      <c r="E79" s="62" t="s">
        <v>244</v>
      </c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30</v>
      </c>
      <c r="E80" s="62" t="s">
        <v>244</v>
      </c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6" t="s">
        <v>232</v>
      </c>
      <c r="B81" s="107"/>
      <c r="C81" s="107"/>
      <c r="D81" s="107"/>
      <c r="E81" s="108">
        <f>SUM(E69:E80)</f>
        <v>0</v>
      </c>
      <c r="F81" s="36">
        <f>SUM(F69:F80)</f>
        <v>36</v>
      </c>
      <c r="G81" s="36">
        <f>SUM(G69:G80)</f>
        <v>151.19999999999999</v>
      </c>
      <c r="H81" s="37"/>
      <c r="I81" s="37"/>
      <c r="J81" s="37"/>
      <c r="K81" s="37"/>
      <c r="L81" s="37"/>
      <c r="M81" s="38">
        <f ca="1">IFERROR(SUM(M69:M80),"")</f>
        <v>2.5000000000000244E-2</v>
      </c>
      <c r="N81" s="36" t="s">
        <v>230</v>
      </c>
      <c r="O81" s="54"/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172</v>
      </c>
      <c r="G82" s="40">
        <f>G68+G81</f>
        <v>722.40000000000009</v>
      </c>
      <c r="H82" s="41"/>
      <c r="I82" s="41"/>
      <c r="J82" s="41"/>
      <c r="K82" s="41"/>
      <c r="L82" s="41"/>
      <c r="M82" s="42">
        <f ca="1">IFERROR(M68+M81,"")</f>
        <v>0.14097222222222244</v>
      </c>
      <c r="N82" s="40" t="s">
        <v>234</v>
      </c>
      <c r="O82" s="82">
        <f>IFERROR(O68+O81,"")</f>
        <v>565230</v>
      </c>
    </row>
    <row r="83" spans="1:15" ht="15" customHeight="1">
      <c r="A83" s="68">
        <v>46238</v>
      </c>
      <c r="B83" s="25">
        <v>0.33333333333333298</v>
      </c>
      <c r="C83" s="26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6" t="s">
        <v>229</v>
      </c>
      <c r="B95" s="107"/>
      <c r="C95" s="107"/>
      <c r="D95" s="107"/>
      <c r="E95" s="108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230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6" t="s">
        <v>232</v>
      </c>
      <c r="B108" s="107"/>
      <c r="C108" s="107"/>
      <c r="D108" s="107"/>
      <c r="E108" s="108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54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234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6" t="s">
        <v>229</v>
      </c>
      <c r="B122" s="107"/>
      <c r="C122" s="107"/>
      <c r="D122" s="107"/>
      <c r="E122" s="108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6" t="s">
        <v>232</v>
      </c>
      <c r="B135" s="107"/>
      <c r="C135" s="107"/>
      <c r="D135" s="107"/>
      <c r="E135" s="10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54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6" t="s">
        <v>229</v>
      </c>
      <c r="B149" s="107"/>
      <c r="C149" s="107"/>
      <c r="D149" s="107"/>
      <c r="E149" s="10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6" t="s">
        <v>232</v>
      </c>
      <c r="B162" s="107"/>
      <c r="C162" s="107"/>
      <c r="D162" s="107"/>
      <c r="E162" s="10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54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6" t="s">
        <v>229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6" t="s">
        <v>232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77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6" t="s">
        <v>229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232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77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229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232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77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229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232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77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229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232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77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229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232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77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229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232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77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229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232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77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229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232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77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229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77"/>
    </row>
    <row r="433" spans="1:15" ht="18" customHeight="1">
      <c r="A433" s="92" t="s">
        <v>233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229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232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77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229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232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77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229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77"/>
    </row>
    <row r="514" spans="1:15" ht="18" customHeight="1">
      <c r="A514" s="92" t="s">
        <v>233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229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6" t="s">
        <v>232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77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229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232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77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229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232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77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229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232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77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229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232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77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229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232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77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229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232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77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229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232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77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229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232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229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232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229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232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6" t="s">
        <v>229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6" t="s">
        <v>232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84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D84:D900 D2:D13 D15:D26 E432:E433 E513:E514 D29:D82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61" zoomScale="50" zoomScaleNormal="50" workbookViewId="0">
      <selection activeCell="J73" sqref="J7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244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244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244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244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244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244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244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244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244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244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244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244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6" t="s">
        <v>229</v>
      </c>
      <c r="B14" s="107"/>
      <c r="C14" s="107"/>
      <c r="D14" s="107"/>
      <c r="E14" s="108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230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244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254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244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244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244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248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244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255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244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244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244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244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244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244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244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6" t="s">
        <v>232</v>
      </c>
      <c r="B27" s="107"/>
      <c r="C27" s="107"/>
      <c r="D27" s="107"/>
      <c r="E27" s="108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230</v>
      </c>
      <c r="O27" s="39">
        <v>358000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234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244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244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244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244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244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244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244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244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244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244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244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229</v>
      </c>
      <c r="B41" s="107"/>
      <c r="C41" s="107"/>
      <c r="D41" s="107"/>
      <c r="E41" s="108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230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244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256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244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254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244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244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244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244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244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244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244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254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244</v>
      </c>
      <c r="F51" s="27">
        <v>0</v>
      </c>
      <c r="G51" s="28">
        <f t="shared" si="9"/>
        <v>0</v>
      </c>
      <c r="H51" s="33" t="s">
        <v>20</v>
      </c>
      <c r="I51" s="33" t="s">
        <v>154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244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244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131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6" t="s">
        <v>232</v>
      </c>
      <c r="B54" s="107"/>
      <c r="C54" s="107"/>
      <c r="D54" s="107"/>
      <c r="E54" s="108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230</v>
      </c>
      <c r="O54" s="39">
        <v>279980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234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244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120</v>
      </c>
      <c r="J56" s="26" t="s">
        <v>113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244</v>
      </c>
      <c r="F57" s="27">
        <v>4</v>
      </c>
      <c r="G57" s="34">
        <f t="shared" si="12"/>
        <v>16.8</v>
      </c>
      <c r="H57" s="33" t="s">
        <v>20</v>
      </c>
      <c r="I57" s="33" t="s">
        <v>120</v>
      </c>
      <c r="J57" s="26" t="s">
        <v>113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244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244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244</v>
      </c>
      <c r="F60" s="27">
        <v>5</v>
      </c>
      <c r="G60" s="28">
        <f t="shared" si="12"/>
        <v>21</v>
      </c>
      <c r="H60" s="26" t="s">
        <v>20</v>
      </c>
      <c r="I60" s="26" t="s">
        <v>120</v>
      </c>
      <c r="J60" s="26" t="s">
        <v>113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244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244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127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257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244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244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244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244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244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229</v>
      </c>
      <c r="B68" s="107"/>
      <c r="C68" s="107"/>
      <c r="D68" s="107"/>
      <c r="E68" s="108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230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244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258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244</v>
      </c>
      <c r="F70" s="27">
        <v>9</v>
      </c>
      <c r="G70" s="28">
        <f t="shared" si="15"/>
        <v>37.800000000000004</v>
      </c>
      <c r="H70" s="26" t="s">
        <v>20</v>
      </c>
      <c r="I70" s="26" t="s">
        <v>146</v>
      </c>
      <c r="J70" s="26" t="s">
        <v>182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244</v>
      </c>
      <c r="F71" s="27">
        <v>9</v>
      </c>
      <c r="G71" s="34">
        <f t="shared" si="15"/>
        <v>37.800000000000004</v>
      </c>
      <c r="H71" s="33" t="s">
        <v>20</v>
      </c>
      <c r="I71" s="33" t="s">
        <v>154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244</v>
      </c>
      <c r="F72" s="27"/>
      <c r="G72" s="28" t="str">
        <f t="shared" si="15"/>
        <v/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244</v>
      </c>
      <c r="F73" s="27"/>
      <c r="G73" s="34" t="str">
        <f t="shared" si="15"/>
        <v/>
      </c>
      <c r="H73" s="33" t="s">
        <v>20</v>
      </c>
      <c r="I73" s="33" t="s">
        <v>154</v>
      </c>
      <c r="J73" s="33" t="s">
        <v>74</v>
      </c>
      <c r="K73" s="29">
        <v>0.95972222222222225</v>
      </c>
      <c r="L73" s="29"/>
      <c r="M73" s="35">
        <f t="shared" ca="1" si="16"/>
        <v>9.7164351609535515E-4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244</v>
      </c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244</v>
      </c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244</v>
      </c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244</v>
      </c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244</v>
      </c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30</v>
      </c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30</v>
      </c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232</v>
      </c>
      <c r="B81" s="107"/>
      <c r="C81" s="107"/>
      <c r="D81" s="107"/>
      <c r="E81" s="108">
        <f>SUM(E69:E80)</f>
        <v>0</v>
      </c>
      <c r="F81" s="36">
        <f>SUM(F69:F80)</f>
        <v>24</v>
      </c>
      <c r="G81" s="36">
        <f>SUM(G69:G80)</f>
        <v>100.80000000000001</v>
      </c>
      <c r="H81" s="37"/>
      <c r="I81" s="37"/>
      <c r="J81" s="37"/>
      <c r="K81" s="37"/>
      <c r="L81" s="37"/>
      <c r="M81" s="38">
        <f ca="1">IFERROR(SUM(M69:M80),"")</f>
        <v>3.0832754627206471E-2</v>
      </c>
      <c r="N81" s="36" t="s">
        <v>230</v>
      </c>
      <c r="O81" s="39"/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74</v>
      </c>
      <c r="G82" s="40">
        <f>G68+G81</f>
        <v>310.8</v>
      </c>
      <c r="H82" s="41"/>
      <c r="I82" s="41"/>
      <c r="J82" s="41"/>
      <c r="K82" s="41"/>
      <c r="L82" s="41"/>
      <c r="M82" s="42">
        <f ca="1">IFERROR(M68+M81,"")</f>
        <v>0.1141660879605399</v>
      </c>
      <c r="N82" s="40" t="s">
        <v>234</v>
      </c>
      <c r="O82" s="43">
        <f>IFERROR(O68+O81,"")</f>
        <v>221380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229</v>
      </c>
      <c r="B95" s="107"/>
      <c r="C95" s="107"/>
      <c r="D95" s="107"/>
      <c r="E95" s="108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230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232</v>
      </c>
      <c r="B108" s="107"/>
      <c r="C108" s="107"/>
      <c r="D108" s="107"/>
      <c r="E108" s="108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234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229</v>
      </c>
      <c r="B122" s="107"/>
      <c r="C122" s="107"/>
      <c r="D122" s="107"/>
      <c r="E122" s="108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232</v>
      </c>
      <c r="B135" s="107"/>
      <c r="C135" s="107"/>
      <c r="D135" s="107"/>
      <c r="E135" s="10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39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229</v>
      </c>
      <c r="B149" s="107"/>
      <c r="C149" s="107"/>
      <c r="D149" s="107"/>
      <c r="E149" s="10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232</v>
      </c>
      <c r="B162" s="107"/>
      <c r="C162" s="107"/>
      <c r="D162" s="107"/>
      <c r="E162" s="10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39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229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232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229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6" t="s">
        <v>232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39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6" t="s">
        <v>229</v>
      </c>
      <c r="B230" s="107"/>
      <c r="C230" s="107"/>
      <c r="D230" s="107"/>
      <c r="E230" s="10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6" t="s">
        <v>232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6" t="s">
        <v>229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6" t="s">
        <v>232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6" t="s">
        <v>229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6" t="s">
        <v>232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6" t="s">
        <v>229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6" t="s">
        <v>232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6" t="s">
        <v>229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6" t="s">
        <v>232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6" t="s">
        <v>229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6" t="s">
        <v>232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6" t="s">
        <v>229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6" t="s">
        <v>232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6" t="s">
        <v>229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6" t="s">
        <v>232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/>
    </row>
    <row r="433" spans="1:15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6" t="s">
        <v>229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6" t="s">
        <v>232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6" t="s">
        <v>229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6" t="s">
        <v>232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6" t="s">
        <v>229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6" t="s">
        <v>232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6" t="s">
        <v>229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6" t="s">
        <v>232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6" t="s">
        <v>229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6" t="s">
        <v>232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6" t="s">
        <v>229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6" t="s">
        <v>232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6" t="s">
        <v>229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6" t="s">
        <v>232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6" t="s">
        <v>229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6" t="s">
        <v>232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6" t="s">
        <v>229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6" t="s">
        <v>232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6" t="s">
        <v>229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6" t="s">
        <v>232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6" t="s">
        <v>229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6" t="s">
        <v>232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6" t="s">
        <v>229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6" t="s">
        <v>232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6" t="s">
        <v>229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6" t="s">
        <v>232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6" t="s">
        <v>229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6" t="s">
        <v>232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229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232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45" activePane="bottomLeft" state="frozen"/>
      <selection pane="bottomLeft" activeCell="L71" sqref="L71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244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244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244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244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244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244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244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244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244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244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244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244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6" t="s">
        <v>229</v>
      </c>
      <c r="B14" s="107"/>
      <c r="C14" s="107"/>
      <c r="D14" s="107"/>
      <c r="E14" s="108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230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244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244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259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244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251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244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254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244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260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244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244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244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261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244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244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244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244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6" t="s">
        <v>232</v>
      </c>
      <c r="B27" s="107"/>
      <c r="C27" s="107"/>
      <c r="D27" s="107"/>
      <c r="E27" s="108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230</v>
      </c>
      <c r="O27" s="39">
        <v>491520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234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244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244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244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244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244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244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244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244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244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244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244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6" t="s">
        <v>229</v>
      </c>
      <c r="B41" s="107"/>
      <c r="C41" s="107"/>
      <c r="D41" s="107"/>
      <c r="E41" s="108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230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244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244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244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244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262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244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244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244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244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244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244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244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6" t="s">
        <v>232</v>
      </c>
      <c r="B54" s="107"/>
      <c r="C54" s="107"/>
      <c r="D54" s="107"/>
      <c r="E54" s="108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230</v>
      </c>
      <c r="O54" s="39">
        <v>352430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234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244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244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244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203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244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263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244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127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264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244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244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244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244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244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244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244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6" t="s">
        <v>229</v>
      </c>
      <c r="B68" s="107"/>
      <c r="C68" s="107"/>
      <c r="D68" s="107"/>
      <c r="E68" s="108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230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244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213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265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244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244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244</v>
      </c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244</v>
      </c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244</v>
      </c>
      <c r="F74" s="27"/>
      <c r="G74" s="28" t="str">
        <f t="shared" si="15"/>
        <v/>
      </c>
      <c r="H74" s="26"/>
      <c r="I74" s="26"/>
      <c r="J74" s="33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244</v>
      </c>
      <c r="F75" s="27"/>
      <c r="G75" s="34" t="str">
        <f>IF(F75="","",IF(E75="PC 17",F75*4.2,IF(E75="PC 19",F75*5,IF(E75="CB",F75*24,""))))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244</v>
      </c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244</v>
      </c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244</v>
      </c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30</v>
      </c>
      <c r="E79" s="62" t="s">
        <v>244</v>
      </c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30</v>
      </c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6" t="s">
        <v>232</v>
      </c>
      <c r="B81" s="107"/>
      <c r="C81" s="107"/>
      <c r="D81" s="107"/>
      <c r="E81" s="108">
        <f>SUM(E69:E80)</f>
        <v>0</v>
      </c>
      <c r="F81" s="36">
        <f>SUM(F69:F80)</f>
        <v>25</v>
      </c>
      <c r="G81" s="36">
        <f>SUM(G69:G80)</f>
        <v>105</v>
      </c>
      <c r="H81" s="37"/>
      <c r="I81" s="37"/>
      <c r="J81" s="37"/>
      <c r="K81" s="61"/>
      <c r="L81" s="61"/>
      <c r="M81" s="38">
        <f ca="1">IFERROR(SUM(M69:M80),"")</f>
        <v>5.1388888888888928E-2</v>
      </c>
      <c r="N81" s="36" t="s">
        <v>230</v>
      </c>
      <c r="O81" s="39"/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140</v>
      </c>
      <c r="G82" s="40">
        <f>G68+G81</f>
        <v>588</v>
      </c>
      <c r="H82" s="41"/>
      <c r="I82" s="41"/>
      <c r="J82" s="41"/>
      <c r="K82" s="63"/>
      <c r="L82" s="63"/>
      <c r="M82" s="42">
        <f ca="1">IFERROR(M68+M81,"")</f>
        <v>0.19652777777777791</v>
      </c>
      <c r="N82" s="40" t="s">
        <v>234</v>
      </c>
      <c r="O82" s="48">
        <f>IFERROR(O68+O81,"")</f>
        <v>477090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6" t="s">
        <v>229</v>
      </c>
      <c r="B95" s="107"/>
      <c r="C95" s="107"/>
      <c r="D95" s="107"/>
      <c r="E95" s="108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230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6" t="s">
        <v>232</v>
      </c>
      <c r="B108" s="107"/>
      <c r="C108" s="107"/>
      <c r="D108" s="107"/>
      <c r="E108" s="108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234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6" t="s">
        <v>229</v>
      </c>
      <c r="B122" s="107"/>
      <c r="C122" s="107"/>
      <c r="D122" s="107"/>
      <c r="E122" s="108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6" t="s">
        <v>232</v>
      </c>
      <c r="B135" s="107"/>
      <c r="C135" s="107"/>
      <c r="D135" s="107"/>
      <c r="E135" s="10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230</v>
      </c>
      <c r="O135" s="39"/>
    </row>
    <row r="136" spans="1:18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234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229</v>
      </c>
      <c r="B149" s="107"/>
      <c r="C149" s="107"/>
      <c r="D149" s="107"/>
      <c r="E149" s="10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230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232</v>
      </c>
      <c r="B162" s="107"/>
      <c r="C162" s="107"/>
      <c r="D162" s="107"/>
      <c r="E162" s="10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230</v>
      </c>
      <c r="O162" s="39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229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232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229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230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6" t="s">
        <v>232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230</v>
      </c>
      <c r="O216" s="45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6" t="s">
        <v>229</v>
      </c>
      <c r="B230" s="107"/>
      <c r="C230" s="107"/>
      <c r="D230" s="107"/>
      <c r="E230" s="10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6" t="s">
        <v>232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6" t="s">
        <v>229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6" t="s">
        <v>232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6" t="s">
        <v>229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6" t="s">
        <v>232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6" t="s">
        <v>229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6" t="s">
        <v>232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6" t="s">
        <v>229</v>
      </c>
      <c r="B338" s="107"/>
      <c r="C338" s="107"/>
      <c r="D338" s="107"/>
      <c r="E338" s="108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6" t="s">
        <v>232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229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6" t="s">
        <v>232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6" t="s">
        <v>229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6" t="s">
        <v>232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6" t="s">
        <v>229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6" t="s">
        <v>232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230</v>
      </c>
      <c r="O432" s="39"/>
    </row>
    <row r="433" spans="1:17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6" t="s">
        <v>229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230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6" t="s">
        <v>232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6" t="s">
        <v>229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6" t="s">
        <v>232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6" t="s">
        <v>229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6" t="s">
        <v>232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6" t="s">
        <v>229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6" t="s">
        <v>232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6" t="s">
        <v>229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6" t="s">
        <v>232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6" t="s">
        <v>229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6" t="s">
        <v>232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6" t="s">
        <v>229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6" t="s">
        <v>232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6" t="s">
        <v>229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6" t="s">
        <v>232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6" t="s">
        <v>229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6" t="s">
        <v>232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6" t="s">
        <v>229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6" t="s">
        <v>232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6" t="s">
        <v>229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6" t="s">
        <v>232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6" t="s">
        <v>229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6" t="s">
        <v>232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6" t="s">
        <v>229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6" t="s">
        <v>232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6" t="s">
        <v>229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6" t="s">
        <v>232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6" t="s">
        <v>229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6" t="s">
        <v>232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234</v>
      </c>
      <c r="O838" s="48">
        <f>IFERROR(O824+O837,"")</f>
        <v>0</v>
      </c>
    </row>
  </sheetData>
  <mergeCells count="92"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42:E325 E29:E40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2026-08-04T03:03:51Z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