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546" documentId="8_{AF585B22-221D-4780-BB9C-493D365A6A02}" xr6:coauthVersionLast="47" xr6:coauthVersionMax="47" xr10:uidLastSave="{C5E99563-F5E7-4739-9B81-12CB0A7A9232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<sst xmlns="http://schemas.openxmlformats.org/spreadsheetml/2006/main" count="12180" uniqueCount="438">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</sst>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2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2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2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2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2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2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2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2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2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2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2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2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2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2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2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2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2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2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2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2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2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2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2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2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2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2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2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2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2"/>
      <c r="I59" s="17"/>
      <c r="J59" s="17"/>
      <c r="K59" s="17" t="s">
        <v>208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209</v>
      </c>
      <c r="L61" s="17"/>
      <c r="M61" s="17"/>
    </row>
    <row r="62" spans="1:13" ht="15" customHeight="1">
      <c r="H62" s="112"/>
      <c r="I62" s="16"/>
      <c r="J62" s="16"/>
      <c r="K62" s="16" t="s">
        <v>210</v>
      </c>
      <c r="L62" s="16"/>
      <c r="M62" s="16"/>
    </row>
    <row r="63" spans="1:13" ht="15" customHeight="1">
      <c r="H63" s="112"/>
      <c r="I63" s="17"/>
      <c r="J63" s="17"/>
      <c r="K63" s="17" t="s">
        <v>211</v>
      </c>
      <c r="L63" s="17"/>
      <c r="M63" s="17"/>
    </row>
    <row r="64" spans="1:13" ht="15" customHeight="1">
      <c r="H64" s="112"/>
      <c r="I64" s="16"/>
      <c r="J64" s="16"/>
      <c r="K64" s="16" t="s">
        <v>212</v>
      </c>
      <c r="L64" s="16"/>
      <c r="M64" s="16"/>
    </row>
    <row r="65" spans="8:13" ht="15" customHeight="1">
      <c r="H65" s="112"/>
      <c r="I65" s="17"/>
      <c r="J65" s="17"/>
      <c r="K65" s="17" t="s">
        <v>213</v>
      </c>
      <c r="L65" s="17"/>
      <c r="M65" s="17"/>
    </row>
    <row r="66" spans="8:13" ht="15" customHeight="1">
      <c r="H66" s="112"/>
      <c r="I66" s="16"/>
      <c r="J66" s="16"/>
      <c r="K66" s="16" t="s">
        <v>214</v>
      </c>
      <c r="L66" s="16"/>
      <c r="M66" s="16"/>
    </row>
    <row r="67" spans="8:13" ht="15" customHeight="1">
      <c r="H67" s="112"/>
      <c r="I67" s="17"/>
      <c r="J67" s="17"/>
      <c r="K67" s="17" t="s">
        <v>215</v>
      </c>
      <c r="L67" s="17"/>
      <c r="M67" s="17"/>
    </row>
    <row r="68" spans="8:13" ht="15" customHeight="1">
      <c r="H68" s="112"/>
      <c r="I68" s="16"/>
      <c r="J68" s="16"/>
      <c r="K68" s="16" t="s">
        <v>216</v>
      </c>
      <c r="L68" s="16"/>
      <c r="M68" s="16"/>
    </row>
    <row r="69" spans="8:13" ht="15" customHeight="1">
      <c r="H69" s="112"/>
      <c r="I69" s="17"/>
      <c r="J69" s="17"/>
      <c r="K69" s="17" t="s">
        <v>217</v>
      </c>
      <c r="L69" s="17"/>
      <c r="M69" s="17"/>
    </row>
    <row r="70" spans="8:13" ht="15" customHeight="1">
      <c r="H70" s="112"/>
      <c r="I70" s="16"/>
      <c r="J70" s="16"/>
      <c r="K70" s="16" t="s">
        <v>218</v>
      </c>
      <c r="L70" s="16"/>
      <c r="M70" s="16"/>
    </row>
    <row r="71" spans="8:13" ht="15" customHeight="1">
      <c r="H71" s="112"/>
      <c r="I71" s="17"/>
      <c r="J71" s="17"/>
      <c r="K71" s="17" t="s">
        <v>219</v>
      </c>
      <c r="L71" s="17"/>
      <c r="M71" s="17"/>
    </row>
    <row r="72" spans="8:13" ht="15" customHeight="1">
      <c r="H72" s="112"/>
      <c r="I72" s="16"/>
      <c r="J72" s="16"/>
      <c r="K72" s="16" t="s">
        <v>220</v>
      </c>
      <c r="L72" s="16"/>
      <c r="M72" s="16"/>
    </row>
    <row r="73" spans="8:13" ht="15" customHeight="1">
      <c r="H73" s="112"/>
      <c r="I73" s="17"/>
      <c r="J73" s="17"/>
      <c r="K73" s="17" t="s">
        <v>221</v>
      </c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771" activePane="bottomLeft" state="frozen"/>
      <selection pane="bottomLeft" activeCell="L799" sqref="L79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233</v>
      </c>
      <c r="B662" s="103"/>
      <c r="C662" s="103"/>
      <c r="D662" s="103"/>
      <c r="E662" s="104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233</v>
      </c>
      <c r="F804" s="27"/>
      <c r="G804" s="28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233</v>
      </c>
      <c r="F805" s="27"/>
      <c r="G805" s="28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233</v>
      </c>
      <c r="F806" s="27"/>
      <c r="G806" s="28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233</v>
      </c>
      <c r="F807" s="27"/>
      <c r="G807" s="28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233</v>
      </c>
      <c r="F808" s="27"/>
      <c r="G808" s="28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233</v>
      </c>
      <c r="F809" s="27"/>
      <c r="G809" s="28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225</v>
      </c>
      <c r="G810" s="36">
        <f>SUM(G798:G809)</f>
        <v>1104.2</v>
      </c>
      <c r="H810" s="37"/>
      <c r="I810" s="37"/>
      <c r="J810" s="37"/>
      <c r="K810" s="37"/>
      <c r="L810" s="37"/>
      <c r="M810" s="38">
        <f ca="1">IFERROR(SUM(M798:M809),"")</f>
        <v>1.7361111111111105E-2</v>
      </c>
      <c r="N810" s="36" t="s">
        <v>236</v>
      </c>
      <c r="O810" s="39"/>
    </row>
    <row r="811" spans="1:15" ht="18" customHeight="1">
      <c r="A811" s="117" t="s">
        <v>238</v>
      </c>
      <c r="B811" s="118"/>
      <c r="C811" s="118"/>
      <c r="D811" s="118"/>
      <c r="E811" s="119">
        <f>E797+E810</f>
        <v>0</v>
      </c>
      <c r="F811" s="40">
        <f>F797+F810</f>
        <v>516</v>
      </c>
      <c r="G811" s="40">
        <f>G797+G810</f>
        <v>1104.2</v>
      </c>
      <c r="H811" s="41"/>
      <c r="I811" s="41"/>
      <c r="J811" s="41"/>
      <c r="K811" s="41"/>
      <c r="L811" s="41"/>
      <c r="M811" s="42">
        <f ca="1">IFERROR(M797+M810,"")</f>
        <v>9.8611111111111038E-2</v>
      </c>
      <c r="N811" s="40" t="s">
        <v>239</v>
      </c>
      <c r="O811" s="83">
        <f>IFERROR(O797+O810,"")</f>
        <v>2191180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/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37"/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3">
        <f>IFERROR(O824+O837,"")</f>
        <v>0</v>
      </c>
    </row>
  </sheetData>
  <mergeCells count="93">
    <mergeCell ref="A811:E811"/>
    <mergeCell ref="A824:E824"/>
    <mergeCell ref="A837:E837"/>
    <mergeCell ref="A838:E838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H2:H900 G824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71" activePane="bottomLeft" state="frozen"/>
      <selection pane="bottomLeft" activeCell="L800" sqref="L80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0.84064363425568445</v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0.99828252314457333</v>
      </c>
      <c r="N378" s="36" t="s">
        <v>236</v>
      </c>
      <c r="O378" s="77">
        <v>511980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1.1080047453667956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0.81911585648049368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0.98994918981382707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1.135088078702716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4" t="s">
        <v>235</v>
      </c>
      <c r="B689" s="115"/>
      <c r="C689" s="115"/>
      <c r="D689" s="115"/>
      <c r="E689" s="116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104</v>
      </c>
      <c r="G810" s="36">
        <f>SUM(G798:G809)</f>
        <v>436.8</v>
      </c>
      <c r="H810" s="37"/>
      <c r="I810" s="37"/>
      <c r="J810" s="37"/>
      <c r="K810" s="37"/>
      <c r="L810" s="37"/>
      <c r="M810" s="38">
        <f ca="1">IFERROR(SUM(M798:M809),"")</f>
        <v>3.6805555555555557E-2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258</v>
      </c>
      <c r="G811" s="40">
        <f>G797+G810</f>
        <v>1089.2</v>
      </c>
      <c r="H811" s="41"/>
      <c r="I811" s="41"/>
      <c r="J811" s="41"/>
      <c r="K811" s="41"/>
      <c r="L811" s="41"/>
      <c r="M811" s="42">
        <f ca="1">IFERROR(M797+M810,"")</f>
        <v>0.1576388888888888</v>
      </c>
      <c r="N811" s="40" t="s">
        <v>239</v>
      </c>
      <c r="O811" s="82">
        <f>IFERROR(O797+O810,"")</f>
        <v>648030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88"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64" zoomScale="50" zoomScaleNormal="50" workbookViewId="0">
      <selection activeCell="F804" sqref="F80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36</v>
      </c>
      <c r="G810" s="36">
        <f>SUM(G798:G809)</f>
        <v>151.20000000000002</v>
      </c>
      <c r="H810" s="37"/>
      <c r="I810" s="37"/>
      <c r="J810" s="37"/>
      <c r="K810" s="37"/>
      <c r="L810" s="37"/>
      <c r="M810" s="38">
        <f ca="1">IFERROR(SUM(M798:M809),"")</f>
        <v>2.083333333333337E-2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130</v>
      </c>
      <c r="G811" s="40">
        <f>G797+G810</f>
        <v>551.6</v>
      </c>
      <c r="H811" s="41"/>
      <c r="I811" s="41"/>
      <c r="J811" s="41"/>
      <c r="K811" s="41"/>
      <c r="L811" s="41"/>
      <c r="M811" s="42">
        <f ca="1">IFERROR(M797+M810,"")</f>
        <v>0.12361111111111106</v>
      </c>
      <c r="N811" s="40" t="s">
        <v>239</v>
      </c>
      <c r="O811" s="43">
        <f>IFERROR(O797+O810,"")</f>
        <v>419450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3">
    <mergeCell ref="A824:E824"/>
    <mergeCell ref="A837:E837"/>
    <mergeCell ref="A838:E838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92" activePane="bottomLeft" state="frozen"/>
      <selection pane="bottomLeft" activeCell="F804" sqref="F80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0.83092141203815117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1.0302269675937068</v>
      </c>
      <c r="N135" s="36" t="s">
        <v>236</v>
      </c>
      <c r="O135" s="39">
        <v>729290</v>
      </c>
    </row>
    <row r="136" spans="1:18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1.3975880787048178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235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33" t="s">
        <v>20</v>
      </c>
      <c r="I799" s="33"/>
      <c r="J799" s="33"/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66</v>
      </c>
      <c r="G810" s="36">
        <f>SUM(G798:G809)</f>
        <v>277.20000000000005</v>
      </c>
      <c r="H810" s="37"/>
      <c r="I810" s="37"/>
      <c r="J810" s="37"/>
      <c r="K810" s="61"/>
      <c r="L810" s="61"/>
      <c r="M810" s="38">
        <f ca="1">IFERROR(SUM(M798:M809),"")</f>
        <v>0.13888888888888895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88</v>
      </c>
      <c r="G811" s="40">
        <f>G797+G810</f>
        <v>369.6</v>
      </c>
      <c r="H811" s="41"/>
      <c r="I811" s="41"/>
      <c r="J811" s="41"/>
      <c r="K811" s="63"/>
      <c r="L811" s="63"/>
      <c r="M811" s="42">
        <f ca="1">IFERROR(M797+M810,"")</f>
        <v>0.58819444444444446</v>
      </c>
      <c r="N811" s="40" t="s">
        <v>239</v>
      </c>
      <c r="O811" s="43">
        <f>IFERROR(O797+O810,"")</f>
        <v>99040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2">
    <mergeCell ref="A824:E824"/>
    <mergeCell ref="A837:E837"/>
    <mergeCell ref="A838:E838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2026-07-31T05:55:35Z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