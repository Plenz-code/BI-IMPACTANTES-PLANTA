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89" documentId="8_{AF585B22-221D-4780-BB9C-493D365A6A02}" xr6:coauthVersionLast="47" xr6:coauthVersionMax="47" xr10:uidLastSave="{FF167444-8E1B-45DD-9E81-1A942DA9905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<sst xmlns="http://schemas.openxmlformats.org/spreadsheetml/2006/main" count="3673" uniqueCount="265">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</sst>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05" sqref="F2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>
        <v>40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40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370</v>
      </c>
      <c r="G217" s="40">
        <f>G203+G216</f>
        <v>1650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2" activePane="bottomLeft" state="frozen"/>
      <selection pane="bottomLeft" activeCell="D218" sqref="D218:D2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>
        <v>13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13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13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 t="s">
        <v>21</v>
      </c>
      <c r="D218" s="59" t="s">
        <v>30</v>
      </c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21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21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21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21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21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21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21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21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21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21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21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D204" sqref="D204:D2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157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/>
      <c r="F204" s="27">
        <v>6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>
        <v>0.82638888888888884</v>
      </c>
      <c r="L204" s="29"/>
      <c r="M204" s="30">
        <f t="shared" ref="M204:M215" ca="1" si="46">IFERROR(IF(K204="","",IF(L204="",MOD(NOW()-K204,1),IF(L204&gt;=K204,L204-K204,L204+1-K204))),"")</f>
        <v>3.7972569443809334E-2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6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3.7972569443809334E-2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96</v>
      </c>
      <c r="G217" s="40">
        <f>G203+G216</f>
        <v>377.99999999999994</v>
      </c>
      <c r="H217" s="41"/>
      <c r="I217" s="41"/>
      <c r="J217" s="41"/>
      <c r="K217" s="41"/>
      <c r="L217" s="41"/>
      <c r="M217" s="42">
        <f ca="1">IFERROR(M203+M216,"")</f>
        <v>0.19422256944380939</v>
      </c>
      <c r="N217" s="40" t="s">
        <v>213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D204" sqref="D204:D2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0.61505590278102318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0.8143614583365788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1.1817225694476898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/>
      <c r="F204" s="27">
        <v>2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2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152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0.19722222222222219</v>
      </c>
      <c r="N217" s="40" t="s">
        <v>213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2026-07-09T00:44:49Z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