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98" documentId="8_{AF585B22-221D-4780-BB9C-493D365A6A02}" xr6:coauthVersionLast="47" xr6:coauthVersionMax="47" xr10:uidLastSave="{46104C21-C825-4961-A930-44C4B279AF1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<sst xmlns="http://schemas.openxmlformats.org/spreadsheetml/2006/main" count="8593" uniqueCount="367">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</sst>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0.14810358796239598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0.14810358796239598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0.14810358796239598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45" sqref="F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0.21060358796239598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0.36824247685128486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0.47796469907350703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0.18907581018720521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0.3599091435205386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0.50504803240942753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51</v>
      </c>
      <c r="G554" s="36">
        <f>SUM(G542:G553)</f>
        <v>214.20000000000002</v>
      </c>
      <c r="H554" s="37"/>
      <c r="I554" s="37"/>
      <c r="J554" s="37"/>
      <c r="K554" s="37"/>
      <c r="L554" s="37"/>
      <c r="M554" s="38">
        <f ca="1">IFERROR(SUM(M542:M553),"")</f>
        <v>2.2222222222222199E-2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51</v>
      </c>
      <c r="G568" s="40">
        <f>G554+G567</f>
        <v>214.20000000000002</v>
      </c>
      <c r="H568" s="41"/>
      <c r="I568" s="41"/>
      <c r="J568" s="41"/>
      <c r="K568" s="41"/>
      <c r="L568" s="41"/>
      <c r="M568" s="42">
        <f ca="1">IFERROR(M554+M567,"")</f>
        <v>2.2222222222222199E-2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J547" sqref="J5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19</v>
      </c>
      <c r="I542" s="26" t="s">
        <v>47</v>
      </c>
      <c r="J542" s="26" t="s">
        <v>78</v>
      </c>
      <c r="K542" s="29">
        <v>0.43055555555555558</v>
      </c>
      <c r="L542" s="29"/>
      <c r="M542" s="30">
        <f t="shared" ref="M542:M553" ca="1" si="121">IFERROR(IF(K542="","",IF(L542="",MOD(NOW()-K542,1),IF(L542&gt;=K542,L542-K542,L542+1-K542))),"")</f>
        <v>1.9631365743407514E-2</v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</v>
      </c>
      <c r="G554" s="36">
        <f>SUM(G542:G553)</f>
        <v>42</v>
      </c>
      <c r="H554" s="37"/>
      <c r="I554" s="37"/>
      <c r="J554" s="37"/>
      <c r="K554" s="37"/>
      <c r="L554" s="37"/>
      <c r="M554" s="38">
        <f ca="1">IFERROR(SUM(M542:M553),"")</f>
        <v>1.9631365743407514E-2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</v>
      </c>
      <c r="G568" s="40">
        <f>G554+G567</f>
        <v>42</v>
      </c>
      <c r="H568" s="41"/>
      <c r="I568" s="41"/>
      <c r="J568" s="41"/>
      <c r="K568" s="41"/>
      <c r="L568" s="41"/>
      <c r="M568" s="42">
        <f ca="1">IFERROR(M554+M567,"")</f>
        <v>1.9631365743407514E-2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L544" sqref="L5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330</v>
      </c>
      <c r="L58" s="29">
        <v>0.54097222222222219</v>
      </c>
      <c r="M58" s="30" t="str">
        <f t="shared" ca="1" si="13"/>
        <v/>
      </c>
      <c r="N58" s="27" t="s">
        <v>331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0.20088136574486271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0.40018692130041833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0.76754803241152936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63</v>
      </c>
      <c r="G554" s="36">
        <f>SUM(G542:G553)</f>
        <v>264.60000000000002</v>
      </c>
      <c r="H554" s="37"/>
      <c r="I554" s="37"/>
      <c r="J554" s="37"/>
      <c r="K554" s="61"/>
      <c r="L554" s="61"/>
      <c r="M554" s="38">
        <f ca="1">IFERROR(SUM(M542:M553),"")</f>
        <v>3.125E-2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63</v>
      </c>
      <c r="G568" s="40">
        <f>G554+G567</f>
        <v>264.60000000000002</v>
      </c>
      <c r="H568" s="41"/>
      <c r="I568" s="41"/>
      <c r="J568" s="41"/>
      <c r="K568" s="63"/>
      <c r="L568" s="63"/>
      <c r="M568" s="42">
        <f ca="1">IFERROR(M554+M567,"")</f>
        <v>3.125E-2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2026-07-21T14:50:16Z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