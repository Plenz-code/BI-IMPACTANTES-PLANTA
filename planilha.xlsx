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66" documentId="8_{AF585B22-221D-4780-BB9C-493D365A6A02}" xr6:coauthVersionLast="47" xr6:coauthVersionMax="47" xr10:uidLastSave="{FB43E52A-7165-4A26-8B19-B2B38AE89B52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<sst xmlns="http://schemas.openxmlformats.org/spreadsheetml/2006/main" count="12367" uniqueCount="441">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</sst>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J812" sqref="J8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/>
      <c r="M812" s="78">
        <f ca="1">IFERROR(IF(K812="","",IF(L812="",MOD(NOW()-K812,1),IF(L812&gt;=K812,L812-K812,L812+1-K812))),"")</f>
        <v>2.6767245370137971E-2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54</v>
      </c>
      <c r="G824" s="37"/>
      <c r="H824" s="37"/>
      <c r="I824" s="37"/>
      <c r="J824" s="37"/>
      <c r="K824" s="37"/>
      <c r="L824" s="37"/>
      <c r="M824" s="110">
        <f ca="1">IFERROR(SUM(M812:M823),"")</f>
        <v>2.6767245370137971E-2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2.6767245370137971E-2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8" activePane="bottomLeft" state="frozen"/>
      <selection pane="bottomLeft" activeCell="F817" sqref="F8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0.28718391203437932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0.4448228009232682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0.55454502314549037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0.26565613425918855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0.43648946759252194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0.58162835648141087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337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338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340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341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342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343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346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347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/>
      <c r="M813" s="79">
        <f ca="1">IFERROR(IF(K813="","",IF(L813="",MOD(NOW()-K813,1),IF(L813&gt;=K813,L813-K813,L813+1-K813))),"")</f>
        <v>9.4061342606437393E-3</v>
      </c>
      <c r="N813" s="105" t="s">
        <v>348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85</v>
      </c>
      <c r="G824" s="109">
        <f>SUM(G812:G823)</f>
        <v>357</v>
      </c>
      <c r="H824" s="37"/>
      <c r="I824" s="37"/>
      <c r="J824" s="37"/>
      <c r="K824" s="37"/>
      <c r="L824" s="37"/>
      <c r="M824" s="110">
        <f ca="1">IFERROR(SUM(M812:M823),"")</f>
        <v>2.7461689816199286E-2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85</v>
      </c>
      <c r="G838" s="111">
        <f>G824+G837</f>
        <v>357</v>
      </c>
      <c r="H838" s="41"/>
      <c r="I838" s="41"/>
      <c r="J838" s="41"/>
      <c r="K838" s="41"/>
      <c r="L838" s="41"/>
      <c r="M838" s="112">
        <f ca="1">IFERROR(M824+M837,"")</f>
        <v>2.7461689816199286E-2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788" zoomScale="50" zoomScaleNormal="50" workbookViewId="0">
      <selection activeCell="L813" sqref="L8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291</v>
      </c>
      <c r="K141" s="29">
        <v>0.71597222222222223</v>
      </c>
      <c r="L141" s="29" t="s">
        <v>354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356</v>
      </c>
      <c r="N166" s="27" t="s">
        <v>357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328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378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379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380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381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382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328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50</v>
      </c>
      <c r="G824" s="109">
        <f>SUM(G812:G823)</f>
        <v>210</v>
      </c>
      <c r="H824" s="37"/>
      <c r="I824" s="37"/>
      <c r="J824" s="37"/>
      <c r="K824" s="37"/>
      <c r="L824" s="37"/>
      <c r="M824" s="110">
        <f ca="1">IFERROR(SUM(M812:M823),"")</f>
        <v>2.6388888888888906E-2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50</v>
      </c>
      <c r="G838" s="111">
        <f>G824+G837</f>
        <v>210</v>
      </c>
      <c r="H838" s="41"/>
      <c r="I838" s="41"/>
      <c r="J838" s="41"/>
      <c r="K838" s="41"/>
      <c r="L838" s="41"/>
      <c r="M838" s="112">
        <f ca="1">IFERROR(M824+M837,"")</f>
        <v>2.6388888888888906E-2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17" sqref="F8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387</v>
      </c>
      <c r="L58" s="29">
        <v>0.54097222222222219</v>
      </c>
      <c r="M58" s="30" t="str">
        <f t="shared" ca="1" si="13"/>
        <v/>
      </c>
      <c r="N58" s="27" t="s">
        <v>388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0.27746168981684605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0.47676724537240167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0.8441283564835127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343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436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437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438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439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440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39</v>
      </c>
      <c r="G824" s="109">
        <f>SUM(G812:G823)</f>
        <v>163.80000000000001</v>
      </c>
      <c r="H824" s="37"/>
      <c r="I824" s="37"/>
      <c r="J824" s="37"/>
      <c r="K824" s="37"/>
      <c r="L824" s="37"/>
      <c r="M824" s="110">
        <f ca="1">IFERROR(SUM(M812:M823),"")</f>
        <v>7.0833333333333304E-2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39</v>
      </c>
      <c r="G838" s="111">
        <f>G824+G837</f>
        <v>163.80000000000001</v>
      </c>
      <c r="H838" s="41"/>
      <c r="I838" s="41"/>
      <c r="J838" s="41"/>
      <c r="K838" s="41"/>
      <c r="L838" s="41"/>
      <c r="M838" s="112">
        <f ca="1">IFERROR(M824+M837,"")</f>
        <v>7.0833333333333304E-2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2026-07-31T16:40:34Z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