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94" documentId="8_{C51EB6CB-002B-4D6B-B68F-DDEBDB4460C0}" xr6:coauthVersionLast="47" xr6:coauthVersionMax="47" xr10:uidLastSave="{508A4B91-33AA-43FD-A877-FB362CF0A05D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<sst xmlns="http://schemas.openxmlformats.org/spreadsheetml/2006/main" count="5914" uniqueCount="344">
  <si>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</si>
  <si>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</si>
  <si>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</si>
  <si>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</si>
  <si>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</si>
  <si>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</si>
  <si>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</si>
  <si>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</si>
  <si>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</si>
  <si>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</si>
  <si>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</si>
  <si>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</si>
  <si>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</si>
  <si>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</si>
  <si>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</si>
  <si>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</si>
  <si>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</si>
  <si>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</si>
  <si>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</si>
  <si>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</si>
  <si>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</si>
  <si>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</si>
  <si>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</si>
  <si>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</si>
  <si>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</si>
  <si>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</si>
  <si>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</si>
  <si>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</si>
  <si>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</si>
  <si>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</si>
  <si>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</si>
  <si>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</si>
  <si>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</si>
  <si>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</si>
  <si>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</si>
  <si>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</si>
  <si>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</si>
  <si>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</si>
  <si>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</si>
  <si>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</si>
  <si>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</si>
  <si>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</si>
  <si>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</si>
  <si>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</si>
  <si>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</si>
  <si>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</si>
  <si>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</si>
  <si>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</si>
  <si>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</si>
  <si>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</si>
  <si>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</si>
  <si>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</si>
  <si>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</si>
  <si>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</si>
  <si>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</si>
  <si>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</si>
  <si>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</si>
  <si>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</si>
  <si>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</si>
  <si>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</si>
  <si>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</si>
  <si>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</si>
  <si>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</si>
  <si>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</si>
  <si>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</si>
  <si>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</si>
  <si>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</si>
  <si>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</si>
  <si>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</si>
  <si>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</si>
  <si>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</si>
  <si>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</si>
  <si>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</si>
  <si>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</si>
  <si>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</si>
  <si>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</si>
  <si>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</si>
  <si>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</si>
  <si>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</si>
  <si>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</si>
  <si>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</si>
  <si>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</si>
  <si>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</si>
  <si>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</si>
  <si>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</si>
  <si>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</si>
  <si>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</si>
  <si>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</si>
  <si>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</si>
  <si>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</si>
  <si>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</si>
  <si>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</si>
  <si>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</si>
  <si>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</si>
  <si>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</si>
  <si>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</si>
  <si>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</si>
  <si>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</si>
  <si>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</si>
  <si>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</si>
  <si>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</si>
  <si>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</si>
  <si>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</si>
  <si>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</si>
  <si>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</si>
  <si>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</si>
  <si>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</si>
  <si>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</si>
  <si>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</si>
  <si>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</si>
  <si>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</si>
  <si>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</si>
  <si>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</si>
  <si>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</si>
  <si>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</si>
  <si>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</si>
  <si>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</si>
  <si>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</si>
  <si>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</si>
  <si>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</si>
  <si>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</si>
  <si>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</si>
  <si>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</si>
  <si>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</si>
  <si>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</si>
  <si>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</si>
  <si>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</si>
  <si>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</si>
  <si>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</si>
  <si>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</si>
  <si>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</si>
  <si>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</si>
  <si>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</si>
  <si>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</si>
  <si>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</si>
  <si>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</si>
  <si>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</si>
  <si>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</si>
  <si>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</si>
  <si>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</si>
  <si>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</si>
  <si>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</si>
  <si>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</si>
  <si>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</si>
  <si>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</si>
  <si>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</si>
  <si>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</si>
  <si>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</si>
  <si>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</si>
  <si>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</si>
  <si>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</si>
  <si>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</si>
  <si>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</si>
  <si>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</si>
  <si>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</si>
  <si>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</si>
  <si>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</si>
  <si>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</si>
  <si>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</si>
  <si>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</si>
  <si>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</si>
  <si>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</si>
  <si>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</si>
  <si>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</si>
  <si>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</si>
  <si>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</si>
  <si>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</si>
  <si>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</si>
  <si>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</si>
  <si>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</si>
  <si>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</si>
  <si>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</si>
  <si>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</si>
  <si>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</si>
  <si>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</si>
  <si>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</si>
  <si>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</si>
  <si>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</si>
  <si>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</si>
  <si>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</si>
  <si>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</si>
  <si>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</si>
  <si>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</si>
  <si>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</si>
  <si>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</si>
  <si>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</si>
  <si>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</si>
  <si>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</si>
  <si>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</si>
  <si>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</si>
  <si>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</si>
  <si>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</si>
  <si>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</si>
  <si>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</si>
  <si>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</si>
  <si>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</si>
  <si>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</si>
  <si>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</si>
  <si>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</si>
  <si>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</si>
  <si>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</si>
  <si>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</si>
  <si>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</si>
  <si>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</si>
  <si>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</si>
  <si>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</si>
  <si>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</si>
  <si>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</si>
  <si>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</si>
  <si>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</si>
  <si>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</si>
  <si>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</si>
  <si>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</si>
  <si>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</si>
  <si>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</si>
  <si>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</si>
  <si>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</si>
  <si>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</si>
  <si>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</si>
  <si>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</si>
  <si>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</si>
  <si>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</si>
  <si>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</si>
  <si>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</si>
  <si>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</si>
  <si>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</si>
  <si>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</si>
  <si>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</si>
  <si>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</si>
  <si>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</si>
  <si>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</si>
  <si>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</si>
  <si>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</si>
  <si>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</si>
  <si>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</si>
  <si>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</si>
  <si>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</si>
  <si>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</si>
  <si>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</si>
  <si>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</si>
  <si>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</si>
  <si>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</si>
  <si>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</si>
  <si>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</si>
  <si>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</si>
  <si>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</si>
  <si>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</si>
  <si>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</si>
  <si>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</si>
  <si>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</si>
  <si>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</si>
  <si>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</si>
  <si>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</si>
  <si>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</si>
  <si>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</si>
  <si>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</si>
  <si>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</si>
  <si>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</si>
  <si>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</si>
  <si>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</si>
  <si>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</si>
  <si>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</si>
  <si>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</si>
  <si>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</si>
  <si>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</si>
  <si>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</si>
  <si>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</si>
  <si>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</si>
  <si>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</si>
  <si>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</si>
  <si>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</si>
  <si>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</si>
  <si>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</si>
  <si>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</si>
  <si>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</si>
  <si>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</si>
  <si>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</si>
  <si>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</si>
  <si>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</si>
  <si>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</si>
  <si>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</si>
  <si>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</si>
  <si>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</si>
  <si>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</si>
  <si>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</si>
  <si>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</si>
  <si>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</si>
  <si>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</si>
  <si>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</si>
  <si>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</si>
  <si>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</si>
  <si>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</si>
  <si>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</si>
  <si>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lubrificação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</si>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</sst>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4847870</v>
      </c>
      <c r="D15" s="11">
        <f>IFERROR('Linha 1'!O325,"")</f>
        <v>1479900</v>
      </c>
      <c r="E15" s="11">
        <f>IFERROR('Linha 2'!O325,"")</f>
        <v>856930</v>
      </c>
      <c r="F15" s="11">
        <f>IFERROR('Linha 3'!O325,"")</f>
        <v>1998670</v>
      </c>
      <c r="G15" s="12">
        <f t="shared" si="0"/>
        <v>4335500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42278010</v>
      </c>
      <c r="D35" s="13">
        <f>IFERROR(SUM(D4:D34),"")</f>
        <v>14325530</v>
      </c>
      <c r="E35" s="13">
        <f>IFERROR(SUM(E4:E34),"")</f>
        <v>7129520</v>
      </c>
      <c r="F35" s="13">
        <f>IFERROR(SUM(F4:F34),"")</f>
        <v>17552120</v>
      </c>
      <c r="G35" s="13">
        <f>IFERROR(SUM(G4:G34),"")</f>
        <v>39007170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O325" sqref="O32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>
        <v>0.25</v>
      </c>
      <c r="M313" s="35">
        <f t="shared" ca="1" si="70"/>
        <v>3.125E-2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>
        <v>0</v>
      </c>
      <c r="G322" s="28">
        <f t="shared" si="69"/>
        <v>0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>
        <v>35</v>
      </c>
      <c r="G323" s="28">
        <f t="shared" si="69"/>
        <v>175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236</v>
      </c>
      <c r="O324" s="39">
        <v>2216340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240</v>
      </c>
      <c r="O325" s="48">
        <f>IFERROR(O311+O324,"")</f>
        <v>4847870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300" activePane="bottomLeft" state="frozen"/>
      <selection pane="bottomLeft" activeCell="O324" sqref="O32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0.17003969907091232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0.30892858795980122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0.39365081018202353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 t="s">
        <v>17</v>
      </c>
      <c r="I319" s="33" t="s">
        <v>31</v>
      </c>
      <c r="J319" s="33" t="s">
        <v>49</v>
      </c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 t="s">
        <v>17</v>
      </c>
      <c r="I320" s="26" t="s">
        <v>135</v>
      </c>
      <c r="J320" s="26" t="s">
        <v>49</v>
      </c>
      <c r="K320" s="29">
        <v>0.25069444444444444</v>
      </c>
      <c r="L320" s="29">
        <v>0.27430555555555558</v>
      </c>
      <c r="M320" s="30">
        <f t="shared" ca="1" si="70"/>
        <v>2.3611111111111138E-2</v>
      </c>
      <c r="N320" s="46" t="s">
        <v>293</v>
      </c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10</v>
      </c>
      <c r="G322" s="34">
        <f t="shared" si="69"/>
        <v>42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4</v>
      </c>
      <c r="G323" s="34">
        <f t="shared" si="69"/>
        <v>16.8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168</v>
      </c>
      <c r="G324" s="36">
        <f>SUM(G312:G323)</f>
        <v>716</v>
      </c>
      <c r="H324" s="37"/>
      <c r="I324" s="37"/>
      <c r="J324" s="37"/>
      <c r="K324" s="37"/>
      <c r="L324" s="37"/>
      <c r="M324" s="38">
        <f ca="1">IFERROR(SUM(M312:M323),"")</f>
        <v>0.11180555555555541</v>
      </c>
      <c r="N324" s="36" t="s">
        <v>236</v>
      </c>
      <c r="O324" s="77">
        <v>725030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337</v>
      </c>
      <c r="G325" s="40">
        <f>G311+G324</f>
        <v>1425.8</v>
      </c>
      <c r="H325" s="41"/>
      <c r="I325" s="41"/>
      <c r="J325" s="41"/>
      <c r="K325" s="41"/>
      <c r="L325" s="41"/>
      <c r="M325" s="42">
        <f ca="1">IFERROR(M311+M324,"")</f>
        <v>0.16527777777777755</v>
      </c>
      <c r="N325" s="40" t="s">
        <v>240</v>
      </c>
      <c r="O325" s="83">
        <f>IFERROR(O311+O324,"")</f>
        <v>1479900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311" zoomScale="68" zoomScaleNormal="68" workbookViewId="0">
      <selection activeCell="F324" sqref="F32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300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307</v>
      </c>
      <c r="M222" s="30" t="str">
        <f t="shared" ca="1" si="49"/>
        <v/>
      </c>
      <c r="N222" s="27" t="s">
        <v>308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9.7123032406670973E-2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0.15892858796222653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0.2200396990733377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310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311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 t="s">
        <v>17</v>
      </c>
      <c r="I316" s="26" t="s">
        <v>135</v>
      </c>
      <c r="J316" s="26" t="s">
        <v>49</v>
      </c>
      <c r="K316" s="29">
        <v>0.25069444444444444</v>
      </c>
      <c r="L316" s="29">
        <v>0.28125</v>
      </c>
      <c r="M316" s="30">
        <f t="shared" ca="1" si="70"/>
        <v>3.0555555555555558E-2</v>
      </c>
      <c r="N316" s="27" t="s">
        <v>293</v>
      </c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</v>
      </c>
      <c r="G322" s="28">
        <f t="shared" si="69"/>
        <v>8.4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0</v>
      </c>
      <c r="G323" s="34">
        <f t="shared" si="69"/>
        <v>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62</v>
      </c>
      <c r="G324" s="36">
        <f>SUM(G312:G323)</f>
        <v>263.59999999999997</v>
      </c>
      <c r="H324" s="37"/>
      <c r="I324" s="37"/>
      <c r="J324" s="37"/>
      <c r="K324" s="37"/>
      <c r="L324" s="37"/>
      <c r="M324" s="38">
        <f ca="1">IFERROR(SUM(M312:M323),"")</f>
        <v>6.8055555555555522E-2</v>
      </c>
      <c r="N324" s="36" t="s">
        <v>236</v>
      </c>
      <c r="O324" s="39">
        <v>289490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185</v>
      </c>
      <c r="G325" s="40">
        <f>G311+G324</f>
        <v>780.19999999999982</v>
      </c>
      <c r="H325" s="41"/>
      <c r="I325" s="41"/>
      <c r="J325" s="41"/>
      <c r="K325" s="41"/>
      <c r="L325" s="41"/>
      <c r="M325" s="42">
        <f ca="1">IFERROR(M311+M324,"")</f>
        <v>9.652777777777781E-2</v>
      </c>
      <c r="N325" s="40" t="s">
        <v>240</v>
      </c>
      <c r="O325" s="48">
        <f>IFERROR(O311+O324,"")</f>
        <v>856930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D334" sqref="D33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320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330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340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341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342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343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20</v>
      </c>
      <c r="G322" s="28">
        <f t="shared" si="69"/>
        <v>84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18</v>
      </c>
      <c r="G323" s="34">
        <f t="shared" si="69"/>
        <v>75.600000000000009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231</v>
      </c>
      <c r="G324" s="36">
        <f>SUM(G312:G323)</f>
        <v>983.8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>
        <v>1049720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423</v>
      </c>
      <c r="G325" s="40">
        <f>G311+G324</f>
        <v>1790.1999999999998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1998670</v>
      </c>
    </row>
    <row r="326" spans="1:15" ht="15" customHeight="1">
      <c r="A326" s="68">
        <v>46247</v>
      </c>
      <c r="B326" s="25">
        <v>0.33333333333333298</v>
      </c>
      <c r="C326" s="26" t="s">
        <v>29</v>
      </c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 t="s">
        <v>29</v>
      </c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 t="s">
        <v>29</v>
      </c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 t="s">
        <v>29</v>
      </c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 t="s">
        <v>29</v>
      </c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 t="s">
        <v>29</v>
      </c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 t="s">
        <v>29</v>
      </c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 t="s">
        <v>29</v>
      </c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 t="s">
        <v>29</v>
      </c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 t="s">
        <v>29</v>
      </c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 t="s">
        <v>29</v>
      </c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 t="s">
        <v>29</v>
      </c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2026-08-13T11:09:12Z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