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664" documentId="13_ncr:1_{0A10D8D4-8450-4366-8075-B53B08E6B7EA}" xr6:coauthVersionLast="47" xr6:coauthVersionMax="47" xr10:uidLastSave="{EAC8B06D-8AEA-406C-8BBC-EE910260ED4C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4" l="1"/>
  <c r="K406" i="5"/>
  <c r="K406" i="6"/>
  <c r="G406" i="6"/>
  <c r="G406" i="5"/>
  <c r="G406" i="4"/>
  <c r="F406" i="3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9" i="6"/>
  <c r="J429" i="6" s="1"/>
  <c r="H430" i="6"/>
  <c r="J430" i="6" s="1"/>
  <c r="H431" i="6"/>
  <c r="J431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9" i="5"/>
  <c r="J429" i="5" s="1"/>
  <c r="H430" i="5"/>
  <c r="J430" i="5" s="1"/>
  <c r="H431" i="5"/>
  <c r="J431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9" i="4"/>
  <c r="J429" i="4" s="1"/>
  <c r="H430" i="4"/>
  <c r="J430" i="4" s="1"/>
  <c r="H431" i="4"/>
  <c r="J431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810" i="5"/>
  <c r="T810" i="5" s="1"/>
  <c r="J473" i="4"/>
  <c r="T473" i="4" s="1"/>
  <c r="J446" i="6"/>
  <c r="T446" i="6" s="1"/>
  <c r="J540" i="6"/>
  <c r="T540" i="6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446" i="4"/>
  <c r="H675" i="4"/>
  <c r="H797" i="5"/>
  <c r="H324" i="5"/>
  <c r="H797" i="4"/>
  <c r="H783" i="6"/>
  <c r="H675" i="6"/>
  <c r="H662" i="4"/>
  <c r="H783" i="5"/>
  <c r="H554" i="5"/>
  <c r="H459" i="4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87" i="5"/>
  <c r="H676" i="5"/>
  <c r="H460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H428" i="6" s="1"/>
  <c r="J428" i="6" s="1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H428" i="5" s="1"/>
  <c r="J428" i="5" s="1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H428" i="4" s="1"/>
  <c r="J428" i="4" s="1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26" i="6" l="1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419" i="4" l="1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<sst xmlns="http://schemas.openxmlformats.org/spreadsheetml/2006/main" count="7354" uniqueCount="360">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</sst>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P24" sqref="P24"/>
    </sheetView>
  </sheetViews>
  <sheetFormatPr defaultColWidth="8.5703125" defaultRowHeight="14.4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1195500</v>
      </c>
      <c r="D19" s="11">
        <f>IFERROR('Linha 1'!S433,"")</f>
        <v>590830</v>
      </c>
      <c r="E19" s="11">
        <f>IFERROR('Linha 2'!S433,"")</f>
        <v>447620</v>
      </c>
      <c r="F19" s="11">
        <f>IFERROR('Linha 3'!S433,"")</f>
        <v>627410</v>
      </c>
      <c r="G19" s="12">
        <f t="shared" si="0"/>
        <v>1665860</v>
      </c>
      <c r="H19" s="96">
        <f>IFERROR('Linha 1'!T433+'Linha 2'!T433+'Linha 3'!T433,0)</f>
        <v>239.88383999999999</v>
      </c>
      <c r="I19" s="96"/>
      <c r="J19" s="129">
        <f t="shared" si="1"/>
        <v>0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57588020</v>
      </c>
      <c r="D35" s="13">
        <f t="shared" si="2"/>
        <v>18838850</v>
      </c>
      <c r="E35" s="13">
        <f t="shared" si="2"/>
        <v>9882290</v>
      </c>
      <c r="F35" s="13">
        <f t="shared" si="2"/>
        <v>24136340</v>
      </c>
      <c r="G35" s="13">
        <f t="shared" si="2"/>
        <v>52857480</v>
      </c>
      <c r="H35" s="97">
        <f t="shared" si="2"/>
        <v>3450.1791327907322</v>
      </c>
      <c r="I35" s="97">
        <f>IFERROR(SUM(I4:I34),"")</f>
        <v>2403.2399999999998</v>
      </c>
      <c r="J35" s="130">
        <f>IFERROR(AVERAGE(J4:J34),"-")</f>
        <v>0.5749422174907689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398" activePane="bottomLeft" state="frozen"/>
      <selection pane="bottomLeft" activeCell="F430" sqref="F430"/>
      <selection sqref="A1:G409"/>
    </sheetView>
  </sheetViews>
  <sheetFormatPr defaultColWidth="8.5703125" defaultRowHeight="14.4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69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69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69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69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69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69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69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69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69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69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69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69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69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69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69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69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244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69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69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69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69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69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69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69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69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69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0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69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69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0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69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69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0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69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243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243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141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270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243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141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270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243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243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243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243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243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243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243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243</v>
      </c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243</v>
      </c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69">
        <f>SUM(E420:E431)</f>
        <v>0</v>
      </c>
      <c r="F432" s="36">
        <f>SUM(F420:F431)</f>
        <v>260</v>
      </c>
      <c r="G432" s="36">
        <f>SUM(G420:G431)</f>
        <v>1300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0">
        <f>E419+E432</f>
        <v>0</v>
      </c>
      <c r="F433" s="40">
        <f>F419+F432</f>
        <v>470</v>
      </c>
      <c r="G433" s="40">
        <f>G419+G432</f>
        <v>2350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249</v>
      </c>
      <c r="O433" s="48">
        <f>IFERROR(O419+O432,"")</f>
        <v>1195500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6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6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6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6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6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6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6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6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6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6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6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6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6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6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6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6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6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6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6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6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6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6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6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6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6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6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6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6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4" t="s">
        <v>248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69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69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01" activePane="bottomLeft" state="frozen"/>
      <selection pane="bottomLeft" activeCell="P427" sqref="P427"/>
      <selection sqref="A1:G409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273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274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275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276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277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278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279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280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8.7715162037056871E-2</v>
      </c>
      <c r="R53" s="46" t="s">
        <v>281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0.22660405092594577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0.31132627314816808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273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282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283</v>
      </c>
      <c r="Q96" s="30" t="str">
        <f t="shared" ref="Q96:Q107" ca="1" si="22">IFERROR(IF(O96="","",IF(P96="",MOD(NOW()-O96,1),IF(P96&gt;=O96,P96-O96,P96+1-O96))),"")</f>
        <v/>
      </c>
      <c r="R96" s="46" t="s">
        <v>284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285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286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287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288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289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290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292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289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293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294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287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282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296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297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244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298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299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300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301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302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294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289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282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303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304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305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0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306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2"/>
        <v>0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0</v>
      </c>
      <c r="I422" s="135">
        <f>IFERROR(IF($D422="","",VLOOKUP($D422,Cadastro!$C$4:$G$7,5,FALSE)),"")</f>
        <v>0.6</v>
      </c>
      <c r="J422" s="136">
        <f t="shared" si="102"/>
        <v>0</v>
      </c>
      <c r="K422" s="28">
        <f t="shared" si="103"/>
        <v>46.2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0</v>
      </c>
      <c r="I423" s="135">
        <f>IFERROR(IF($D423="","",VLOOKUP($D423,Cadastro!$C$4:$G$7,5,FALSE)),"")</f>
        <v>0.6</v>
      </c>
      <c r="J423" s="136">
        <f t="shared" si="102"/>
        <v>0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0</v>
      </c>
      <c r="I424" s="135">
        <f>IFERROR(IF($D424="","",VLOOKUP($D424,Cadastro!$C$4:$G$7,5,FALSE)),"")</f>
        <v>0.6</v>
      </c>
      <c r="J424" s="136">
        <f t="shared" si="102"/>
        <v>0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0</v>
      </c>
      <c r="I425" s="135">
        <f>IFERROR(IF($D425="","",VLOOKUP($D425,Cadastro!$C$4:$G$7,5,FALSE)),"")</f>
        <v>0.6</v>
      </c>
      <c r="J425" s="136">
        <f t="shared" si="102"/>
        <v>0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0</v>
      </c>
      <c r="I426" s="135">
        <f>IFERROR(IF($D426="","",VLOOKUP($D426,Cadastro!$C$4:$G$7,5,FALSE)),"")</f>
        <v>0.6</v>
      </c>
      <c r="J426" s="136">
        <f t="shared" si="102"/>
        <v>0</v>
      </c>
      <c r="K426" s="28">
        <f t="shared" si="103"/>
        <v>71.400000000000006</v>
      </c>
      <c r="L426" s="26" t="s">
        <v>26</v>
      </c>
      <c r="M426" s="26" t="s">
        <v>167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0</v>
      </c>
      <c r="I427" s="135">
        <f>IFERROR(IF($D427="","",VLOOKUP($D427,Cadastro!$C$4:$G$7,5,FALSE)),"")</f>
        <v>0.6</v>
      </c>
      <c r="J427" s="136">
        <f t="shared" si="102"/>
        <v>0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2"/>
        <v>0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130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546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277</v>
      </c>
      <c r="H433" s="112">
        <f>IFERROR(H419+H432,"")</f>
        <v>590.82999999999993</v>
      </c>
      <c r="I433" s="116"/>
      <c r="J433" s="125">
        <f>IFERROR(J419+J432,"")</f>
        <v>85.079520000000002</v>
      </c>
      <c r="K433" s="40">
        <f>K419+K432</f>
        <v>1163.4000000000001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249</v>
      </c>
      <c r="S433" s="143">
        <f>IFERROR(S419+S432,"")</f>
        <v>590830</v>
      </c>
      <c r="T433" s="144">
        <f>IFERROR(J433,"")</f>
        <v>85.079520000000002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07" activePane="bottomLeft" state="frozen"/>
      <selection pane="bottomLeft" activeCell="G429" sqref="G429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307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276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308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282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307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307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309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310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311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312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314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315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290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282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316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317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293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318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319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320</v>
      </c>
      <c r="Q222" s="30" t="str">
        <f t="shared" ca="1" si="49"/>
        <v/>
      </c>
      <c r="R222" s="27" t="s">
        <v>321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322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300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323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301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282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324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304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325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0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326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0"/>
        <v>0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0</v>
      </c>
      <c r="I422" s="135">
        <f>IFERROR(IF($D422="","",VLOOKUP($D422,Cadastro!$C$4:$G$7,5,FALSE)),"")</f>
        <v>0.6</v>
      </c>
      <c r="J422" s="136">
        <f t="shared" si="100"/>
        <v>0</v>
      </c>
      <c r="K422" s="28">
        <f t="shared" si="101"/>
        <v>8.4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0</v>
      </c>
      <c r="I423" s="135">
        <f>IFERROR(IF($D423="","",VLOOKUP($D423,Cadastro!$C$4:$G$7,5,FALSE)),"")</f>
        <v>0.6</v>
      </c>
      <c r="J423" s="136">
        <f t="shared" si="100"/>
        <v>0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0</v>
      </c>
      <c r="I424" s="135">
        <f>IFERROR(IF($D424="","",VLOOKUP($D424,Cadastro!$C$4:$G$7,5,FALSE)),"")</f>
        <v>0.6</v>
      </c>
      <c r="J424" s="136">
        <f t="shared" si="100"/>
        <v>0</v>
      </c>
      <c r="K424" s="28">
        <f t="shared" si="101"/>
        <v>16.8</v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0</v>
      </c>
      <c r="I425" s="135">
        <f>IFERROR(IF($D425="","",VLOOKUP($D425,Cadastro!$C$4:$G$7,5,FALSE)),"")</f>
        <v>0.6</v>
      </c>
      <c r="J425" s="136">
        <f t="shared" si="100"/>
        <v>0</v>
      </c>
      <c r="K425" s="34">
        <f t="shared" si="101"/>
        <v>16.8</v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0</v>
      </c>
      <c r="I426" s="135">
        <f>IFERROR(IF($D426="","",VLOOKUP($D426,Cadastro!$C$4:$G$7,5,FALSE)),"")</f>
        <v>0.6</v>
      </c>
      <c r="J426" s="136">
        <f t="shared" si="100"/>
        <v>0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0</v>
      </c>
      <c r="I427" s="135">
        <f>IFERROR(IF($D427="","",VLOOKUP($D427,Cadastro!$C$4:$G$7,5,FALSE)),"")</f>
        <v>0.6</v>
      </c>
      <c r="J427" s="136">
        <f t="shared" si="100"/>
        <v>0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30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126</v>
      </c>
      <c r="L432" s="37"/>
      <c r="M432" s="37"/>
      <c r="N432" s="37"/>
      <c r="O432" s="37"/>
      <c r="P432" s="37"/>
      <c r="Q432" s="38">
        <f ca="1">IFERROR(SUM(Q420:Q431),"")</f>
        <v>8.4722222222222282E-2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151</v>
      </c>
      <c r="H433" s="112">
        <f>IFERROR(H419+H432,"")</f>
        <v>447.62</v>
      </c>
      <c r="I433" s="116"/>
      <c r="J433" s="125">
        <f>IFERROR(J419+J432,"")</f>
        <v>64.457279999999997</v>
      </c>
      <c r="K433" s="40">
        <f>K419+K432</f>
        <v>634.20000000000005</v>
      </c>
      <c r="L433" s="41"/>
      <c r="M433" s="41"/>
      <c r="N433" s="41"/>
      <c r="O433" s="41"/>
      <c r="P433" s="41"/>
      <c r="Q433" s="42">
        <f ca="1">IFERROR(Q419+Q432,"")</f>
        <v>0.15763888888888902</v>
      </c>
      <c r="R433" s="40" t="s">
        <v>249</v>
      </c>
      <c r="S433" s="48">
        <f>IFERROR(S419+S432,"")</f>
        <v>447620</v>
      </c>
      <c r="T433" s="121">
        <f>IFERROR(J433,"")</f>
        <v>64.457279999999997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95" activePane="bottomLeft" state="frozen"/>
      <selection pane="bottomLeft" activeCell="P429" sqref="P429"/>
    </sheetView>
  </sheetViews>
  <sheetFormatPr defaultColWidth="8.5703125" defaultRowHeight="14.4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327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279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307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328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329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330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331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332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333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307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307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334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335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282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307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336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337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290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338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340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341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342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343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344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345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346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347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348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349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350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351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352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353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354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355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304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356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357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358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0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2"/>
        <v>0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0</v>
      </c>
      <c r="I422" s="135">
        <f>IFERROR(IF($D422="","",VLOOKUP($D422,Cadastro!$C$4:$G$7,5,FALSE)),"")</f>
        <v>0.6</v>
      </c>
      <c r="J422" s="136">
        <f t="shared" si="102"/>
        <v>0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0</v>
      </c>
      <c r="I423" s="135">
        <f>IFERROR(IF($D423="","",VLOOKUP($D423,Cadastro!$C$4:$G$7,5,FALSE)),"")</f>
        <v>0.6</v>
      </c>
      <c r="J423" s="136">
        <f t="shared" si="102"/>
        <v>0</v>
      </c>
      <c r="K423" s="34">
        <f t="shared" si="103"/>
        <v>67.2</v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359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0</v>
      </c>
      <c r="I424" s="135">
        <f>IFERROR(IF($D424="","",VLOOKUP($D424,Cadastro!$C$4:$G$7,5,FALSE)),"")</f>
        <v>0.6</v>
      </c>
      <c r="J424" s="136">
        <f t="shared" si="102"/>
        <v>0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0</v>
      </c>
      <c r="I425" s="135">
        <f>IFERROR(IF($D425="","",VLOOKUP($D425,Cadastro!$C$4:$G$7,5,FALSE)),"")</f>
        <v>0.6</v>
      </c>
      <c r="J425" s="136">
        <f t="shared" si="102"/>
        <v>0</v>
      </c>
      <c r="K425" s="34">
        <f t="shared" si="103"/>
        <v>54.6</v>
      </c>
      <c r="L425" s="33" t="s">
        <v>27</v>
      </c>
      <c r="M425" s="33" t="s">
        <v>136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0</v>
      </c>
      <c r="I426" s="135">
        <f>IFERROR(IF($D426="","",VLOOKUP($D426,Cadastro!$C$4:$G$7,5,FALSE)),"")</f>
        <v>0.6</v>
      </c>
      <c r="J426" s="136">
        <f t="shared" si="102"/>
        <v>0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0</v>
      </c>
      <c r="I427" s="135">
        <f>IFERROR(IF($D427="","",VLOOKUP($D427,Cadastro!$C$4:$G$7,5,FALSE)),"")</f>
        <v>0.6</v>
      </c>
      <c r="J427" s="136">
        <f t="shared" si="102"/>
        <v>0</v>
      </c>
      <c r="K427" s="34">
        <f t="shared" si="103"/>
        <v>79.8</v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2"/>
        <v>0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153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642.6</v>
      </c>
      <c r="L432" s="37"/>
      <c r="M432" s="37"/>
      <c r="N432" s="37"/>
      <c r="O432" s="61"/>
      <c r="P432" s="61"/>
      <c r="Q432" s="38">
        <f ca="1">IFERROR(SUM(Q420:Q431),"")</f>
        <v>8.333333333333337E-2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295</v>
      </c>
      <c r="H433" s="112">
        <f>IFERROR(H419+H432,"")</f>
        <v>627.40999999999985</v>
      </c>
      <c r="I433" s="116"/>
      <c r="J433" s="125">
        <f>IFERROR(J419+J432,"")</f>
        <v>90.347039999999993</v>
      </c>
      <c r="K433" s="40">
        <f>K419+K432</f>
        <v>1239</v>
      </c>
      <c r="L433" s="41"/>
      <c r="M433" s="41"/>
      <c r="N433" s="41"/>
      <c r="O433" s="63"/>
      <c r="P433" s="63"/>
      <c r="Q433" s="42">
        <f ca="1">IFERROR(Q419+Q432,"")</f>
        <v>0.19861111111111118</v>
      </c>
      <c r="R433" s="40" t="s">
        <v>249</v>
      </c>
      <c r="S433" s="48">
        <f>IFERROR(S419+S432,"")</f>
        <v>627410</v>
      </c>
      <c r="T433" s="121">
        <f>IFERROR(J433,"")</f>
        <v>90.347039999999993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2026-08-17T09:01:51Z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