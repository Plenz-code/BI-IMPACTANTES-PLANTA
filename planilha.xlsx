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149" documentId="8_{C51EB6CB-002B-4D6B-B68F-DDEBDB4460C0}" xr6:coauthVersionLast="47" xr6:coauthVersionMax="47" xr10:uidLastSave="{2FA786E5-BA4D-4192-A927-26340A7EA1E2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<sst xmlns="http://schemas.openxmlformats.org/spreadsheetml/2006/main" count="4312" uniqueCount="305">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</sst>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1392300</v>
      </c>
      <c r="D11" s="11">
        <f>IFERROR('Linha 1'!O217,"")</f>
        <v>601390</v>
      </c>
      <c r="E11" s="11">
        <f>IFERROR('Linha 2'!O217,"")</f>
        <v>92510</v>
      </c>
      <c r="F11" s="11">
        <f>IFERROR('Linha 3'!O217,"")</f>
        <v>790070</v>
      </c>
      <c r="G11" s="12">
        <f t="shared" si="0"/>
        <v>1483970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25428585</v>
      </c>
      <c r="D35" s="13">
        <f>IFERROR(SUM(D4:D34),"")</f>
        <v>7714120</v>
      </c>
      <c r="E35" s="13">
        <f>IFERROR(SUM(E4:E34),"")</f>
        <v>3728860</v>
      </c>
      <c r="F35" s="13">
        <f>IFERROR(SUM(F4:F34),"")</f>
        <v>10241570</v>
      </c>
      <c r="G35" s="13">
        <f>IFERROR(SUM(G4:G34),"")</f>
        <v>21684550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89" activePane="bottomLeft" state="frozen"/>
      <selection pane="bottomLeft" activeCell="F212" sqref="F21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255</v>
      </c>
      <c r="G216" s="36">
        <f>SUM(G204:G215)</f>
        <v>1275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506</v>
      </c>
      <c r="G217" s="40">
        <f>G203+G216</f>
        <v>2530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1392300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7" activePane="bottomLeft" state="frozen"/>
      <selection pane="bottomLeft" activeCell="F212" sqref="F21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1.1171064812515397E-2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0.15005995370140429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0.2347821759236266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101</v>
      </c>
      <c r="G216" s="36">
        <f>SUM(G204:G215)</f>
        <v>424.19999999999993</v>
      </c>
      <c r="H216" s="37"/>
      <c r="I216" s="37"/>
      <c r="J216" s="37"/>
      <c r="K216" s="37"/>
      <c r="L216" s="37"/>
      <c r="M216" s="38">
        <f ca="1">IFERROR(SUM(M204:M215),"")</f>
        <v>4.6527777777777835E-2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234</v>
      </c>
      <c r="G217" s="40">
        <f>G203+G216</f>
        <v>982.8</v>
      </c>
      <c r="H217" s="41"/>
      <c r="I217" s="41"/>
      <c r="J217" s="41"/>
      <c r="K217" s="41"/>
      <c r="L217" s="41"/>
      <c r="M217" s="42">
        <f ca="1">IFERROR(M203+M216,"")</f>
        <v>0.1868055555555555</v>
      </c>
      <c r="N217" s="40" t="s">
        <v>239</v>
      </c>
      <c r="O217" s="83">
        <f>IFERROR(O203+O216,"")</f>
        <v>601390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6" zoomScale="50" zoomScaleNormal="50" workbookViewId="0">
      <selection activeCell="F212" sqref="F21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37</v>
      </c>
      <c r="G216" s="36">
        <f>SUM(G204:G215)</f>
        <v>155.4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52</v>
      </c>
      <c r="G217" s="40">
        <f>G203+G216</f>
        <v>218.4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92510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4" activePane="bottomLeft" state="frozen"/>
      <selection pane="bottomLeft" activeCell="F212" sqref="F21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78</v>
      </c>
      <c r="G216" s="36">
        <f>SUM(G204:G215)</f>
        <v>324.8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239</v>
      </c>
      <c r="G217" s="40">
        <f>G203+G216</f>
        <v>1001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790070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2026-08-09T07:11:37Z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