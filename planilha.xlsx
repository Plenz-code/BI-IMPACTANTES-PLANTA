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" documentId="13_ncr:1_{A6DBCFB4-28D9-4249-9038-216934055CA6}" xr6:coauthVersionLast="47" xr6:coauthVersionMax="47" xr10:uidLastSave="{BF5439C8-5332-4CE7-8169-DCF8B43B7CB3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<sst xmlns="http://schemas.openxmlformats.org/spreadsheetml/2006/main" count="8425" uniqueCount="394">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</sst>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72" activePane="bottomLeft" state="frozen"/>
      <selection pane="bottomLeft" activeCell="F494" sqref="F49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19</v>
      </c>
      <c r="G493" s="69">
        <f t="shared" si="106"/>
        <v>95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76</v>
      </c>
      <c r="G500" s="2">
        <f>SUM(G488:G499)</f>
        <v>380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76</v>
      </c>
      <c r="G514" s="1">
        <f>G500+G513</f>
        <v>380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4" sqref="G49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0.42041423610498896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0.55930312499387669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0.6440253472160995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65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281.8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65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281.8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4" sqref="G49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/>
      <c r="Q488" s="66">
        <f t="shared" ref="Q488:Q499" ca="1" si="121">IFERROR(IF(O488="","",IF(P488="",MOD(NOW()-O488,1),IF(P488&gt;=O488,P488-O488,P488+1-O488))),"")</f>
        <v>1.9025347217393573E-2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33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142.60000000000002</v>
      </c>
      <c r="L500" s="72"/>
      <c r="M500" s="72"/>
      <c r="N500" s="72"/>
      <c r="O500" s="72"/>
      <c r="P500" s="72"/>
      <c r="Q500" s="73">
        <f ca="1">IFERROR(SUM(Q488:Q499),"")</f>
        <v>1.9025347217393573E-2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33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142.60000000000002</v>
      </c>
      <c r="L514" s="76"/>
      <c r="M514" s="76"/>
      <c r="N514" s="76"/>
      <c r="O514" s="76"/>
      <c r="P514" s="76"/>
      <c r="Q514" s="77">
        <f ca="1">IFERROR(Q500+Q513,"")</f>
        <v>1.9025347217393573E-2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4" sqref="G49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87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371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87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371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2026-08-19T17:00:32Z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