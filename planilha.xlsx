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28" documentId="8_{C51EB6CB-002B-4D6B-B68F-DDEBDB4460C0}" xr6:coauthVersionLast="47" xr6:coauthVersionMax="47" xr10:uidLastSave="{9840518D-C330-435E-BE03-099647B83098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<sst xmlns="http://schemas.openxmlformats.org/spreadsheetml/2006/main" count="5695" uniqueCount="340">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</sst>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N306" sqref="N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3.992233795725042E-2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260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422</v>
      </c>
      <c r="G311" s="90">
        <f>SUM(G299:G310)</f>
        <v>2110</v>
      </c>
      <c r="H311" s="37"/>
      <c r="I311" s="37"/>
      <c r="J311" s="37"/>
      <c r="K311" s="37"/>
      <c r="L311" s="37"/>
      <c r="M311" s="38">
        <f ca="1">IFERROR(SUM(M299:M310),"")</f>
        <v>5.5200115735028199E-2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422</v>
      </c>
      <c r="G325" s="40">
        <f>G311+G324</f>
        <v>2110</v>
      </c>
      <c r="H325" s="41"/>
      <c r="I325" s="41"/>
      <c r="J325" s="41"/>
      <c r="K325" s="41"/>
      <c r="L325" s="41"/>
      <c r="M325" s="42">
        <f ca="1">IFERROR(M311+M324,"")</f>
        <v>5.5200115735028199E-2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7" activePane="bottomLeft" state="frozen"/>
      <selection pane="bottomLeft" activeCell="J304" sqref="J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0.63575567129009869</v>
      </c>
      <c r="N53" s="46" t="s">
        <v>269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0.77464456017898753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0.85936678240120989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271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272</v>
      </c>
      <c r="M96" s="30" t="str">
        <f t="shared" ref="M96:M107" ca="1" si="22">IFERROR(IF(K96="","",IF(L96="",MOD(NOW()-K96,1),IF(L96&gt;=K96,L96-K96,L96+1-K96))),"")</f>
        <v/>
      </c>
      <c r="N96" s="46" t="s">
        <v>273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286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287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288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289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290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17</v>
      </c>
      <c r="I303" s="33"/>
      <c r="J303" s="33" t="s">
        <v>25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/>
      <c r="M304" s="30">
        <f t="shared" ca="1" si="67"/>
        <v>1.0334490725654177E-3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2</v>
      </c>
      <c r="G309" s="34">
        <f t="shared" si="66"/>
        <v>8.4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162</v>
      </c>
      <c r="G311" s="36">
        <f>SUM(G299:G310)</f>
        <v>680.4</v>
      </c>
      <c r="H311" s="37"/>
      <c r="I311" s="37"/>
      <c r="J311" s="37"/>
      <c r="K311" s="37"/>
      <c r="L311" s="37"/>
      <c r="M311" s="38">
        <f ca="1">IFERROR(SUM(M299:M310),"")</f>
        <v>4.7561226850343141E-2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162</v>
      </c>
      <c r="G325" s="40">
        <f>G311+G324</f>
        <v>680.4</v>
      </c>
      <c r="H325" s="41"/>
      <c r="I325" s="41"/>
      <c r="J325" s="41"/>
      <c r="K325" s="41"/>
      <c r="L325" s="41"/>
      <c r="M325" s="42">
        <f ca="1">IFERROR(M311+M324,"")</f>
        <v>4.7561226850343141E-2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K302" sqref="K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304</v>
      </c>
      <c r="M222" s="30" t="str">
        <f t="shared" ca="1" si="49"/>
        <v/>
      </c>
      <c r="N222" s="27" t="s">
        <v>305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270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0.56283900462585734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0.6246445601814129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0.68575567129252413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307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270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5</v>
      </c>
      <c r="G309" s="34">
        <f t="shared" si="66"/>
        <v>21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116</v>
      </c>
      <c r="G311" s="36">
        <f>SUM(G299:G310)</f>
        <v>487.2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116</v>
      </c>
      <c r="G325" s="40">
        <f>G311+G324</f>
        <v>487.2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10" sqref="F31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298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333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334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335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336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337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338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339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182</v>
      </c>
      <c r="G311" s="36">
        <f>SUM(G299:G310)</f>
        <v>764.4</v>
      </c>
      <c r="H311" s="37"/>
      <c r="I311" s="37"/>
      <c r="J311" s="37"/>
      <c r="K311" s="61"/>
      <c r="L311" s="61"/>
      <c r="M311" s="38">
        <f ca="1">IFERROR(SUM(M299:M310),"")</f>
        <v>6.8750000000000033E-2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182</v>
      </c>
      <c r="G325" s="40">
        <f>G311+G324</f>
        <v>764.4</v>
      </c>
      <c r="H325" s="41"/>
      <c r="I325" s="41"/>
      <c r="J325" s="41"/>
      <c r="K325" s="63"/>
      <c r="L325" s="63"/>
      <c r="M325" s="42">
        <f ca="1">IFERROR(M311+M324,"")</f>
        <v>6.8750000000000033E-2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