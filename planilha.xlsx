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334" documentId="8_{AF585B22-221D-4780-BB9C-493D365A6A02}" xr6:coauthVersionLast="47" xr6:coauthVersionMax="47" xr10:uidLastSave="{AE25EB0A-CFA6-4111-A2E0-A489C0CC5F2A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<sst xmlns="http://schemas.openxmlformats.org/spreadsheetml/2006/main" count="4104" uniqueCount="276">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</sst>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6" activePane="bottomLeft" state="frozen"/>
      <selection pane="bottomLeft" activeCell="D231" sqref="D23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238</v>
      </c>
      <c r="G244" s="40">
        <f>G230+G243</f>
        <v>1190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09" activePane="bottomLeft" state="frozen"/>
      <selection pane="bottomLeft" activeCell="I232" sqref="I2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212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221</v>
      </c>
      <c r="F232" s="27"/>
      <c r="G232" s="28" t="str">
        <f t="shared" si="51"/>
        <v/>
      </c>
      <c r="H232" s="26"/>
      <c r="I232" s="26" t="s">
        <v>31</v>
      </c>
      <c r="J232" s="26"/>
      <c r="K232" s="29">
        <v>0.875</v>
      </c>
      <c r="L232" s="29"/>
      <c r="M232" s="30">
        <f t="shared" ca="1" si="52"/>
        <v>1.3584490734501742E-3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221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1</v>
      </c>
      <c r="G243" s="36">
        <f>SUM(G231:G242)</f>
        <v>4.2</v>
      </c>
      <c r="H243" s="37"/>
      <c r="I243" s="37"/>
      <c r="J243" s="37"/>
      <c r="K243" s="37"/>
      <c r="L243" s="37"/>
      <c r="M243" s="38">
        <f ca="1">IFERROR(SUM(M231:M242),"")</f>
        <v>6.3858449073450174E-2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116</v>
      </c>
      <c r="G244" s="40">
        <f>G230+G243</f>
        <v>487.2</v>
      </c>
      <c r="H244" s="41"/>
      <c r="I244" s="41"/>
      <c r="J244" s="41"/>
      <c r="K244" s="41"/>
      <c r="L244" s="41"/>
      <c r="M244" s="42">
        <f ca="1">IFERROR(M230+M243,"")</f>
        <v>0.39441400462900567</v>
      </c>
      <c r="N244" s="40" t="s">
        <v>215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E242" sqref="E2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212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221</v>
      </c>
      <c r="F231" s="27">
        <v>20</v>
      </c>
      <c r="G231" s="34">
        <f t="shared" ref="G231:G242" si="51">IF(F231="","",IF(E231="PC 17",F231*4.2,IF(E231="PC 19",F231*5,"")))</f>
        <v>84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221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221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20</v>
      </c>
      <c r="G243" s="36">
        <f>SUM(G231:G242)</f>
        <v>84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122</v>
      </c>
      <c r="G244" s="40">
        <f>G230+G243</f>
        <v>512.4</v>
      </c>
      <c r="H244" s="41"/>
      <c r="I244" s="41"/>
      <c r="J244" s="41"/>
      <c r="K244" s="41"/>
      <c r="L244" s="41"/>
      <c r="M244" s="42">
        <f ca="1">IFERROR(M230+M243,"")</f>
        <v>3.5416666666666763E-2</v>
      </c>
      <c r="N244" s="40" t="s">
        <v>215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6" activePane="bottomLeft" state="frozen"/>
      <selection pane="bottomLeft" activeCell="F222" sqref="F22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0.62705289352015825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0.82635844907571387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1.1937195601868249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 t="s">
        <v>20</v>
      </c>
      <c r="I224" s="26" t="s">
        <v>136</v>
      </c>
      <c r="J224" s="26" t="s">
        <v>179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212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23</v>
      </c>
      <c r="G243" s="36">
        <f>SUM(G231:G242)</f>
        <v>96.600000000000009</v>
      </c>
      <c r="H243" s="37"/>
      <c r="I243" s="37"/>
      <c r="J243" s="37"/>
      <c r="K243" s="61"/>
      <c r="L243" s="61"/>
      <c r="M243" s="38">
        <f ca="1">IFERROR(SUM(M231:M242),"")</f>
        <v>1.4583333333333282E-2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141</v>
      </c>
      <c r="G244" s="40">
        <f>G230+G243</f>
        <v>592.20000000000005</v>
      </c>
      <c r="H244" s="41"/>
      <c r="I244" s="41"/>
      <c r="J244" s="41"/>
      <c r="K244" s="63"/>
      <c r="L244" s="63"/>
      <c r="M244" s="42">
        <f ca="1">IFERROR(M230+M243,"")</f>
        <v>0.21111111111111122</v>
      </c>
      <c r="N244" s="40" t="s">
        <v>215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2026-07-10T01:02:28Z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