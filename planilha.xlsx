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984" documentId="8_{AF585B22-221D-4780-BB9C-493D365A6A02}" xr6:coauthVersionLast="47" xr6:coauthVersionMax="47" xr10:uidLastSave="{AEE354E1-2267-4C22-B57F-ED4D2D8CC2F7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<sst xmlns="http://schemas.openxmlformats.org/spreadsheetml/2006/main" count="3052" uniqueCount="251">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</sst>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1539220</v>
      </c>
      <c r="D9" s="11">
        <f>IFERROR('Linha 1'!O163,"")</f>
        <v>633800</v>
      </c>
      <c r="E9" s="11">
        <f>IFERROR('Linha 2'!O163,"")</f>
        <v>627680</v>
      </c>
      <c r="F9" s="11">
        <f>IFERROR('Linha 3'!O163,"")</f>
        <v>1190340</v>
      </c>
      <c r="G9" s="12">
        <f t="shared" si="0"/>
        <v>2451820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14002990</v>
      </c>
      <c r="D35" s="13">
        <f>IFERROR(SUM(D4:D34),"")</f>
        <v>6398650</v>
      </c>
      <c r="E35" s="13">
        <f>IFERROR(SUM(E4:E34),"")</f>
        <v>3406270</v>
      </c>
      <c r="F35" s="13">
        <f>IFERROR(SUM(F4:F34),"")</f>
        <v>6166270</v>
      </c>
      <c r="G35" s="13">
        <f>IFERROR(SUM(G4:G34),"")</f>
        <v>15971190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zoomScale="85" zoomScaleNormal="85" workbookViewId="0">
      <selection activeCell="I14" sqref="I1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/>
      <c r="L57" s="17"/>
      <c r="M57" s="17"/>
    </row>
    <row r="58" spans="1:13" ht="15" customHeight="1">
      <c r="H58" s="97"/>
      <c r="I58" s="16"/>
      <c r="J58" s="16"/>
      <c r="K58" s="16"/>
      <c r="L58" s="16"/>
      <c r="M58" s="16"/>
    </row>
    <row r="59" spans="1:13" ht="15" customHeight="1">
      <c r="H59" s="97"/>
      <c r="I59" s="17"/>
      <c r="J59" s="17"/>
      <c r="K59" s="17"/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35" activePane="bottomLeft" state="frozen"/>
      <selection pane="bottomLeft" activeCell="E151" sqref="E15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202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206</v>
      </c>
      <c r="O27" s="39">
        <v>1183060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206</v>
      </c>
      <c r="O54" s="39">
        <v>959290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206</v>
      </c>
      <c r="O81" s="39">
        <v>878050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206</v>
      </c>
      <c r="O108" s="39">
        <v>1700000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206</v>
      </c>
      <c r="O135" s="39">
        <v>862330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209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206</v>
      </c>
      <c r="O149" s="44">
        <v>1539220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20</v>
      </c>
      <c r="G150" s="28">
        <f t="shared" ref="G150:G161" si="33">IF(F150="","",IF(E150="PC 17",F150*4.2,IF(E150="PC 19",F150*5,"")))</f>
        <v>100</v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30</v>
      </c>
      <c r="G162" s="36">
        <f>SUM(G150:G161)</f>
        <v>150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4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109</v>
      </c>
      <c r="G163" s="40">
        <f>G149+G162</f>
        <v>545</v>
      </c>
      <c r="H163" s="41"/>
      <c r="I163" s="41"/>
      <c r="J163" s="41"/>
      <c r="K163" s="41"/>
      <c r="L163" s="41"/>
      <c r="M163" s="42">
        <f ca="1">IFERROR(M149+M162,"")</f>
        <v>0.21666666666666645</v>
      </c>
      <c r="N163" s="40" t="s">
        <v>209</v>
      </c>
      <c r="O163" s="43">
        <f>IFERROR(O149+O162,"")</f>
        <v>1539220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28" activePane="bottomLeft" state="frozen"/>
      <selection pane="bottomLeft" activeCell="F154" sqref="F15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206</v>
      </c>
      <c r="O27" s="78">
        <v>393200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214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85">
        <v>276360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206</v>
      </c>
      <c r="O81" s="54">
        <v>787860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206</v>
      </c>
      <c r="O108" s="54">
        <v>1087080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206</v>
      </c>
      <c r="O135" s="54">
        <v>794480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209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228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206</v>
      </c>
      <c r="O149" s="54">
        <v>633800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14</v>
      </c>
      <c r="G150" s="28">
        <f t="shared" ref="G150:G161" si="33">IF(F150="","",IF(E150="PC 17",F150*4.2,IF(E150="PC 19",F150*5,"")))</f>
        <v>70</v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19</v>
      </c>
      <c r="G151" s="34">
        <f t="shared" si="33"/>
        <v>95</v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33</v>
      </c>
      <c r="G162" s="36">
        <f>SUM(G150:G161)</f>
        <v>165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5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128</v>
      </c>
      <c r="G163" s="40">
        <f>G149+G162</f>
        <v>640</v>
      </c>
      <c r="H163" s="41"/>
      <c r="I163" s="41"/>
      <c r="J163" s="41"/>
      <c r="K163" s="41"/>
      <c r="L163" s="41"/>
      <c r="M163" s="42">
        <f ca="1">IFERROR(M149+M162,"")</f>
        <v>0.21111111111111108</v>
      </c>
      <c r="N163" s="40" t="s">
        <v>209</v>
      </c>
      <c r="O163" s="83">
        <f>IFERROR(O149+O162,"")</f>
        <v>633800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78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78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78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78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78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78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78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78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78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78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78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78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78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78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78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78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78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78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78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78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78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135" activePane="bottomLeft" state="frozen"/>
      <selection pane="bottomLeft" activeCell="D150" sqref="D150:D16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206</v>
      </c>
      <c r="O27" s="39">
        <v>308500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39">
        <v>124290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206</v>
      </c>
      <c r="O81" s="39">
        <v>396340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206</v>
      </c>
      <c r="O108" s="39">
        <v>41230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206</v>
      </c>
      <c r="O135" s="39">
        <v>381250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206</v>
      </c>
      <c r="O149" s="39">
        <v>627680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8</v>
      </c>
      <c r="G150" s="28">
        <f t="shared" ref="G150:G161" si="33">IF(F150="","",IF(E150="PC 17",F150*4.2,IF(E150="PC 19",F150*5,"")))</f>
        <v>40</v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18</v>
      </c>
      <c r="G162" s="36">
        <f>SUM(G150:G161)</f>
        <v>90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136</v>
      </c>
      <c r="G163" s="40">
        <f>G149+G162</f>
        <v>680</v>
      </c>
      <c r="H163" s="41"/>
      <c r="I163" s="41"/>
      <c r="J163" s="41"/>
      <c r="K163" s="41"/>
      <c r="L163" s="41"/>
      <c r="M163" s="42">
        <f ca="1">IFERROR(M149+M162,"")</f>
        <v>5.5555555555555636E-2</v>
      </c>
      <c r="N163" s="40" t="s">
        <v>209</v>
      </c>
      <c r="O163" s="43">
        <f>IFERROR(O149+O162,"")</f>
        <v>627680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39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33" activePane="bottomLeft" state="frozen"/>
      <selection pane="bottomLeft" activeCell="E152" sqref="E15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206</v>
      </c>
      <c r="O27" s="39">
        <v>202230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238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206</v>
      </c>
      <c r="O54" s="39">
        <v>473910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240</v>
      </c>
      <c r="L58" s="29">
        <v>0.54097222222222219</v>
      </c>
      <c r="M58" s="30" t="str">
        <f t="shared" ca="1" si="13"/>
        <v/>
      </c>
      <c r="N58" s="27" t="s">
        <v>241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206</v>
      </c>
      <c r="O81" s="39">
        <v>565120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206</v>
      </c>
      <c r="O108" s="39">
        <v>558590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248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249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0.63885231481981464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0.83815787037537026</v>
      </c>
      <c r="N135" s="36" t="s">
        <v>206</v>
      </c>
      <c r="O135" s="39">
        <v>729290</v>
      </c>
    </row>
    <row r="136" spans="1:18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1.2055189814864813</v>
      </c>
      <c r="N136" s="40" t="s">
        <v>209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206</v>
      </c>
      <c r="O149" s="39">
        <v>1190340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/>
      <c r="M151" s="35">
        <f t="shared" ca="1" si="34"/>
        <v>1.6630092592095025E-2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214</v>
      </c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30</v>
      </c>
      <c r="G162" s="36">
        <f>SUM(G150:G161)</f>
        <v>150</v>
      </c>
      <c r="H162" s="37"/>
      <c r="I162" s="37"/>
      <c r="J162" s="37"/>
      <c r="K162" s="61"/>
      <c r="L162" s="61"/>
      <c r="M162" s="38">
        <f ca="1">IFERROR(SUM(M150:M161),"")</f>
        <v>2.7741203703206097E-2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251</v>
      </c>
      <c r="G163" s="40">
        <f>G149+G162</f>
        <v>1255</v>
      </c>
      <c r="H163" s="41"/>
      <c r="I163" s="41"/>
      <c r="J163" s="41"/>
      <c r="K163" s="63"/>
      <c r="L163" s="63"/>
      <c r="M163" s="42">
        <f ca="1">IFERROR(M149+M162,"")</f>
        <v>9.301898148098392E-2</v>
      </c>
      <c r="N163" s="40" t="s">
        <v>209</v>
      </c>
      <c r="O163" s="43">
        <f>IFERROR(O149+O162,"")</f>
        <v>1190340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206</v>
      </c>
      <c r="O432" s="39"/>
    </row>
    <row r="433" spans="1:17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2026-07-07T01:19:27Z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