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10" documentId="13_ncr:1_{A6DBCFB4-28D9-4249-9038-216934055CA6}" xr6:coauthVersionLast="47" xr6:coauthVersionMax="47" xr10:uidLastSave="{597DA15B-D55C-4607-A6E8-583C846B4728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0" i="5" l="1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<sst xmlns="http://schemas.openxmlformats.org/spreadsheetml/2006/main" count="9256" uniqueCount="407">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</sst>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P18" sqref="P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24442520</v>
      </c>
      <c r="E35" s="30">
        <f t="shared" si="2"/>
        <v>12931650</v>
      </c>
      <c r="F35" s="30">
        <f t="shared" si="2"/>
        <v>31416610</v>
      </c>
      <c r="G35" s="30">
        <f t="shared" si="2"/>
        <v>68790780</v>
      </c>
      <c r="H35" s="31">
        <f t="shared" si="2"/>
        <v>6165.6854726915117</v>
      </c>
      <c r="I35" s="31">
        <f t="shared" si="2"/>
        <v>4967.05</v>
      </c>
      <c r="J35" s="32">
        <f>I35/H35</f>
        <v>0.80559574795042699</v>
      </c>
      <c r="K35" s="33">
        <f>SUM(K4:K34)</f>
        <v>450.78</v>
      </c>
      <c r="L35" s="34">
        <f>IFERROR(SUM(L4:L34),"")</f>
        <v>6042.6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38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224</v>
      </c>
      <c r="Q61" s="40"/>
      <c r="R61" s="40"/>
    </row>
    <row r="62" spans="1:18" ht="15" customHeight="1">
      <c r="M62" s="162"/>
      <c r="N62" s="37"/>
      <c r="O62" s="37"/>
      <c r="P62" s="37" t="s">
        <v>225</v>
      </c>
      <c r="Q62" s="37"/>
      <c r="R62" s="37"/>
    </row>
    <row r="63" spans="1:18" ht="15" customHeight="1">
      <c r="M63" s="162"/>
      <c r="N63" s="40"/>
      <c r="O63" s="40"/>
      <c r="P63" s="40" t="s">
        <v>226</v>
      </c>
      <c r="Q63" s="40"/>
      <c r="R63" s="40"/>
    </row>
    <row r="64" spans="1:18" ht="15" customHeight="1">
      <c r="M64" s="162"/>
      <c r="N64" s="37"/>
      <c r="O64" s="37"/>
      <c r="P64" s="37" t="s">
        <v>227</v>
      </c>
      <c r="Q64" s="37"/>
      <c r="R64" s="37"/>
    </row>
    <row r="65" spans="13:18" ht="15" customHeight="1">
      <c r="M65" s="162"/>
      <c r="N65" s="40"/>
      <c r="O65" s="40"/>
      <c r="P65" s="40" t="s">
        <v>228</v>
      </c>
      <c r="Q65" s="40"/>
      <c r="R65" s="40"/>
    </row>
    <row r="66" spans="13:18" ht="15" customHeight="1">
      <c r="M66" s="162"/>
      <c r="N66" s="37"/>
      <c r="O66" s="37"/>
      <c r="P66" s="37" t="s">
        <v>229</v>
      </c>
      <c r="Q66" s="37"/>
      <c r="R66" s="37"/>
    </row>
    <row r="67" spans="13:18" ht="15" customHeight="1">
      <c r="M67" s="162"/>
      <c r="N67" s="40"/>
      <c r="O67" s="40"/>
      <c r="P67" s="40" t="s">
        <v>230</v>
      </c>
      <c r="Q67" s="40"/>
      <c r="R67" s="40"/>
    </row>
    <row r="68" spans="13:18" ht="15" customHeight="1">
      <c r="M68" s="162"/>
      <c r="N68" s="37"/>
      <c r="O68" s="37"/>
      <c r="P68" s="37" t="s">
        <v>231</v>
      </c>
      <c r="Q68" s="37"/>
      <c r="R68" s="37"/>
    </row>
    <row r="69" spans="13:18" ht="15" customHeight="1">
      <c r="M69" s="162"/>
      <c r="N69" s="40"/>
      <c r="O69" s="40"/>
      <c r="P69" s="40" t="s">
        <v>232</v>
      </c>
      <c r="Q69" s="40"/>
      <c r="R69" s="40"/>
    </row>
    <row r="70" spans="13:18" ht="15" customHeight="1">
      <c r="M70" s="162"/>
      <c r="N70" s="37"/>
      <c r="O70" s="37"/>
      <c r="P70" s="37" t="s">
        <v>233</v>
      </c>
      <c r="Q70" s="37"/>
      <c r="R70" s="37"/>
    </row>
    <row r="71" spans="13:18" ht="15" customHeight="1">
      <c r="M71" s="162"/>
      <c r="N71" s="40"/>
      <c r="O71" s="40"/>
      <c r="P71" s="40" t="s">
        <v>234</v>
      </c>
      <c r="Q71" s="40"/>
      <c r="R71" s="40"/>
    </row>
    <row r="72" spans="13:18" ht="15" customHeight="1">
      <c r="M72" s="162"/>
      <c r="N72" s="37"/>
      <c r="O72" s="37"/>
      <c r="P72" s="37" t="s">
        <v>235</v>
      </c>
      <c r="Q72" s="37"/>
      <c r="R72" s="37"/>
    </row>
    <row r="73" spans="13:18" ht="15" customHeight="1">
      <c r="M73" s="162"/>
      <c r="N73" s="40"/>
      <c r="O73" s="40"/>
      <c r="P73" s="40" t="s">
        <v>236</v>
      </c>
      <c r="Q73" s="40"/>
      <c r="R73" s="40"/>
    </row>
    <row r="74" spans="13:18" ht="15" customHeight="1">
      <c r="M74" s="162"/>
      <c r="N74" s="37"/>
      <c r="O74" s="37"/>
      <c r="P74" s="37" t="s">
        <v>237</v>
      </c>
      <c r="Q74" s="37"/>
      <c r="R74" s="37"/>
    </row>
    <row r="75" spans="13:18" ht="15" customHeight="1">
      <c r="M75" s="162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250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250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250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250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250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250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250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250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250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250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250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250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250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250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250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250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250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250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250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250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250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250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250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250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250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250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250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250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250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250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250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0" activePane="bottomLeft" state="frozen"/>
      <selection pane="bottomLeft" activeCell="J542" sqref="J54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261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264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6" t="s">
        <v>250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261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264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6" t="s">
        <v>250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261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264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6" t="s">
        <v>250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261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264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6" t="s">
        <v>250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261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264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6" t="s">
        <v>250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261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264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6" t="s">
        <v>250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261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264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6" t="s">
        <v>250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261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264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6" t="s">
        <v>250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261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264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6" t="s">
        <v>250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261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264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6" t="s">
        <v>250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261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264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6" t="s">
        <v>250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261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264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6" t="s">
        <v>250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261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264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6" t="s">
        <v>250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261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264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6" t="s">
        <v>250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261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264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6" t="s">
        <v>250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261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264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6" t="s">
        <v>250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261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264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6" t="s">
        <v>250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261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264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6" t="s">
        <v>250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261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264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6" t="s">
        <v>250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261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264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6" t="s">
        <v>250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/>
      <c r="M542" s="66">
        <f t="shared" ref="M542:M553" ca="1" si="117">IFERROR(IF(K542="","",IF(L542="",MOD(NOW()-K542,1),IF(L542&gt;=K542,L542-K542,L542+1-K542))),"")</f>
        <v>0.40280856481695082</v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261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0.40280856481695082</v>
      </c>
      <c r="N554" s="2" t="s">
        <v>262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264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262</v>
      </c>
      <c r="O567" s="74"/>
    </row>
    <row r="568" spans="1:15" ht="18" customHeight="1">
      <c r="A568" s="166" t="s">
        <v>250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0.40280856481695082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261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264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6" t="s">
        <v>250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261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264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6" t="s">
        <v>250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261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264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6" t="s">
        <v>250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261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264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6" t="s">
        <v>250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261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264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6" t="s">
        <v>250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261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264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6" t="s">
        <v>250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261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264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6" t="s">
        <v>250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261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264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6" t="s">
        <v>250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261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264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6" t="s">
        <v>250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261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264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6" t="s">
        <v>250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O544" sqref="O54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297</v>
      </c>
      <c r="I1" s="86" t="s">
        <v>22</v>
      </c>
      <c r="J1" s="86" t="s">
        <v>298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299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300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301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303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304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305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306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0.57294745370018063</v>
      </c>
      <c r="R53" s="80" t="s">
        <v>307</v>
      </c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0.71183634258906836</v>
      </c>
      <c r="R54" s="2" t="s">
        <v>262</v>
      </c>
      <c r="S54" s="113">
        <v>352430</v>
      </c>
      <c r="T54" s="114"/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0.79655856481129117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299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308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309</v>
      </c>
      <c r="Q96" s="66" t="str">
        <f t="shared" ref="Q96:Q107" ca="1" si="22">IFERROR(IF(O96="","",IF(P96="",MOD(NOW()-O96,1),IF(P96&gt;=O96,P96-O96,P96+1-O96))),"")</f>
        <v/>
      </c>
      <c r="R96" s="80" t="s">
        <v>310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311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312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313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314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315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316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318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319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320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313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308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322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323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324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325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326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327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328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320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315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308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329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330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331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332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333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315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340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25.200000000000003</v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28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117.60000000000001</v>
      </c>
      <c r="L554" s="72"/>
      <c r="M554" s="72"/>
      <c r="N554" s="72"/>
      <c r="O554" s="72"/>
      <c r="P554" s="72"/>
      <c r="Q554" s="73">
        <f ca="1">IFERROR(SUM(Q542:Q553),"")</f>
        <v>0.23402777777777772</v>
      </c>
      <c r="R554" s="2" t="s">
        <v>262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28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117.60000000000001</v>
      </c>
      <c r="L568" s="76"/>
      <c r="M568" s="76"/>
      <c r="N568" s="76"/>
      <c r="O568" s="76"/>
      <c r="P568" s="76"/>
      <c r="Q568" s="77">
        <f ca="1">IFERROR(Q554+Q567,"")</f>
        <v>0.23402777777777772</v>
      </c>
      <c r="R568" s="1" t="s">
        <v>265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22" activePane="bottomLeft" state="frozen"/>
      <selection pane="bottomLeft" activeCell="P544" sqref="P54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297</v>
      </c>
      <c r="I1" s="86" t="s">
        <v>22</v>
      </c>
      <c r="J1" s="86" t="s">
        <v>298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302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308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316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308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319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354</v>
      </c>
      <c r="Q222" s="66" t="str">
        <f t="shared" ca="1" si="49"/>
        <v/>
      </c>
      <c r="R222" s="63" t="s">
        <v>355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326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327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308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330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308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308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 t="str">
        <f>IFERROR(IF($G542="","",$G542*$S$554/$G$554/Cadastro!$E$33),"")</f>
        <v/>
      </c>
      <c r="I542" s="102">
        <f>IFERROR(IF($D542="","",VLOOKUP($D542,Cadastro!$C$4:$G$7,5,FALSE())),"")</f>
        <v>0.6</v>
      </c>
      <c r="J542" s="103" t="str">
        <f t="shared" ref="J542:J553" si="135">IFERROR(IF($H542="","",$H542*$F542*$I542),"")</f>
        <v/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368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5"/>
        <v/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5"/>
        <v/>
      </c>
      <c r="K544" s="64">
        <f t="shared" si="136"/>
        <v>0</v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5"/>
        <v/>
      </c>
      <c r="K545" s="69">
        <f t="shared" si="136"/>
        <v>0</v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5"/>
        <v/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5"/>
        <v/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5"/>
        <v/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5"/>
        <v/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0.39791666666666664</v>
      </c>
      <c r="R554" s="2" t="s">
        <v>262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0.39791666666666664</v>
      </c>
      <c r="R568" s="1" t="s">
        <v>265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23" activePane="bottomLeft" state="frozen"/>
      <selection pane="bottomLeft" activeCell="N553" sqref="N55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297</v>
      </c>
      <c r="I1" s="86" t="s">
        <v>22</v>
      </c>
      <c r="J1" s="86" t="s">
        <v>298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369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305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370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371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372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373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374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375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376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377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308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378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379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316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380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382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383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384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385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387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388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389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390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391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392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393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394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395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396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397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330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398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399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400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401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402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396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403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404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405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406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/>
      <c r="Q553" s="71">
        <f t="shared" ca="1" si="140"/>
        <v>1.6697453706001397E-2</v>
      </c>
      <c r="R553" s="63"/>
      <c r="S553" s="133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100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420.00000000000006</v>
      </c>
      <c r="L554" s="72"/>
      <c r="M554" s="72"/>
      <c r="N554" s="72"/>
      <c r="O554" s="134"/>
      <c r="P554" s="134"/>
      <c r="Q554" s="73">
        <f ca="1">IFERROR(SUM(Q542:Q553),"")</f>
        <v>0.15975300926155706</v>
      </c>
      <c r="R554" s="2" t="s">
        <v>262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100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420.00000000000006</v>
      </c>
      <c r="L568" s="76"/>
      <c r="M568" s="76"/>
      <c r="N568" s="76"/>
      <c r="O568" s="135"/>
      <c r="P568" s="135"/>
      <c r="Q568" s="77">
        <f ca="1">IFERROR(Q554+Q567,"")</f>
        <v>0.15975300926155706</v>
      </c>
      <c r="R568" s="1" t="s">
        <v>265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2026-08-21T20:41:09Z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