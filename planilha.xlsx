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59" documentId="13_ncr:1_{0A10D8D4-8450-4366-8075-B53B08E6B7EA}" xr6:coauthVersionLast="47" xr6:coauthVersionMax="47" xr10:uidLastSave="{0E2777CA-8174-46DF-8B14-428901670E69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3" i="6" s="1"/>
  <c r="J343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3" i="5" s="1"/>
  <c r="J343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3" i="4" s="1"/>
  <c r="J343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<sst xmlns="http://schemas.openxmlformats.org/spreadsheetml/2006/main" count="6123" uniqueCount="340">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</sst>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4" sqref="F34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80</v>
      </c>
      <c r="G351" s="36">
        <f>SUM(G339:G350)</f>
        <v>400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312</v>
      </c>
      <c r="G352" s="40">
        <f>G338+G351</f>
        <v>1560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P343" sqref="P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0.91305833333171904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1.0519472222206079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1.1366694444428302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302.40000000000003</v>
      </c>
      <c r="L351" s="37"/>
      <c r="M351" s="37"/>
      <c r="N351" s="37"/>
      <c r="O351" s="37"/>
      <c r="P351" s="37"/>
      <c r="Q351" s="38">
        <f ca="1">IFERROR(SUM(Q339:Q350),"")</f>
        <v>6.0416666666666813E-2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475.40000000000003</v>
      </c>
      <c r="L352" s="41"/>
      <c r="M352" s="41"/>
      <c r="N352" s="41"/>
      <c r="O352" s="41"/>
      <c r="P352" s="41"/>
      <c r="Q352" s="42">
        <f ca="1">IFERROR(Q338+Q351,"")</f>
        <v>0.40277777777777779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105.00000000000001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86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402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8" activePane="bottomLeft" state="frozen"/>
      <selection pane="bottomLeft" activeCell="G344" sqref="G3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441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322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1409.2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2026-08-14T04:50:22Z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