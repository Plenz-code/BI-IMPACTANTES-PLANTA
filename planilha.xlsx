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864" documentId="8_{AF585B22-221D-4780-BB9C-493D365A6A02}" xr6:coauthVersionLast="47" xr6:coauthVersionMax="47" xr10:uidLastSave="{D40C1C39-A6F7-4DFD-9679-1E92DC74F18F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<sst xmlns="http://schemas.openxmlformats.org/spreadsheetml/2006/main" count="7818" uniqueCount="352">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</sst>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4" sqref="G24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56585322</v>
      </c>
      <c r="D35" s="13">
        <f>IFERROR(SUM(D4:D34),"")</f>
        <v>21086190</v>
      </c>
      <c r="E35" s="13">
        <f>IFERROR(SUM(E4:E34),"")</f>
        <v>12817230</v>
      </c>
      <c r="F35" s="13">
        <f>IFERROR(SUM(F4:F34),"")</f>
        <v>25426490</v>
      </c>
      <c r="G35" s="13">
        <f>IFERROR(SUM(G4:G34),"")</f>
        <v>59329910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M56" sqref="M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478" activePane="bottomLeft" state="frozen"/>
      <selection pane="bottomLeft" activeCell="H488" sqref="H48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226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230</v>
      </c>
      <c r="O27" s="39">
        <v>1183060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230</v>
      </c>
      <c r="O54" s="39">
        <v>959290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230</v>
      </c>
      <c r="O81" s="39">
        <v>878050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1700000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230</v>
      </c>
      <c r="O135" s="39">
        <v>862330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230</v>
      </c>
      <c r="O162" s="44">
        <v>1546080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>
        <v>2355810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230</v>
      </c>
      <c r="O216" s="45">
        <v>2013260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233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230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230</v>
      </c>
      <c r="O243" s="39">
        <v>1545480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233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230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>
        <v>1182690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233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230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240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241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241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241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241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241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241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241</v>
      </c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230</v>
      </c>
      <c r="O297" s="39">
        <v>1843460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233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242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227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227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243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227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227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227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227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227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227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227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230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227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244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244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244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227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244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>
        <v>1940000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233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227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227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227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227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227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227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227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227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227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227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230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227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227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227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227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227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227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227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227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227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227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227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227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230</v>
      </c>
      <c r="O351" s="39">
        <v>701874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233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246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227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227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227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227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227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227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227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227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227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227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227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230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227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227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227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227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227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227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227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227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227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227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227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230</v>
      </c>
      <c r="O378" s="39">
        <v>1088710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233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227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227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247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227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248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227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227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227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227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227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227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227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227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230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227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227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249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227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227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227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227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227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227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227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227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227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230</v>
      </c>
      <c r="O405" s="39">
        <v>1202270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233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227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250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227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227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251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227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227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227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227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227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252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252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227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230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227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227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227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227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227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227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227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227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227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227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227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>
        <v>1801910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233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227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253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227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227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227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227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227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227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227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227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230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254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254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254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254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254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254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254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254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254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254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254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254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230</v>
      </c>
      <c r="O459" s="39">
        <v>2675000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233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>
        <v>2034810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>
        <v>2310070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4344880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59" t="s">
        <v>227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69" activePane="bottomLeft" state="frozen"/>
      <selection pane="bottomLeft" activeCell="L490" sqref="L49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230</v>
      </c>
      <c r="O27" s="78">
        <v>393200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85">
        <v>276360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230</v>
      </c>
      <c r="O81" s="54">
        <v>787860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230</v>
      </c>
      <c r="O108" s="54">
        <v>1087080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230</v>
      </c>
      <c r="O135" s="54">
        <v>794480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230</v>
      </c>
      <c r="O162" s="54">
        <v>882280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230</v>
      </c>
      <c r="O189" s="78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230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230</v>
      </c>
      <c r="O216" s="78">
        <v>648410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233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229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230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230</v>
      </c>
      <c r="O243" s="78">
        <v>849060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233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230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230</v>
      </c>
      <c r="O270" s="78">
        <v>625070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233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230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230</v>
      </c>
      <c r="O297" s="78">
        <v>761660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233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230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230</v>
      </c>
      <c r="O324" s="78">
        <v>524410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233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230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230</v>
      </c>
      <c r="O351" s="78">
        <v>598420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233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230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0.17324293981073424</v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0.33088182869962313</v>
      </c>
      <c r="N378" s="36" t="s">
        <v>230</v>
      </c>
      <c r="O378" s="78">
        <v>511980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0.44060405092184529</v>
      </c>
      <c r="N379" s="40" t="s">
        <v>233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230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245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230</v>
      </c>
      <c r="O405" s="78">
        <v>552440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233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254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230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0.15171516203554347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231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0.32254849536887686</v>
      </c>
      <c r="N432" s="36" t="s">
        <v>230</v>
      </c>
      <c r="O432" s="78">
        <v>484540</v>
      </c>
    </row>
    <row r="433" spans="1:15" ht="18" customHeight="1">
      <c r="A433" s="94" t="s">
        <v>232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0.46768738425776574</v>
      </c>
      <c r="N433" s="40" t="s">
        <v>233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290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230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291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230</v>
      </c>
      <c r="O459" s="78">
        <v>631190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233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292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293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294</v>
      </c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230</v>
      </c>
      <c r="O473" s="78">
        <v>870930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295</v>
      </c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230</v>
      </c>
      <c r="O486" s="78">
        <v>969510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233</v>
      </c>
      <c r="O487" s="84">
        <f>IFERROR(O473+O486,"")</f>
        <v>1840440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227</v>
      </c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227</v>
      </c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227</v>
      </c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227</v>
      </c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227</v>
      </c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227</v>
      </c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227</v>
      </c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22</v>
      </c>
      <c r="G500" s="36">
        <f>SUM(G488:G499)</f>
        <v>110</v>
      </c>
      <c r="H500" s="37"/>
      <c r="I500" s="37"/>
      <c r="J500" s="37"/>
      <c r="K500" s="37"/>
      <c r="L500" s="37"/>
      <c r="M500" s="38">
        <f ca="1">IFERROR(SUM(M488:M499),"")</f>
        <v>3.2638888888888939E-2</v>
      </c>
      <c r="N500" s="36" t="s">
        <v>230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8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22</v>
      </c>
      <c r="G514" s="40">
        <f>G500+G513</f>
        <v>110</v>
      </c>
      <c r="H514" s="41"/>
      <c r="I514" s="41"/>
      <c r="J514" s="41"/>
      <c r="K514" s="41"/>
      <c r="L514" s="41"/>
      <c r="M514" s="42">
        <f ca="1">IFERROR(M500+M513,"")</f>
        <v>3.2638888888888939E-2</v>
      </c>
      <c r="N514" s="40" t="s">
        <v>233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8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8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8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8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8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8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8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8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68" zoomScale="50" zoomScaleNormal="50" workbookViewId="0">
      <selection activeCell="F490" sqref="F49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230</v>
      </c>
      <c r="O27" s="39">
        <v>308500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39">
        <v>124290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230</v>
      </c>
      <c r="O81" s="39">
        <v>396340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300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230</v>
      </c>
      <c r="O108" s="39">
        <v>41230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230</v>
      </c>
      <c r="O135" s="39">
        <v>381250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268</v>
      </c>
      <c r="K141" s="29">
        <v>0.71597222222222223</v>
      </c>
      <c r="L141" s="29" t="s">
        <v>302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230</v>
      </c>
      <c r="O162" s="39">
        <v>337120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304</v>
      </c>
      <c r="N166" s="27" t="s">
        <v>305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230</v>
      </c>
      <c r="O189" s="39">
        <v>747210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306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230</v>
      </c>
      <c r="O216" s="39">
        <v>468430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233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230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230</v>
      </c>
      <c r="O243" s="39">
        <v>575930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233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230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307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308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230</v>
      </c>
      <c r="O270" s="39">
        <v>483510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233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230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230</v>
      </c>
      <c r="O297" s="39">
        <v>487980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233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230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312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230</v>
      </c>
      <c r="O324" s="39">
        <v>609460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233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227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230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230</v>
      </c>
      <c r="O351" s="39">
        <v>437940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233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230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230</v>
      </c>
      <c r="O378" s="39">
        <v>473310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233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230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230</v>
      </c>
      <c r="O405" s="39">
        <v>507450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233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254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254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227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227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254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254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230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230</v>
      </c>
      <c r="O432" s="39">
        <v>229150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233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315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230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230</v>
      </c>
      <c r="O459" s="39">
        <v>409980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233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227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227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227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227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230</v>
      </c>
      <c r="O473" s="39">
        <v>228940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230</v>
      </c>
      <c r="O486" s="39">
        <v>341550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233</v>
      </c>
      <c r="O487" s="48">
        <f>IFERROR(O473+O486,"")</f>
        <v>570490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8</v>
      </c>
      <c r="G488" s="28">
        <f t="shared" ref="G488:G499" si="108">IF(F488="","",IF(E488="PC 17",F488*4.2,IF(E488="PC 19",F488*5,"")))</f>
        <v>40</v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227</v>
      </c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227</v>
      </c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227</v>
      </c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227</v>
      </c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227</v>
      </c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227</v>
      </c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227</v>
      </c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13</v>
      </c>
      <c r="G500" s="36">
        <f>SUM(G488:G499)</f>
        <v>65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13</v>
      </c>
      <c r="G514" s="40">
        <f>G500+G513</f>
        <v>65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69" activePane="bottomLeft" state="frozen"/>
      <selection pane="bottomLeft" activeCell="L489" sqref="L48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230</v>
      </c>
      <c r="O27" s="39">
        <v>202230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230</v>
      </c>
      <c r="O54" s="39">
        <v>473910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320</v>
      </c>
      <c r="L58" s="29">
        <v>0.54097222222222219</v>
      </c>
      <c r="M58" s="30" t="str">
        <f t="shared" ca="1" si="13"/>
        <v/>
      </c>
      <c r="N58" s="27" t="s">
        <v>321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230</v>
      </c>
      <c r="O81" s="39">
        <v>565120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230</v>
      </c>
      <c r="O108" s="39">
        <v>558590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0.16352071759320097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0.3628262731487566</v>
      </c>
      <c r="N135" s="36" t="s">
        <v>230</v>
      </c>
      <c r="O135" s="39">
        <v>729290</v>
      </c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0.73018738425986762</v>
      </c>
      <c r="N136" s="40" t="s">
        <v>233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230</v>
      </c>
      <c r="O162" s="39">
        <v>697320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230</v>
      </c>
      <c r="O189" s="39">
        <v>973580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230</v>
      </c>
      <c r="O216" s="45">
        <v>1060630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233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230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230</v>
      </c>
      <c r="O243" s="39">
        <v>982340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233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230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230</v>
      </c>
      <c r="O270" s="39">
        <v>1208450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233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230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230</v>
      </c>
      <c r="O297" s="39">
        <v>1049090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233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230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230</v>
      </c>
      <c r="O324" s="39">
        <v>1063720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233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229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230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230</v>
      </c>
      <c r="O351" s="39">
        <v>696140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233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229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230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230</v>
      </c>
      <c r="O378" s="39">
        <v>704750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233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345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332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230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346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347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230</v>
      </c>
      <c r="O405" s="39">
        <v>958130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233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230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348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230</v>
      </c>
      <c r="O432" s="39">
        <v>605220</v>
      </c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233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230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230</v>
      </c>
      <c r="O459" s="39">
        <v>615330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233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350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351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325</v>
      </c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230</v>
      </c>
      <c r="O473" s="39">
        <v>774200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230</v>
      </c>
      <c r="O486" s="39">
        <v>1120830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233</v>
      </c>
      <c r="O487" s="48">
        <f>IFERROR(O473+O486,"")</f>
        <v>1895030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15</v>
      </c>
      <c r="G489" s="34">
        <f t="shared" si="108"/>
        <v>75</v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227</v>
      </c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227</v>
      </c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227</v>
      </c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227</v>
      </c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227</v>
      </c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227</v>
      </c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227</v>
      </c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227</v>
      </c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227</v>
      </c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227</v>
      </c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25</v>
      </c>
      <c r="G500" s="36">
        <f>SUM(G488:G499)</f>
        <v>125</v>
      </c>
      <c r="H500" s="37"/>
      <c r="I500" s="37"/>
      <c r="J500" s="37"/>
      <c r="K500" s="61"/>
      <c r="L500" s="61"/>
      <c r="M500" s="38">
        <f ca="1">IFERROR(SUM(M488:M499),"")</f>
        <v>2.0833333333333259E-3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25</v>
      </c>
      <c r="G514" s="40">
        <f>G500+G513</f>
        <v>125</v>
      </c>
      <c r="H514" s="41"/>
      <c r="I514" s="41"/>
      <c r="J514" s="41"/>
      <c r="K514" s="63"/>
      <c r="L514" s="63"/>
      <c r="M514" s="42">
        <f ca="1">IFERROR(M500+M513,"")</f>
        <v>2.0833333333333259E-3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2026-07-19T13:54:29Z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