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54" documentId="8_{AF585B22-221D-4780-BB9C-493D365A6A02}" xr6:coauthVersionLast="47" xr6:coauthVersionMax="47" xr10:uidLastSave="{4923CC87-4AB4-4AAE-9D9D-553ABD4AD1F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<sst xmlns="http://schemas.openxmlformats.org/spreadsheetml/2006/main" count="2027" uniqueCount="219">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</sst>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2.9675115743884817E-2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2.9675115743884817E-2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2.9675115743884817E-2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72</v>
      </c>
      <c r="G81" s="36">
        <f>SUM(G69:G80)</f>
        <v>302.39999999999998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72</v>
      </c>
      <c r="G82" s="40">
        <f>G68+G81</f>
        <v>302.39999999999998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B73" sqref="B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/>
      <c r="M69" s="35">
        <f t="shared" ref="M69:M80" ca="1" si="16">IFERROR(IF(K69="","",IF(L69="",MOD(NOW()-K69,1),IF(L69&gt;=K69,L69-K69,L69+1-K69))),"")</f>
        <v>1.9258449072367512E-2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1.9258449072367512E-2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9.1480671294589644E-2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F75" sqref="F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 t="s">
        <v>20</v>
      </c>
      <c r="I74" s="26" t="s">
        <v>52</v>
      </c>
      <c r="J74" s="26" t="s">
        <v>51</v>
      </c>
      <c r="K74" s="29">
        <v>4.8611111111111112E-3</v>
      </c>
      <c r="L74" s="29"/>
      <c r="M74" s="30">
        <f t="shared" ca="1" si="16"/>
        <v>1.0925115740974434E-2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82</v>
      </c>
      <c r="G81" s="36">
        <f>SUM(G69:G80)</f>
        <v>344.4</v>
      </c>
      <c r="H81" s="37"/>
      <c r="I81" s="37"/>
      <c r="J81" s="37"/>
      <c r="K81" s="61"/>
      <c r="L81" s="61"/>
      <c r="M81" s="38">
        <f ca="1">IFERROR(SUM(M69:M80),"")</f>
        <v>0.10536956018541865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277</v>
      </c>
      <c r="G82" s="40">
        <f>G68+G81</f>
        <v>1163.4000000000001</v>
      </c>
      <c r="H82" s="41"/>
      <c r="I82" s="41"/>
      <c r="J82" s="41"/>
      <c r="K82" s="63"/>
      <c r="L82" s="63"/>
      <c r="M82" s="42">
        <f ca="1">IFERROR(M68+M81,"")</f>
        <v>0.16509178240764089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