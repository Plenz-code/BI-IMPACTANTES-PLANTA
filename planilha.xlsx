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69" documentId="8_{C51EB6CB-002B-4D6B-B68F-DDEBDB4460C0}" xr6:coauthVersionLast="47" xr6:coauthVersionMax="47" xr10:uidLastSave="{3A095C73-4E26-4D57-82F6-5EEA8621FAC3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<sst xmlns="http://schemas.openxmlformats.org/spreadsheetml/2006/main" count="2244" uniqueCount="265">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</sst>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4" activePane="bottomLeft" state="frozen"/>
      <selection pane="bottomLeft" activeCell="F71" sqref="F7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28</v>
      </c>
      <c r="G81" s="36">
        <f>SUM(G69:G80)</f>
        <v>140</v>
      </c>
      <c r="H81" s="37"/>
      <c r="I81" s="37"/>
      <c r="J81" s="37"/>
      <c r="K81" s="37"/>
      <c r="L81" s="37"/>
      <c r="M81" s="38">
        <f ca="1">IFERROR(SUM(M69:M80),"")</f>
        <v>1.6666666666666718E-2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403</v>
      </c>
      <c r="G82" s="40">
        <f>G68+G81</f>
        <v>2015</v>
      </c>
      <c r="H82" s="41"/>
      <c r="I82" s="41"/>
      <c r="J82" s="41"/>
      <c r="K82" s="41"/>
      <c r="L82" s="41"/>
      <c r="M82" s="42">
        <f ca="1">IFERROR(M68+M81,"")</f>
        <v>4.9305555555555713E-2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0" t="s">
        <v>233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53" activePane="bottomLeft" state="frozen"/>
      <selection pane="bottomLeft" activeCell="F71" sqref="F7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0.77324155092355795</v>
      </c>
      <c r="N53" s="46" t="s">
        <v>252</v>
      </c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0.91213043981244679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0.99685266203466916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243</v>
      </c>
      <c r="F71" s="27"/>
      <c r="G71" s="34" t="str">
        <f t="shared" si="15"/>
        <v/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35</v>
      </c>
      <c r="G81" s="36">
        <f>SUM(G69:G80)</f>
        <v>147</v>
      </c>
      <c r="H81" s="37"/>
      <c r="I81" s="37"/>
      <c r="J81" s="37"/>
      <c r="K81" s="37"/>
      <c r="L81" s="37"/>
      <c r="M81" s="38">
        <f ca="1">IFERROR(SUM(M69:M80),"")</f>
        <v>1.4583333333333504E-2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171</v>
      </c>
      <c r="G82" s="40">
        <f>G68+G81</f>
        <v>718.2</v>
      </c>
      <c r="H82" s="41"/>
      <c r="I82" s="41"/>
      <c r="J82" s="41"/>
      <c r="K82" s="41"/>
      <c r="L82" s="41"/>
      <c r="M82" s="42">
        <f ca="1">IFERROR(M68+M81,"")</f>
        <v>0.1305555555555557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48" zoomScale="50" zoomScaleNormal="50" workbookViewId="0">
      <selection activeCell="E78" sqref="E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243</v>
      </c>
      <c r="F71" s="27"/>
      <c r="G71" s="34" t="str">
        <f t="shared" si="15"/>
        <v/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243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243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15</v>
      </c>
      <c r="G81" s="36">
        <f>SUM(G69:G80)</f>
        <v>63.000000000000007</v>
      </c>
      <c r="H81" s="37"/>
      <c r="I81" s="37"/>
      <c r="J81" s="37"/>
      <c r="K81" s="37"/>
      <c r="L81" s="37"/>
      <c r="M81" s="38">
        <f ca="1">IFERROR(SUM(M69:M80),"")</f>
        <v>2.6388888888888906E-2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65</v>
      </c>
      <c r="G82" s="40">
        <f>G68+G81</f>
        <v>273</v>
      </c>
      <c r="H82" s="41"/>
      <c r="I82" s="41"/>
      <c r="J82" s="41"/>
      <c r="K82" s="41"/>
      <c r="L82" s="41"/>
      <c r="M82" s="42">
        <f ca="1">IFERROR(M68+M81,"")</f>
        <v>0.10972222222222233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2" activePane="bottomLeft" state="frozen"/>
      <selection pane="bottomLeft" activeCell="F71" sqref="F7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229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9</v>
      </c>
      <c r="G70" s="28">
        <f t="shared" si="15"/>
        <v>37.800000000000004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243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243</v>
      </c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243</v>
      </c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243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16</v>
      </c>
      <c r="G81" s="36">
        <f>SUM(G69:G80)</f>
        <v>67.2</v>
      </c>
      <c r="H81" s="37"/>
      <c r="I81" s="37"/>
      <c r="J81" s="37"/>
      <c r="K81" s="61"/>
      <c r="L81" s="61"/>
      <c r="M81" s="38">
        <f ca="1">IFERROR(SUM(M69:M80),"")</f>
        <v>4.9305555555555602E-2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131</v>
      </c>
      <c r="G82" s="40">
        <f>G68+G81</f>
        <v>550.19999999999993</v>
      </c>
      <c r="H82" s="41"/>
      <c r="I82" s="41"/>
      <c r="J82" s="41"/>
      <c r="K82" s="63"/>
      <c r="L82" s="63"/>
      <c r="M82" s="42">
        <f ca="1">IFERROR(M68+M81,"")</f>
        <v>0.19444444444444459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229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2026-08-04T01:28:41Z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