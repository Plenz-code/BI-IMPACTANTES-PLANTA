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38" documentId="8_{AF585B22-221D-4780-BB9C-493D365A6A02}" xr6:coauthVersionLast="47" xr6:coauthVersionMax="47" xr10:uidLastSave="{8D0BB683-17BD-4F1D-B5FF-12D15C1F73DF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<sst xmlns="http://schemas.openxmlformats.org/spreadsheetml/2006/main" count="8419" uniqueCount="363">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</sst>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96" activePane="bottomLeft" state="frozen"/>
      <selection pane="bottomLeft" activeCell="F536" sqref="F5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/>
      <c r="M529" s="35">
        <f t="shared" ref="M528:M539" ca="1" si="119">IFERROR(IF(K529="","",IF(L529="",MOD(NOW()-K529,1),IF(L529&gt;=K529,L529-K529,L529+1-K529))),"")</f>
        <v>6.9832407411013264E-2</v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173</v>
      </c>
      <c r="G540" s="36">
        <f>SUM(G528:G539)</f>
        <v>865</v>
      </c>
      <c r="H540" s="37"/>
      <c r="I540" s="37"/>
      <c r="J540" s="37"/>
      <c r="K540" s="37"/>
      <c r="L540" s="37"/>
      <c r="M540" s="38">
        <f ca="1">IFERROR(SUM(M528:M539),"")</f>
        <v>0.10316574074434659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347</v>
      </c>
      <c r="G541" s="40">
        <f>G527+G540</f>
        <v>1735</v>
      </c>
      <c r="H541" s="41"/>
      <c r="I541" s="41"/>
      <c r="J541" s="41"/>
      <c r="K541" s="41"/>
      <c r="L541" s="41"/>
      <c r="M541" s="42">
        <f ca="1">IFERROR(M527+M540,"")</f>
        <v>0.29969351852212434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F535" sqref="F5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0.88788796296285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1.0455268518517389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1.1552490740739612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0.86636018518765923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1.0371935185209926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1.1823324074098815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82</v>
      </c>
      <c r="G540" s="36">
        <f>SUM(G528:G539)</f>
        <v>344.40000000000003</v>
      </c>
      <c r="H540" s="37"/>
      <c r="I540" s="37"/>
      <c r="J540" s="37"/>
      <c r="K540" s="37"/>
      <c r="L540" s="37"/>
      <c r="M540" s="38">
        <f ca="1">IFERROR(SUM(M528:M539),"")</f>
        <v>5.5555555555555629E-2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266</v>
      </c>
      <c r="G541" s="40">
        <f>G527+G540</f>
        <v>1117.2</v>
      </c>
      <c r="H541" s="41"/>
      <c r="I541" s="41"/>
      <c r="J541" s="41"/>
      <c r="K541" s="41"/>
      <c r="L541" s="41"/>
      <c r="M541" s="42">
        <f ca="1">IFERROR(M527+M540,"")</f>
        <v>0.14305555555555571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6" sqref="F5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2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/>
      <c r="M533" s="35">
        <f t="shared" ca="1" si="118"/>
        <v>0.10247129629715346</v>
      </c>
      <c r="N533" s="27" t="s">
        <v>323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27</v>
      </c>
      <c r="G540" s="36">
        <f>SUM(G528:G539)</f>
        <v>113.4</v>
      </c>
      <c r="H540" s="37"/>
      <c r="I540" s="37"/>
      <c r="J540" s="37"/>
      <c r="K540" s="37"/>
      <c r="L540" s="37"/>
      <c r="M540" s="38">
        <f ca="1">IFERROR(SUM(M528:M539),"")</f>
        <v>0.17816574074159786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78</v>
      </c>
      <c r="G541" s="40">
        <f>G527+G540</f>
        <v>327.60000000000002</v>
      </c>
      <c r="H541" s="41"/>
      <c r="I541" s="41"/>
      <c r="J541" s="41"/>
      <c r="K541" s="41"/>
      <c r="L541" s="41"/>
      <c r="M541" s="42">
        <f ca="1">IFERROR(M527+M540,"")</f>
        <v>0.28233240740826443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36" sqref="F5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328</v>
      </c>
      <c r="L58" s="29">
        <v>0.54097222222222219</v>
      </c>
      <c r="M58" s="30" t="str">
        <f t="shared" ca="1" si="13"/>
        <v/>
      </c>
      <c r="N58" s="27" t="s">
        <v>329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0.87816574074531673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1.0774712963008723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1.4448324074119834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62</v>
      </c>
      <c r="G540" s="36">
        <f>SUM(G528:G539)</f>
        <v>260.39999999999998</v>
      </c>
      <c r="H540" s="37"/>
      <c r="I540" s="37"/>
      <c r="J540" s="37"/>
      <c r="K540" s="61"/>
      <c r="L540" s="61"/>
      <c r="M540" s="38">
        <f ca="1">IFERROR(SUM(M528:M539),"")</f>
        <v>9.166666666666666E-2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142</v>
      </c>
      <c r="G541" s="40">
        <f>G527+G540</f>
        <v>596.40000000000009</v>
      </c>
      <c r="H541" s="41"/>
      <c r="I541" s="41"/>
      <c r="J541" s="41"/>
      <c r="K541" s="63"/>
      <c r="L541" s="63"/>
      <c r="M541" s="42">
        <f ca="1">IFERROR(M527+M540,"")</f>
        <v>0.40347222222222218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2026-07-21T07:03:52Z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