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8" documentId="8_{C51EB6CB-002B-4D6B-B68F-DDEBDB4460C0}" xr6:coauthVersionLast="47" xr6:coauthVersionMax="47" xr10:uidLastSave="{F38FE2C2-4880-4977-BBE6-FD1DD4BB3E2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<sst xmlns="http://schemas.openxmlformats.org/spreadsheetml/2006/main" count="2291" uniqueCount="266">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</sst>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56" activePane="bottomLeft" state="frozen"/>
      <selection pane="bottomLeft" activeCell="F76" sqref="F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95</v>
      </c>
      <c r="G81" s="36">
        <f>SUM(G69:G80)</f>
        <v>475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470</v>
      </c>
      <c r="G82" s="40">
        <f>G68+G81</f>
        <v>2350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5" sqref="F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0.96579282407037681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1.1046817129592656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1.189403935181488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74</v>
      </c>
      <c r="G81" s="36">
        <f>SUM(G69:G80)</f>
        <v>310.8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210</v>
      </c>
      <c r="G82" s="40">
        <f>G68+G81</f>
        <v>882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4" sqref="F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0.11301504629227566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31</v>
      </c>
      <c r="G81" s="36">
        <f>SUM(G69:G80)</f>
        <v>130.20000000000002</v>
      </c>
      <c r="H81" s="37"/>
      <c r="I81" s="37"/>
      <c r="J81" s="37"/>
      <c r="K81" s="37"/>
      <c r="L81" s="37"/>
      <c r="M81" s="38">
        <f ca="1">IFERROR(SUM(M69:M80),"")</f>
        <v>0.14704282407005342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340.20000000000005</v>
      </c>
      <c r="H82" s="41"/>
      <c r="I82" s="41"/>
      <c r="J82" s="41"/>
      <c r="K82" s="41"/>
      <c r="L82" s="41"/>
      <c r="M82" s="42">
        <f ca="1">IFERROR(M68+M81,"")</f>
        <v>0.23037615740338685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2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63</v>
      </c>
      <c r="G81" s="36">
        <f>SUM(G69:G80)</f>
        <v>264.59999999999997</v>
      </c>
      <c r="H81" s="37"/>
      <c r="I81" s="37"/>
      <c r="J81" s="37"/>
      <c r="K81" s="61"/>
      <c r="L81" s="61"/>
      <c r="M81" s="38">
        <f ca="1">IFERROR(SUM(M69:M80),"")</f>
        <v>7.5000000000000067E-2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178</v>
      </c>
      <c r="G82" s="40">
        <f>G68+G81</f>
        <v>747.59999999999991</v>
      </c>
      <c r="H82" s="41"/>
      <c r="I82" s="41"/>
      <c r="J82" s="41"/>
      <c r="K82" s="63"/>
      <c r="L82" s="63"/>
      <c r="M82" s="42">
        <f ca="1">IFERROR(M68+M81,"")</f>
        <v>0.22013888888888905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2026-08-04T06:06:16Z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