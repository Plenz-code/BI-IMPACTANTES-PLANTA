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20" documentId="8_{AF585B22-221D-4780-BB9C-493D365A6A02}" xr6:coauthVersionLast="47" xr6:coauthVersionMax="47" xr10:uidLastSave="{FBB0DC2F-34DE-4959-BA54-BC0B772A4D2E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1" l="1"/>
  <c r="O838" i="6"/>
  <c r="G812" i="6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97" i="4" s="1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<sst xmlns="http://schemas.openxmlformats.org/spreadsheetml/2006/main" count="12602" uniqueCount="447">
  <si>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</si>
  <si>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</si>
  <si>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</si>
  <si>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</si>
  <si>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</si>
  <si>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</si>
  <si>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</si>
  <si>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</si>
  <si>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</si>
  <si>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</si>
  <si>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</si>
  <si>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</si>
  <si>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</si>
  <si>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</si>
  <si>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</si>
  <si>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</si>
  <si>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</si>
  <si>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</si>
  <si>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</si>
  <si>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</si>
  <si>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</si>
  <si>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</si>
  <si>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</si>
  <si>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</si>
  <si>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</si>
  <si>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</si>
  <si>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</si>
  <si>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</si>
  <si>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</si>
  <si>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</si>
  <si>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</si>
  <si>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</si>
  <si>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</si>
  <si>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</si>
  <si>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</si>
  <si>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</si>
  <si>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</si>
  <si>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</si>
  <si>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</si>
  <si>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</si>
  <si>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</si>
  <si>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</si>
  <si>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</si>
  <si>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</si>
  <si>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</si>
  <si>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</si>
  <si>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</si>
  <si>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</si>
  <si>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</si>
  <si>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</si>
  <si>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</si>
  <si>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</si>
  <si>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</si>
  <si>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</si>
  <si>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</si>
  <si>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</si>
  <si>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</si>
  <si>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</si>
  <si>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</si>
  <si>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</si>
  <si>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</si>
  <si>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</si>
  <si>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</si>
  <si>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</si>
  <si>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</si>
  <si>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</si>
  <si>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</si>
  <si>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</si>
  <si>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</si>
  <si>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</si>
  <si>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</si>
  <si>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</si>
  <si>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</si>
  <si>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</si>
  <si>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</si>
  <si>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</si>
  <si>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</si>
  <si>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</si>
  <si>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</si>
  <si>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</si>
  <si>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</si>
  <si>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</si>
  <si>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</si>
  <si>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</si>
  <si>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</si>
  <si>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</si>
  <si>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</si>
  <si>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</si>
  <si>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</si>
  <si>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</si>
  <si>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</si>
  <si>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</si>
  <si>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</si>
  <si>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</si>
  <si>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</si>
  <si>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</si>
  <si>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</si>
  <si>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</si>
  <si>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</si>
  <si>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</si>
  <si>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</si>
  <si>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</si>
  <si>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</si>
  <si>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</si>
  <si>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</si>
  <si>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</si>
  <si>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</si>
  <si>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</si>
  <si>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</si>
  <si>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</si>
  <si>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</si>
  <si>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</si>
  <si>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</si>
  <si>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</si>
  <si>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</si>
  <si>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</si>
  <si>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</si>
  <si>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</si>
  <si>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</si>
  <si>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</si>
  <si>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</si>
  <si>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</si>
  <si>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</si>
  <si>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</si>
  <si>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</si>
  <si>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</si>
  <si>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</si>
  <si>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</si>
  <si>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</si>
  <si>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</si>
  <si>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</si>
  <si>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</si>
  <si>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</si>
  <si>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</si>
  <si>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</si>
  <si>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</si>
  <si>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</si>
  <si>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</si>
  <si>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</si>
  <si>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</si>
  <si>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</si>
  <si>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</si>
  <si>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</si>
  <si>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</si>
  <si>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</si>
  <si>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</si>
  <si>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</si>
  <si>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</si>
  <si>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</si>
  <si>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</si>
  <si>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</si>
  <si>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</si>
  <si>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</si>
  <si>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</si>
  <si>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</si>
  <si>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</si>
  <si>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</si>
  <si>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</si>
  <si>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</si>
  <si>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</si>
  <si>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</si>
  <si>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</si>
  <si>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</si>
  <si>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</si>
  <si>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</si>
  <si>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</si>
  <si>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</si>
  <si>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</si>
  <si>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</si>
  <si>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</si>
  <si>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</si>
  <si>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</si>
  <si>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</si>
  <si>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</si>
  <si>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</si>
  <si>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</si>
  <si>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</si>
  <si>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</si>
  <si>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</si>
  <si>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</si>
  <si>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</si>
  <si>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</si>
  <si>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</si>
  <si>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</si>
  <si>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</si>
  <si>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</si>
  <si>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</si>
  <si>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</si>
  <si>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</si>
  <si>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</si>
  <si>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</si>
  <si>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</si>
  <si>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</si>
  <si>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</si>
  <si>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</si>
  <si>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</si>
  <si>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</si>
  <si>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</si>
  <si>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</si>
  <si>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</si>
  <si>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</si>
  <si>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</si>
  <si>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</si>
  <si>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</si>
  <si>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</si>
  <si>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</si>
  <si>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</si>
  <si>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</si>
  <si>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</si>
  <si>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</si>
  <si>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</si>
  <si>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</si>
  <si>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</si>
  <si>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</si>
  <si>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</si>
  <si>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</si>
  <si>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</si>
  <si>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</si>
  <si>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</si>
  <si>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</si>
  <si>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</si>
  <si>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</si>
  <si>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</si>
  <si>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</si>
  <si>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</si>
  <si>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</si>
  <si>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</si>
  <si>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</si>
  <si>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</si>
  <si>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</si>
  <si>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</si>
  <si>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</si>
  <si>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</si>
  <si>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</si>
  <si>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</si>
  <si>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</si>
  <si>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</si>
  <si>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</si>
  <si>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</si>
  <si>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</si>
  <si>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</si>
  <si>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</si>
  <si>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</si>
  <si>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</si>
  <si>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</si>
  <si>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</si>
  <si>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</si>
  <si>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</si>
  <si>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</si>
  <si>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</si>
  <si>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</si>
  <si>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</si>
  <si>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</si>
  <si>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</si>
  <si>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</si>
  <si>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</si>
  <si>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</si>
  <si>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</si>
  <si>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</si>
  <si>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</si>
  <si>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</si>
  <si>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</si>
  <si>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</si>
  <si>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</si>
  <si>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</si>
  <si>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</si>
  <si>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</si>
  <si>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</si>
  <si>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</si>
  <si>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</si>
  <si>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</si>
  <si>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</si>
  <si>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</si>
  <si>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</si>
  <si>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</si>
  <si>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</si>
  <si>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</si>
  <si>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</si>
  <si>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</si>
  <si>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carregamento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</si>
  <si>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</si>
  <si>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</si>
  <si>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</si>
  <si>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</si>
  <si>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</si>
  <si>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</si>
  <si>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</si>
  <si>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</si>
  <si>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</si>
  <si>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</si>
  <si>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</si>
  <si>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</si>
  <si>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</si>
  <si>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</si>
  <si>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</si>
  <si>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</si>
  <si>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</si>
  <si>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</si>
  <si>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</si>
  <si>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</si>
  <si>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</si>
  <si>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</si>
  <si>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</si>
  <si>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</si>
  <si>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</si>
  <si>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</si>
  <si>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</si>
  <si>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</si>
  <si>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</si>
  <si>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</si>
  <si>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</si>
  <si>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</si>
  <si>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</si>
  <si>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</si>
  <si>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</si>
  <si>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</si>
  <si>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</si>
  <si>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</si>
  <si>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</si>
  <si>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</si>
  <si>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</si>
  <si>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</si>
  <si>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</si>
  <si>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</si>
  <si>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</si>
  <si>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</si>
  <si>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</si>
  <si>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</si>
  <si>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</si>
  <si>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</si>
  <si>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</si>
  <si>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</si>
  <si>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</si>
  <si>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</si>
  <si>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</si>
  <si>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</si>
  <si>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</si>
  <si>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</si>
  <si>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</si>
  <si>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</si>
  <si>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</si>
  <si>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</si>
  <si>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</si>
  <si>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</si>
  <si>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</si>
  <si>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</si>
  <si>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</si>
  <si>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</si>
  <si>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</si>
  <si>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</si>
  <si>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</si>
  <si>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</si>
  <si>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aa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</si>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</sst>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 x14ac:dyDescent="0.25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2868780</v>
      </c>
      <c r="D34" s="11">
        <f>IFERROR('Linha 1'!O838,"")</f>
        <v>1539440</v>
      </c>
      <c r="E34" s="11">
        <f>IFERROR('Linha 2'!O838,"")</f>
        <v>1038070</v>
      </c>
      <c r="F34" s="11">
        <f>IFERROR('Linha 3'!O838,"")</f>
        <v>1316480</v>
      </c>
      <c r="G34" s="12">
        <f>IFERROR(D34+E34+F34,"")</f>
        <v>3893990</v>
      </c>
    </row>
    <row r="35" spans="1:7" ht="14.25" customHeight="1" x14ac:dyDescent="0.25">
      <c r="A35" s="127" t="s">
        <v>9</v>
      </c>
      <c r="B35" s="127"/>
      <c r="C35" s="13">
        <f>IFERROR(SUM(C4:C34),"")</f>
        <v>96893558</v>
      </c>
      <c r="D35" s="13">
        <f>IFERROR(SUM(D4:D34),"")</f>
        <v>39099530</v>
      </c>
      <c r="E35" s="13">
        <f>IFERROR(SUM(E4:E34),"")</f>
        <v>21892050</v>
      </c>
      <c r="F35" s="13">
        <f>IFERROR(SUM(F4:F34),"")</f>
        <v>38989910</v>
      </c>
      <c r="G35" s="13">
        <f>IFERROR(SUM(G4:G34),"")</f>
        <v>99981490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 x14ac:dyDescent="0.25">
      <c r="H2" s="12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 x14ac:dyDescent="0.25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 x14ac:dyDescent="0.25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 x14ac:dyDescent="0.25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 x14ac:dyDescent="0.25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 x14ac:dyDescent="0.25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 x14ac:dyDescent="0.25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 x14ac:dyDescent="0.25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 x14ac:dyDescent="0.25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 x14ac:dyDescent="0.25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 x14ac:dyDescent="0.25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 x14ac:dyDescent="0.25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 x14ac:dyDescent="0.25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 x14ac:dyDescent="0.25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 x14ac:dyDescent="0.25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 x14ac:dyDescent="0.25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 x14ac:dyDescent="0.25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 x14ac:dyDescent="0.25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 x14ac:dyDescent="0.25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 x14ac:dyDescent="0.25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 x14ac:dyDescent="0.25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 x14ac:dyDescent="0.25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 x14ac:dyDescent="0.25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 x14ac:dyDescent="0.25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 x14ac:dyDescent="0.25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 x14ac:dyDescent="0.25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 x14ac:dyDescent="0.25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 x14ac:dyDescent="0.25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 x14ac:dyDescent="0.25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 x14ac:dyDescent="0.25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 x14ac:dyDescent="0.25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 x14ac:dyDescent="0.25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 x14ac:dyDescent="0.25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 x14ac:dyDescent="0.25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 x14ac:dyDescent="0.25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 x14ac:dyDescent="0.25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 x14ac:dyDescent="0.25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 x14ac:dyDescent="0.25">
      <c r="H59" s="129"/>
      <c r="I59" s="17"/>
      <c r="J59" s="17"/>
      <c r="K59" s="17" t="s">
        <v>208</v>
      </c>
      <c r="L59" s="17"/>
      <c r="M59" s="17"/>
    </row>
    <row r="60" spans="1:13" ht="15" customHeight="1" x14ac:dyDescent="0.25">
      <c r="H60" s="129"/>
      <c r="I60" s="16"/>
      <c r="J60" s="16"/>
      <c r="K60" s="86" t="s">
        <v>105</v>
      </c>
      <c r="L60" s="16"/>
      <c r="M60" s="16"/>
    </row>
    <row r="61" spans="1:13" ht="15" customHeight="1" x14ac:dyDescent="0.25">
      <c r="H61" s="129"/>
      <c r="I61" s="17"/>
      <c r="J61" s="17"/>
      <c r="K61" s="17" t="s">
        <v>209</v>
      </c>
      <c r="L61" s="17"/>
      <c r="M61" s="17"/>
    </row>
    <row r="62" spans="1:13" ht="15" customHeight="1" x14ac:dyDescent="0.25">
      <c r="H62" s="129"/>
      <c r="I62" s="16"/>
      <c r="J62" s="16"/>
      <c r="K62" s="16" t="s">
        <v>210</v>
      </c>
      <c r="L62" s="16"/>
      <c r="M62" s="16"/>
    </row>
    <row r="63" spans="1:13" ht="15" customHeight="1" x14ac:dyDescent="0.25">
      <c r="H63" s="129"/>
      <c r="I63" s="17"/>
      <c r="J63" s="17"/>
      <c r="K63" s="17" t="s">
        <v>211</v>
      </c>
      <c r="L63" s="17"/>
      <c r="M63" s="17"/>
    </row>
    <row r="64" spans="1:13" ht="15" customHeight="1" x14ac:dyDescent="0.25">
      <c r="H64" s="129"/>
      <c r="I64" s="16"/>
      <c r="J64" s="16"/>
      <c r="K64" s="16" t="s">
        <v>212</v>
      </c>
      <c r="L64" s="16"/>
      <c r="M64" s="16"/>
    </row>
    <row r="65" spans="8:13" ht="15" customHeight="1" x14ac:dyDescent="0.25">
      <c r="H65" s="129"/>
      <c r="I65" s="17"/>
      <c r="J65" s="17"/>
      <c r="K65" s="17" t="s">
        <v>213</v>
      </c>
      <c r="L65" s="17"/>
      <c r="M65" s="17"/>
    </row>
    <row r="66" spans="8:13" ht="15" customHeight="1" x14ac:dyDescent="0.25">
      <c r="H66" s="129"/>
      <c r="I66" s="16"/>
      <c r="J66" s="16"/>
      <c r="K66" s="16" t="s">
        <v>214</v>
      </c>
      <c r="L66" s="16"/>
      <c r="M66" s="16"/>
    </row>
    <row r="67" spans="8:13" ht="15" customHeight="1" x14ac:dyDescent="0.25">
      <c r="H67" s="129"/>
      <c r="I67" s="17"/>
      <c r="J67" s="17"/>
      <c r="K67" s="17" t="s">
        <v>215</v>
      </c>
      <c r="L67" s="17"/>
      <c r="M67" s="17"/>
    </row>
    <row r="68" spans="8:13" ht="15" customHeight="1" x14ac:dyDescent="0.25">
      <c r="H68" s="129"/>
      <c r="I68" s="16"/>
      <c r="J68" s="16"/>
      <c r="K68" s="16" t="s">
        <v>216</v>
      </c>
      <c r="L68" s="16"/>
      <c r="M68" s="16"/>
    </row>
    <row r="69" spans="8:13" ht="15" customHeight="1" x14ac:dyDescent="0.25">
      <c r="H69" s="129"/>
      <c r="I69" s="17"/>
      <c r="J69" s="17"/>
      <c r="K69" s="17" t="s">
        <v>217</v>
      </c>
      <c r="L69" s="17"/>
      <c r="M69" s="17"/>
    </row>
    <row r="70" spans="8:13" ht="15" customHeight="1" x14ac:dyDescent="0.25">
      <c r="H70" s="129"/>
      <c r="I70" s="16"/>
      <c r="J70" s="16"/>
      <c r="K70" s="16" t="s">
        <v>218</v>
      </c>
      <c r="L70" s="16"/>
      <c r="M70" s="16"/>
    </row>
    <row r="71" spans="8:13" ht="15" customHeight="1" x14ac:dyDescent="0.25">
      <c r="H71" s="129"/>
      <c r="I71" s="17"/>
      <c r="J71" s="17"/>
      <c r="K71" s="17" t="s">
        <v>219</v>
      </c>
      <c r="L71" s="17"/>
      <c r="M71" s="17"/>
    </row>
    <row r="72" spans="8:13" ht="15" customHeight="1" x14ac:dyDescent="0.25">
      <c r="H72" s="129"/>
      <c r="I72" s="16"/>
      <c r="J72" s="16"/>
      <c r="K72" s="16" t="s">
        <v>220</v>
      </c>
      <c r="L72" s="16"/>
      <c r="M72" s="16"/>
    </row>
    <row r="73" spans="8:13" ht="15" customHeight="1" x14ac:dyDescent="0.25">
      <c r="H73" s="129"/>
      <c r="I73" s="17"/>
      <c r="J73" s="17"/>
      <c r="K73" s="17" t="s">
        <v>221</v>
      </c>
      <c r="L73" s="17"/>
      <c r="M73" s="17"/>
    </row>
    <row r="74" spans="8:13" ht="15" customHeight="1" x14ac:dyDescent="0.25">
      <c r="H74" s="129"/>
      <c r="I74" s="16"/>
      <c r="J74" s="16"/>
      <c r="K74" s="16" t="s">
        <v>222</v>
      </c>
      <c r="L74" s="16"/>
      <c r="M74" s="16"/>
    </row>
    <row r="75" spans="8:13" ht="15" customHeight="1" x14ac:dyDescent="0.25">
      <c r="H75" s="12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80" zoomScaleNormal="80" workbookViewId="0">
      <pane ySplit="1" topLeftCell="A807" activePane="bottomLeft" state="frozen"/>
      <selection pane="bottomLeft" activeCell="G822" sqref="G822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 x14ac:dyDescent="0.25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 x14ac:dyDescent="0.25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 x14ac:dyDescent="0.25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 x14ac:dyDescent="0.25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 x14ac:dyDescent="0.25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 x14ac:dyDescent="0.25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 x14ac:dyDescent="0.25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 x14ac:dyDescent="0.25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 x14ac:dyDescent="0.25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 x14ac:dyDescent="0.25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 x14ac:dyDescent="0.25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 x14ac:dyDescent="0.25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 x14ac:dyDescent="0.25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 x14ac:dyDescent="0.25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 x14ac:dyDescent="0.25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 x14ac:dyDescent="0.25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 x14ac:dyDescent="0.25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 x14ac:dyDescent="0.25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 x14ac:dyDescent="0.25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 x14ac:dyDescent="0.25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 x14ac:dyDescent="0.25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 x14ac:dyDescent="0.25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 x14ac:dyDescent="0.25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 x14ac:dyDescent="0.25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 x14ac:dyDescent="0.25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 x14ac:dyDescent="0.25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 x14ac:dyDescent="0.25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 x14ac:dyDescent="0.25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 x14ac:dyDescent="0.25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 x14ac:dyDescent="0.25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 x14ac:dyDescent="0.25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8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 x14ac:dyDescent="0.25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 x14ac:dyDescent="0.25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 x14ac:dyDescent="0.25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x14ac:dyDescent="0.2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t="shared" ref="M812:M823" ca="1" si="179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x14ac:dyDescent="0.25">
      <c r="A813" s="102">
        <v>46234</v>
      </c>
      <c r="B813" s="107">
        <f t="shared" ref="B813:B823" si="180"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t="shared" ca="1" si="179"/>
        <v/>
      </c>
      <c r="N813" s="105"/>
      <c r="O813" s="47"/>
    </row>
    <row r="814" spans="1:15" x14ac:dyDescent="0.25">
      <c r="A814" s="106">
        <v>46234</v>
      </c>
      <c r="B814" s="103">
        <f t="shared" si="180"/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t="shared" ca="1" si="179"/>
        <v/>
      </c>
      <c r="N814" s="105"/>
      <c r="O814" s="47"/>
    </row>
    <row r="815" spans="1:15" x14ac:dyDescent="0.25">
      <c r="A815" s="102">
        <v>46234</v>
      </c>
      <c r="B815" s="107">
        <f t="shared" si="180"/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t="shared" ca="1" si="179"/>
        <v/>
      </c>
      <c r="N815" s="105"/>
      <c r="O815" s="47"/>
    </row>
    <row r="816" spans="1:15" x14ac:dyDescent="0.25">
      <c r="A816" s="106">
        <v>46234</v>
      </c>
      <c r="B816" s="103">
        <f t="shared" si="180"/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t="shared" ca="1" si="179"/>
        <v/>
      </c>
      <c r="N816" s="105"/>
      <c r="O816" s="47"/>
    </row>
    <row r="817" spans="1:15" x14ac:dyDescent="0.25">
      <c r="A817" s="102">
        <v>46234</v>
      </c>
      <c r="B817" s="107">
        <f t="shared" si="180"/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t="shared" ca="1" si="179"/>
        <v/>
      </c>
      <c r="N817" s="105"/>
      <c r="O817" s="47"/>
    </row>
    <row r="818" spans="1:15" x14ac:dyDescent="0.25">
      <c r="A818" s="106">
        <v>46234</v>
      </c>
      <c r="B818" s="103">
        <f t="shared" si="180"/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t="shared" ca="1" si="179"/>
        <v/>
      </c>
      <c r="N818" s="105"/>
      <c r="O818" s="47"/>
    </row>
    <row r="819" spans="1:15" x14ac:dyDescent="0.25">
      <c r="A819" s="102">
        <v>46234</v>
      </c>
      <c r="B819" s="107">
        <f t="shared" si="180"/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t="shared" ca="1" si="179"/>
        <v/>
      </c>
      <c r="N819" s="105"/>
      <c r="O819" s="47"/>
    </row>
    <row r="820" spans="1:15" x14ac:dyDescent="0.25">
      <c r="A820" s="106">
        <v>46234</v>
      </c>
      <c r="B820" s="103">
        <f t="shared" si="180"/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t="shared" ca="1" si="179"/>
        <v/>
      </c>
      <c r="N820" s="105"/>
      <c r="O820" s="47"/>
    </row>
    <row r="821" spans="1:15" x14ac:dyDescent="0.25">
      <c r="A821" s="102">
        <v>46234</v>
      </c>
      <c r="B821" s="107">
        <f t="shared" si="180"/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t="shared" ca="1" si="179"/>
        <v/>
      </c>
      <c r="N821" s="105"/>
      <c r="O821" s="47"/>
    </row>
    <row r="822" spans="1:15" x14ac:dyDescent="0.25">
      <c r="A822" s="106">
        <v>46234</v>
      </c>
      <c r="B822" s="103">
        <f t="shared" si="180"/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t="shared" ca="1" si="179"/>
        <v/>
      </c>
      <c r="N822" s="105"/>
      <c r="O822" s="47"/>
    </row>
    <row r="823" spans="1:15" x14ac:dyDescent="0.25">
      <c r="A823" s="102">
        <v>46234</v>
      </c>
      <c r="B823" s="107">
        <f t="shared" si="180"/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t="shared" ca="1" si="179"/>
        <v/>
      </c>
      <c r="N823" s="105"/>
      <c r="O823" s="47"/>
    </row>
    <row r="824" spans="1:15" x14ac:dyDescent="0.2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x14ac:dyDescent="0.2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 t="shared" ref="G825:G836" si="181"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t="shared" ref="M825:M836" ca="1" si="182">IFERROR(IF(K825="","",IF(L825="",MOD(NOW()-K825,1),IF(L825&gt;=K825,L825-K825,L825+1-K825))),"")</f>
        <v>7.6388888888889728E-3</v>
      </c>
      <c r="N825" s="105"/>
      <c r="O825" s="47"/>
    </row>
    <row r="826" spans="1:15" x14ac:dyDescent="0.25">
      <c r="A826" s="102">
        <v>46234</v>
      </c>
      <c r="B826" s="103">
        <f t="shared" ref="B826:B836" si="183"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 t="shared" si="181"/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t="shared" ca="1" si="182"/>
        <v>5.5555555555555497E-3</v>
      </c>
      <c r="N826" s="105"/>
      <c r="O826" s="47"/>
    </row>
    <row r="827" spans="1:15" x14ac:dyDescent="0.25">
      <c r="A827" s="106">
        <v>46234</v>
      </c>
      <c r="B827" s="107">
        <f t="shared" si="183"/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 t="shared" si="181"/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t="shared" ca="1" si="182"/>
        <v>2.777777777777779E-2</v>
      </c>
      <c r="N827" s="105"/>
      <c r="O827" s="47"/>
    </row>
    <row r="828" spans="1:15" x14ac:dyDescent="0.25">
      <c r="A828" s="102">
        <v>46234</v>
      </c>
      <c r="B828" s="103">
        <f t="shared" si="183"/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 t="shared" si="181"/>
        <v>185</v>
      </c>
      <c r="H828" s="80"/>
      <c r="I828" s="80"/>
      <c r="J828" s="80"/>
      <c r="K828" s="98"/>
      <c r="L828" s="98"/>
      <c r="M828" s="78" t="str">
        <f t="shared" ca="1" si="182"/>
        <v/>
      </c>
      <c r="N828" s="105"/>
      <c r="O828" s="47"/>
    </row>
    <row r="829" spans="1:15" x14ac:dyDescent="0.25">
      <c r="A829" s="106">
        <v>46234</v>
      </c>
      <c r="B829" s="107">
        <f t="shared" si="183"/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 t="shared" si="181"/>
        <v>150</v>
      </c>
      <c r="H829" s="81"/>
      <c r="I829" s="81"/>
      <c r="J829" s="81"/>
      <c r="K829" s="98"/>
      <c r="L829" s="98"/>
      <c r="M829" s="79" t="str">
        <f t="shared" ca="1" si="182"/>
        <v/>
      </c>
      <c r="N829" s="105"/>
      <c r="O829" s="47"/>
    </row>
    <row r="830" spans="1:15" x14ac:dyDescent="0.25">
      <c r="A830" s="102">
        <v>46234</v>
      </c>
      <c r="B830" s="103">
        <f t="shared" si="183"/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 t="shared" si="181"/>
        <v>100</v>
      </c>
      <c r="H830" s="80"/>
      <c r="I830" s="80"/>
      <c r="J830" s="80"/>
      <c r="K830" s="98"/>
      <c r="L830" s="98"/>
      <c r="M830" s="78" t="str">
        <f t="shared" ca="1" si="182"/>
        <v/>
      </c>
      <c r="N830" s="105"/>
      <c r="O830" s="47"/>
    </row>
    <row r="831" spans="1:15" x14ac:dyDescent="0.25">
      <c r="A831" s="106">
        <v>46234</v>
      </c>
      <c r="B831" s="107">
        <f t="shared" si="183"/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 t="shared" si="181"/>
        <v>105</v>
      </c>
      <c r="H831" s="81"/>
      <c r="I831" s="81"/>
      <c r="J831" s="81"/>
      <c r="K831" s="98"/>
      <c r="L831" s="98"/>
      <c r="M831" s="79" t="str">
        <f t="shared" ca="1" si="182"/>
        <v/>
      </c>
      <c r="N831" s="105"/>
      <c r="O831" s="47"/>
    </row>
    <row r="832" spans="1:15" x14ac:dyDescent="0.25">
      <c r="A832" s="102">
        <v>46234</v>
      </c>
      <c r="B832" s="103">
        <f t="shared" si="183"/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 t="shared" si="181"/>
        <v>100</v>
      </c>
      <c r="H832" s="80"/>
      <c r="I832" s="80"/>
      <c r="J832" s="80"/>
      <c r="K832" s="98"/>
      <c r="L832" s="98"/>
      <c r="M832" s="78" t="str">
        <f t="shared" ca="1" si="182"/>
        <v/>
      </c>
      <c r="N832" s="105"/>
      <c r="O832" s="47"/>
    </row>
    <row r="833" spans="1:15" x14ac:dyDescent="0.25">
      <c r="A833" s="106">
        <v>46234</v>
      </c>
      <c r="B833" s="107">
        <f t="shared" si="183"/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 t="shared" si="181"/>
        <v>195</v>
      </c>
      <c r="H833" s="81"/>
      <c r="I833" s="81"/>
      <c r="J833" s="81"/>
      <c r="K833" s="98"/>
      <c r="L833" s="98"/>
      <c r="M833" s="79" t="str">
        <f t="shared" ca="1" si="182"/>
        <v/>
      </c>
      <c r="N833" s="105"/>
      <c r="O833" s="47"/>
    </row>
    <row r="834" spans="1:15" x14ac:dyDescent="0.25">
      <c r="A834" s="102">
        <v>46234</v>
      </c>
      <c r="B834" s="103">
        <f t="shared" si="183"/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 t="shared" si="181"/>
        <v>180</v>
      </c>
      <c r="H834" s="80"/>
      <c r="I834" s="80"/>
      <c r="J834" s="80"/>
      <c r="K834" s="98"/>
      <c r="L834" s="98"/>
      <c r="M834" s="78" t="str">
        <f t="shared" ca="1" si="182"/>
        <v/>
      </c>
      <c r="N834" s="105" t="s">
        <v>279</v>
      </c>
      <c r="O834" s="47"/>
    </row>
    <row r="835" spans="1:15" x14ac:dyDescent="0.25">
      <c r="A835" s="106">
        <v>46234</v>
      </c>
      <c r="B835" s="107">
        <f t="shared" si="183"/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 t="shared" si="181"/>
        <v>140</v>
      </c>
      <c r="H835" s="81"/>
      <c r="I835" s="81"/>
      <c r="J835" s="81"/>
      <c r="K835" s="98"/>
      <c r="L835" s="98"/>
      <c r="M835" s="79" t="str">
        <f t="shared" ca="1" si="182"/>
        <v/>
      </c>
      <c r="N835" s="105"/>
      <c r="O835" s="47"/>
    </row>
    <row r="836" spans="1:15" x14ac:dyDescent="0.25">
      <c r="A836" s="102">
        <v>46234</v>
      </c>
      <c r="B836" s="103">
        <f t="shared" si="183"/>
        <v>1.2916666666666667</v>
      </c>
      <c r="C836" s="81" t="s">
        <v>29</v>
      </c>
      <c r="D836" s="108" t="s">
        <v>22</v>
      </c>
      <c r="E836" s="108" t="s">
        <v>234</v>
      </c>
      <c r="F836" s="100">
        <v>0</v>
      </c>
      <c r="G836" s="101">
        <f t="shared" si="181"/>
        <v>0</v>
      </c>
      <c r="H836" s="80"/>
      <c r="I836" s="80"/>
      <c r="J836" s="80"/>
      <c r="K836" s="98"/>
      <c r="L836" s="98"/>
      <c r="M836" s="78" t="str">
        <f t="shared" ca="1" si="182"/>
        <v/>
      </c>
      <c r="N836" s="105"/>
      <c r="O836" s="47"/>
    </row>
    <row r="837" spans="1:15" x14ac:dyDescent="0.2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>
        <v>2212670</v>
      </c>
    </row>
    <row r="838" spans="1:15" x14ac:dyDescent="0.2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2868780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51"/>
  <sheetViews>
    <sheetView showGridLines="0" zoomScale="85" zoomScaleNormal="85" workbookViewId="0">
      <pane ySplit="1" topLeftCell="A809" activePane="bottomLeft" state="frozen"/>
      <selection pane="bottomLeft" activeCell="H838" sqref="H838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 x14ac:dyDescent="0.25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280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281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 x14ac:dyDescent="0.25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282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283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 x14ac:dyDescent="0.25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284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285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286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287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 x14ac:dyDescent="0.25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288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289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290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291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 x14ac:dyDescent="0.25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292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294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 x14ac:dyDescent="0.25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 x14ac:dyDescent="0.25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296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297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 x14ac:dyDescent="0.25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298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299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300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294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 x14ac:dyDescent="0.25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301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 x14ac:dyDescent="0.25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302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303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304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 x14ac:dyDescent="0.25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305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305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306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307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 x14ac:dyDescent="0.25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308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309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310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 x14ac:dyDescent="0.25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0.20579629629355622</v>
      </c>
      <c r="N377" s="46"/>
      <c r="O377" s="47"/>
    </row>
    <row r="378" spans="1:15" ht="15.75" customHeight="1" x14ac:dyDescent="0.25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0.36343518518244511</v>
      </c>
      <c r="N378" s="36" t="s">
        <v>237</v>
      </c>
      <c r="O378" s="77">
        <v>511980</v>
      </c>
    </row>
    <row r="379" spans="1:15" ht="18" customHeight="1" x14ac:dyDescent="0.25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0.47315740740466727</v>
      </c>
      <c r="N379" s="40" t="s">
        <v>240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294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311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312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 x14ac:dyDescent="0.25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313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0.18426851851836545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0.35510185185169885</v>
      </c>
      <c r="N432" s="36" t="s">
        <v>237</v>
      </c>
      <c r="O432" s="77">
        <v>484540</v>
      </c>
    </row>
    <row r="433" spans="1:15" ht="18" customHeight="1" x14ac:dyDescent="0.25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0.50024074074058777</v>
      </c>
      <c r="N433" s="40" t="s">
        <v>240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314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315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316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 x14ac:dyDescent="0.25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317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318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319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320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 x14ac:dyDescent="0.25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321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 x14ac:dyDescent="0.25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322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 x14ac:dyDescent="0.25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323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324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 x14ac:dyDescent="0.25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325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 x14ac:dyDescent="0.25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326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 x14ac:dyDescent="0.25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 x14ac:dyDescent="0.25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328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329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330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331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 x14ac:dyDescent="0.25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332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333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334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335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 x14ac:dyDescent="0.25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336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337</v>
      </c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338</v>
      </c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339</v>
      </c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340</v>
      </c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 x14ac:dyDescent="0.25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341</v>
      </c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342</v>
      </c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 x14ac:dyDescent="0.25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343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344</v>
      </c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345</v>
      </c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346</v>
      </c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 x14ac:dyDescent="0.25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347</v>
      </c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348</v>
      </c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 x14ac:dyDescent="0.25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349</v>
      </c>
      <c r="O798" s="47"/>
    </row>
    <row r="799" spans="1:15" ht="15" customHeight="1" x14ac:dyDescent="0.25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 x14ac:dyDescent="0.25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 x14ac:dyDescent="0.25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 x14ac:dyDescent="0.25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 x14ac:dyDescent="0.25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 x14ac:dyDescent="0.25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 x14ac:dyDescent="0.25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x14ac:dyDescent="0.2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 t="shared" ref="G812:G823" si="179"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t="shared" ref="M812:M823" ca="1" si="180">IFERROR(IF(K812="","",IF(L812="",MOD(NOW()-K812,1),IF(L812&gt;=K812,L812-K812,L812+1-K812))),"")</f>
        <v>1.8055555555555547E-2</v>
      </c>
      <c r="N812" s="105"/>
      <c r="O812" s="47"/>
    </row>
    <row r="813" spans="1:15" x14ac:dyDescent="0.25">
      <c r="A813" s="102">
        <v>46234</v>
      </c>
      <c r="B813" s="107">
        <f t="shared" ref="B813:B823" si="181"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 t="shared" si="179"/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t="shared" ca="1" si="180"/>
        <v>4.166666666666663E-2</v>
      </c>
      <c r="N813" s="105" t="s">
        <v>350</v>
      </c>
      <c r="O813" s="47"/>
    </row>
    <row r="814" spans="1:15" x14ac:dyDescent="0.25">
      <c r="A814" s="106">
        <v>46234</v>
      </c>
      <c r="B814" s="103">
        <f t="shared" si="181"/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 t="shared" si="179"/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t="shared" ca="1" si="180"/>
        <v>4.1666666666666519E-3</v>
      </c>
      <c r="N814" s="105"/>
      <c r="O814" s="47"/>
    </row>
    <row r="815" spans="1:15" x14ac:dyDescent="0.25">
      <c r="A815" s="102">
        <v>46234</v>
      </c>
      <c r="B815" s="107">
        <f t="shared" si="181"/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 t="shared" si="179"/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t="shared" ca="1" si="180"/>
        <v>9.7222222222222987E-3</v>
      </c>
      <c r="N815" s="105"/>
      <c r="O815" s="47"/>
    </row>
    <row r="816" spans="1:15" x14ac:dyDescent="0.25">
      <c r="A816" s="106">
        <v>46234</v>
      </c>
      <c r="B816" s="103">
        <f t="shared" si="181"/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 t="shared" si="179"/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t="shared" ca="1" si="180"/>
        <v>3.125E-2</v>
      </c>
      <c r="N816" s="105"/>
      <c r="O816" s="47"/>
    </row>
    <row r="817" spans="1:15" x14ac:dyDescent="0.25">
      <c r="A817" s="102">
        <v>46234</v>
      </c>
      <c r="B817" s="107">
        <f t="shared" si="181"/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 t="shared" si="179"/>
        <v>75.600000000000009</v>
      </c>
      <c r="H817" s="81"/>
      <c r="I817" s="81"/>
      <c r="J817" s="81"/>
      <c r="K817" s="98"/>
      <c r="L817" s="98"/>
      <c r="M817" s="79" t="str">
        <f t="shared" ca="1" si="180"/>
        <v/>
      </c>
      <c r="N817" s="105"/>
      <c r="O817" s="47"/>
    </row>
    <row r="818" spans="1:15" x14ac:dyDescent="0.25">
      <c r="A818" s="106">
        <v>46234</v>
      </c>
      <c r="B818" s="103">
        <f t="shared" si="181"/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 t="shared" si="179"/>
        <v>42</v>
      </c>
      <c r="H818" s="80"/>
      <c r="I818" s="80"/>
      <c r="J818" s="80"/>
      <c r="K818" s="98"/>
      <c r="L818" s="98"/>
      <c r="M818" s="78" t="str">
        <f t="shared" ca="1" si="180"/>
        <v/>
      </c>
      <c r="N818" s="105"/>
      <c r="O818" s="47"/>
    </row>
    <row r="819" spans="1:15" x14ac:dyDescent="0.25">
      <c r="A819" s="102">
        <v>46234</v>
      </c>
      <c r="B819" s="107">
        <f t="shared" si="181"/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 t="shared" si="179"/>
        <v>75.600000000000009</v>
      </c>
      <c r="H819" s="81"/>
      <c r="I819" s="81"/>
      <c r="J819" s="81"/>
      <c r="K819" s="98"/>
      <c r="L819" s="98"/>
      <c r="M819" s="79" t="str">
        <f t="shared" ca="1" si="180"/>
        <v/>
      </c>
      <c r="N819" s="105"/>
      <c r="O819" s="47"/>
    </row>
    <row r="820" spans="1:15" x14ac:dyDescent="0.25">
      <c r="A820" s="106">
        <v>46234</v>
      </c>
      <c r="B820" s="103">
        <f t="shared" si="181"/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 t="shared" si="179"/>
        <v>63</v>
      </c>
      <c r="H820" s="80"/>
      <c r="I820" s="80"/>
      <c r="J820" s="80"/>
      <c r="K820" s="98"/>
      <c r="L820" s="98"/>
      <c r="M820" s="78" t="str">
        <f t="shared" ca="1" si="180"/>
        <v/>
      </c>
      <c r="N820" s="105"/>
      <c r="O820" s="47"/>
    </row>
    <row r="821" spans="1:15" x14ac:dyDescent="0.25">
      <c r="A821" s="102">
        <v>46234</v>
      </c>
      <c r="B821" s="107">
        <f t="shared" si="181"/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 t="shared" si="179"/>
        <v>63</v>
      </c>
      <c r="H821" s="81"/>
      <c r="I821" s="81"/>
      <c r="J821" s="81"/>
      <c r="K821" s="98"/>
      <c r="L821" s="98"/>
      <c r="M821" s="79" t="str">
        <f t="shared" ca="1" si="180"/>
        <v/>
      </c>
      <c r="N821" s="105"/>
      <c r="O821" s="47"/>
    </row>
    <row r="822" spans="1:15" x14ac:dyDescent="0.25">
      <c r="A822" s="106">
        <v>46234</v>
      </c>
      <c r="B822" s="103">
        <f t="shared" si="181"/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 t="shared" si="179"/>
        <v>33.6</v>
      </c>
      <c r="H822" s="80"/>
      <c r="I822" s="80"/>
      <c r="J822" s="80"/>
      <c r="K822" s="98"/>
      <c r="L822" s="98"/>
      <c r="M822" s="78" t="str">
        <f t="shared" ca="1" si="180"/>
        <v/>
      </c>
      <c r="N822" s="105"/>
      <c r="O822" s="47"/>
    </row>
    <row r="823" spans="1:15" x14ac:dyDescent="0.25">
      <c r="A823" s="102">
        <v>46234</v>
      </c>
      <c r="B823" s="107">
        <f t="shared" si="181"/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 t="shared" si="179"/>
        <v>0</v>
      </c>
      <c r="H823" s="81"/>
      <c r="I823" s="81"/>
      <c r="J823" s="81"/>
      <c r="K823" s="98"/>
      <c r="L823" s="98"/>
      <c r="M823" s="79" t="str">
        <f t="shared" ca="1" si="180"/>
        <v/>
      </c>
      <c r="N823" s="105"/>
      <c r="O823" s="47"/>
    </row>
    <row r="824" spans="1:15" x14ac:dyDescent="0.2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x14ac:dyDescent="0.2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 t="shared" ref="G825:G836" si="182"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t="shared" ref="M825:M836" ca="1" si="183">IFERROR(IF(K825="","",IF(L825="",MOD(NOW()-K825,1),IF(L825&gt;=K825,L825-K825,L825+1-K825))),"")</f>
        <v>4.8611111111110938E-3</v>
      </c>
      <c r="N825" s="105"/>
      <c r="O825" s="47"/>
    </row>
    <row r="826" spans="1:15" x14ac:dyDescent="0.25">
      <c r="A826" s="102">
        <v>46234</v>
      </c>
      <c r="B826" s="103">
        <f t="shared" ref="B826:B836" si="184"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 t="shared" si="182"/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t="shared" ca="1" si="183"/>
        <v>2.7777777777777679E-3</v>
      </c>
      <c r="N826" s="105"/>
      <c r="O826" s="47"/>
    </row>
    <row r="827" spans="1:15" x14ac:dyDescent="0.25">
      <c r="A827" s="106">
        <v>46234</v>
      </c>
      <c r="B827" s="107">
        <f t="shared" si="184"/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 t="shared" si="182"/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t="shared" ca="1" si="183"/>
        <v>1.3194444444444398E-2</v>
      </c>
      <c r="N827" s="105" t="s">
        <v>351</v>
      </c>
      <c r="O827" s="47"/>
    </row>
    <row r="828" spans="1:15" x14ac:dyDescent="0.25">
      <c r="A828" s="102">
        <v>46234</v>
      </c>
      <c r="B828" s="103">
        <f t="shared" si="184"/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 t="shared" si="182"/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t="shared" ca="1" si="183"/>
        <v>6.9444444444444475E-3</v>
      </c>
      <c r="N828" s="105"/>
      <c r="O828" s="47"/>
    </row>
    <row r="829" spans="1:15" x14ac:dyDescent="0.25">
      <c r="A829" s="106">
        <v>46234</v>
      </c>
      <c r="B829" s="107">
        <f t="shared" si="184"/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 t="shared" si="182"/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t="shared" ca="1" si="183"/>
        <v>1.3194444444444439E-2</v>
      </c>
      <c r="N829" s="105"/>
      <c r="O829" s="47"/>
    </row>
    <row r="830" spans="1:15" x14ac:dyDescent="0.25">
      <c r="A830" s="102">
        <v>46234</v>
      </c>
      <c r="B830" s="103">
        <f t="shared" si="184"/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 t="shared" si="182"/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t="shared" ca="1" si="183"/>
        <v>4.8611111111110938E-3</v>
      </c>
      <c r="N830" s="105"/>
      <c r="O830" s="47"/>
    </row>
    <row r="831" spans="1:15" x14ac:dyDescent="0.25">
      <c r="A831" s="106">
        <v>46234</v>
      </c>
      <c r="B831" s="107">
        <f t="shared" si="184"/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 t="shared" si="182"/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t="shared" ca="1" si="183"/>
        <v>2.7777777777777957E-3</v>
      </c>
      <c r="N831" s="105"/>
      <c r="O831" s="47"/>
    </row>
    <row r="832" spans="1:15" x14ac:dyDescent="0.25">
      <c r="A832" s="102">
        <v>46234</v>
      </c>
      <c r="B832" s="103">
        <f t="shared" si="184"/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 t="shared" si="182"/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t="shared" ca="1" si="183"/>
        <v>6.9444444444444198E-3</v>
      </c>
      <c r="N832" s="105"/>
      <c r="O832" s="47"/>
    </row>
    <row r="833" spans="1:15" x14ac:dyDescent="0.25">
      <c r="A833" s="106">
        <v>46234</v>
      </c>
      <c r="B833" s="107">
        <f t="shared" si="184"/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 t="shared" si="182"/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t="shared" ca="1" si="183"/>
        <v>6.2500000000000056E-3</v>
      </c>
      <c r="N833" s="105"/>
      <c r="O833" s="47"/>
    </row>
    <row r="834" spans="1:15" x14ac:dyDescent="0.25">
      <c r="A834" s="102">
        <v>46234</v>
      </c>
      <c r="B834" s="103">
        <f t="shared" si="184"/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 t="shared" si="182"/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t="shared" ca="1" si="183"/>
        <v>7.6388888888888895E-3</v>
      </c>
      <c r="N834" s="105"/>
      <c r="O834" s="47"/>
    </row>
    <row r="835" spans="1:15" x14ac:dyDescent="0.25">
      <c r="A835" s="106">
        <v>46234</v>
      </c>
      <c r="B835" s="107">
        <f t="shared" si="184"/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 t="shared" si="182"/>
        <v>54.6</v>
      </c>
      <c r="H835" s="81"/>
      <c r="I835" s="81"/>
      <c r="J835" s="81"/>
      <c r="K835" s="98"/>
      <c r="L835" s="98"/>
      <c r="M835" s="79" t="str">
        <f t="shared" ca="1" si="183"/>
        <v/>
      </c>
      <c r="N835" s="105"/>
      <c r="O835" s="47"/>
    </row>
    <row r="836" spans="1:15" x14ac:dyDescent="0.25">
      <c r="A836" s="102">
        <v>46234</v>
      </c>
      <c r="B836" s="103">
        <f t="shared" si="184"/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 t="shared" si="182"/>
        <v>12.600000000000001</v>
      </c>
      <c r="H836" s="80"/>
      <c r="I836" s="80"/>
      <c r="J836" s="80"/>
      <c r="K836" s="98"/>
      <c r="L836" s="98"/>
      <c r="M836" s="78" t="str">
        <f t="shared" ca="1" si="183"/>
        <v/>
      </c>
      <c r="N836" s="105"/>
      <c r="O836" s="47"/>
    </row>
    <row r="837" spans="1:15" x14ac:dyDescent="0.2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>
        <v>798270</v>
      </c>
    </row>
    <row r="838" spans="1:15" x14ac:dyDescent="0.2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1539440</v>
      </c>
    </row>
    <row r="839" spans="1:15" x14ac:dyDescent="0.25">
      <c r="B839" s="74"/>
    </row>
    <row r="851" spans="7:7" x14ac:dyDescent="0.25">
      <c r="G851" s="20" t="s">
        <v>352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3" zoomScale="80" zoomScaleNormal="80" workbookViewId="0">
      <selection activeCell="G824" sqref="G824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330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353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 x14ac:dyDescent="0.25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354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 x14ac:dyDescent="0.25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355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316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 x14ac:dyDescent="0.25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356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 x14ac:dyDescent="0.25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 x14ac:dyDescent="0.25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293</v>
      </c>
      <c r="K141" s="29">
        <v>0.71597222222222223</v>
      </c>
      <c r="L141" s="29" t="s">
        <v>358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359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 x14ac:dyDescent="0.25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360</v>
      </c>
      <c r="N166" s="27" t="s">
        <v>361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 x14ac:dyDescent="0.25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362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 x14ac:dyDescent="0.25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 x14ac:dyDescent="0.25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363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364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 x14ac:dyDescent="0.25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365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366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 x14ac:dyDescent="0.25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367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368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 x14ac:dyDescent="0.25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370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316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 x14ac:dyDescent="0.25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 x14ac:dyDescent="0.25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 x14ac:dyDescent="0.25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313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 x14ac:dyDescent="0.25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371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 x14ac:dyDescent="0.25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 x14ac:dyDescent="0.25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372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 x14ac:dyDescent="0.25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373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374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375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 x14ac:dyDescent="0.25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376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377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 x14ac:dyDescent="0.25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378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 x14ac:dyDescent="0.25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379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332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 x14ac:dyDescent="0.25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 x14ac:dyDescent="0.25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380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332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381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 x14ac:dyDescent="0.25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 x14ac:dyDescent="0.25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316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 x14ac:dyDescent="0.25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330</v>
      </c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330</v>
      </c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382</v>
      </c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383</v>
      </c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 x14ac:dyDescent="0.25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384</v>
      </c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330</v>
      </c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385</v>
      </c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1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346</v>
      </c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 x14ac:dyDescent="0.25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347</v>
      </c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348</v>
      </c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386</v>
      </c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330</v>
      </c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 x14ac:dyDescent="0.25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 x14ac:dyDescent="0.25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 x14ac:dyDescent="0.25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 x14ac:dyDescent="0.25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x14ac:dyDescent="0.2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 t="shared" ref="G812:G823" si="179"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t="shared" ref="M812:M823" ca="1" si="180">IFERROR(IF(K812="","",IF(L812="",MOD(NOW()-K812,1),IF(L812&gt;=K812,L812-K812,L812+1-K812))),"")</f>
        <v>2.6388888888888906E-2</v>
      </c>
      <c r="N812" s="105"/>
      <c r="O812" s="47"/>
    </row>
    <row r="813" spans="1:15" x14ac:dyDescent="0.25">
      <c r="A813" s="102">
        <v>46234</v>
      </c>
      <c r="B813" s="107">
        <f t="shared" ref="B813:B823" si="181"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 t="shared" si="179"/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t="shared" ca="1" si="180"/>
        <v>3.125E-2</v>
      </c>
      <c r="N813" s="105"/>
      <c r="O813" s="47"/>
    </row>
    <row r="814" spans="1:15" x14ac:dyDescent="0.25">
      <c r="A814" s="106">
        <v>46234</v>
      </c>
      <c r="B814" s="103">
        <f t="shared" si="181"/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 t="shared" si="179"/>
        <v>42</v>
      </c>
      <c r="H814" s="80"/>
      <c r="I814" s="80"/>
      <c r="J814" s="80"/>
      <c r="K814" s="98"/>
      <c r="L814" s="98"/>
      <c r="M814" s="78" t="str">
        <f t="shared" ca="1" si="180"/>
        <v/>
      </c>
      <c r="N814" s="105"/>
      <c r="O814" s="47"/>
    </row>
    <row r="815" spans="1:15" x14ac:dyDescent="0.25">
      <c r="A815" s="102">
        <v>46234</v>
      </c>
      <c r="B815" s="107">
        <f t="shared" si="181"/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 t="shared" si="179"/>
        <v>42</v>
      </c>
      <c r="H815" s="81"/>
      <c r="I815" s="81"/>
      <c r="J815" s="81"/>
      <c r="K815" s="98"/>
      <c r="L815" s="98"/>
      <c r="M815" s="79" t="str">
        <f t="shared" ca="1" si="180"/>
        <v/>
      </c>
      <c r="N815" s="105"/>
      <c r="O815" s="47"/>
    </row>
    <row r="816" spans="1:15" x14ac:dyDescent="0.25">
      <c r="A816" s="106">
        <v>46234</v>
      </c>
      <c r="B816" s="103">
        <f t="shared" si="181"/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 t="shared" si="179"/>
        <v>33.6</v>
      </c>
      <c r="H816" s="80"/>
      <c r="I816" s="80"/>
      <c r="J816" s="80"/>
      <c r="K816" s="98"/>
      <c r="L816" s="98"/>
      <c r="M816" s="78" t="str">
        <f t="shared" ca="1" si="180"/>
        <v/>
      </c>
      <c r="N816" s="105"/>
      <c r="O816" s="47"/>
    </row>
    <row r="817" spans="1:15" x14ac:dyDescent="0.25">
      <c r="A817" s="102">
        <v>46234</v>
      </c>
      <c r="B817" s="107">
        <f t="shared" si="181"/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 t="shared" si="179"/>
        <v>50.400000000000006</v>
      </c>
      <c r="H817" s="81"/>
      <c r="I817" s="81"/>
      <c r="J817" s="81"/>
      <c r="K817" s="98"/>
      <c r="L817" s="98"/>
      <c r="M817" s="79" t="str">
        <f t="shared" ca="1" si="180"/>
        <v/>
      </c>
      <c r="N817" s="105"/>
      <c r="O817" s="47"/>
    </row>
    <row r="818" spans="1:15" x14ac:dyDescent="0.25">
      <c r="A818" s="106">
        <v>46234</v>
      </c>
      <c r="B818" s="103">
        <f t="shared" si="181"/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 t="shared" si="179"/>
        <v>46.2</v>
      </c>
      <c r="H818" s="80"/>
      <c r="I818" s="80"/>
      <c r="J818" s="80"/>
      <c r="K818" s="98"/>
      <c r="L818" s="98"/>
      <c r="M818" s="78" t="str">
        <f t="shared" ca="1" si="180"/>
        <v/>
      </c>
      <c r="N818" s="105"/>
      <c r="O818" s="47"/>
    </row>
    <row r="819" spans="1:15" x14ac:dyDescent="0.25">
      <c r="A819" s="102">
        <v>46234</v>
      </c>
      <c r="B819" s="107">
        <f t="shared" si="181"/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 t="shared" si="179"/>
        <v>21</v>
      </c>
      <c r="H819" s="81"/>
      <c r="I819" s="81"/>
      <c r="J819" s="81"/>
      <c r="K819" s="98"/>
      <c r="L819" s="98"/>
      <c r="M819" s="79" t="str">
        <f t="shared" ca="1" si="180"/>
        <v/>
      </c>
      <c r="N819" s="105"/>
      <c r="O819" s="47"/>
    </row>
    <row r="820" spans="1:15" x14ac:dyDescent="0.25">
      <c r="A820" s="106">
        <v>46234</v>
      </c>
      <c r="B820" s="103">
        <f t="shared" si="181"/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 t="shared" si="179"/>
        <v>25.200000000000003</v>
      </c>
      <c r="H820" s="80"/>
      <c r="I820" s="80"/>
      <c r="J820" s="80"/>
      <c r="K820" s="98"/>
      <c r="L820" s="98"/>
      <c r="M820" s="78" t="str">
        <f t="shared" ca="1" si="180"/>
        <v/>
      </c>
      <c r="N820" s="105"/>
      <c r="O820" s="47"/>
    </row>
    <row r="821" spans="1:15" x14ac:dyDescent="0.25">
      <c r="A821" s="102">
        <v>46234</v>
      </c>
      <c r="B821" s="107">
        <f t="shared" si="181"/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 t="shared" si="179"/>
        <v>25.200000000000003</v>
      </c>
      <c r="H821" s="81"/>
      <c r="I821" s="81"/>
      <c r="J821" s="81"/>
      <c r="K821" s="98"/>
      <c r="L821" s="98"/>
      <c r="M821" s="79" t="str">
        <f t="shared" ca="1" si="180"/>
        <v/>
      </c>
      <c r="N821" s="105"/>
      <c r="O821" s="47"/>
    </row>
    <row r="822" spans="1:15" x14ac:dyDescent="0.25">
      <c r="A822" s="106">
        <v>46234</v>
      </c>
      <c r="B822" s="103">
        <f t="shared" si="181"/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 t="shared" si="179"/>
        <v>21</v>
      </c>
      <c r="H822" s="80"/>
      <c r="I822" s="80"/>
      <c r="J822" s="80"/>
      <c r="K822" s="98"/>
      <c r="L822" s="98"/>
      <c r="M822" s="78" t="str">
        <f t="shared" ca="1" si="180"/>
        <v/>
      </c>
      <c r="N822" s="105"/>
      <c r="O822" s="47"/>
    </row>
    <row r="823" spans="1:15" x14ac:dyDescent="0.25">
      <c r="A823" s="102">
        <v>46234</v>
      </c>
      <c r="B823" s="107">
        <f t="shared" si="181"/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 t="shared" si="179"/>
        <v>0</v>
      </c>
      <c r="H823" s="81"/>
      <c r="I823" s="81"/>
      <c r="J823" s="81"/>
      <c r="K823" s="98"/>
      <c r="L823" s="98"/>
      <c r="M823" s="79" t="str">
        <f t="shared" ca="1" si="180"/>
        <v/>
      </c>
      <c r="N823" s="105"/>
      <c r="O823" s="47"/>
    </row>
    <row r="824" spans="1:15" x14ac:dyDescent="0.2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x14ac:dyDescent="0.2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 t="shared" ref="G825:G835" si="182"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t="shared" ref="M825:M836" ca="1" si="183">IFERROR(IF(K825="","",IF(L825="",MOD(NOW()-K825,1),IF(L825&gt;=K825,L825-K825,L825+1-K825))),"")</f>
        <v>2.0833333333333259E-3</v>
      </c>
      <c r="N825" s="105"/>
      <c r="O825" s="47"/>
    </row>
    <row r="826" spans="1:15" x14ac:dyDescent="0.25">
      <c r="A826" s="102">
        <v>46234</v>
      </c>
      <c r="B826" s="103">
        <f t="shared" ref="B826:B836" si="184"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 t="shared" si="182"/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t="shared" ca="1" si="183"/>
        <v>1.2500000000000011E-2</v>
      </c>
      <c r="N826" s="105"/>
      <c r="O826" s="47"/>
    </row>
    <row r="827" spans="1:15" x14ac:dyDescent="0.25">
      <c r="A827" s="106">
        <v>46234</v>
      </c>
      <c r="B827" s="107">
        <f t="shared" si="184"/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 t="shared" si="182"/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t="shared" ca="1" si="183"/>
        <v>9.0277777777777735E-3</v>
      </c>
      <c r="N827" s="105"/>
      <c r="O827" s="47"/>
    </row>
    <row r="828" spans="1:15" x14ac:dyDescent="0.25">
      <c r="A828" s="102">
        <v>46234</v>
      </c>
      <c r="B828" s="103">
        <f t="shared" si="184"/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 t="shared" si="182"/>
        <v>63</v>
      </c>
      <c r="H828" s="80"/>
      <c r="I828" s="80"/>
      <c r="J828" s="80"/>
      <c r="K828" s="98"/>
      <c r="L828" s="98"/>
      <c r="M828" s="78" t="str">
        <f t="shared" ca="1" si="183"/>
        <v/>
      </c>
      <c r="N828" s="105"/>
      <c r="O828" s="47"/>
    </row>
    <row r="829" spans="1:15" x14ac:dyDescent="0.25">
      <c r="A829" s="106">
        <v>46234</v>
      </c>
      <c r="B829" s="107">
        <f t="shared" si="184"/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 t="shared" si="182"/>
        <v>63</v>
      </c>
      <c r="H829" s="81"/>
      <c r="I829" s="81"/>
      <c r="J829" s="81"/>
      <c r="K829" s="98"/>
      <c r="L829" s="98"/>
      <c r="M829" s="79" t="str">
        <f t="shared" ca="1" si="183"/>
        <v/>
      </c>
      <c r="N829" s="105"/>
      <c r="O829" s="47"/>
    </row>
    <row r="830" spans="1:15" x14ac:dyDescent="0.25">
      <c r="A830" s="102">
        <v>46234</v>
      </c>
      <c r="B830" s="103">
        <f t="shared" si="184"/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 t="shared" si="182"/>
        <v>33.6</v>
      </c>
      <c r="H830" s="80"/>
      <c r="I830" s="80"/>
      <c r="J830" s="80"/>
      <c r="K830" s="98"/>
      <c r="L830" s="98"/>
      <c r="M830" s="78" t="str">
        <f t="shared" ca="1" si="183"/>
        <v/>
      </c>
      <c r="N830" s="105"/>
      <c r="O830" s="47"/>
    </row>
    <row r="831" spans="1:15" x14ac:dyDescent="0.25">
      <c r="A831" s="106">
        <v>46234</v>
      </c>
      <c r="B831" s="107">
        <f t="shared" si="184"/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 t="shared" si="182"/>
        <v>63</v>
      </c>
      <c r="H831" s="81"/>
      <c r="I831" s="81"/>
      <c r="J831" s="81"/>
      <c r="K831" s="98"/>
      <c r="L831" s="98"/>
      <c r="M831" s="79" t="str">
        <f t="shared" ca="1" si="183"/>
        <v/>
      </c>
      <c r="N831" s="105"/>
      <c r="O831" s="47"/>
    </row>
    <row r="832" spans="1:15" x14ac:dyDescent="0.25">
      <c r="A832" s="102">
        <v>46234</v>
      </c>
      <c r="B832" s="103">
        <f t="shared" si="184"/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 t="shared" si="182"/>
        <v>63</v>
      </c>
      <c r="H832" s="80"/>
      <c r="I832" s="80"/>
      <c r="J832" s="80"/>
      <c r="K832" s="98"/>
      <c r="L832" s="98"/>
      <c r="M832" s="78" t="str">
        <f t="shared" ca="1" si="183"/>
        <v/>
      </c>
      <c r="N832" s="105"/>
      <c r="O832" s="47"/>
    </row>
    <row r="833" spans="1:15" x14ac:dyDescent="0.25">
      <c r="A833" s="106">
        <v>46234</v>
      </c>
      <c r="B833" s="107">
        <f t="shared" si="184"/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 t="shared" si="182"/>
        <v>58.800000000000004</v>
      </c>
      <c r="H833" s="81"/>
      <c r="I833" s="81"/>
      <c r="J833" s="81"/>
      <c r="K833" s="98"/>
      <c r="L833" s="98"/>
      <c r="M833" s="79" t="str">
        <f t="shared" ca="1" si="183"/>
        <v/>
      </c>
      <c r="N833" s="105"/>
      <c r="O833" s="47"/>
    </row>
    <row r="834" spans="1:15" x14ac:dyDescent="0.25">
      <c r="A834" s="102">
        <v>46234</v>
      </c>
      <c r="B834" s="103">
        <f t="shared" si="184"/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 t="shared" si="182"/>
        <v>8.4</v>
      </c>
      <c r="H834" s="80"/>
      <c r="I834" s="80"/>
      <c r="J834" s="80"/>
      <c r="K834" s="98"/>
      <c r="L834" s="98"/>
      <c r="M834" s="78" t="str">
        <f t="shared" ca="1" si="183"/>
        <v/>
      </c>
      <c r="N834" s="105"/>
      <c r="O834" s="47"/>
    </row>
    <row r="835" spans="1:15" x14ac:dyDescent="0.25">
      <c r="A835" s="106">
        <v>46234</v>
      </c>
      <c r="B835" s="107">
        <f t="shared" si="184"/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 t="shared" si="182"/>
        <v>58.800000000000004</v>
      </c>
      <c r="H835" s="81"/>
      <c r="I835" s="81"/>
      <c r="J835" s="81"/>
      <c r="K835" s="98"/>
      <c r="L835" s="98"/>
      <c r="M835" s="79" t="str">
        <f t="shared" ca="1" si="183"/>
        <v/>
      </c>
      <c r="N835" s="105"/>
      <c r="O835" s="47"/>
    </row>
    <row r="836" spans="1:15" x14ac:dyDescent="0.25">
      <c r="A836" s="102">
        <v>46234</v>
      </c>
      <c r="B836" s="103">
        <f t="shared" si="184"/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t="shared" ca="1" si="183"/>
        <v/>
      </c>
      <c r="N836" s="105"/>
      <c r="O836" s="47"/>
    </row>
    <row r="837" spans="1:15" x14ac:dyDescent="0.2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>
        <v>596800</v>
      </c>
    </row>
    <row r="838" spans="1:15" x14ac:dyDescent="0.2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1038070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0" zoomScaleNormal="80" workbookViewId="0">
      <pane ySplit="1" topLeftCell="A805" activePane="bottomLeft" state="frozen"/>
      <selection pane="bottomLeft" activeCell="O839" sqref="O839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387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316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388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 x14ac:dyDescent="0.25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389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390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 x14ac:dyDescent="0.25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391</v>
      </c>
      <c r="L58" s="29">
        <v>0.54097222222222219</v>
      </c>
      <c r="M58" s="30" t="str">
        <f t="shared" ca="1" si="13"/>
        <v/>
      </c>
      <c r="N58" s="27" t="s">
        <v>392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330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393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394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395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396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 x14ac:dyDescent="0.25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397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 x14ac:dyDescent="0.25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398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399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400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0.19607407407602295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0.39537962963157858</v>
      </c>
      <c r="N135" s="36" t="s">
        <v>237</v>
      </c>
      <c r="O135" s="39">
        <v>729290</v>
      </c>
    </row>
    <row r="136" spans="1:18" ht="18" customHeight="1" x14ac:dyDescent="0.25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0.7627407407426896</v>
      </c>
      <c r="N136" s="40" t="s">
        <v>240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401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 x14ac:dyDescent="0.25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403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 x14ac:dyDescent="0.25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404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405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406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 x14ac:dyDescent="0.25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407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408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410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 x14ac:dyDescent="0.25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411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 x14ac:dyDescent="0.25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 x14ac:dyDescent="0.25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412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288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 x14ac:dyDescent="0.25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316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414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 x14ac:dyDescent="0.25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 x14ac:dyDescent="0.25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416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403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417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418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 x14ac:dyDescent="0.25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419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 x14ac:dyDescent="0.25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 x14ac:dyDescent="0.25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420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421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396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 x14ac:dyDescent="0.25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396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422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 x14ac:dyDescent="0.25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423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424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 x14ac:dyDescent="0.25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425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426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427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428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 x14ac:dyDescent="0.25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429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 x14ac:dyDescent="0.25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430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 x14ac:dyDescent="0.25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431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432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 x14ac:dyDescent="0.25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433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434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 x14ac:dyDescent="0.25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435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436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 x14ac:dyDescent="0.25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288</v>
      </c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330</v>
      </c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437</v>
      </c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 x14ac:dyDescent="0.25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438</v>
      </c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439</v>
      </c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 x14ac:dyDescent="0.25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345</v>
      </c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436</v>
      </c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440</v>
      </c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 x14ac:dyDescent="0.25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441</v>
      </c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442</v>
      </c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443</v>
      </c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 x14ac:dyDescent="0.25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 x14ac:dyDescent="0.25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 x14ac:dyDescent="0.25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444</v>
      </c>
      <c r="O801" s="60"/>
    </row>
    <row r="802" spans="1:15" ht="15" customHeight="1" x14ac:dyDescent="0.25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 x14ac:dyDescent="0.25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 x14ac:dyDescent="0.25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 x14ac:dyDescent="0.25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x14ac:dyDescent="0.2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 t="shared" ref="G812:G823" si="179"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t="shared" ref="M812:M823" ca="1" si="180">IFERROR(IF(K812="","",IF(L812="",MOD(NOW()-K812,1),IF(L812&gt;=K812,L812-K812,L812+1-K812))),"")</f>
        <v>6.5277777777777768E-2</v>
      </c>
      <c r="N812" s="105"/>
      <c r="O812" s="47"/>
    </row>
    <row r="813" spans="1:15" x14ac:dyDescent="0.25">
      <c r="A813" s="102">
        <v>46234</v>
      </c>
      <c r="B813" s="107">
        <f t="shared" ref="B813:B823" si="181"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 t="shared" si="179"/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t="shared" ca="1" si="180"/>
        <v>5.5555555555555358E-3</v>
      </c>
      <c r="N813" s="105"/>
      <c r="O813" s="47"/>
    </row>
    <row r="814" spans="1:15" x14ac:dyDescent="0.25">
      <c r="A814" s="106">
        <v>46234</v>
      </c>
      <c r="B814" s="103">
        <f t="shared" si="181"/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 t="shared" si="179"/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t="shared" ca="1" si="180"/>
        <v>2.430555555555558E-2</v>
      </c>
      <c r="N814" s="105" t="s">
        <v>445</v>
      </c>
      <c r="O814" s="47"/>
    </row>
    <row r="815" spans="1:15" x14ac:dyDescent="0.25">
      <c r="A815" s="102">
        <v>46234</v>
      </c>
      <c r="B815" s="107">
        <f t="shared" si="181"/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 t="shared" si="179"/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t="shared" ca="1" si="180"/>
        <v>2.0833333333333259E-2</v>
      </c>
      <c r="N815" s="105"/>
      <c r="O815" s="47"/>
    </row>
    <row r="816" spans="1:15" x14ac:dyDescent="0.25">
      <c r="A816" s="106">
        <v>46234</v>
      </c>
      <c r="B816" s="103">
        <f t="shared" si="181"/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 t="shared" si="179"/>
        <v>29.400000000000002</v>
      </c>
      <c r="H816" s="80"/>
      <c r="I816" s="80"/>
      <c r="J816" s="80"/>
      <c r="K816" s="98"/>
      <c r="L816" s="98"/>
      <c r="M816" s="78" t="str">
        <f t="shared" ca="1" si="180"/>
        <v/>
      </c>
      <c r="N816" s="105"/>
      <c r="O816" s="47"/>
    </row>
    <row r="817" spans="1:15" x14ac:dyDescent="0.25">
      <c r="A817" s="102">
        <v>46234</v>
      </c>
      <c r="B817" s="107">
        <f t="shared" si="181"/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 t="shared" si="179"/>
        <v>79.8</v>
      </c>
      <c r="H817" s="81"/>
      <c r="I817" s="81"/>
      <c r="J817" s="81"/>
      <c r="K817" s="98"/>
      <c r="L817" s="98"/>
      <c r="M817" s="79" t="str">
        <f t="shared" ca="1" si="180"/>
        <v/>
      </c>
      <c r="N817" s="105"/>
      <c r="O817" s="47"/>
    </row>
    <row r="818" spans="1:15" x14ac:dyDescent="0.25">
      <c r="A818" s="106">
        <v>46234</v>
      </c>
      <c r="B818" s="103">
        <f t="shared" si="181"/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 t="shared" si="179"/>
        <v>33.6</v>
      </c>
      <c r="H818" s="80"/>
      <c r="I818" s="80"/>
      <c r="J818" s="80"/>
      <c r="K818" s="98"/>
      <c r="L818" s="98"/>
      <c r="M818" s="78" t="str">
        <f t="shared" ca="1" si="180"/>
        <v/>
      </c>
      <c r="N818" s="105"/>
      <c r="O818" s="47"/>
    </row>
    <row r="819" spans="1:15" x14ac:dyDescent="0.25">
      <c r="A819" s="102">
        <v>46234</v>
      </c>
      <c r="B819" s="107">
        <f t="shared" si="181"/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 t="shared" si="179"/>
        <v>58.800000000000004</v>
      </c>
      <c r="H819" s="81"/>
      <c r="I819" s="81"/>
      <c r="J819" s="81"/>
      <c r="K819" s="98"/>
      <c r="L819" s="98"/>
      <c r="M819" s="79" t="str">
        <f t="shared" ca="1" si="180"/>
        <v/>
      </c>
      <c r="N819" s="105"/>
      <c r="O819" s="47"/>
    </row>
    <row r="820" spans="1:15" x14ac:dyDescent="0.25">
      <c r="A820" s="106">
        <v>46234</v>
      </c>
      <c r="B820" s="103">
        <f t="shared" si="181"/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 t="shared" si="179"/>
        <v>58.800000000000004</v>
      </c>
      <c r="H820" s="80"/>
      <c r="I820" s="80"/>
      <c r="J820" s="80"/>
      <c r="K820" s="98"/>
      <c r="L820" s="98"/>
      <c r="M820" s="78" t="str">
        <f t="shared" ca="1" si="180"/>
        <v/>
      </c>
      <c r="N820" s="105"/>
      <c r="O820" s="47"/>
    </row>
    <row r="821" spans="1:15" x14ac:dyDescent="0.25">
      <c r="A821" s="102">
        <v>46234</v>
      </c>
      <c r="B821" s="107">
        <f t="shared" si="181"/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 t="shared" si="179"/>
        <v>50.400000000000006</v>
      </c>
      <c r="H821" s="81"/>
      <c r="I821" s="81"/>
      <c r="J821" s="81"/>
      <c r="K821" s="98"/>
      <c r="L821" s="98"/>
      <c r="M821" s="79" t="str">
        <f t="shared" ca="1" si="180"/>
        <v/>
      </c>
      <c r="N821" s="105"/>
      <c r="O821" s="47"/>
    </row>
    <row r="822" spans="1:15" x14ac:dyDescent="0.25">
      <c r="A822" s="106">
        <v>46234</v>
      </c>
      <c r="B822" s="103">
        <f t="shared" si="181"/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 t="shared" si="179"/>
        <v>42</v>
      </c>
      <c r="H822" s="80"/>
      <c r="I822" s="80"/>
      <c r="J822" s="80"/>
      <c r="K822" s="98"/>
      <c r="L822" s="98"/>
      <c r="M822" s="78" t="str">
        <f t="shared" ca="1" si="180"/>
        <v/>
      </c>
      <c r="N822" s="105"/>
      <c r="O822" s="47"/>
    </row>
    <row r="823" spans="1:15" x14ac:dyDescent="0.25">
      <c r="A823" s="102">
        <v>46234</v>
      </c>
      <c r="B823" s="107">
        <f t="shared" si="181"/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 t="shared" si="179"/>
        <v>12.600000000000001</v>
      </c>
      <c r="H823" s="81"/>
      <c r="I823" s="81"/>
      <c r="J823" s="81"/>
      <c r="K823" s="98"/>
      <c r="L823" s="98"/>
      <c r="M823" s="79" t="str">
        <f t="shared" ca="1" si="180"/>
        <v/>
      </c>
      <c r="N823" s="105"/>
      <c r="O823" s="47"/>
    </row>
    <row r="824" spans="1:15" x14ac:dyDescent="0.2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x14ac:dyDescent="0.2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 t="shared" ref="G825:G836" si="182"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t="shared" ref="M825:M836" ca="1" si="183">IFERROR(IF(K825="","",IF(L825="",MOD(NOW()-K825,1),IF(L825&gt;=K825,L825-K825,L825+1-K825))),"")</f>
        <v>6.9444444444444198E-4</v>
      </c>
      <c r="N825" s="105"/>
      <c r="O825" s="47"/>
    </row>
    <row r="826" spans="1:15" x14ac:dyDescent="0.25">
      <c r="A826" s="102">
        <v>46234</v>
      </c>
      <c r="B826" s="103">
        <f t="shared" ref="B826:B836" si="184"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 t="shared" si="182"/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t="shared" ca="1" si="183"/>
        <v>9.0277777777777457E-3</v>
      </c>
      <c r="N826" s="105"/>
      <c r="O826" s="47"/>
    </row>
    <row r="827" spans="1:15" x14ac:dyDescent="0.25">
      <c r="A827" s="106">
        <v>46234</v>
      </c>
      <c r="B827" s="107">
        <f t="shared" si="184"/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 t="shared" si="182"/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t="shared" ca="1" si="183"/>
        <v>1.041666666666663E-2</v>
      </c>
      <c r="N827" s="105" t="s">
        <v>446</v>
      </c>
      <c r="O827" s="47"/>
    </row>
    <row r="828" spans="1:15" x14ac:dyDescent="0.25">
      <c r="A828" s="102">
        <v>46234</v>
      </c>
      <c r="B828" s="103">
        <f t="shared" si="184"/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 t="shared" si="182"/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t="shared" ca="1" si="183"/>
        <v>9.7222222222222987E-3</v>
      </c>
      <c r="N828" s="105" t="s">
        <v>330</v>
      </c>
      <c r="O828" s="47"/>
    </row>
    <row r="829" spans="1:15" x14ac:dyDescent="0.25">
      <c r="A829" s="106">
        <v>46234</v>
      </c>
      <c r="B829" s="107">
        <f t="shared" si="184"/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 t="shared" si="182"/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t="shared" ca="1" si="183"/>
        <v>6.9444444444444198E-4</v>
      </c>
      <c r="N829" s="105"/>
      <c r="O829" s="47"/>
    </row>
    <row r="830" spans="1:15" x14ac:dyDescent="0.25">
      <c r="A830" s="102">
        <v>46234</v>
      </c>
      <c r="B830" s="103">
        <f t="shared" si="184"/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 t="shared" si="182"/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t="shared" ca="1" si="183"/>
        <v>1.8055555555555561E-2</v>
      </c>
      <c r="N830" s="105" t="s">
        <v>386</v>
      </c>
      <c r="O830" s="47"/>
    </row>
    <row r="831" spans="1:15" x14ac:dyDescent="0.25">
      <c r="A831" s="106">
        <v>46234</v>
      </c>
      <c r="B831" s="107">
        <f t="shared" si="184"/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 t="shared" si="182"/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>
        <v>0.2722222222222222</v>
      </c>
      <c r="M831" s="79">
        <f t="shared" ca="1" si="183"/>
        <v>3.472222222222221E-2</v>
      </c>
      <c r="N831" s="105"/>
      <c r="O831" s="47"/>
    </row>
    <row r="832" spans="1:15" x14ac:dyDescent="0.25">
      <c r="A832" s="102">
        <v>46234</v>
      </c>
      <c r="B832" s="103">
        <f t="shared" si="184"/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 t="shared" si="182"/>
        <v>42</v>
      </c>
      <c r="H832" s="80"/>
      <c r="I832" s="80"/>
      <c r="J832" s="80"/>
      <c r="K832" s="98"/>
      <c r="L832" s="98"/>
      <c r="M832" s="78" t="str">
        <f t="shared" ca="1" si="183"/>
        <v/>
      </c>
      <c r="N832" s="105"/>
      <c r="O832" s="47"/>
    </row>
    <row r="833" spans="1:15" x14ac:dyDescent="0.25">
      <c r="A833" s="106">
        <v>46234</v>
      </c>
      <c r="B833" s="107">
        <f t="shared" si="184"/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 t="shared" si="182"/>
        <v>100.80000000000001</v>
      </c>
      <c r="H833" s="81"/>
      <c r="I833" s="81"/>
      <c r="J833" s="81"/>
      <c r="K833" s="98"/>
      <c r="L833" s="98"/>
      <c r="M833" s="79" t="str">
        <f t="shared" ca="1" si="183"/>
        <v/>
      </c>
      <c r="N833" s="105"/>
      <c r="O833" s="47"/>
    </row>
    <row r="834" spans="1:15" x14ac:dyDescent="0.25">
      <c r="A834" s="102">
        <v>46234</v>
      </c>
      <c r="B834" s="103">
        <f t="shared" si="184"/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 t="shared" si="182"/>
        <v>50.400000000000006</v>
      </c>
      <c r="H834" s="80"/>
      <c r="I834" s="80"/>
      <c r="J834" s="80"/>
      <c r="K834" s="98"/>
      <c r="L834" s="98"/>
      <c r="M834" s="78" t="str">
        <f t="shared" ca="1" si="183"/>
        <v/>
      </c>
      <c r="N834" s="105"/>
      <c r="O834" s="47"/>
    </row>
    <row r="835" spans="1:15" x14ac:dyDescent="0.25">
      <c r="A835" s="106">
        <v>46234</v>
      </c>
      <c r="B835" s="107">
        <f t="shared" si="184"/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 t="shared" si="182"/>
        <v>58.800000000000004</v>
      </c>
      <c r="H835" s="81"/>
      <c r="I835" s="81"/>
      <c r="J835" s="81"/>
      <c r="K835" s="98"/>
      <c r="L835" s="98"/>
      <c r="M835" s="79" t="str">
        <f t="shared" ca="1" si="183"/>
        <v/>
      </c>
      <c r="N835" s="105"/>
      <c r="O835" s="47"/>
    </row>
    <row r="836" spans="1:15" x14ac:dyDescent="0.25">
      <c r="A836" s="102">
        <v>46234</v>
      </c>
      <c r="B836" s="103">
        <f t="shared" si="184"/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 t="shared" si="182"/>
        <v>0</v>
      </c>
      <c r="H836" s="80"/>
      <c r="I836" s="80"/>
      <c r="J836" s="80"/>
      <c r="K836" s="98"/>
      <c r="L836" s="98"/>
      <c r="M836" s="78" t="str">
        <f t="shared" ca="1" si="183"/>
        <v/>
      </c>
      <c r="N836" s="105"/>
      <c r="O836" s="47"/>
    </row>
    <row r="837" spans="1:15" x14ac:dyDescent="0.2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8.3333333333333329E-2</v>
      </c>
      <c r="N837" s="109" t="s">
        <v>237</v>
      </c>
      <c r="O837" s="77">
        <v>770670</v>
      </c>
    </row>
    <row r="838" spans="1:15" x14ac:dyDescent="0.2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0.19930555555555546</v>
      </c>
      <c r="N838" s="111" t="s">
        <v>240</v>
      </c>
      <c r="O838" s="82">
        <f>IFERROR(O824+O837,"")</f>
        <v>1316480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2026-08-01T14:42:34Z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