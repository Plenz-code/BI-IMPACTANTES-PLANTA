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35" documentId="8_{C51EB6CB-002B-4D6B-B68F-DDEBDB4460C0}" xr6:coauthVersionLast="47" xr6:coauthVersionMax="47" xr10:uidLastSave="{14CECA83-9FA1-412F-B554-4F3F9118DAF8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<sst xmlns="http://schemas.openxmlformats.org/spreadsheetml/2006/main" count="2631" uniqueCount="267">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</sst>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100" sqref="F10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144</v>
      </c>
      <c r="G108" s="36">
        <f>SUM(G96:G107)</f>
        <v>720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453</v>
      </c>
      <c r="G109" s="40">
        <f>G95+G108</f>
        <v>2265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I106" sqref="I1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0.8777296296248096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1.0166185185136984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1.1013407407359208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</v>
      </c>
      <c r="G108" s="36">
        <f>SUM(G96:G107)</f>
        <v>12.600000000000001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99</v>
      </c>
      <c r="G109" s="40">
        <f>G95+G108</f>
        <v>415.8</v>
      </c>
      <c r="H109" s="41"/>
      <c r="I109" s="41"/>
      <c r="J109" s="41"/>
      <c r="K109" s="41"/>
      <c r="L109" s="41"/>
      <c r="M109" s="42">
        <f ca="1">IFERROR(M95+M108,"")</f>
        <v>0.21666666666666673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100" sqref="F1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259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17</v>
      </c>
      <c r="G108" s="36">
        <f>SUM(G96:G107)</f>
        <v>71.400000000000006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65</v>
      </c>
      <c r="G109" s="40">
        <f>G95+G108</f>
        <v>273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74" activePane="bottomLeft" state="frozen"/>
      <selection pane="bottomLeft" activeCell="J96" sqref="J9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52</v>
      </c>
      <c r="J96" s="26" t="s">
        <v>27</v>
      </c>
      <c r="K96" s="29">
        <v>0.99861111111111112</v>
      </c>
      <c r="L96" s="29"/>
      <c r="M96" s="35">
        <f t="shared" ref="M96:M107" ca="1" si="22">IFERROR(IF(K96="","",IF(L96="",MOD(NOW()-K96,1),IF(L96&gt;=K96,L96-K96,L96+1-K96))),"")</f>
        <v>6.4629629196133465E-4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77</v>
      </c>
      <c r="G108" s="36">
        <f>SUM(G96:G107)</f>
        <v>323.39999999999998</v>
      </c>
      <c r="H108" s="37"/>
      <c r="I108" s="37"/>
      <c r="J108" s="37"/>
      <c r="K108" s="61"/>
      <c r="L108" s="61"/>
      <c r="M108" s="38">
        <f ca="1">IFERROR(SUM(M96:M107),"")</f>
        <v>6.4629629196133465E-4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260</v>
      </c>
      <c r="G109" s="40">
        <f>G95+G108</f>
        <v>1092</v>
      </c>
      <c r="H109" s="41"/>
      <c r="I109" s="41"/>
      <c r="J109" s="41"/>
      <c r="K109" s="63"/>
      <c r="L109" s="63"/>
      <c r="M109" s="42">
        <f ca="1">IFERROR(M95+M108,"")</f>
        <v>4.1618518514183467E-2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2026-08-05T03:59:15Z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