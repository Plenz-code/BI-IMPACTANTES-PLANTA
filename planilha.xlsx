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40" documentId="8_{AF585B22-221D-4780-BB9C-493D365A6A02}" xr6:coauthVersionLast="47" xr6:coauthVersionMax="47" xr10:uidLastSave="{E519C1D3-07F3-4756-90E3-FA450899CCFC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<sst xmlns="http://schemas.openxmlformats.org/spreadsheetml/2006/main" count="10165" uniqueCount="392">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</sst>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N667" sqref="N66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/>
      <c r="M663" s="35">
        <f t="shared" ref="M663:M674" ca="1" si="148">IFERROR(IF(K663="","",IF(L663="",MOD(NOW()-K663,1),IF(L663&gt;=K663,L663-K663,L663+1-K663))),"")</f>
        <v>6.2163310183677822E-2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39</v>
      </c>
      <c r="G675" s="36">
        <f>SUM(G663:G674)</f>
        <v>195</v>
      </c>
      <c r="H675" s="37"/>
      <c r="I675" s="37"/>
      <c r="J675" s="37"/>
      <c r="K675" s="37"/>
      <c r="L675" s="37"/>
      <c r="M675" s="38">
        <f ca="1">IFERROR(SUM(M663:M674),"")</f>
        <v>6.2163310183677822E-2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367</v>
      </c>
      <c r="G676" s="40">
        <f>G662+G675</f>
        <v>1835</v>
      </c>
      <c r="H676" s="41"/>
      <c r="I676" s="41"/>
      <c r="J676" s="41"/>
      <c r="K676" s="41"/>
      <c r="L676" s="41"/>
      <c r="M676" s="42">
        <f ca="1">IFERROR(M662+M675,"")</f>
        <v>7.1191087961455568E-2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F666" sqref="F6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0.68160775462456513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0.83924664351345402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0.94896886573567618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0.66007997684937436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0.83091331018270775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0.97605219907159668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0.18994108796323417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0.3225799768521232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40</v>
      </c>
      <c r="G675" s="36">
        <f>SUM(G663:G674)</f>
        <v>168</v>
      </c>
      <c r="H675" s="37"/>
      <c r="I675" s="37"/>
      <c r="J675" s="37"/>
      <c r="K675" s="37"/>
      <c r="L675" s="37"/>
      <c r="M675" s="38">
        <f ca="1">IFERROR(SUM(M663:M674),"")</f>
        <v>3.5416666666666763E-2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165</v>
      </c>
      <c r="G676" s="40">
        <f>G662+G675</f>
        <v>701</v>
      </c>
      <c r="H676" s="41"/>
      <c r="I676" s="41"/>
      <c r="J676" s="41"/>
      <c r="K676" s="41"/>
      <c r="L676" s="41"/>
      <c r="M676" s="42">
        <f ca="1">IFERROR(M662+M675,"")</f>
        <v>0.35799664351878996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66" sqref="F6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30</v>
      </c>
      <c r="G675" s="36">
        <f>SUM(G663:G674)</f>
        <v>126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125</v>
      </c>
      <c r="G676" s="40">
        <f>G662+G675</f>
        <v>533</v>
      </c>
      <c r="H676" s="41"/>
      <c r="I676" s="41"/>
      <c r="J676" s="41"/>
      <c r="K676" s="41"/>
      <c r="L676" s="41"/>
      <c r="M676" s="42">
        <f ca="1">IFERROR(M662+M675,"")</f>
        <v>0.12361111111111112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J663" sqref="J66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349</v>
      </c>
      <c r="L58" s="29">
        <v>0.54097222222222219</v>
      </c>
      <c r="M58" s="30" t="str">
        <f t="shared" ca="1" si="13"/>
        <v/>
      </c>
      <c r="N58" s="27" t="s">
        <v>350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0.67188553240703186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0.87119108796258748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1.2385521990736985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/>
      <c r="M663" s="35">
        <f t="shared" ref="M663:M674" ca="1" si="148">IFERROR(IF(K663="","",IF(L663="",MOD(NOW()-K663,1),IF(L663&gt;=K663,L663-K663,L663+1-K663))),"")</f>
        <v>0.12952442129608244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0.12952442129608244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0.62952442129608244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2026-07-26T02:06:53Z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