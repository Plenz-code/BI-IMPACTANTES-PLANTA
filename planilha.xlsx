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35" documentId="8_{AF585B22-221D-4780-BB9C-493D365A6A02}" xr6:coauthVersionLast="47" xr6:coauthVersionMax="47" xr10:uidLastSave="{DE31CE34-830E-4FB9-9BCB-206AE19AC32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<sst xmlns="http://schemas.openxmlformats.org/spreadsheetml/2006/main" count="6031" uniqueCount="314">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</sst>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58" activePane="bottomLeft" state="frozen"/>
      <selection pane="bottomLeft" activeCell="E372" sqref="E37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L367" sqref="L3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/>
      <c r="G366" s="28" t="str">
        <f t="shared" ref="G366:G377" si="81">IF(F366="","",IF(E366="PC 17",F366*4.2,IF(E366="PC 19",F366*5,"")))</f>
        <v/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1.388888888888884E-3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158</v>
      </c>
      <c r="G379" s="40">
        <f>G365+G378</f>
        <v>663.6</v>
      </c>
      <c r="H379" s="41"/>
      <c r="I379" s="41"/>
      <c r="J379" s="41"/>
      <c r="K379" s="41"/>
      <c r="L379" s="41"/>
      <c r="M379" s="42">
        <f ca="1">IFERROR(M365+M378,"")</f>
        <v>0.11111111111111105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D366" sqref="D3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</v>
      </c>
      <c r="G379" s="40">
        <f>G365+G378</f>
        <v>37.800000000000004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8" activePane="bottomLeft" state="frozen"/>
      <selection pane="bottomLeft" activeCell="E374" sqref="E3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0.5573473379627103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0.75665289351826592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1.124014004629377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125</v>
      </c>
      <c r="G379" s="40">
        <f>G365+G378</f>
        <v>525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2026-07-14T23:22:09Z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