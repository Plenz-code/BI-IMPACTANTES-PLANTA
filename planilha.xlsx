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33" documentId="13_ncr:1_{A6DBCFB4-28D9-4249-9038-216934055CA6}" xr6:coauthVersionLast="47" xr6:coauthVersionMax="47" xr10:uidLastSave="{26014254-76B8-4384-A932-2FDDF33DF2D8}"/>
  <bookViews>
    <workbookView xWindow="-110" yWindow="-110" windowWidth="25820" windowHeight="1550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1" i="6" l="1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<sst xmlns="http://schemas.openxmlformats.org/spreadsheetml/2006/main" count="9676" uniqueCount="419">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</sst>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24659450</v>
      </c>
      <c r="E35" s="30">
        <f t="shared" si="2"/>
        <v>13495620</v>
      </c>
      <c r="F35" s="30">
        <f t="shared" si="2"/>
        <v>32668850</v>
      </c>
      <c r="G35" s="30">
        <f t="shared" si="2"/>
        <v>70823920</v>
      </c>
      <c r="H35" s="31">
        <f t="shared" si="2"/>
        <v>6458.4576326915121</v>
      </c>
      <c r="I35" s="31">
        <f t="shared" si="2"/>
        <v>4967.05</v>
      </c>
      <c r="J35" s="32">
        <f>I35/H35</f>
        <v>0.76907681098002656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J558" sqref="J558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40</v>
      </c>
      <c r="G581" s="2">
        <f>SUM(G569:G580)</f>
        <v>200</v>
      </c>
      <c r="H581" s="72"/>
      <c r="I581" s="72"/>
      <c r="J581" s="72"/>
      <c r="K581" s="72"/>
      <c r="L581" s="72"/>
      <c r="M581" s="73">
        <f ca="1">IFERROR(SUM(M569:M580),"")</f>
        <v>1.041666666666663E-2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40</v>
      </c>
      <c r="G595" s="1">
        <f>G581+G594</f>
        <v>200</v>
      </c>
      <c r="H595" s="76"/>
      <c r="I595" s="76"/>
      <c r="J595" s="76"/>
      <c r="K595" s="76"/>
      <c r="L595" s="76"/>
      <c r="M595" s="77">
        <f ca="1">IFERROR(M581+M594,"")</f>
        <v>1.041666666666663E-2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7" activePane="bottomLeft" state="frozen"/>
      <selection pane="bottomLeft" activeCell="E580" sqref="E580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0.25047534721670672</v>
      </c>
      <c r="R53" s="80" t="s">
        <v>311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0.38936423610559445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0.47408645832781726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345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/>
      <c r="H569" s="101" t="str">
        <f>IFERROR(IF($G569="","",$G569*$S$581/$G$581/Cadastro!$E$33),"")</f>
        <v/>
      </c>
      <c r="I569" s="102">
        <f>IFERROR(IF($D569="","",VLOOKUP($D569,Cadastro!$C$4:$G$7,5,FALSE())),"")</f>
        <v>0.6</v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48" activePane="bottomLeft" state="frozen"/>
      <selection pane="bottomLeft" activeCell="N572" sqref="N572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359</v>
      </c>
      <c r="Q222" s="66" t="str">
        <f t="shared" ca="1" si="49"/>
        <v/>
      </c>
      <c r="R222" s="63" t="s">
        <v>360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353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369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370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371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372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373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374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346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0</v>
      </c>
      <c r="K569" s="69">
        <f t="shared" ref="K569:K580" si="144">IF(G569="","",IF(E569="PC 17",G569*4.2,IF(E569="PC 19",G569*5,IF(E569="CB",G569*24,""))))</f>
        <v>75.600000000000009</v>
      </c>
      <c r="L569" s="70"/>
      <c r="M569" s="70" t="s">
        <v>56</v>
      </c>
      <c r="N569" s="70"/>
      <c r="O569" s="65">
        <v>0.37152777777777779</v>
      </c>
      <c r="P569" s="65"/>
      <c r="Q569" s="71">
        <f t="shared" ref="Q569:Q580" ca="1" si="145">IFERROR(IF(O569="","",IF(P569="",MOD(NOW()-O569,1),IF(P569&gt;=O569,P569-O569,P569+1-O569))),"")</f>
        <v>4.7534721670672297E-4</v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18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75.600000000000009</v>
      </c>
      <c r="L581" s="72"/>
      <c r="M581" s="72"/>
      <c r="N581" s="72"/>
      <c r="O581" s="72"/>
      <c r="P581" s="72"/>
      <c r="Q581" s="73">
        <f ca="1">IFERROR(SUM(Q569:Q580),"")</f>
        <v>4.7534721670672297E-4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18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75.600000000000009</v>
      </c>
      <c r="L595" s="76"/>
      <c r="M595" s="76"/>
      <c r="N595" s="76"/>
      <c r="O595" s="76"/>
      <c r="P595" s="76"/>
      <c r="Q595" s="77">
        <f ca="1">IFERROR(Q581+Q594,"")</f>
        <v>4.7534721670672297E-4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50" activePane="bottomLeft" state="frozen"/>
      <selection pane="bottomLeft" activeCell="N573" sqref="N57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411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412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413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414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415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416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417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418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401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6"/>
        <v/>
      </c>
      <c r="K570" s="69" t="str">
        <f t="shared" si="147"/>
        <v/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6"/>
        <v/>
      </c>
      <c r="K571" s="69" t="str">
        <f t="shared" si="147"/>
        <v/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/>
      <c r="Q571" s="71">
        <f t="shared" ca="1" si="148"/>
        <v>2.9642013883858453E-2</v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17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71.400000000000006</v>
      </c>
      <c r="L581" s="72"/>
      <c r="M581" s="72"/>
      <c r="N581" s="72"/>
      <c r="O581" s="134"/>
      <c r="P581" s="134"/>
      <c r="Q581" s="73">
        <f ca="1">IFERROR(SUM(Q569:Q580),"")</f>
        <v>4.8392013883858498E-2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17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71.400000000000006</v>
      </c>
      <c r="L595" s="76"/>
      <c r="M595" s="76"/>
      <c r="N595" s="76"/>
      <c r="O595" s="135"/>
      <c r="P595" s="135"/>
      <c r="Q595" s="77">
        <f ca="1">IFERROR(Q581+Q594,"")</f>
        <v>4.8392013883858498E-2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2026-08-22T12:55:55Z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