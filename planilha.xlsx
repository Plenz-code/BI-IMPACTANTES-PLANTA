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790" documentId="8_{C51EB6CB-002B-4D6B-B68F-DDEBDB4460C0}" xr6:coauthVersionLast="47" xr6:coauthVersionMax="47" xr10:uidLastSave="{3B226C88-B332-440D-A036-DB86747B9BFD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G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<sst xmlns="http://schemas.openxmlformats.org/spreadsheetml/2006/main" count="3236" uniqueCount="279">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</sst>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16707485</v>
      </c>
      <c r="D35" s="13">
        <f>IFERROR(SUM(D4:D34),"")</f>
        <v>5348300</v>
      </c>
      <c r="E35" s="13">
        <f>IFERROR(SUM(E4:E34),"")</f>
        <v>2984130</v>
      </c>
      <c r="F35" s="13">
        <f>IFERROR(SUM(F4:F34),"")</f>
        <v>6728260</v>
      </c>
      <c r="G35" s="13">
        <f>IFERROR(SUM(G4:G34),"")</f>
        <v>15060690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0" activePane="bottomLeft" state="frozen"/>
      <selection pane="bottomLeft" activeCell="F139" sqref="F13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229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229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>
        <v>2875180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229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229</v>
      </c>
      <c r="F138" s="27">
        <v>35</v>
      </c>
      <c r="G138" s="28">
        <f t="shared" si="30"/>
        <v>175</v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229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229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229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229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229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229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229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229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229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229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50</v>
      </c>
      <c r="G149" s="36">
        <f>SUM(G137:G148)</f>
        <v>250</v>
      </c>
      <c r="H149" s="37"/>
      <c r="I149" s="37"/>
      <c r="J149" s="37"/>
      <c r="K149" s="37"/>
      <c r="L149" s="37"/>
      <c r="M149" s="38">
        <f ca="1">IFERROR(SUM(M137:M148),"")</f>
        <v>9.0277777777778012E-3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50</v>
      </c>
      <c r="G163" s="40">
        <f>G149+G162</f>
        <v>250</v>
      </c>
      <c r="H163" s="41"/>
      <c r="I163" s="41"/>
      <c r="J163" s="41"/>
      <c r="K163" s="41"/>
      <c r="L163" s="41"/>
      <c r="M163" s="42">
        <f ca="1">IFERROR(M149+M162,"")</f>
        <v>9.0277777777778012E-3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12" t="s">
        <v>234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14" activePane="bottomLeft" state="frozen"/>
      <selection pane="bottomLeft" activeCell="F139" sqref="F1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0.28870949073461816</v>
      </c>
      <c r="N53" s="46" t="s">
        <v>251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0.42759837962350705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0.51232060184572936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242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242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242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242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242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242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242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242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242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242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253</v>
      </c>
      <c r="E83" s="59" t="s">
        <v>242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254</v>
      </c>
      <c r="M96" s="30" t="str">
        <f t="shared" ref="M96:M107" ca="1" si="22">IFERROR(IF(K96="","",IF(L96="",MOD(NOW()-K96,1),IF(L96&gt;=K96,L96-K96,L96+1-K96))),"")</f>
        <v/>
      </c>
      <c r="N96" s="46" t="s">
        <v>255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231</v>
      </c>
      <c r="O135" s="54">
        <v>756720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235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242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242</v>
      </c>
      <c r="F139" s="27"/>
      <c r="G139" s="34" t="str">
        <f t="shared" si="32"/>
        <v/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259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242</v>
      </c>
      <c r="F140" s="27"/>
      <c r="G140" s="28" t="str">
        <f t="shared" si="32"/>
        <v/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242</v>
      </c>
      <c r="F141" s="27"/>
      <c r="G141" s="34" t="str">
        <f t="shared" si="32"/>
        <v/>
      </c>
      <c r="H141" s="33"/>
      <c r="I141" s="33"/>
      <c r="J141" s="33"/>
      <c r="K141" s="29"/>
      <c r="L141" s="29"/>
      <c r="M141" s="35" t="str">
        <f t="shared" ca="1" si="30"/>
        <v/>
      </c>
      <c r="N141" s="46"/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242</v>
      </c>
      <c r="F142" s="27"/>
      <c r="G142" s="28" t="str">
        <f t="shared" si="32"/>
        <v/>
      </c>
      <c r="H142" s="26"/>
      <c r="I142" s="26"/>
      <c r="J142" s="26"/>
      <c r="K142" s="29"/>
      <c r="L142" s="29"/>
      <c r="M142" s="30" t="str">
        <f t="shared" ca="1" si="30"/>
        <v/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242</v>
      </c>
      <c r="F143" s="27"/>
      <c r="G143" s="34" t="str">
        <f t="shared" si="32"/>
        <v/>
      </c>
      <c r="H143" s="33"/>
      <c r="I143" s="33"/>
      <c r="J143" s="33"/>
      <c r="K143" s="29"/>
      <c r="L143" s="29"/>
      <c r="M143" s="35" t="str">
        <f t="shared" ca="1" si="30"/>
        <v/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242</v>
      </c>
      <c r="F144" s="27"/>
      <c r="G144" s="28" t="str">
        <f t="shared" si="32"/>
        <v/>
      </c>
      <c r="H144" s="26"/>
      <c r="I144" s="26"/>
      <c r="J144" s="26"/>
      <c r="K144" s="29"/>
      <c r="L144" s="29"/>
      <c r="M144" s="30" t="str">
        <f t="shared" ca="1" si="30"/>
        <v/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242</v>
      </c>
      <c r="F145" s="27"/>
      <c r="G145" s="34" t="str">
        <f t="shared" si="32"/>
        <v/>
      </c>
      <c r="H145" s="33"/>
      <c r="I145" s="33"/>
      <c r="J145" s="33"/>
      <c r="K145" s="29"/>
      <c r="L145" s="29"/>
      <c r="M145" s="35" t="str">
        <f t="shared" ca="1" si="30"/>
        <v/>
      </c>
      <c r="N145" s="46"/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242</v>
      </c>
      <c r="F146" s="27"/>
      <c r="G146" s="28" t="str">
        <f t="shared" si="32"/>
        <v/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242</v>
      </c>
      <c r="F147" s="27"/>
      <c r="G147" s="34" t="str">
        <f t="shared" si="32"/>
        <v/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242</v>
      </c>
      <c r="F148" s="27"/>
      <c r="G148" s="28" t="str">
        <f t="shared" si="32"/>
        <v/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34</v>
      </c>
      <c r="G149" s="36">
        <f>SUM(G137:G148)</f>
        <v>142.80000000000001</v>
      </c>
      <c r="H149" s="37"/>
      <c r="I149" s="37"/>
      <c r="J149" s="37"/>
      <c r="K149" s="37"/>
      <c r="L149" s="37"/>
      <c r="M149" s="38">
        <f ca="1">IFERROR(SUM(M137:M148),"")</f>
        <v>4.3749999999999956E-2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34</v>
      </c>
      <c r="G163" s="40">
        <f>G149+G162</f>
        <v>142.80000000000001</v>
      </c>
      <c r="H163" s="41"/>
      <c r="I163" s="41"/>
      <c r="J163" s="41"/>
      <c r="K163" s="41"/>
      <c r="L163" s="41"/>
      <c r="M163" s="42">
        <f ca="1">IFERROR(M149+M162,"")</f>
        <v>4.3749999999999956E-2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39" sqref="F1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242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242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242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242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242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265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267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195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231</v>
      </c>
      <c r="O135" s="39">
        <v>416350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235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268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242</v>
      </c>
      <c r="F138" s="27">
        <v>1</v>
      </c>
      <c r="G138" s="28">
        <f t="shared" si="30"/>
        <v>4.2</v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242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4</v>
      </c>
      <c r="G149" s="36">
        <f>SUM(G137:G148)</f>
        <v>16.8</v>
      </c>
      <c r="H149" s="37"/>
      <c r="I149" s="37"/>
      <c r="J149" s="37"/>
      <c r="K149" s="37"/>
      <c r="L149" s="37"/>
      <c r="M149" s="38">
        <f ca="1">IFERROR(SUM(M137:M148),"")</f>
        <v>2.083333333333337E-2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4</v>
      </c>
      <c r="G163" s="40">
        <f>G149+G162</f>
        <v>16.8</v>
      </c>
      <c r="H163" s="41"/>
      <c r="I163" s="41"/>
      <c r="J163" s="41"/>
      <c r="K163" s="41"/>
      <c r="L163" s="41"/>
      <c r="M163" s="42">
        <f ca="1">IFERROR(M149+M162,"")</f>
        <v>2.083333333333337E-2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22" activePane="bottomLeft" state="frozen"/>
      <selection pane="bottomLeft" activeCell="N139" sqref="N13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242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242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242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242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242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242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242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242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260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127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260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231</v>
      </c>
      <c r="O135" s="39">
        <v>912240</v>
      </c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235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242</v>
      </c>
      <c r="F138" s="27">
        <v>24</v>
      </c>
      <c r="G138" s="28">
        <f t="shared" si="30"/>
        <v>100.80000000000001</v>
      </c>
      <c r="H138" s="26" t="s">
        <v>20</v>
      </c>
      <c r="I138" s="26" t="s">
        <v>159</v>
      </c>
      <c r="J138" s="26" t="s">
        <v>36</v>
      </c>
      <c r="K138" s="29">
        <v>0.40625</v>
      </c>
      <c r="L138" s="29"/>
      <c r="M138" s="30">
        <f t="shared" ca="1" si="31"/>
        <v>3.9872685156296939E-3</v>
      </c>
      <c r="N138" s="27" t="s">
        <v>278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242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230</v>
      </c>
      <c r="B149" s="88"/>
      <c r="C149" s="88"/>
      <c r="D149" s="88"/>
      <c r="E149" s="89">
        <f>SUM(E137:E148)</f>
        <v>0</v>
      </c>
      <c r="F149" s="36">
        <f>SUM(F137:F148)</f>
        <v>44</v>
      </c>
      <c r="G149" s="36">
        <f>SUM(G137:G148)</f>
        <v>184.8</v>
      </c>
      <c r="H149" s="37"/>
      <c r="I149" s="37"/>
      <c r="J149" s="37"/>
      <c r="K149" s="61"/>
      <c r="L149" s="61"/>
      <c r="M149" s="38">
        <f ca="1">IFERROR(SUM(M137:M148),"")</f>
        <v>1.4403935182296324E-2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44</v>
      </c>
      <c r="G163" s="40">
        <f>G149+G162</f>
        <v>184.8</v>
      </c>
      <c r="H163" s="41"/>
      <c r="I163" s="41"/>
      <c r="J163" s="41"/>
      <c r="K163" s="63"/>
      <c r="L163" s="63"/>
      <c r="M163" s="42">
        <f ca="1">IFERROR(M149+M162,"")</f>
        <v>1.4403935182296324E-2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2026-08-06T13:51:10Z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