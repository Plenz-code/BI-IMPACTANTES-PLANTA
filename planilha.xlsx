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45" documentId="8_{AF585B22-221D-4780-BB9C-493D365A6A02}" xr6:coauthVersionLast="47" xr6:coauthVersionMax="47" xr10:uidLastSave="{EE834A59-47B1-45F9-90D0-B7FBE4404421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<sst xmlns="http://schemas.openxmlformats.org/spreadsheetml/2006/main" count="12356" uniqueCount="439">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</sst>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F816" sqref="F81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>
        <v>1802980</v>
      </c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233</v>
      </c>
      <c r="F812" s="100">
        <v>18</v>
      </c>
      <c r="G812" s="104">
        <v>50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233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233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233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233</v>
      </c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233</v>
      </c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233</v>
      </c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233</v>
      </c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233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233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233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233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44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44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1" activePane="bottomLeft" state="frozen"/>
      <selection pane="bottomLeft" activeCell="F816" sqref="F8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0.22096574073657393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0.37860462962546282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0.48832685184768498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0.19943796296138316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0.37027129629471656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0.51541018518360548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>
        <v>819240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26</v>
      </c>
      <c r="G813" s="104">
        <f>IF(F813="","",IF(E813="PC 17",F813*4.2,IF(E813="PC 19",F813*5,"")))</f>
        <v>109.2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>
        <v>18</v>
      </c>
      <c r="G814" s="104">
        <f>IF(F814="","",IF(E814="PC 17",F814*4.2,IF(E814="PC 19",F814*5,"")))</f>
        <v>75.600000000000009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75</v>
      </c>
      <c r="G824" s="109">
        <f>SUM(G812:G823)</f>
        <v>315</v>
      </c>
      <c r="H824" s="37"/>
      <c r="I824" s="37"/>
      <c r="J824" s="37"/>
      <c r="K824" s="37"/>
      <c r="L824" s="37"/>
      <c r="M824" s="110">
        <f ca="1">IFERROR(SUM(M812:M823),"")</f>
        <v>1.8055555555555547E-2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75</v>
      </c>
      <c r="G838" s="111">
        <f>G824+G837</f>
        <v>315</v>
      </c>
      <c r="H838" s="41"/>
      <c r="I838" s="41"/>
      <c r="J838" s="41"/>
      <c r="K838" s="41"/>
      <c r="L838" s="41"/>
      <c r="M838" s="112">
        <f ca="1">IFERROR(M824+M837,"")</f>
        <v>1.8055555555555547E-2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16" sqref="F8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>
        <v>291990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10</v>
      </c>
      <c r="G812" s="104">
        <f>IF(F812="","",IF(E812="PC 17",F812*4.2,IF(E812="PC 19",F812*5,"")))</f>
        <v>42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42</v>
      </c>
      <c r="G824" s="109">
        <f>SUM(G812:G823)</f>
        <v>176.4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42</v>
      </c>
      <c r="G838" s="111">
        <f>G824+G837</f>
        <v>176.4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789" activePane="bottomLeft" state="frozen"/>
      <selection pane="bottomLeft" activeCell="F816" sqref="F8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0.21124351851904066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0.41054907407459629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0.77791018518570731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>
        <v>784390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>
        <v>6</v>
      </c>
      <c r="G814" s="104">
        <f>IF(F814="","",IF(E814="PC 17",F814*4.2,IF(E814="PC 19",F814*5,"")))</f>
        <v>25.200000000000003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32</v>
      </c>
      <c r="G824" s="109">
        <f>SUM(G812:G823)</f>
        <v>134.4</v>
      </c>
      <c r="H824" s="37"/>
      <c r="I824" s="37"/>
      <c r="J824" s="37"/>
      <c r="K824" s="37"/>
      <c r="L824" s="37"/>
      <c r="M824" s="110">
        <f ca="1">IFERROR(SUM(M812:M823),"")</f>
        <v>7.0833333333333304E-2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32</v>
      </c>
      <c r="G838" s="111">
        <f>G824+G837</f>
        <v>134.4</v>
      </c>
      <c r="H838" s="41"/>
      <c r="I838" s="41"/>
      <c r="J838" s="41"/>
      <c r="K838" s="41"/>
      <c r="L838" s="41"/>
      <c r="M838" s="112">
        <f ca="1">IFERROR(M824+M837,"")</f>
        <v>7.0833333333333304E-2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2026-07-31T15:04:22Z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