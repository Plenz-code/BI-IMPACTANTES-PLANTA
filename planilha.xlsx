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3" documentId="8_{AF585B22-221D-4780-BB9C-493D365A6A02}" xr6:coauthVersionLast="47" xr6:coauthVersionMax="47" xr10:uidLastSave="{618B13A3-42F1-45A7-97FE-46989875AC8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<sst xmlns="http://schemas.openxmlformats.org/spreadsheetml/2006/main" count="1675" uniqueCount="210">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</sst>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7" sqref="F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/>
      <c r="M43" s="35">
        <f t="shared" ca="1" si="10"/>
        <v>1.1943402780161705E-2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355</v>
      </c>
      <c r="H54" s="37"/>
      <c r="I54" s="37"/>
      <c r="J54" s="37"/>
      <c r="K54" s="37"/>
      <c r="L54" s="37"/>
      <c r="M54" s="38">
        <f ca="1">IFERROR(SUM(M42:M53),"")</f>
        <v>9.5276736113495075E-2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92</v>
      </c>
      <c r="G55" s="40">
        <f>G41+G54</f>
        <v>460</v>
      </c>
      <c r="H55" s="41"/>
      <c r="I55" s="41"/>
      <c r="J55" s="41"/>
      <c r="K55" s="41"/>
      <c r="L55" s="41"/>
      <c r="M55" s="42">
        <f ca="1">IFERROR(M41+M54,"")</f>
        <v>0.55499895833571733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/>
      <c r="M43" s="35"/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ref="M43:M53" ca="1" si="11">IFERROR(IF(K44="","",IF(L44="",MOD(NOW()-K44,1),IF(L44&gt;=K44,L44-K44,L44+1-K44))),"")</f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5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134.39999999999998</v>
      </c>
      <c r="H54" s="37"/>
      <c r="I54" s="37"/>
      <c r="J54" s="37"/>
      <c r="K54" s="37"/>
      <c r="L54" s="37"/>
      <c r="M54" s="38">
        <f ca="1">IFERROR(SUM(M42:M53),"")</f>
        <v>4.3749999999999956E-2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120</v>
      </c>
      <c r="G55" s="40">
        <f>G41+G54</f>
        <v>504</v>
      </c>
      <c r="H55" s="41"/>
      <c r="I55" s="41"/>
      <c r="J55" s="41"/>
      <c r="K55" s="41"/>
      <c r="L55" s="41"/>
      <c r="M55" s="42">
        <f ca="1">IFERROR(M41+M54,"")</f>
        <v>0.12361111111111106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" activePane="bottomLeft" state="frozen"/>
      <selection pane="bottomLeft" activeCell="F47" sqref="F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8.8888888888888906E-2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89</v>
      </c>
      <c r="G55" s="40">
        <f>G41+G54</f>
        <v>373.80000000000007</v>
      </c>
      <c r="H55" s="41"/>
      <c r="I55" s="41"/>
      <c r="J55" s="41"/>
      <c r="K55" s="41"/>
      <c r="L55" s="41"/>
      <c r="M55" s="42">
        <f ca="1">IFERROR(M41+M54,"")</f>
        <v>0.24374999999999997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G47" sqref="G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86</v>
      </c>
      <c r="G54" s="36">
        <f>SUM(G42:G53)</f>
        <v>361.20000000000005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171</v>
      </c>
      <c r="G55" s="40">
        <f>G41+G54</f>
        <v>718.2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2026-07-03T05:02:25Z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