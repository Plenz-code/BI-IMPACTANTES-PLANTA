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284" documentId="8_{AF585B22-221D-4780-BB9C-493D365A6A02}" xr6:coauthVersionLast="47" xr6:coauthVersionMax="47" xr10:uidLastSave="{8CD2B51A-E0FD-455C-91CB-B403B5E78489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<sst xmlns="http://schemas.openxmlformats.org/spreadsheetml/2006/main" count="7260" uniqueCount="344">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</sst>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34" activePane="bottomLeft" state="frozen"/>
      <selection pane="bottomLeft" activeCell="J447" sqref="J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/>
      <c r="M447" s="35">
        <f t="shared" ref="M447:M458" ca="1" si="100">IFERROR(IF(K447="","",IF(L447="",MOD(NOW()-K447,1),IF(L447&gt;=K447,L447-K447,L447+1-K447))),"")</f>
        <v>1.293865740444744E-2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25</v>
      </c>
      <c r="G459" s="36">
        <f>SUM(G447:G458)</f>
        <v>105</v>
      </c>
      <c r="H459" s="37"/>
      <c r="I459" s="37"/>
      <c r="J459" s="37"/>
      <c r="K459" s="37"/>
      <c r="L459" s="37"/>
      <c r="M459" s="38">
        <f ca="1">IFERROR(SUM(M447:M458),"")</f>
        <v>1.293865740444744E-2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204</v>
      </c>
      <c r="G460" s="40">
        <f>G446+G459</f>
        <v>1000</v>
      </c>
      <c r="H460" s="41"/>
      <c r="I460" s="41"/>
      <c r="J460" s="41"/>
      <c r="K460" s="41"/>
      <c r="L460" s="41"/>
      <c r="M460" s="42">
        <f ca="1">IFERROR(M446+M459,"")</f>
        <v>0.25043865740444748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33" activePane="bottomLeft" state="frozen"/>
      <selection pane="bottomLeft" activeCell="F448" sqref="F4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0.59974421295919456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0.75738310184808344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0.86710532407030561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0.57821643518400379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0.74904976851733718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0.89418865740622611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/>
      <c r="M447" s="35">
        <f t="shared" ref="M447:M458" ca="1" si="100">IFERROR(IF(K447="","",IF(L447="",MOD(NOW()-K447,1),IF(L447&gt;=K447,L447-K447,L447+1-K447))),"")</f>
        <v>1.6410879630711861E-2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225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1.6410879630711861E-2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8.5855324075156336E-2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48" sqref="F4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225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2.083333333333437E-3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0.20000000000000018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48" sqref="F4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0.59002199074166128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0.78932754629721691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1.1566886574083279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225</v>
      </c>
      <c r="F448" s="27"/>
      <c r="G448" s="28" t="str">
        <f t="shared" si="99"/>
        <v/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/>
      <c r="M449" s="35">
        <f t="shared" ca="1" si="100"/>
        <v>1.9883101849700324E-2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343</v>
      </c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>IF(F451="","",IF(#REF!="PC 17",F451*4.2,IF(#REF!="PC 19",F451*5,"")))</f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3.8633101849700369E-2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8.9327546294144966E-2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2026-07-18T00:09:00Z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