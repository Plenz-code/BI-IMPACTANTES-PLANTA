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742" documentId="8_{AF585B22-221D-4780-BB9C-493D365A6A02}" xr6:coauthVersionLast="47" xr6:coauthVersionMax="47" xr10:uidLastSave="{019E7617-AE3F-44DD-9AF7-835862EFDDC4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<sst xmlns="http://schemas.openxmlformats.org/spreadsheetml/2006/main" count="10914" uniqueCount="408">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</sst>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18" sqref="F71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/>
      <c r="I717" s="33"/>
      <c r="J717" s="33"/>
      <c r="K717" s="29">
        <v>0.83333333333333337</v>
      </c>
      <c r="L717" s="29"/>
      <c r="M717" s="35">
        <f t="shared" ref="M717:M728" ca="1" si="160">IFERROR(IF(K717="","",IF(L717="",MOD(NOW()-K717,1),IF(L717&gt;=K717,L717-K717,L717+1-K717))),"")</f>
        <v>2.9636458333698101E-2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</v>
      </c>
      <c r="G729" s="36">
        <f>SUM(G717:G728)</f>
        <v>75</v>
      </c>
      <c r="H729" s="37"/>
      <c r="I729" s="37"/>
      <c r="J729" s="37"/>
      <c r="K729" s="37"/>
      <c r="L729" s="37"/>
      <c r="M729" s="38">
        <f ca="1">IFERROR(SUM(M717:M728),"")</f>
        <v>2.9636458333698101E-2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318</v>
      </c>
      <c r="G730" s="40">
        <f>G716+G729</f>
        <v>1590</v>
      </c>
      <c r="H730" s="41"/>
      <c r="I730" s="41"/>
      <c r="J730" s="41"/>
      <c r="K730" s="41"/>
      <c r="L730" s="41"/>
      <c r="M730" s="42">
        <f ca="1">IFERROR(M716+M729,"")</f>
        <v>0.11921979166703134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03" activePane="bottomLeft" state="frozen"/>
      <selection pane="bottomLeft" activeCell="K719" sqref="K7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0.6233864583336981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0.78102534722258699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0.89074756944480915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0.60185868055850733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0.77269201389184072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0.91783090278072965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258</v>
      </c>
      <c r="F718" s="27"/>
      <c r="G718" s="28" t="str">
        <f t="shared" si="159"/>
        <v/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/>
      <c r="M718" s="30">
        <f t="shared" ca="1" si="160"/>
        <v>1.8586805599625222E-3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</v>
      </c>
      <c r="G729" s="36">
        <f>SUM(G717:G728)</f>
        <v>71.400000000000006</v>
      </c>
      <c r="H729" s="37"/>
      <c r="I729" s="37"/>
      <c r="J729" s="37"/>
      <c r="K729" s="37"/>
      <c r="L729" s="37"/>
      <c r="M729" s="38">
        <f ca="1">IFERROR(SUM(M717:M728),"")</f>
        <v>2.6164236115518102E-2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134</v>
      </c>
      <c r="G730" s="40">
        <f>G716+G729</f>
        <v>562.80000000000007</v>
      </c>
      <c r="H730" s="41"/>
      <c r="I730" s="41"/>
      <c r="J730" s="41"/>
      <c r="K730" s="41"/>
      <c r="L730" s="41"/>
      <c r="M730" s="42">
        <f ca="1">IFERROR(M716+M729,"")</f>
        <v>0.319914236115518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02" zoomScale="50" zoomScaleNormal="50" workbookViewId="0">
      <selection activeCell="K718" sqref="K7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336</v>
      </c>
      <c r="N166" s="27" t="s">
        <v>337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4</v>
      </c>
      <c r="G729" s="36">
        <f>SUM(G717:G728)</f>
        <v>16.8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80</v>
      </c>
      <c r="G730" s="40">
        <f>G716+G729</f>
        <v>336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L718" sqref="L71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362</v>
      </c>
      <c r="L58" s="29">
        <v>0.54097222222222219</v>
      </c>
      <c r="M58" s="30" t="str">
        <f t="shared" ca="1" si="13"/>
        <v/>
      </c>
      <c r="N58" s="27" t="s">
        <v>363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0.61366423611616483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0.81296979167172045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1.1803309027828315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/>
      <c r="D717" s="62"/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62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20</v>
      </c>
      <c r="G729" s="36">
        <f>SUM(G717:G728)</f>
        <v>84</v>
      </c>
      <c r="H729" s="37"/>
      <c r="I729" s="37"/>
      <c r="J729" s="37"/>
      <c r="K729" s="61"/>
      <c r="L729" s="61"/>
      <c r="M729" s="38">
        <f ca="1">IFERROR(SUM(M717:M728),"")</f>
        <v>1.5972222222222165E-2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152</v>
      </c>
      <c r="G730" s="40">
        <f>G716+G729</f>
        <v>638.40000000000009</v>
      </c>
      <c r="H730" s="41"/>
      <c r="I730" s="41"/>
      <c r="J730" s="41"/>
      <c r="K730" s="63"/>
      <c r="L730" s="63"/>
      <c r="M730" s="42">
        <f ca="1">IFERROR(M716+M729,"")</f>
        <v>0.22222222222222215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2026-07-28T00:43:11Z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