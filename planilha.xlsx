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78" documentId="13_ncr:1_{0A10D8D4-8450-4366-8075-B53B08E6B7EA}" xr6:coauthVersionLast="47" xr6:coauthVersionMax="47" xr10:uidLastSave="{9041ECEE-6ADD-490F-A8B4-8346073D61ED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6" i="6" l="1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<sst xmlns="http://schemas.openxmlformats.org/spreadsheetml/2006/main" count="6562" uniqueCount="349">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</sst>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885120</v>
      </c>
      <c r="G17" s="12">
        <f t="shared" si="0"/>
        <v>3006380</v>
      </c>
      <c r="H17" s="96">
        <f>IFERROR('Linha 1'!T379+'Linha 2'!T379+'Linha 3'!T379,0)</f>
        <v>631.33979999999985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16653160</v>
      </c>
      <c r="E35" s="13">
        <f t="shared" si="2"/>
        <v>8465690</v>
      </c>
      <c r="F35" s="13">
        <f t="shared" si="2"/>
        <v>20706730</v>
      </c>
      <c r="G35" s="13">
        <f t="shared" si="2"/>
        <v>45825580</v>
      </c>
      <c r="H35" s="97">
        <f t="shared" si="2"/>
        <v>1618.4896685373517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H375" sqref="H37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S379" sqref="S37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0.16344143517926568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0.30233032406815458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0.38705254629037689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50" activePane="bottomLeft" state="frozen"/>
      <selection pane="bottomLeft" activeCell="S379" sqref="S37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G378" sqref="G37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0</v>
      </c>
      <c r="I375" s="135">
        <f>IFERROR(IF($D375="","",VLOOKUP($D375,Cadastro!$C$4:$G$7,5,FALSE)),"")</f>
        <v>0.6</v>
      </c>
      <c r="J375" s="136">
        <f t="shared" si="86"/>
        <v>0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0</v>
      </c>
      <c r="I376" s="135">
        <f>IFERROR(IF($D376="","",VLOOKUP($D376,Cadastro!$C$4:$G$7,5,FALSE)),"")</f>
        <v>0.6</v>
      </c>
      <c r="J376" s="136">
        <f t="shared" si="86"/>
        <v>0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0</v>
      </c>
      <c r="I377" s="138">
        <f>IFERROR(IF($D377="","",VLOOKUP($D377,Cadastro!$C$4:$G$7,5,FALSE)),"")</f>
        <v>0.6</v>
      </c>
      <c r="J377" s="139">
        <f t="shared" si="86"/>
        <v>0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2026-08-15T10:50:55Z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