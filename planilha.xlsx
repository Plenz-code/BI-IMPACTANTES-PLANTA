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648" documentId="8_{AF585B22-221D-4780-BB9C-493D365A6A02}" xr6:coauthVersionLast="47" xr6:coauthVersionMax="47" xr10:uidLastSave="{CB433393-4C6D-46D9-94F2-7DD62343AF8E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<sst xmlns="http://schemas.openxmlformats.org/spreadsheetml/2006/main" count="5933" uniqueCount="315">
  <si>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</si>
  <si>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</si>
  <si>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</si>
  <si>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</si>
  <si>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</si>
  <si>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</si>
  <si>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</si>
  <si>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</si>
  <si>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</si>
  <si>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</si>
  <si>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</si>
  <si>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</si>
  <si>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</si>
  <si>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</si>
  <si>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</si>
  <si>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</si>
  <si>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</si>
  <si>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</si>
  <si>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</si>
  <si>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</si>
  <si>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</si>
  <si>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</si>
  <si>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</si>
  <si>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</si>
  <si>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</si>
  <si>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</si>
  <si>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</si>
  <si>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</si>
  <si>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</si>
  <si>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</si>
  <si>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</si>
  <si>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</si>
  <si>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</si>
  <si>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</si>
  <si>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</si>
  <si>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</si>
  <si>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</si>
  <si>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</si>
  <si>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</si>
  <si>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</si>
  <si>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</si>
  <si>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</si>
  <si>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</si>
  <si>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</si>
  <si>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</si>
  <si>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</si>
  <si>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</si>
  <si>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</si>
  <si>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</si>
  <si>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</si>
  <si>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</si>
  <si>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</si>
  <si>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</si>
  <si>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</si>
  <si>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</si>
  <si>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</si>
  <si>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</si>
  <si>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</si>
  <si>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</si>
  <si>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</si>
  <si>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</si>
  <si>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</si>
  <si>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</si>
  <si>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</si>
  <si>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</si>
  <si>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</si>
  <si>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</si>
  <si>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</si>
  <si>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</si>
  <si>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</si>
  <si>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</si>
  <si>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</si>
  <si>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</si>
  <si>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</si>
  <si>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</si>
  <si>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</si>
  <si>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</si>
  <si>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</si>
  <si>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</si>
  <si>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</si>
  <si>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</si>
  <si>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</si>
  <si>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</si>
  <si>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</si>
  <si>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</si>
  <si>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</si>
  <si>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</si>
  <si>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</si>
  <si>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</si>
  <si>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</si>
  <si>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</si>
  <si>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</si>
  <si>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</si>
  <si>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</si>
  <si>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</si>
  <si>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</si>
  <si>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</si>
  <si>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</si>
  <si>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</si>
  <si>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</si>
  <si>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</si>
  <si>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</si>
  <si>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</si>
  <si>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</si>
  <si>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</si>
  <si>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</si>
  <si>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</si>
  <si>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</si>
  <si>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</si>
  <si>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</si>
  <si>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</si>
  <si>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</si>
  <si>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</si>
  <si>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</si>
  <si>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</si>
  <si>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</si>
  <si>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</si>
  <si>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</si>
  <si>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</si>
  <si>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</si>
  <si>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</si>
  <si>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</si>
  <si>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</si>
  <si>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</si>
  <si>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</si>
  <si>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</si>
  <si>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</si>
  <si>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</si>
  <si>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</si>
  <si>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</si>
  <si>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</si>
  <si>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</si>
  <si>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</si>
  <si>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</si>
  <si>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</si>
  <si>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</si>
  <si>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</si>
  <si>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</si>
  <si>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</si>
  <si>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</si>
  <si>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</si>
  <si>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</si>
  <si>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</si>
  <si>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</si>
  <si>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</si>
  <si>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</si>
  <si>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</si>
  <si>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</si>
  <si>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</si>
  <si>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</si>
  <si>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</si>
  <si>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</si>
  <si>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</si>
  <si>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</si>
  <si>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</si>
  <si>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</si>
  <si>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</si>
  <si>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</si>
  <si>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</si>
  <si>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</si>
  <si>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</si>
  <si>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</si>
  <si>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</si>
  <si>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</si>
  <si>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</si>
  <si>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</si>
  <si>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</si>
  <si>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</si>
  <si>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</si>
  <si>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</si>
  <si>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</si>
  <si>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</si>
  <si>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</si>
  <si>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</si>
  <si>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</si>
  <si>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</si>
  <si>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</si>
  <si>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</si>
  <si>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</si>
  <si>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</si>
  <si>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</si>
  <si>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</si>
  <si>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</si>
  <si>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</si>
  <si>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</si>
  <si>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</si>
  <si>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</si>
  <si>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</si>
  <si>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</si>
  <si>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</si>
  <si>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</si>
  <si>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</si>
  <si>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</si>
  <si>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</si>
  <si>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</si>
  <si>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</si>
  <si>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</si>
  <si>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</si>
  <si>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</si>
  <si>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</si>
  <si>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</si>
  <si>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</si>
  <si>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</si>
  <si>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</si>
  <si>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</si>
  <si>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</si>
  <si>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</si>
  <si>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</si>
  <si>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</si>
  <si>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</si>
  <si>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</si>
  <si>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</si>
  <si>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</si>
  <si>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</si>
  <si>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</si>
  <si>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</si>
  <si>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</si>
  <si>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</si>
  <si>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</si>
  <si>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</si>
  <si>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</si>
  <si>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</si>
  <si>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</si>
  <si>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</si>
  <si>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</si>
  <si>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</si>
  <si>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</si>
  <si>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</si>
  <si>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</si>
  <si>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</si>
  <si>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</si>
  <si>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</si>
  <si>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</si>
  <si>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</si>
  <si>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</si>
  <si>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</si>
  <si>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na tc2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</si>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</sst>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N9" sqref="N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38990102</v>
      </c>
      <c r="D35" s="13">
        <f>IFERROR(SUM(D4:D34),"")</f>
        <v>14425670</v>
      </c>
      <c r="E35" s="13">
        <f>IFERROR(SUM(E4:E34),"")</f>
        <v>9797450</v>
      </c>
      <c r="F35" s="13">
        <f>IFERROR(SUM(F4:F34),"")</f>
        <v>18114640</v>
      </c>
      <c r="G35" s="13">
        <f>IFERROR(SUM(G4:G34),"")</f>
        <v>42337760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0" activePane="bottomLeft" state="frozen"/>
      <selection pane="bottomLeft" activeCell="F361" sqref="F36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130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 t="s">
        <v>236</v>
      </c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163</v>
      </c>
      <c r="G365" s="36">
        <f>SUM(G353:G364)</f>
        <v>815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163</v>
      </c>
      <c r="G379" s="40">
        <f>G365+G378</f>
        <v>815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39" activePane="bottomLeft" state="frozen"/>
      <selection pane="bottomLeft" activeCell="F356" sqref="F35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262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237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237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237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266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267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237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237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237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237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237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237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237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237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237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40</v>
      </c>
      <c r="G365" s="36">
        <f>SUM(G353:G364)</f>
        <v>168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40</v>
      </c>
      <c r="G379" s="40">
        <f>G365+G378</f>
        <v>168</v>
      </c>
      <c r="H379" s="41"/>
      <c r="I379" s="41"/>
      <c r="J379" s="41"/>
      <c r="K379" s="41"/>
      <c r="L379" s="41"/>
      <c r="M379" s="42">
        <f ca="1">IFERROR(M365+M378,"")</f>
        <v>4.7222222222222165E-2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52" zoomScale="50" zoomScaleNormal="50" workbookViewId="0">
      <selection activeCell="F361" sqref="F36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276</v>
      </c>
      <c r="N166" s="27" t="s">
        <v>277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237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/>
      <c r="M353" s="35">
        <f t="shared" ref="M353:M364" ca="1" si="79">IFERROR(IF(K353="","",IF(L353="",MOD(NOW()-K353,1),IF(L353&gt;=K353,L353-K353,L353+1-K353))),"")</f>
        <v>0.34810266204294749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237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237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237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237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</v>
      </c>
      <c r="G365" s="36">
        <f>SUM(G353:G364)</f>
        <v>8.4</v>
      </c>
      <c r="H365" s="37"/>
      <c r="I365" s="37"/>
      <c r="J365" s="37"/>
      <c r="K365" s="37"/>
      <c r="L365" s="37"/>
      <c r="M365" s="38">
        <f ca="1">IFERROR(SUM(M353:M364),"")</f>
        <v>0.34810266204294749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</v>
      </c>
      <c r="G379" s="40">
        <f>G365+G378</f>
        <v>8.4</v>
      </c>
      <c r="H379" s="41"/>
      <c r="I379" s="41"/>
      <c r="J379" s="41"/>
      <c r="K379" s="41"/>
      <c r="L379" s="41"/>
      <c r="M379" s="42">
        <f ca="1">IFERROR(M365+M378,"")</f>
        <v>0.34810266204294749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40" activePane="bottomLeft" state="frozen"/>
      <selection pane="bottomLeft" activeCell="F361" sqref="F36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291</v>
      </c>
      <c r="L58" s="29">
        <v>0.54097222222222219</v>
      </c>
      <c r="M58" s="30" t="str">
        <f t="shared" ca="1" si="13"/>
        <v/>
      </c>
      <c r="N58" s="27" t="s">
        <v>292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0.39046388889255468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0.5897694444481103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0.95713055555922133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237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237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237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237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246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237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237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237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237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237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237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/>
      <c r="M357" s="35">
        <f t="shared" ca="1" si="79"/>
        <v>3.7686111114453524E-2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237</v>
      </c>
      <c r="F358" s="27">
        <v>21</v>
      </c>
      <c r="G358" s="28">
        <f t="shared" si="78"/>
        <v>88.2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237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237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237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237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78</v>
      </c>
      <c r="G365" s="36">
        <f>SUM(G353:G364)</f>
        <v>327.59999999999997</v>
      </c>
      <c r="H365" s="37"/>
      <c r="I365" s="37"/>
      <c r="J365" s="37"/>
      <c r="K365" s="61"/>
      <c r="L365" s="61"/>
      <c r="M365" s="38">
        <f ca="1">IFERROR(SUM(M353:M364),"")</f>
        <v>7.7963888892231381E-2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78</v>
      </c>
      <c r="G379" s="40">
        <f>G365+G378</f>
        <v>327.59999999999997</v>
      </c>
      <c r="H379" s="41"/>
      <c r="I379" s="41"/>
      <c r="J379" s="41"/>
      <c r="K379" s="63"/>
      <c r="L379" s="63"/>
      <c r="M379" s="42">
        <f ca="1">IFERROR(M365+M378,"")</f>
        <v>7.7963888892231381E-2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2026-07-14T19:21:28Z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