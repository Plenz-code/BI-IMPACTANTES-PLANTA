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5" documentId="13_ncr:1_{A6DBCFB4-28D9-4249-9038-216934055CA6}" xr6:coauthVersionLast="47" xr6:coauthVersionMax="47" xr10:uidLastSave="{82FD9530-B578-4036-9634-F486F0865872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608" i="6" l="1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C35" i="1" l="1"/>
  <c r="S622" i="6"/>
  <c r="F26" i="1" s="1"/>
  <c r="H599" i="6"/>
  <c r="J599" i="6" s="1"/>
  <c r="H600" i="6"/>
  <c r="J600" i="6" s="1"/>
  <c r="H596" i="6"/>
  <c r="H608" i="6" s="1"/>
  <c r="H622" i="6" s="1"/>
  <c r="F35" i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Q55" i="6" l="1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<sst xmlns="http://schemas.openxmlformats.org/spreadsheetml/2006/main" count="10083" uniqueCount="428">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</sst>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R17" sqref="R1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2100270</v>
      </c>
      <c r="D26" s="19">
        <f>IFERROR('Linha 1'!S622,"")</f>
        <v>705800</v>
      </c>
      <c r="E26" s="19">
        <f>IFERROR('Linha 2'!S622,"")</f>
        <v>341670</v>
      </c>
      <c r="F26" s="19">
        <f>IFERROR('Linha 3'!S622,"")</f>
        <v>709960</v>
      </c>
      <c r="G26" s="20">
        <f t="shared" si="0"/>
        <v>1757430</v>
      </c>
      <c r="H26" s="21">
        <f>IFERROR('Linha 1'!T622+'Linha 2'!T622+'Linha 3'!T622,0)</f>
        <v>369.06029999999998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81941650</v>
      </c>
      <c r="D35" s="30">
        <f t="shared" si="2"/>
        <v>26091950</v>
      </c>
      <c r="E35" s="30">
        <f t="shared" si="2"/>
        <v>14925110</v>
      </c>
      <c r="F35" s="30">
        <f t="shared" si="2"/>
        <v>35124290</v>
      </c>
      <c r="G35" s="30">
        <f t="shared" si="2"/>
        <v>76141350</v>
      </c>
      <c r="H35" s="31">
        <f t="shared" si="2"/>
        <v>7575.1179326915126</v>
      </c>
      <c r="I35" s="31">
        <f t="shared" si="2"/>
        <v>4967.05</v>
      </c>
      <c r="J35" s="32">
        <f>I35/H35</f>
        <v>0.65570596314599672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F1" zoomScale="80" zoomScaleNormal="80" workbookViewId="0">
      <pane ySplit="1" topLeftCell="A593" activePane="bottomLeft" state="frozen"/>
      <selection pane="bottomLeft" activeCell="P615" sqref="P615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0.33599710648559267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0.49710821759670376</v>
      </c>
      <c r="N608" s="2" t="s">
        <v>263</v>
      </c>
      <c r="O608" s="74">
        <v>2100270</v>
      </c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0.49710821759670376</v>
      </c>
      <c r="N622" s="1" t="s">
        <v>266</v>
      </c>
      <c r="O622" s="82">
        <f>IFERROR(O608+O621,"")</f>
        <v>2100270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opLeftCell="G1" zoomScale="80" zoomScaleNormal="80" workbookViewId="0">
      <pane ySplit="1" topLeftCell="A585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0.71794155092356959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0.85683043981245732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0.94155266203468013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0.33252488425932825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0.34780266203710603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705.80000000000007</v>
      </c>
      <c r="I622" s="110"/>
      <c r="J622" s="111">
        <f>IFERROR(J608+J621,"")</f>
        <v>148.21799999999999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0.34780266203710603</v>
      </c>
      <c r="R622" s="1" t="s">
        <v>266</v>
      </c>
      <c r="S622" s="82">
        <f>S608+S621</f>
        <v>705800</v>
      </c>
      <c r="T622" s="118">
        <f>IFERROR(J622,"")</f>
        <v>148.21799999999999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86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341.66999999999996</v>
      </c>
      <c r="I622" s="110"/>
      <c r="J622" s="111">
        <f>IFERROR(J608+J621,"")</f>
        <v>71.750699999999995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341670</v>
      </c>
      <c r="T622" s="118">
        <f>IFERROR(J622,"")</f>
        <v>71.750699999999995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0" activePane="bottomLeft" state="frozen"/>
      <selection pane="bottomLeft" activeCell="S609" sqref="S6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709.95999999999992</v>
      </c>
      <c r="I622" s="110"/>
      <c r="J622" s="111">
        <f>IFERROR(J608+J621,"")</f>
        <v>149.09159999999997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709960</v>
      </c>
      <c r="T622" s="118">
        <f>IFERROR(J622,"")</f>
        <v>149.09159999999997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2026-08-24T00:09:31Z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