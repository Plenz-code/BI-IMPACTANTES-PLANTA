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941" documentId="8_{AF585B22-221D-4780-BB9C-493D365A6A02}" xr6:coauthVersionLast="47" xr6:coauthVersionMax="47" xr10:uidLastSave="{9FA9C7C9-E082-4D65-80D4-DEAB84C0F331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84" i="5" l="1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<sst xmlns="http://schemas.openxmlformats.org/spreadsheetml/2006/main" count="5344" uniqueCount="306">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</sst>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955688</v>
      </c>
      <c r="D15" s="11">
        <f>IFERROR('Linha 1'!O325,"")</f>
        <v>605560</v>
      </c>
      <c r="E15" s="11">
        <f>IFERROR('Linha 2'!O325,"")</f>
        <v>373300</v>
      </c>
      <c r="F15" s="11">
        <f>IFERROR('Linha 3'!O325,"")</f>
        <v>145580</v>
      </c>
      <c r="G15" s="12">
        <f t="shared" si="0"/>
        <v>1124440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34823228</v>
      </c>
      <c r="D35" s="13">
        <f>IFERROR(SUM(D4:D34),"")</f>
        <v>12465840</v>
      </c>
      <c r="E35" s="13">
        <f>IFERROR(SUM(E4:E34),"")</f>
        <v>8582050</v>
      </c>
      <c r="F35" s="13">
        <f>IFERROR(SUM(F4:F34),"")</f>
        <v>15574780</v>
      </c>
      <c r="G35" s="13">
        <f>IFERROR(SUM(G4:G34),"")</f>
        <v>36622670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K65" sqref="K6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 t="s">
        <v>202</v>
      </c>
      <c r="L63" s="17"/>
      <c r="M63" s="17"/>
    </row>
    <row r="64" spans="1:13" ht="15" customHeight="1">
      <c r="H64" s="101"/>
      <c r="I64" s="16"/>
      <c r="J64" s="16"/>
      <c r="K64" s="16" t="s">
        <v>203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92" activePane="bottomLeft" state="frozen"/>
      <selection pane="bottomLeft" activeCell="F323" sqref="F32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214</v>
      </c>
      <c r="E2" s="59" t="s">
        <v>215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218</v>
      </c>
      <c r="O27" s="39">
        <v>1183060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218</v>
      </c>
      <c r="O54" s="39">
        <v>959290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218</v>
      </c>
      <c r="O81" s="39">
        <v>878050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218</v>
      </c>
      <c r="O108" s="39">
        <v>1700000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218</v>
      </c>
      <c r="O135" s="39">
        <v>862330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218</v>
      </c>
      <c r="O162" s="44">
        <v>1546080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215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215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215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215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215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215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215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215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215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215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218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215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215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215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215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215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215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215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215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215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215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215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215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218</v>
      </c>
      <c r="O189" s="39">
        <v>2355810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221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215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215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215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215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215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215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215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215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215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215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215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215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218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215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215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215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215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215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215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215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215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215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215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215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218</v>
      </c>
      <c r="O216" s="45">
        <v>2013260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221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215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215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215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215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215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215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215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215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215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215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215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218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215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215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215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215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215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215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215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215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215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218</v>
      </c>
      <c r="O243" s="39">
        <v>1545480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221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215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215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215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215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215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215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215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215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215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215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215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215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218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215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215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215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215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215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215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215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215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215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215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215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218</v>
      </c>
      <c r="O270" s="39">
        <v>1182690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221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215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215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215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215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215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215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215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215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215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215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215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215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218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215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228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215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215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215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229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215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229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215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229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215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229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215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229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215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229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215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229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215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229</v>
      </c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218</v>
      </c>
      <c r="O297" s="39">
        <v>1843460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221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230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215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215</v>
      </c>
      <c r="F301" s="27">
        <v>20.5</v>
      </c>
      <c r="G301" s="34">
        <f t="shared" si="66"/>
        <v>102.5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231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215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215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215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215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215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215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215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217.5</v>
      </c>
      <c r="G311" s="36">
        <f>SUM(G299:G310)</f>
        <v>1087.5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218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232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215</v>
      </c>
      <c r="F315" s="27">
        <v>6</v>
      </c>
      <c r="G315" s="34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232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232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232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215</v>
      </c>
      <c r="F319" s="27">
        <v>10</v>
      </c>
      <c r="G319" s="34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232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255.59999999999997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473.09999999999997</v>
      </c>
      <c r="G325" s="40">
        <f>G311+G324</f>
        <v>1237.5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221</v>
      </c>
      <c r="O325" s="48">
        <f>IFERROR(O311+O324,"")</f>
        <v>955688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03" activePane="bottomLeft" state="frozen"/>
      <selection pane="bottomLeft" activeCell="F322" sqref="F3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218</v>
      </c>
      <c r="O27" s="78">
        <v>393200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85">
        <v>276360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218</v>
      </c>
      <c r="O81" s="54">
        <v>787860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218</v>
      </c>
      <c r="O108" s="54">
        <v>1087080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218</v>
      </c>
      <c r="O135" s="54">
        <v>794480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218</v>
      </c>
      <c r="O162" s="54">
        <v>882280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218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218</v>
      </c>
      <c r="O189" s="78"/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218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218</v>
      </c>
      <c r="O216" s="78">
        <v>648410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221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217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218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218</v>
      </c>
      <c r="O243" s="78">
        <v>849060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221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218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215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218</v>
      </c>
      <c r="O270" s="78">
        <v>625070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221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218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218</v>
      </c>
      <c r="O297" s="78">
        <v>761660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221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259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259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218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88</v>
      </c>
      <c r="G324" s="36">
        <f>SUM(G312:G323)</f>
        <v>369.6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218</v>
      </c>
      <c r="O324" s="78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179</v>
      </c>
      <c r="G325" s="40">
        <f>G311+G324</f>
        <v>751.8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221</v>
      </c>
      <c r="O325" s="84">
        <f>IFERROR(O311+O324,"")</f>
        <v>605560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78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78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78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78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78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78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78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78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78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78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78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78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78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78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78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99" zoomScale="50" zoomScaleNormal="50" workbookViewId="0">
      <selection activeCell="K316" sqref="K31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218</v>
      </c>
      <c r="O27" s="39">
        <v>308500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218</v>
      </c>
      <c r="O54" s="39">
        <v>124290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218</v>
      </c>
      <c r="O81" s="39">
        <v>396340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218</v>
      </c>
      <c r="O108" s="39">
        <v>41230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218</v>
      </c>
      <c r="O135" s="39">
        <v>381250</v>
      </c>
    </row>
    <row r="136" spans="1:15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218</v>
      </c>
      <c r="O162" s="39">
        <v>337120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270</v>
      </c>
      <c r="N166" s="27" t="s">
        <v>271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218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218</v>
      </c>
      <c r="O189" s="39">
        <v>747210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221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218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218</v>
      </c>
      <c r="O216" s="39">
        <v>468430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221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218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218</v>
      </c>
      <c r="O243" s="39">
        <v>575930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221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218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218</v>
      </c>
      <c r="O270" s="39">
        <v>483510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221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218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218</v>
      </c>
      <c r="O297" s="39">
        <v>487980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221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215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218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11</v>
      </c>
      <c r="G315" s="34">
        <f t="shared" si="69"/>
        <v>46.2</v>
      </c>
      <c r="H315" s="33"/>
      <c r="I315" s="33"/>
      <c r="J315" s="33"/>
      <c r="K315" s="29" t="s">
        <v>279</v>
      </c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103</v>
      </c>
      <c r="G324" s="36">
        <f>SUM(G312:G323)</f>
        <v>432.60000000000008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172</v>
      </c>
      <c r="G325" s="40">
        <f>G311+G324</f>
        <v>727.2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221</v>
      </c>
      <c r="O325" s="48">
        <f>IFERROR(O311+O324,"")</f>
        <v>373300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218</v>
      </c>
      <c r="O432" s="39"/>
    </row>
    <row r="433" spans="1:15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98" activePane="bottomLeft" state="frozen"/>
      <selection pane="bottomLeft" activeCell="I320" sqref="I32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</cols>
  <sheetData>
    <row r="1" spans="1:15" ht="37.5" customHeight="1">
      <c r="A1" s="68" t="s">
        <v>7</v>
      </c>
      <c r="B1" s="23" t="s">
        <v>204</v>
      </c>
      <c r="C1" s="23" t="s">
        <v>12</v>
      </c>
      <c r="D1" s="22" t="s">
        <v>13</v>
      </c>
      <c r="E1" s="22" t="s">
        <v>205</v>
      </c>
      <c r="F1" s="23" t="s">
        <v>206</v>
      </c>
      <c r="G1" s="23" t="s">
        <v>207</v>
      </c>
      <c r="H1" s="23" t="s">
        <v>14</v>
      </c>
      <c r="I1" s="23" t="s">
        <v>15</v>
      </c>
      <c r="J1" s="23" t="s">
        <v>208</v>
      </c>
      <c r="K1" s="23" t="s">
        <v>209</v>
      </c>
      <c r="L1" s="23" t="s">
        <v>210</v>
      </c>
      <c r="M1" s="24" t="s">
        <v>211</v>
      </c>
      <c r="N1" s="23" t="s">
        <v>212</v>
      </c>
      <c r="O1" s="23" t="s">
        <v>213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217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219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218</v>
      </c>
      <c r="O27" s="39">
        <v>202230</v>
      </c>
    </row>
    <row r="28" spans="1:15" ht="18" customHeight="1">
      <c r="A28" s="94" t="s">
        <v>220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217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219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218</v>
      </c>
      <c r="O54" s="39">
        <v>473910</v>
      </c>
    </row>
    <row r="55" spans="1:15" ht="18" customHeight="1">
      <c r="A55" s="94" t="s">
        <v>220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284</v>
      </c>
      <c r="L58" s="29">
        <v>0.54097222222222219</v>
      </c>
      <c r="M58" s="30" t="str">
        <f t="shared" ca="1" si="13"/>
        <v/>
      </c>
      <c r="N58" s="27" t="s">
        <v>285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217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288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289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219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218</v>
      </c>
      <c r="O81" s="39">
        <v>565120</v>
      </c>
    </row>
    <row r="82" spans="1:15" ht="18" customHeight="1">
      <c r="A82" s="94" t="s">
        <v>220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217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219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218</v>
      </c>
      <c r="O108" s="39">
        <v>558590</v>
      </c>
    </row>
    <row r="109" spans="1:15" ht="18" customHeight="1">
      <c r="A109" s="94" t="s">
        <v>220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217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215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215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0.99986979166715173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219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1.1991753472227074</v>
      </c>
      <c r="N135" s="36" t="s">
        <v>218</v>
      </c>
      <c r="O135" s="39">
        <v>729290</v>
      </c>
    </row>
    <row r="136" spans="1:18" ht="18" customHeight="1">
      <c r="A136" s="94" t="s">
        <v>220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1.5665364583338184</v>
      </c>
      <c r="N136" s="40" t="s">
        <v>221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215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217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219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218</v>
      </c>
      <c r="O162" s="39">
        <v>697320</v>
      </c>
    </row>
    <row r="163" spans="1:15" ht="18" customHeight="1">
      <c r="A163" s="94" t="s">
        <v>220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215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217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218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219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218</v>
      </c>
      <c r="O189" s="39">
        <v>973580</v>
      </c>
    </row>
    <row r="190" spans="1:15" ht="18" customHeight="1">
      <c r="A190" s="94" t="s">
        <v>220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221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298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217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218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215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299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219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218</v>
      </c>
      <c r="O216" s="45">
        <v>1060630</v>
      </c>
    </row>
    <row r="217" spans="1:15" ht="18" customHeight="1">
      <c r="A217" s="94" t="s">
        <v>220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221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217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218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215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215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215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219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218</v>
      </c>
      <c r="O243" s="39">
        <v>982340</v>
      </c>
    </row>
    <row r="244" spans="1:15" ht="18" customHeight="1">
      <c r="A244" s="94" t="s">
        <v>220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221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233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233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217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218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233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219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218</v>
      </c>
      <c r="O270" s="39">
        <v>1208450</v>
      </c>
    </row>
    <row r="271" spans="1:15" ht="18" customHeight="1">
      <c r="A271" s="94" t="s">
        <v>220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221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233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217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218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233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215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219</v>
      </c>
      <c r="B297" s="92"/>
      <c r="C297" s="92"/>
      <c r="D297" s="92"/>
      <c r="E297" s="93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218</v>
      </c>
      <c r="O297" s="39">
        <v>1049090</v>
      </c>
    </row>
    <row r="298" spans="1:15" ht="18" customHeight="1">
      <c r="A298" s="94" t="s">
        <v>220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221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202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203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233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233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217</v>
      </c>
      <c r="B311" s="92"/>
      <c r="C311" s="92"/>
      <c r="D311" s="92"/>
      <c r="E311" s="93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218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215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233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233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233</v>
      </c>
      <c r="F320" s="27">
        <v>30</v>
      </c>
      <c r="G320" s="28">
        <f t="shared" si="69"/>
        <v>126</v>
      </c>
      <c r="H320" s="26"/>
      <c r="I320" s="26" t="s">
        <v>52</v>
      </c>
      <c r="J320" s="26"/>
      <c r="K320" s="29">
        <v>0.24097222222222223</v>
      </c>
      <c r="L320" s="29"/>
      <c r="M320" s="30">
        <f t="shared" ca="1" si="70"/>
        <v>8.2031249985448085E-3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233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233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219</v>
      </c>
      <c r="B324" s="92"/>
      <c r="C324" s="92"/>
      <c r="D324" s="92"/>
      <c r="E324" s="93">
        <f>SUM(E312:E323)</f>
        <v>0</v>
      </c>
      <c r="F324" s="36">
        <f>SUM(F312:F323)</f>
        <v>169</v>
      </c>
      <c r="G324" s="36">
        <f>SUM(G312:G323)</f>
        <v>725.80000000000007</v>
      </c>
      <c r="H324" s="37"/>
      <c r="I324" s="37"/>
      <c r="J324" s="37"/>
      <c r="K324" s="61"/>
      <c r="L324" s="61"/>
      <c r="M324" s="38">
        <f ca="1">IFERROR(SUM(M312:M323),"")</f>
        <v>0.11306423610965577</v>
      </c>
      <c r="N324" s="36" t="s">
        <v>218</v>
      </c>
      <c r="O324" s="39"/>
    </row>
    <row r="325" spans="1:15" ht="18" customHeight="1">
      <c r="A325" s="94" t="s">
        <v>220</v>
      </c>
      <c r="B325" s="95"/>
      <c r="C325" s="95"/>
      <c r="D325" s="95"/>
      <c r="E325" s="96">
        <f>E311+E324</f>
        <v>0</v>
      </c>
      <c r="F325" s="40">
        <f>F311+F324</f>
        <v>199</v>
      </c>
      <c r="G325" s="40">
        <f>G311+G324</f>
        <v>851.80000000000007</v>
      </c>
      <c r="H325" s="41"/>
      <c r="I325" s="41"/>
      <c r="J325" s="41"/>
      <c r="K325" s="63"/>
      <c r="L325" s="63"/>
      <c r="M325" s="42">
        <f ca="1">IFERROR(M311+M324,"")</f>
        <v>0.5262586805541003</v>
      </c>
      <c r="N325" s="40" t="s">
        <v>221</v>
      </c>
      <c r="O325" s="48">
        <f>IFERROR(O311+O324,"")</f>
        <v>145580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217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219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218</v>
      </c>
      <c r="O351" s="39"/>
    </row>
    <row r="352" spans="1:15" ht="18" customHeight="1">
      <c r="A352" s="94" t="s">
        <v>220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221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217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219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218</v>
      </c>
      <c r="O378" s="39"/>
    </row>
    <row r="379" spans="1:15" ht="18" customHeight="1">
      <c r="A379" s="94" t="s">
        <v>220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217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219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218</v>
      </c>
      <c r="O405" s="39"/>
    </row>
    <row r="406" spans="1:15" ht="18" customHeight="1">
      <c r="A406" s="94" t="s">
        <v>220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217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219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218</v>
      </c>
      <c r="O432" s="39"/>
    </row>
    <row r="433" spans="1:17" ht="18" customHeight="1">
      <c r="A433" s="94" t="s">
        <v>220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217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219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218</v>
      </c>
      <c r="O459" s="39"/>
    </row>
    <row r="460" spans="1:15" ht="18" customHeight="1">
      <c r="A460" s="94" t="s">
        <v>220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217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219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218</v>
      </c>
      <c r="O486" s="39"/>
    </row>
    <row r="487" spans="1:15" ht="18" customHeight="1">
      <c r="A487" s="94" t="s">
        <v>220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217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219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218</v>
      </c>
      <c r="O513" s="39"/>
    </row>
    <row r="514" spans="1:15" ht="18" customHeight="1">
      <c r="A514" s="94" t="s">
        <v>220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217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219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218</v>
      </c>
      <c r="O540" s="39"/>
    </row>
    <row r="541" spans="1:15" ht="18" customHeight="1">
      <c r="A541" s="94" t="s">
        <v>220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217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219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218</v>
      </c>
      <c r="O567" s="39"/>
    </row>
    <row r="568" spans="1:15" ht="18" customHeight="1">
      <c r="A568" s="94" t="s">
        <v>220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217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219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218</v>
      </c>
      <c r="O594" s="39"/>
    </row>
    <row r="595" spans="1:15" ht="18" customHeight="1">
      <c r="A595" s="94" t="s">
        <v>220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217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219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218</v>
      </c>
      <c r="O621" s="39"/>
    </row>
    <row r="622" spans="1:15" ht="18" customHeight="1">
      <c r="A622" s="94" t="s">
        <v>220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217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219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218</v>
      </c>
      <c r="O648" s="39"/>
    </row>
    <row r="649" spans="1:15" ht="18" customHeight="1">
      <c r="A649" s="94" t="s">
        <v>220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217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219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218</v>
      </c>
      <c r="O675" s="39"/>
    </row>
    <row r="676" spans="1:15" ht="18" customHeight="1">
      <c r="A676" s="94" t="s">
        <v>220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217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219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218</v>
      </c>
      <c r="O702" s="39"/>
    </row>
    <row r="703" spans="1:15" ht="18" customHeight="1">
      <c r="A703" s="94" t="s">
        <v>220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217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219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218</v>
      </c>
      <c r="O729" s="39"/>
    </row>
    <row r="730" spans="1:15" ht="18" customHeight="1">
      <c r="A730" s="94" t="s">
        <v>220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217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219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218</v>
      </c>
      <c r="O756" s="39"/>
    </row>
    <row r="757" spans="1:15" ht="18" customHeight="1">
      <c r="A757" s="94" t="s">
        <v>220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217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219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218</v>
      </c>
      <c r="O783" s="39"/>
    </row>
    <row r="784" spans="1:15" ht="18" customHeight="1">
      <c r="A784" s="94" t="s">
        <v>220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217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219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218</v>
      </c>
      <c r="O810" s="39"/>
    </row>
    <row r="811" spans="1:15" ht="18" customHeight="1">
      <c r="A811" s="94" t="s">
        <v>220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2026-07-13T09:58:50Z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