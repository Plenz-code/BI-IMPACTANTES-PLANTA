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09" documentId="8_{AF585B22-221D-4780-BB9C-493D365A6A02}" xr6:coauthVersionLast="47" xr6:coauthVersionMax="47" xr10:uidLastSave="{86600C3A-25B4-4925-8BD5-3E371E218C3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<sst xmlns="http://schemas.openxmlformats.org/spreadsheetml/2006/main" count="12170" uniqueCount="437">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</sst>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F802" sqref="F8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170</v>
      </c>
      <c r="G810" s="36">
        <f>SUM(G798:G809)</f>
        <v>829.2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461</v>
      </c>
      <c r="G811" s="40">
        <f>G797+G810</f>
        <v>829.2</v>
      </c>
      <c r="H811" s="41"/>
      <c r="I811" s="41"/>
      <c r="J811" s="41"/>
      <c r="K811" s="41"/>
      <c r="L811" s="41"/>
      <c r="M811" s="42">
        <f ca="1">IFERROR(M797+M810,"")</f>
        <v>8.1249999999999933E-2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K799" sqref="K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0.76630300925899064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0.92394189814787953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1.0336641203701018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0.74477523148379987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0.91560856481713326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1.0607474537060222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/>
      <c r="I798" s="26"/>
      <c r="J798" s="26"/>
      <c r="K798" s="29">
        <v>3.472222222222222E-3</v>
      </c>
      <c r="L798" s="29"/>
      <c r="M798" s="30">
        <f t="shared" ref="M798:M809" ca="1" si="177">IFERROR(IF(K798="","",IF(L798="",MOD(NOW()-K798,1),IF(L798&gt;=K798,L798-K798,L798+1-K798))),"")</f>
        <v>2.4141203757608309E-3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94</v>
      </c>
      <c r="G810" s="36">
        <f>SUM(G798:G809)</f>
        <v>394.8</v>
      </c>
      <c r="H810" s="37"/>
      <c r="I810" s="37"/>
      <c r="J810" s="37"/>
      <c r="K810" s="37"/>
      <c r="L810" s="37"/>
      <c r="M810" s="38">
        <f ca="1">IFERROR(SUM(M798:M809),"")</f>
        <v>2.4141203757608309E-3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248</v>
      </c>
      <c r="G811" s="40">
        <f>G797+G810</f>
        <v>1047.2</v>
      </c>
      <c r="H811" s="41"/>
      <c r="I811" s="41"/>
      <c r="J811" s="41"/>
      <c r="K811" s="41"/>
      <c r="L811" s="41"/>
      <c r="M811" s="42">
        <f ca="1">IFERROR(M797+M810,"")</f>
        <v>0.12324745370909407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2" sqref="F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23</v>
      </c>
      <c r="G810" s="36">
        <f>SUM(G798:G809)</f>
        <v>96.600000000000009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117</v>
      </c>
      <c r="G811" s="40">
        <f>G797+G810</f>
        <v>497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3" sqref="F8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0.75658078704145737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0.95588634259701299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1.323247453708124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44</v>
      </c>
      <c r="G810" s="36">
        <f>SUM(G798:G809)</f>
        <v>184.8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66</v>
      </c>
      <c r="G811" s="40">
        <f>G797+G810</f>
        <v>277.20000000000005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2026-07-31T04:09:00Z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