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98" documentId="8_{AF585B22-221D-4780-BB9C-493D365A6A02}" xr6:coauthVersionLast="47" xr6:coauthVersionMax="47" xr10:uidLastSave="{5EC08C0C-09FE-45F3-90A9-8FEFE70A52F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<sst xmlns="http://schemas.openxmlformats.org/spreadsheetml/2006/main" count="3676" uniqueCount="265">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</sst>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6" sqref="F2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>
        <v>26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396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20" sqref="F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218</v>
      </c>
      <c r="F218" s="27">
        <v>13</v>
      </c>
      <c r="G218" s="28">
        <f t="shared" ref="G218:G229" si="48">IF(F218="","",IF(E218="PC 17",F218*4.2,IF(E218="PC 19",F218*5,"")))</f>
        <v>54.6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/>
      <c r="F219" s="27">
        <v>7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20</v>
      </c>
      <c r="G230" s="36">
        <f>SUM(G218:G229)</f>
        <v>54.6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20</v>
      </c>
      <c r="G244" s="40">
        <f>G230+G243</f>
        <v>54.6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/>
      <c r="I204" s="26"/>
      <c r="J204" s="26"/>
      <c r="K204" s="29">
        <v>0.82638888888888884</v>
      </c>
      <c r="L204" s="29"/>
      <c r="M204" s="30">
        <f t="shared" ref="M204:M215" ca="1" si="46">IFERROR(IF(K204="","",IF(L204="",MOD(NOW()-K204,1),IF(L204&gt;=K204,L204-K204,L204+1-K204))),"")</f>
        <v>4.5011689813691191E-2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>
        <v>13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19</v>
      </c>
      <c r="G216" s="36">
        <f>SUM(G204:G215)</f>
        <v>25.200000000000003</v>
      </c>
      <c r="H216" s="37"/>
      <c r="I216" s="37"/>
      <c r="J216" s="37"/>
      <c r="K216" s="37"/>
      <c r="L216" s="37"/>
      <c r="M216" s="38">
        <f ca="1">IFERROR(SUM(M204:M215),"")</f>
        <v>4.5011689813691191E-2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109</v>
      </c>
      <c r="G217" s="40">
        <f>G203+G216</f>
        <v>403.19999999999993</v>
      </c>
      <c r="H217" s="41"/>
      <c r="I217" s="41"/>
      <c r="J217" s="41"/>
      <c r="K217" s="41"/>
      <c r="L217" s="41"/>
      <c r="M217" s="42">
        <f ca="1">IFERROR(M203+M216,"")</f>
        <v>0.20126168981369125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0.62209502315090504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0.82140057870646066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1.1887616898175717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2</v>
      </c>
      <c r="G204" s="28">
        <f t="shared" ref="G204:G215" si="45">IF(F204="","",IF(E204="PC 17",F204*4.2,IF(E204="PC 19",F204*5,"")))</f>
        <v>8.4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>
        <v>12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14</v>
      </c>
      <c r="G216" s="36">
        <f>SUM(G204:G215)</f>
        <v>8.4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164</v>
      </c>
      <c r="G217" s="40">
        <f>G203+G216</f>
        <v>638.4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2026-07-09T00:55:11Z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