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01" documentId="8_{AF585B22-221D-4780-BB9C-493D365A6A02}" xr6:coauthVersionLast="47" xr6:coauthVersionMax="47" xr10:uidLastSave="{9C620E94-9759-4B5E-A868-52A957CC8EC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<sst xmlns="http://schemas.openxmlformats.org/spreadsheetml/2006/main" count="12597" uniqueCount="445">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</sst>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6" sqref="F8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6" sqref="F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2.0334490734967403E-2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0.17797337962385629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0.28769560184607845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0.99880671295977663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1.16964004629311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1.314778935181999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190</v>
      </c>
      <c r="G837" s="109">
        <f>SUM(G825:G836)</f>
        <v>810.80000000000007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359</v>
      </c>
      <c r="G838" s="111">
        <f>G824+G837</f>
        <v>1520.6000000000001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6" sqref="F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136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231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F836" sqref="F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1.0612268517434131E-2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0.20991782407298976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0.57727893518410078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/>
      <c r="M831" s="79">
        <f ca="1">IFERROR(IF(K831="","",IF(L831="",MOD(NOW()-K831,1),IF(L831&gt;=K831,L831-K831,L831+1-K831))),"")</f>
        <v>2.2417824067815673E-2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7</v>
      </c>
      <c r="G836" s="104">
        <f>IF(F836="","",IF(E836="PC 17",F836*4.2,IF(E836="PC 19",F836*5,"")))</f>
        <v>29.400000000000002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146</v>
      </c>
      <c r="G837" s="109">
        <f>SUM(G825:G836)</f>
        <v>613.19999999999993</v>
      </c>
      <c r="H837" s="37"/>
      <c r="I837" s="37"/>
      <c r="J837" s="37"/>
      <c r="K837" s="37"/>
      <c r="L837" s="37"/>
      <c r="M837" s="110">
        <f ca="1">IFERROR(SUM(M825:M836),"")</f>
        <v>7.1028935178926791E-2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265</v>
      </c>
      <c r="G838" s="111">
        <f>G824+G837</f>
        <v>1113</v>
      </c>
      <c r="H838" s="41"/>
      <c r="I838" s="41"/>
      <c r="J838" s="41"/>
      <c r="K838" s="41"/>
      <c r="L838" s="41"/>
      <c r="M838" s="112">
        <f ca="1">IFERROR(M824+M837,"")</f>
        <v>0.18700115740114892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2026-08-01T10:14:47Z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