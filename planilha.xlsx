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43" documentId="8_{AF585B22-221D-4780-BB9C-493D365A6A02}" xr6:coauthVersionLast="47" xr6:coauthVersionMax="47" xr10:uidLastSave="{B90D9DF7-F5AF-48A1-9AD0-FBD1CB384E5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<sst xmlns="http://schemas.openxmlformats.org/spreadsheetml/2006/main" count="11745" uniqueCount="426">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</sst>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75</v>
      </c>
      <c r="G783" s="36">
        <f>SUM(G771:G782)</f>
        <v>375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425</v>
      </c>
      <c r="G784" s="40">
        <f>G770+G783</f>
        <v>2125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K772" sqref="K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0.66407465277734445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0.82171354166623334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0.9314357638884555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0.64254687500215368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0.81338020833548708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0.958519097224376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0.86805555555555558</v>
      </c>
      <c r="M771" s="35">
        <f t="shared" ref="M771:M782" ca="1" si="172">IFERROR(IF(K771="","",IF(L771="",MOD(NOW()-K771,1),IF(L771&gt;=K771,L771-K771,L771+1-K771))),"")</f>
        <v>2.777777777777779E-2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34</v>
      </c>
      <c r="G783" s="36">
        <f>SUM(G771:G782)</f>
        <v>151.60000000000002</v>
      </c>
      <c r="H783" s="37"/>
      <c r="I783" s="37"/>
      <c r="J783" s="37"/>
      <c r="K783" s="37"/>
      <c r="L783" s="37"/>
      <c r="M783" s="38">
        <f ca="1">IFERROR(SUM(M771:M782),"")</f>
        <v>2.777777777777779E-2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168</v>
      </c>
      <c r="G784" s="40">
        <f>G770+G783</f>
        <v>722.40000000000009</v>
      </c>
      <c r="H784" s="41"/>
      <c r="I784" s="41"/>
      <c r="J784" s="41"/>
      <c r="K784" s="41"/>
      <c r="L784" s="41"/>
      <c r="M784" s="42">
        <f ca="1">IFERROR(M770+M783,"")</f>
        <v>0.12291666666666662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J772" sqref="J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/>
      <c r="M772" s="30">
        <f t="shared" ca="1" si="172"/>
        <v>1.3380208336457144E-2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</v>
      </c>
      <c r="G783" s="36">
        <f>SUM(G771:G782)</f>
        <v>67</v>
      </c>
      <c r="H783" s="37"/>
      <c r="I783" s="37"/>
      <c r="J783" s="37"/>
      <c r="K783" s="37"/>
      <c r="L783" s="37"/>
      <c r="M783" s="38">
        <f ca="1">IFERROR(SUM(M771:M782),"")</f>
        <v>1.9630208336457122E-2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56</v>
      </c>
      <c r="G784" s="40">
        <f>G770+G783</f>
        <v>243.2</v>
      </c>
      <c r="H784" s="41"/>
      <c r="I784" s="41"/>
      <c r="J784" s="41"/>
      <c r="K784" s="41"/>
      <c r="L784" s="41"/>
      <c r="M784" s="42">
        <f ca="1">IFERROR(M770+M783,"")</f>
        <v>0.13351909722534605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0.65435243055981118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0.85365798611536681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1.2210190972264778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42</v>
      </c>
      <c r="G783" s="36">
        <f>SUM(G771:G782)</f>
        <v>186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</v>
      </c>
      <c r="G784" s="40">
        <f>G770+G783</f>
        <v>219.6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2026-07-30T01:41:18Z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