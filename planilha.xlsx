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305" documentId="8_{AF585B22-221D-4780-BB9C-493D365A6A02}" xr6:coauthVersionLast="47" xr6:coauthVersionMax="47" xr10:uidLastSave="{D89A2B2D-B2E1-4B3B-8056-DB0D2203B6ED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<sst xmlns="http://schemas.openxmlformats.org/spreadsheetml/2006/main" count="4077" uniqueCount="276">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</sst>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1436170</v>
      </c>
      <c r="D12" s="8">
        <f>IFERROR('Linha 1'!O244,"")</f>
        <v>482110</v>
      </c>
      <c r="E12" s="8">
        <f>IFERROR('Linha 2'!O244,"")</f>
        <v>469520</v>
      </c>
      <c r="F12" s="8">
        <f>IFERROR('Linha 3'!O244,"")</f>
        <v>587230</v>
      </c>
      <c r="G12" s="9">
        <f t="shared" si="0"/>
        <v>1538860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24777850</v>
      </c>
      <c r="D35" s="13">
        <f>IFERROR(SUM(D4:D34),"")</f>
        <v>8369450</v>
      </c>
      <c r="E35" s="13">
        <f>IFERROR(SUM(E4:E34),"")</f>
        <v>5901340</v>
      </c>
      <c r="F35" s="13">
        <f>IFERROR(SUM(F4:F34),"")</f>
        <v>10527840</v>
      </c>
      <c r="G35" s="13">
        <f>IFERROR(SUM(G4:G34),"")</f>
        <v>24798630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1"/>
      <c r="I52" s="16"/>
      <c r="J52" s="16"/>
      <c r="K52" s="16" t="s">
        <v>191</v>
      </c>
      <c r="L52" s="16"/>
      <c r="M52" s="16"/>
    </row>
    <row r="53" spans="1:13" ht="36" customHeight="1">
      <c r="H53" s="101"/>
      <c r="I53" s="17"/>
      <c r="J53" s="17"/>
      <c r="K53" s="17" t="s">
        <v>192</v>
      </c>
      <c r="L53" s="17"/>
      <c r="M53" s="17"/>
    </row>
    <row r="54" spans="1:13" ht="15" customHeight="1">
      <c r="H54" s="101"/>
      <c r="I54" s="16"/>
      <c r="J54" s="16"/>
      <c r="K54" s="16" t="s">
        <v>193</v>
      </c>
      <c r="L54" s="16"/>
      <c r="M54" s="16"/>
    </row>
    <row r="55" spans="1:13" ht="15" customHeight="1">
      <c r="H55" s="101"/>
      <c r="I55" s="17"/>
      <c r="J55" s="17"/>
      <c r="K55" s="17" t="s">
        <v>194</v>
      </c>
      <c r="L55" s="17"/>
      <c r="M55" s="17"/>
    </row>
    <row r="56" spans="1:13" ht="15" customHeight="1">
      <c r="H56" s="101"/>
      <c r="I56" s="16"/>
      <c r="J56" s="16"/>
      <c r="K56" s="16" t="s">
        <v>195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196</v>
      </c>
      <c r="L58" s="16"/>
      <c r="M58" s="16"/>
    </row>
    <row r="59" spans="1:13" ht="15" customHeight="1">
      <c r="H59" s="101"/>
      <c r="I59" s="17"/>
      <c r="J59" s="17"/>
      <c r="K59" s="17" t="s">
        <v>197</v>
      </c>
      <c r="L59" s="17"/>
      <c r="M59" s="17"/>
    </row>
    <row r="60" spans="1:13" ht="15" customHeight="1">
      <c r="H60" s="101"/>
      <c r="I60" s="16"/>
      <c r="J60" s="16"/>
      <c r="K60" s="87" t="s">
        <v>104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16" activePane="bottomLeft" state="frozen"/>
      <selection pane="bottomLeft" activeCell="D231" sqref="D23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209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106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209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209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209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209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209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209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209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209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209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209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209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212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238</v>
      </c>
      <c r="G244" s="40">
        <f>G230+G243</f>
        <v>1190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215</v>
      </c>
      <c r="O244" s="48">
        <f>IFERROR(O230+O243,"")</f>
        <v>1436170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15" activePane="bottomLeft" state="frozen"/>
      <selection pane="bottomLeft" activeCell="F232" sqref="F23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221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125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212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/>
      <c r="F231" s="27">
        <v>1</v>
      </c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>
        <v>0.79166666666666663</v>
      </c>
      <c r="L231" s="29"/>
      <c r="M231" s="35">
        <f t="shared" ref="M231:M242" ca="1" si="52">IFERROR(IF(K231="","",IF(L231="",MOD(NOW()-K231,1),IF(L231&gt;=K231,L231-K231,L231+1-K231))),"")</f>
        <v>4.0505555560230277E-2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1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4.0505555560230277E-2</v>
      </c>
      <c r="N243" s="36" t="s">
        <v>212</v>
      </c>
      <c r="O243" s="78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116</v>
      </c>
      <c r="G244" s="40">
        <f>G230+G243</f>
        <v>483</v>
      </c>
      <c r="H244" s="41"/>
      <c r="I244" s="41"/>
      <c r="J244" s="41"/>
      <c r="K244" s="41"/>
      <c r="L244" s="41"/>
      <c r="M244" s="42">
        <f ca="1">IFERROR(M230+M243,"")</f>
        <v>0.37106111111578577</v>
      </c>
      <c r="N244" s="40" t="s">
        <v>215</v>
      </c>
      <c r="O244" s="84">
        <f>IFERROR(O230+O243,"")</f>
        <v>482110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16" zoomScale="50" zoomScaleNormal="50" workbookViewId="0">
      <selection activeCell="F232" sqref="F23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250</v>
      </c>
      <c r="N166" s="27" t="s">
        <v>251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212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/>
      <c r="F231" s="27">
        <v>20</v>
      </c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20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122</v>
      </c>
      <c r="G244" s="40">
        <f>G230+G243</f>
        <v>428.4</v>
      </c>
      <c r="H244" s="41"/>
      <c r="I244" s="41"/>
      <c r="J244" s="41"/>
      <c r="K244" s="41"/>
      <c r="L244" s="41"/>
      <c r="M244" s="42">
        <f ca="1">IFERROR(M230+M243,"")</f>
        <v>3.5416666666666763E-2</v>
      </c>
      <c r="N244" s="40" t="s">
        <v>215</v>
      </c>
      <c r="O244" s="48">
        <f>IFERROR(O230+O243,"")</f>
        <v>469520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16" activePane="bottomLeft" state="frozen"/>
      <selection pane="bottomLeft" activeCell="G236" sqref="G23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257</v>
      </c>
      <c r="L58" s="29">
        <v>0.54097222222222219</v>
      </c>
      <c r="M58" s="30" t="str">
        <f t="shared" ca="1" si="13"/>
        <v/>
      </c>
      <c r="N58" s="27" t="s">
        <v>258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0.5828666666711797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0.78217222222673533</v>
      </c>
      <c r="N135" s="36" t="s">
        <v>212</v>
      </c>
      <c r="O135" s="39">
        <v>729290</v>
      </c>
    </row>
    <row r="136" spans="1:18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1.1495333333378464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221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 t="s">
        <v>20</v>
      </c>
      <c r="I221" s="33" t="s">
        <v>136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 t="s">
        <v>20</v>
      </c>
      <c r="I224" s="26" t="s">
        <v>136</v>
      </c>
      <c r="J224" s="26" t="s">
        <v>179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212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23</v>
      </c>
      <c r="G243" s="36">
        <f>SUM(G231:G242)</f>
        <v>96.600000000000009</v>
      </c>
      <c r="H243" s="37"/>
      <c r="I243" s="37"/>
      <c r="J243" s="37"/>
      <c r="K243" s="61"/>
      <c r="L243" s="61"/>
      <c r="M243" s="38">
        <f ca="1">IFERROR(SUM(M231:M242),"")</f>
        <v>1.4583333333333282E-2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141</v>
      </c>
      <c r="G244" s="40">
        <f>G230+G243</f>
        <v>592.20000000000005</v>
      </c>
      <c r="H244" s="41"/>
      <c r="I244" s="41"/>
      <c r="J244" s="41"/>
      <c r="K244" s="63"/>
      <c r="L244" s="63"/>
      <c r="M244" s="42">
        <f ca="1">IFERROR(M230+M243,"")</f>
        <v>0.21111111111111122</v>
      </c>
      <c r="N244" s="40" t="s">
        <v>215</v>
      </c>
      <c r="O244" s="48">
        <f>IFERROR(O230+O243,"")</f>
        <v>587230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2026-07-09T23:59:26Z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