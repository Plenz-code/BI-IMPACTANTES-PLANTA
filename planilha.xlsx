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61" documentId="8_{AF585B22-221D-4780-BB9C-493D365A6A02}" xr6:coauthVersionLast="47" xr6:coauthVersionMax="47" xr10:uidLastSave="{9DDDBBB3-6630-45D7-AF4D-395BFA0F221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<sst xmlns="http://schemas.openxmlformats.org/spreadsheetml/2006/main" count="2153" uniqueCount="226">
  <si>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</si>
  <si>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</si>
  <si>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</si>
  <si>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</si>
  <si>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</si>
  <si>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</si>
  <si>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</si>
  <si>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</si>
  <si>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</si>
  <si>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</si>
  <si>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</si>
  <si>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</si>
  <si>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</si>
  <si>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</si>
  <si>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</si>
  <si>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</si>
  <si>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</si>
  <si>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</si>
  <si>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</si>
  <si>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</si>
  <si>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</si>
  <si>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</si>
  <si>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</si>
  <si>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</si>
  <si>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</si>
  <si>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</si>
  <si>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</si>
  <si>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</si>
  <si>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</si>
  <si>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</si>
  <si>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</si>
  <si>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</si>
  <si>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</si>
  <si>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</si>
  <si>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</si>
  <si>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</si>
  <si>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</si>
  <si>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</si>
  <si>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</si>
  <si>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</si>
  <si>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</si>
  <si>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</si>
  <si>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</si>
  <si>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</si>
  <si>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</si>
  <si>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</si>
  <si>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</si>
  <si>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</si>
  <si>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</si>
  <si>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</si>
  <si>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</si>
  <si>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</si>
  <si>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</si>
  <si>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</si>
  <si>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</si>
  <si>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</si>
  <si>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</si>
  <si>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</si>
  <si>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</si>
  <si>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</si>
  <si>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</si>
  <si>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</si>
  <si>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</si>
  <si>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</si>
  <si>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</si>
  <si>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</si>
  <si>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</si>
  <si>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</si>
  <si>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</si>
  <si>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</si>
  <si>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</si>
  <si>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</si>
  <si>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</si>
  <si>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</si>
  <si>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</si>
  <si>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</si>
  <si>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</si>
  <si>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</si>
  <si>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</si>
  <si>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</si>
  <si>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</si>
  <si>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</si>
  <si>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</si>
  <si>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</si>
  <si>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</si>
  <si>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</si>
  <si>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</si>
  <si>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</si>
  <si>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</si>
  <si>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</si>
  <si>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</si>
  <si>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</si>
  <si>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</si>
  <si>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</si>
  <si>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</si>
  <si>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</si>
  <si>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</si>
  <si>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</si>
  <si>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</si>
  <si>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</si>
  <si>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</si>
  <si>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</si>
  <si>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</si>
  <si>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</si>
  <si>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</si>
  <si>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</si>
  <si>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</si>
  <si>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</si>
  <si>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</si>
  <si>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</si>
  <si>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</si>
  <si>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</si>
  <si>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</si>
  <si>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</si>
  <si>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</si>
  <si>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</si>
  <si>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</si>
  <si>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</si>
  <si>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</si>
  <si>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</si>
  <si>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</si>
  <si>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</si>
  <si>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</si>
  <si>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</si>
  <si>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</si>
  <si>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</si>
  <si>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</si>
  <si>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</si>
  <si>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</si>
  <si>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</si>
  <si>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</si>
  <si>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</si>
  <si>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</si>
  <si>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</si>
  <si>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</si>
  <si>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</si>
  <si>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</si>
  <si>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</si>
  <si>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</si>
  <si>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</si>
  <si>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</si>
  <si>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</si>
  <si>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</si>
  <si>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</si>
  <si>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</si>
  <si>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</si>
  <si>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</si>
  <si>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</si>
  <si>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</si>
  <si>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</si>
  <si>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</si>
  <si>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</si>
  <si>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</si>
  <si>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</si>
  <si>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</si>
  <si>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</si>
  <si>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</si>
  <si>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</si>
  <si>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</si>
  <si>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</si>
  <si>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</si>
  <si>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</si>
  <si>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</si>
  <si>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</si>
  <si>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</si>
  <si>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</si>
  <si>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</si>
  <si>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</si>
  <si>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</si>
  <si>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</si>
  <si>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</si>
  <si>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</si>
  <si>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</si>
  <si>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</si>
  <si>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</si>
  <si>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</si>
  <si>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</si>
  <si>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</si>
  <si>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</si>
  <si>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</si>
  <si>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</si>
  <si>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</si>
  <si>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</si>
  <si>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</si>
  <si>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</si>
  <si>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</si>
  <si>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</si>
  <si>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</si>
  <si>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</si>
  <si>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</si>
  <si>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</si>
  <si>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</si>
  <si>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</si>
  <si>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</si>
  <si>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</si>
  <si>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</si>
  <si>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</si>
  <si>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</si>
  <si>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</si>
  <si>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</si>
  <si>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</si>
  <si>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</si>
  <si>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</si>
  <si>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</si>
  <si>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</si>
  <si>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</si>
  <si>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</si>
  <si>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</si>
  <si>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</si>
  <si>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</si>
  <si>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</si>
  <si>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</si>
  <si>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</si>
  <si>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</si>
  <si>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</si>
  <si>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troca de grelha,troca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</si>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</sst>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7" sqref="F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65</v>
      </c>
      <c r="G95" s="36">
        <f>SUM(G83:G94)</f>
        <v>325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65</v>
      </c>
      <c r="G109" s="40">
        <f>G95+G108</f>
        <v>325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N84" sqref="N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 t="s">
        <v>20</v>
      </c>
      <c r="I83" s="33" t="s">
        <v>47</v>
      </c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0.18129872685676673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0.18129872685676673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0.18129872685676673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J83" sqref="J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 t="s">
        <v>18</v>
      </c>
      <c r="I83" s="33" t="s">
        <v>52</v>
      </c>
      <c r="J83" s="33"/>
      <c r="K83" s="29">
        <v>0.29166666666666669</v>
      </c>
      <c r="L83" s="29">
        <v>0.50694444444444442</v>
      </c>
      <c r="M83" s="30">
        <f t="shared" ref="M83:M94" ca="1" si="19">IFERROR(IF(K83="","",IF(L83="",MOD(NOW()-K83,1),IF(L83&gt;=K83,L83-K83,L83+1-K83))),"")</f>
        <v>0.21527777777777773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0.21527777777777773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0.21527777777777773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2026-07-04T15:21:24Z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