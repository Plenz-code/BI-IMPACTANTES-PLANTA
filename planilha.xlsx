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62" documentId="8_{AF585B22-221D-4780-BB9C-493D365A6A02}" xr6:coauthVersionLast="47" xr6:coauthVersionMax="47" xr10:uidLastSave="{07A01626-06C2-4259-9673-2A0FCEBF6138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28" i="4" l="1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0" i="1" l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352" i="4" l="1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<sst xmlns="http://schemas.openxmlformats.org/spreadsheetml/2006/main" count="1418" uniqueCount="202">
  <si>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</si>
  <si>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</si>
  <si>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</si>
  <si>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</si>
  <si>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</si>
  <si>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</si>
  <si>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</si>
  <si>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</si>
  <si>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</si>
  <si>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</si>
  <si>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</si>
  <si>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</si>
  <si>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</si>
  <si>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</si>
  <si>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</si>
  <si>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</si>
  <si>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</si>
  <si>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</si>
  <si>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</si>
  <si>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</si>
  <si>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</si>
  <si>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</si>
  <si>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</si>
  <si>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</si>
  <si>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</si>
  <si>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</si>
  <si>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</si>
  <si>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</si>
  <si>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</si>
  <si>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</si>
  <si>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</si>
  <si>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</si>
  <si>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</si>
  <si>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</si>
  <si>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</si>
  <si>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</si>
  <si>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</si>
  <si>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</si>
  <si>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</si>
  <si>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</si>
  <si>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</si>
  <si>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</si>
  <si>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</si>
  <si>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</si>
  <si>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</si>
  <si>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</si>
  <si>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</si>
  <si>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</si>
  <si>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</si>
  <si>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</si>
  <si>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</si>
  <si>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</si>
  <si>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</si>
  <si>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</si>
  <si>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</si>
  <si>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</si>
  <si>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</si>
  <si>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</si>
  <si>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</si>
  <si>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</si>
  <si>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</si>
  <si>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</si>
  <si>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</si>
  <si>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</si>
  <si>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</si>
  <si>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</si>
  <si>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</si>
  <si>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</si>
  <si>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</si>
  <si>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</si>
  <si>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</si>
  <si>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</si>
  <si>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</si>
  <si>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</si>
  <si>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</si>
  <si>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</si>
  <si>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</si>
  <si>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</si>
  <si>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</si>
  <si>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</si>
  <si>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</si>
  <si>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</si>
  <si>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</si>
  <si>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</si>
  <si>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</si>
  <si>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</si>
  <si>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</si>
  <si>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</si>
  <si>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</si>
  <si>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</si>
  <si>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</si>
  <si>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</si>
  <si>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</si>
  <si>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</si>
  <si>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</si>
  <si>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</si>
  <si>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</si>
  <si>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</si>
  <si>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</si>
  <si>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</si>
  <si>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</si>
  <si>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</si>
  <si>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</si>
  <si>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</si>
  <si>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</si>
  <si>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</si>
  <si>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</si>
  <si>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</si>
  <si>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</si>
  <si>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</si>
  <si>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</si>
  <si>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</si>
  <si>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</si>
  <si>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</si>
  <si>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</si>
  <si>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</si>
  <si>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</si>
  <si>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</si>
  <si>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</si>
  <si>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</si>
  <si>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</si>
  <si>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</si>
  <si>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</si>
  <si>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</si>
  <si>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</si>
  <si>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</si>
  <si>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</si>
  <si>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</si>
  <si>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</si>
  <si>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</si>
  <si>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</si>
  <si>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</si>
  <si>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</si>
  <si>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</si>
  <si>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</si>
  <si>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</si>
  <si>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</si>
  <si>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</si>
  <si>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</si>
  <si>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</si>
  <si>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</si>
  <si>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</si>
  <si>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</si>
  <si>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</si>
  <si>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</si>
  <si>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</si>
  <si>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</si>
  <si>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</si>
  <si>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</si>
  <si>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</si>
  <si>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</si>
  <si>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</si>
  <si>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</si>
  <si>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</si>
  <si>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</si>
  <si>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</si>
  <si>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</si>
  <si>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</si>
  <si>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</si>
  <si>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</si>
  <si>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</si>
  <si>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</si>
  <si>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</si>
  <si>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</si>
  <si>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</si>
  <si>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</si>
  <si>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</si>
  <si>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</si>
  <si>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</si>
  <si>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</si>
  <si>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</si>
  <si>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</si>
  <si>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</si>
  <si>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</si>
  <si>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</si>
  <si>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</si>
  <si>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</si>
  <si>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</si>
  <si>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</si>
  <si>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</si>
  <si>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</si>
  <si>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</si>
  <si>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</si>
  <si>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</si>
  <si>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</si>
  <si>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</si>
  <si>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</si>
  <si>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</si>
  <si>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</si>
  <si>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</si>
  <si>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</si>
  <si>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</si>
  <si>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</si>
  <si>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</si>
  <si>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</si>
  <si>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</si>
  <si>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</si>
  <si>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</si>
  <si>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troca de grelha e martelo</t>
  </si>
  <si>
    <t>manutençao no rolamento do moinho 4</t>
  </si>
  <si>
    <t>troca de martelo</t>
  </si>
  <si>
    <t>OBS: APENAS MM 05 EM OPERACÃO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</si>
</sst>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0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51" sqref="I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E36" sqref="E3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>
        <v>1183060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" activePane="bottomLeft" state="frozen"/>
      <selection pane="bottomLeft" activeCell="K30" sqref="K3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191</v>
      </c>
      <c r="O27" s="90">
        <v>393200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194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>
        <v>0.30763888888888891</v>
      </c>
      <c r="L29" s="29"/>
      <c r="M29" s="35">
        <f t="shared" ref="M29:M40" ca="1" si="7">IFERROR(IF(K29="","",IF(L29="",MOD(NOW()-K29,1),IF(L29&gt;=K29,L29-K29,L29+1-K29))),"")</f>
        <v>4.6689814917044714E-4</v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4.6689814917044714E-4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4.6689814917044714E-4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D29" sqref="D29:D4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/>
      <c r="M15" s="35"/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>
        <v>308500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/>
      <c r="F29" s="27"/>
      <c r="G29" s="28" t="str">
        <f t="shared" ref="G29:G40" si="6">IF(F29="","",IF(E29="PC 17",F29*4.2,IF(E29="PC 19",F29*5,"")))</f>
        <v/>
      </c>
      <c r="H29" s="33" t="s">
        <v>20</v>
      </c>
      <c r="I29" s="33" t="s">
        <v>47</v>
      </c>
      <c r="J29" s="33" t="s">
        <v>157</v>
      </c>
      <c r="K29" s="29"/>
      <c r="L29" s="29"/>
      <c r="M29" s="35" t="str">
        <f t="shared" ref="M29:M40" ca="1" si="7">IFERROR(IF(K29="","",IF(L29="",MOD(NOW()-K29,1),IF(L29&gt;=K29,L29-K29,L29+1-K29))),"")</f>
        <v/>
      </c>
      <c r="N29" s="27" t="s">
        <v>198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D29" sqref="D29:D4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/>
      <c r="M16" s="30"/>
      <c r="N16" s="27" t="s">
        <v>201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3.0555555555555558E-2</v>
      </c>
      <c r="N27" s="36" t="s">
        <v>191</v>
      </c>
      <c r="O27" s="39">
        <v>202230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0.25138888888888883</v>
      </c>
      <c r="N28" s="40" t="s">
        <v>194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2026-07-02T11:25:41Z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