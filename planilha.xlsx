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629" documentId="8_{AF585B22-221D-4780-BB9C-493D365A6A02}" xr6:coauthVersionLast="47" xr6:coauthVersionMax="47" xr10:uidLastSave="{8EAFFC98-6FF9-46E1-81C5-002D01F5BB60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<sst xmlns="http://schemas.openxmlformats.org/spreadsheetml/2006/main" count="12203" uniqueCount="439">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</sst>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2191180</v>
      </c>
      <c r="D33" s="11">
        <f>IFERROR('Linha 1'!O811,"")</f>
        <v>648030</v>
      </c>
      <c r="E33" s="11">
        <f>IFERROR('Linha 2'!O811,"")</f>
        <v>711440</v>
      </c>
      <c r="F33" s="11">
        <f>IFERROR('Linha 3'!O811,"")</f>
        <v>873880</v>
      </c>
      <c r="G33" s="12">
        <f t="shared" si="0"/>
        <v>2233350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27" t="s">
        <v>9</v>
      </c>
      <c r="B35" s="127"/>
      <c r="C35" s="13">
        <f>IFERROR(SUM(C4:C34),"")</f>
        <v>92221798</v>
      </c>
      <c r="D35" s="13">
        <f>IFERROR(SUM(D4:D34),"")</f>
        <v>36740850</v>
      </c>
      <c r="E35" s="13">
        <f>IFERROR(SUM(E4:E34),"")</f>
        <v>20853980</v>
      </c>
      <c r="F35" s="13">
        <f>IFERROR(SUM(F4:F34),"")</f>
        <v>37663880</v>
      </c>
      <c r="G35" s="13">
        <f>IFERROR(SUM(G4:G34),"")</f>
        <v>95258710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/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777" activePane="bottomLeft" state="frozen"/>
      <selection pane="bottomLeft" activeCell="F810" sqref="F81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235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235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235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237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22" t="s">
        <v>238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237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22" t="s">
        <v>238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233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235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276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236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233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233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233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233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233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233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233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233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233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233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233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236</v>
      </c>
      <c r="O810" s="39"/>
    </row>
    <row r="811" spans="1:15" ht="18" customHeight="1">
      <c r="A811" s="116" t="s">
        <v>238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239</v>
      </c>
      <c r="O811" s="83">
        <f>IFERROR(O797+O810,"")</f>
        <v>2191180</v>
      </c>
    </row>
    <row r="812" spans="1:15" ht="15">
      <c r="A812" s="106">
        <v>46234</v>
      </c>
      <c r="B812" s="103">
        <v>0.33333333333333298</v>
      </c>
      <c r="C812" s="80"/>
      <c r="D812" s="99"/>
      <c r="E812" s="99"/>
      <c r="F812" s="100"/>
      <c r="G812" s="104"/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/>
      <c r="D813" s="99"/>
      <c r="E813" s="108"/>
      <c r="F813" s="100"/>
      <c r="G813" s="101"/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/>
      <c r="D814" s="99"/>
      <c r="E814" s="99"/>
      <c r="F814" s="100"/>
      <c r="G814" s="104"/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/>
      <c r="D815" s="99"/>
      <c r="E815" s="108"/>
      <c r="F815" s="100"/>
      <c r="G815" s="101"/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/>
      <c r="D816" s="99"/>
      <c r="E816" s="99"/>
      <c r="F816" s="100"/>
      <c r="G816" s="104"/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/>
      <c r="D817" s="99"/>
      <c r="E817" s="108"/>
      <c r="F817" s="100"/>
      <c r="G817" s="101"/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/>
      <c r="D818" s="99"/>
      <c r="E818" s="99"/>
      <c r="F818" s="100"/>
      <c r="G818" s="104"/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/>
      <c r="D819" s="99"/>
      <c r="E819" s="108"/>
      <c r="F819" s="100"/>
      <c r="G819" s="101"/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/>
      <c r="D820" s="99"/>
      <c r="E820" s="99"/>
      <c r="F820" s="100"/>
      <c r="G820" s="104"/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/>
      <c r="D821" s="99"/>
      <c r="E821" s="108"/>
      <c r="F821" s="100"/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/>
      <c r="D822" s="99"/>
      <c r="E822" s="99"/>
      <c r="F822" s="100"/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/>
      <c r="D823" s="99"/>
      <c r="E823" s="108"/>
      <c r="F823" s="100"/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0</v>
      </c>
      <c r="G824" s="37"/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1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0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3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777" activePane="bottomLeft" state="frozen"/>
      <selection pane="bottomLeft" activeCell="K817" sqref="K81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235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235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3.264780092285946E-2</v>
      </c>
      <c r="N377" s="46"/>
      <c r="O377" s="47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0.19028668981174834</v>
      </c>
      <c r="N378" s="36" t="s">
        <v>236</v>
      </c>
      <c r="O378" s="77">
        <v>511980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0.30000891203397051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1.1120023147668689E-2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0.18195335648100205</v>
      </c>
      <c r="N432" s="36" t="s">
        <v>236</v>
      </c>
      <c r="O432" s="77">
        <v>484540</v>
      </c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0.3270922453698909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235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260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235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236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346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236</v>
      </c>
      <c r="O810" s="39"/>
    </row>
    <row r="811" spans="1:15" ht="18" customHeight="1">
      <c r="A811" s="122" t="s">
        <v>238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239</v>
      </c>
      <c r="O811" s="82">
        <f>IFERROR(O797+O810,"")</f>
        <v>648030</v>
      </c>
    </row>
    <row r="812" spans="1:15" ht="15">
      <c r="A812" s="106">
        <v>46234</v>
      </c>
      <c r="B812" s="103">
        <v>0.33333333333333298</v>
      </c>
      <c r="C812" s="80"/>
      <c r="D812" s="99"/>
      <c r="E812" s="99"/>
      <c r="F812" s="100"/>
      <c r="G812" s="104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/>
      <c r="D813" s="99"/>
      <c r="E813" s="108"/>
      <c r="F813" s="100"/>
      <c r="G813" s="104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/>
      <c r="D814" s="99"/>
      <c r="E814" s="99"/>
      <c r="F814" s="100"/>
      <c r="G814" s="104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/>
      <c r="D815" s="99"/>
      <c r="E815" s="108"/>
      <c r="F815" s="100"/>
      <c r="G815" s="104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/>
      <c r="D816" s="99"/>
      <c r="E816" s="99"/>
      <c r="F816" s="100"/>
      <c r="G816" s="104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/>
      <c r="D817" s="99"/>
      <c r="E817" s="108"/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/>
      <c r="D818" s="99"/>
      <c r="E818" s="99"/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/>
      <c r="D819" s="99"/>
      <c r="E819" s="108"/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/>
      <c r="D820" s="99"/>
      <c r="E820" s="99"/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/>
      <c r="D821" s="99"/>
      <c r="E821" s="108"/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/>
      <c r="D822" s="99"/>
      <c r="E822" s="99"/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/>
      <c r="D823" s="99"/>
      <c r="E823" s="108"/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0</v>
      </c>
      <c r="G824" s="109">
        <f>SUM(G812:G823)</f>
        <v>0</v>
      </c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0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2">
        <f>IFERROR(O824+O837,"")</f>
        <v>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77" zoomScale="50" zoomScaleNormal="50" workbookViewId="0">
      <selection activeCell="O811" sqref="O81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354</v>
      </c>
      <c r="N166" s="27" t="s">
        <v>355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235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235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235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237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22" t="s">
        <v>238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237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22" t="s">
        <v>238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235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235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376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377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378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379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380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327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236</v>
      </c>
      <c r="O810" s="39">
        <v>291990</v>
      </c>
    </row>
    <row r="811" spans="1:15" ht="18" customHeight="1">
      <c r="A811" s="122" t="s">
        <v>238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239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/>
      <c r="D812" s="99"/>
      <c r="E812" s="99"/>
      <c r="F812" s="100"/>
      <c r="G812" s="104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/>
      <c r="D813" s="99"/>
      <c r="E813" s="108"/>
      <c r="F813" s="100"/>
      <c r="G813" s="104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/>
      <c r="D814" s="99"/>
      <c r="E814" s="99"/>
      <c r="F814" s="100"/>
      <c r="G814" s="104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/>
      <c r="D815" s="99"/>
      <c r="E815" s="108"/>
      <c r="F815" s="100"/>
      <c r="G815" s="104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/>
      <c r="D816" s="99"/>
      <c r="E816" s="99"/>
      <c r="F816" s="100"/>
      <c r="G816" s="104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/>
      <c r="D817" s="99"/>
      <c r="E817" s="108"/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/>
      <c r="D818" s="99"/>
      <c r="E818" s="99"/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/>
      <c r="D819" s="99"/>
      <c r="E819" s="108"/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/>
      <c r="D820" s="99"/>
      <c r="E820" s="99"/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/>
      <c r="D821" s="99"/>
      <c r="E821" s="108"/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/>
      <c r="D822" s="99"/>
      <c r="E822" s="99"/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/>
      <c r="D823" s="99"/>
      <c r="E823" s="108"/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0</v>
      </c>
      <c r="G824" s="109">
        <f>SUM(G812:G823)</f>
        <v>0</v>
      </c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0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2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792" activePane="bottomLeft" state="frozen"/>
      <selection pane="bottomLeft" activeCell="F810" sqref="F81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385</v>
      </c>
      <c r="L58" s="29">
        <v>0.54097222222222219</v>
      </c>
      <c r="M58" s="30" t="str">
        <f t="shared" ca="1" si="13"/>
        <v/>
      </c>
      <c r="N58" s="27" t="s">
        <v>386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2.2925810189917684E-2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0.22223136574547331</v>
      </c>
      <c r="N135" s="36" t="s">
        <v>236</v>
      </c>
      <c r="O135" s="39">
        <v>729290</v>
      </c>
    </row>
    <row r="136" spans="1:18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0.58959247685658434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235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235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237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22" t="s">
        <v>238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237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22" t="s">
        <v>238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423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424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425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426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427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235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428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235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429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430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431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432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433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430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434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435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436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437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236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438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236</v>
      </c>
      <c r="O810" s="39">
        <v>774840</v>
      </c>
    </row>
    <row r="811" spans="1:15" ht="18" customHeight="1">
      <c r="A811" s="122" t="s">
        <v>238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239</v>
      </c>
      <c r="O811" s="43">
        <f>IFERROR(O797+O810,"")</f>
        <v>873880</v>
      </c>
    </row>
    <row r="812" spans="1:15" ht="15">
      <c r="A812" s="106">
        <v>46234</v>
      </c>
      <c r="B812" s="103">
        <v>0.33333333333333298</v>
      </c>
      <c r="C812" s="80"/>
      <c r="D812" s="99"/>
      <c r="E812" s="99"/>
      <c r="F812" s="100"/>
      <c r="G812" s="104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/>
      <c r="D813" s="99"/>
      <c r="E813" s="108"/>
      <c r="F813" s="100"/>
      <c r="G813" s="104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/>
      <c r="D814" s="99"/>
      <c r="E814" s="99"/>
      <c r="F814" s="100"/>
      <c r="G814" s="104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/>
      <c r="D815" s="99"/>
      <c r="E815" s="108"/>
      <c r="F815" s="100"/>
      <c r="G815" s="104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/>
      <c r="D816" s="99"/>
      <c r="E816" s="99"/>
      <c r="F816" s="100"/>
      <c r="G816" s="104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/>
      <c r="D817" s="99"/>
      <c r="E817" s="108"/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/>
      <c r="D818" s="99"/>
      <c r="E818" s="99"/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/>
      <c r="D819" s="99"/>
      <c r="E819" s="108"/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/>
      <c r="D820" s="99"/>
      <c r="E820" s="99"/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/>
      <c r="D821" s="99"/>
      <c r="E821" s="108"/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/>
      <c r="D822" s="99"/>
      <c r="E822" s="99"/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/>
      <c r="D823" s="99"/>
      <c r="E823" s="108"/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0</v>
      </c>
      <c r="G824" s="109">
        <f>SUM(G812:G823)</f>
        <v>0</v>
      </c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0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2">
        <f>IFERROR(O824+O837,"")</f>
        <v>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2026-07-31T10:32:22Z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