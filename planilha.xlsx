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20" documentId="13_ncr:1_{A6DBCFB4-28D9-4249-9038-216934055CA6}" xr6:coauthVersionLast="47" xr6:coauthVersionMax="47" xr10:uidLastSave="{021937DE-7716-4440-845E-D2E2E2744971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<sst xmlns="http://schemas.openxmlformats.org/spreadsheetml/2006/main" count="10656" uniqueCount="437">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</sst>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12" activePane="bottomLeft" state="frozen"/>
      <selection pane="bottomLeft" activeCell="N637" sqref="N637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/>
      <c r="M636" s="66">
        <f t="shared" ref="M636:M647" ca="1" si="138">IFERROR(IF(K636="","",IF(L636="",MOD(NOW()-K636,1),IF(L636&gt;=K636,L636-K636,L636+1-K636))),"")</f>
        <v>2.5184953708958346E-2</v>
      </c>
      <c r="N636" s="80" t="s">
        <v>307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/>
      <c r="G641" s="69" t="str">
        <f>IF(F641="","",IF(#REF!="PC 17",F641*4.2,IF(#REF!="PC 19",F641*5,IF(#REF!="CB",F641*35,""))))</f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211</v>
      </c>
      <c r="G648" s="2">
        <f>SUM(G636:G647)</f>
        <v>1055</v>
      </c>
      <c r="H648" s="72"/>
      <c r="I648" s="72"/>
      <c r="J648" s="72"/>
      <c r="K648" s="72"/>
      <c r="L648" s="72"/>
      <c r="M648" s="73">
        <f ca="1">IFERROR(SUM(M636:M647),"")</f>
        <v>2.5184953708958346E-2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617</v>
      </c>
      <c r="G649" s="1">
        <f>G635+G648</f>
        <v>3085</v>
      </c>
      <c r="H649" s="76"/>
      <c r="I649" s="76"/>
      <c r="J649" s="76"/>
      <c r="K649" s="76"/>
      <c r="L649" s="76"/>
      <c r="M649" s="77">
        <f ca="1">IFERROR(M635+M648,"")</f>
        <v>4.7407175931180545E-2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1" sqref="G641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0.90296273148123873</v>
      </c>
      <c r="R53" s="80" t="s">
        <v>318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1.0418516203701265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1.1265738425923493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320</v>
      </c>
      <c r="Q96" s="66" t="str">
        <f t="shared" ref="Q96:Q107" ca="1" si="22">IFERROR(IF(O96="","",IF(P96="",MOD(NOW()-O96,1),IF(P96&gt;=O96,P96-O96,P96+1-O96))),"")</f>
        <v/>
      </c>
      <c r="R96" s="80" t="s">
        <v>321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353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354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326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42</v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84</v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67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290.2</v>
      </c>
      <c r="L648" s="72"/>
      <c r="M648" s="72"/>
      <c r="N648" s="72"/>
      <c r="O648" s="72"/>
      <c r="P648" s="72"/>
      <c r="Q648" s="73">
        <f ca="1">IFERROR(SUM(Q636:Q647),"")</f>
        <v>5.4861111111111083E-2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229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970.60000000000014</v>
      </c>
      <c r="L649" s="76"/>
      <c r="M649" s="76"/>
      <c r="N649" s="76"/>
      <c r="O649" s="76"/>
      <c r="P649" s="76"/>
      <c r="Q649" s="77">
        <f ca="1">IFERROR(Q635+Q648,"")</f>
        <v>0.12569444444444455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1" sqref="G64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355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355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355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357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358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359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360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361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362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363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364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365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366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368</v>
      </c>
      <c r="Q222" s="66" t="str">
        <f t="shared" ca="1" si="49"/>
        <v/>
      </c>
      <c r="R222" s="63" t="s">
        <v>369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370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371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372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373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374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375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375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376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377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362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378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379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380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381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382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319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383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355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319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378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319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375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384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384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384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360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/>
      <c r="Q637" s="71">
        <f t="shared" ca="1" si="165"/>
        <v>3.1434953707503155E-2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3"/>
        <v>0</v>
      </c>
      <c r="K639" s="69">
        <f t="shared" si="164"/>
        <v>58.800000000000004</v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3"/>
        <v>0</v>
      </c>
      <c r="K640" s="64">
        <f t="shared" si="164"/>
        <v>25.200000000000003</v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46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202.8</v>
      </c>
      <c r="L648" s="72"/>
      <c r="M648" s="72"/>
      <c r="N648" s="72"/>
      <c r="O648" s="72"/>
      <c r="P648" s="72"/>
      <c r="Q648" s="73">
        <f ca="1">IFERROR(SUM(Q636:Q647),"")</f>
        <v>4.2546064818614227E-2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118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505.20000000000005</v>
      </c>
      <c r="L649" s="76"/>
      <c r="M649" s="76"/>
      <c r="N649" s="76"/>
      <c r="O649" s="76"/>
      <c r="P649" s="76"/>
      <c r="Q649" s="77">
        <f ca="1">IFERROR(Q635+Q648,"")</f>
        <v>9.6018287040836425E-2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12" activePane="bottomLeft" state="frozen"/>
      <selection pane="bottomLeft" activeCell="G640" sqref="G640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355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355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355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355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377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429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430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431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377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432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377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411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433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428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434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 t="s">
        <v>27</v>
      </c>
      <c r="M637" s="70" t="s">
        <v>66</v>
      </c>
      <c r="N637" s="70" t="s">
        <v>239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435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/>
      <c r="Q638" s="66">
        <f t="shared" ca="1" si="168"/>
        <v>4.3240277780569158E-2</v>
      </c>
      <c r="R638" s="63" t="s">
        <v>436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117.60000000000001</v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74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322.8</v>
      </c>
      <c r="L648" s="72"/>
      <c r="M648" s="72"/>
      <c r="N648" s="72"/>
      <c r="O648" s="134"/>
      <c r="P648" s="134"/>
      <c r="Q648" s="73">
        <f ca="1">IFERROR(SUM(Q636:Q647),"")</f>
        <v>9.5323611113902529E-2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315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1335</v>
      </c>
      <c r="L649" s="76"/>
      <c r="M649" s="76"/>
      <c r="N649" s="76"/>
      <c r="O649" s="135"/>
      <c r="P649" s="135"/>
      <c r="Q649" s="77">
        <f ca="1">IFERROR(Q635+Q648,"")</f>
        <v>0.16476805555834695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2026-08-25T04:36:53Z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