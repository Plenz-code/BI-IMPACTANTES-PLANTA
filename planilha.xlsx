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85" documentId="13_ncr:1_{0A10D8D4-8450-4366-8075-B53B08E6B7EA}" xr6:coauthVersionLast="47" xr6:coauthVersionMax="47" xr10:uidLastSave="{2994C680-9306-4908-AB53-680ACDAC7199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<sst xmlns="http://schemas.openxmlformats.org/spreadsheetml/2006/main" count="7715" uniqueCount="369">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</sst>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N449" sqref="N44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 t="s">
        <v>27</v>
      </c>
      <c r="I448" s="26" t="s">
        <v>30</v>
      </c>
      <c r="J448" s="26" t="s">
        <v>141</v>
      </c>
      <c r="K448" s="29">
        <v>0.96180555555555558</v>
      </c>
      <c r="L448" s="29"/>
      <c r="M448" s="30">
        <f t="shared" ca="1" si="95"/>
        <v>2.6323726851842366E-2</v>
      </c>
      <c r="N448" s="46" t="s">
        <v>273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>IF(F451="","",IF(E451="PC 17",F451*4.2,IF(E451="PC 19",F451*5,IF(E451="CB",F451*35,""))))</f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274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275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276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152</v>
      </c>
      <c r="G459" s="36">
        <f>SUM(G447:G458)</f>
        <v>760</v>
      </c>
      <c r="H459" s="37"/>
      <c r="I459" s="37"/>
      <c r="J459" s="37"/>
      <c r="K459" s="37"/>
      <c r="L459" s="37"/>
      <c r="M459" s="38">
        <f ca="1">IFERROR(SUM(M447:M458),"")</f>
        <v>6.4518171296286897E-2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320</v>
      </c>
      <c r="G460" s="40">
        <f>G446+G459</f>
        <v>1600</v>
      </c>
      <c r="H460" s="41"/>
      <c r="I460" s="41"/>
      <c r="J460" s="41"/>
      <c r="K460" s="41"/>
      <c r="L460" s="41"/>
      <c r="M460" s="42">
        <f ca="1">IFERROR(M446+M459,"")</f>
        <v>0.19299039351850922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N455" sqref="N45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0.86660150462557795</v>
      </c>
      <c r="R53" s="46" t="s">
        <v>287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1.0054903935144668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1.0902126157366892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310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311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312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313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314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244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237.2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166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707.6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1" sqref="G45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328</v>
      </c>
      <c r="Q222" s="30" t="str">
        <f t="shared" ca="1" si="49"/>
        <v/>
      </c>
      <c r="R222" s="27" t="s">
        <v>329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310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334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335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335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201.59999999999997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133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558.6</v>
      </c>
      <c r="L460" s="41"/>
      <c r="M460" s="41"/>
      <c r="N460" s="41"/>
      <c r="O460" s="41"/>
      <c r="P460" s="41"/>
      <c r="Q460" s="42">
        <f ca="1">IFERROR(Q446+Q459,"")</f>
        <v>5.2083333333333315E-2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P448" sqref="P44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310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170</v>
      </c>
      <c r="N447" s="33" t="s">
        <v>63</v>
      </c>
      <c r="O447" s="29">
        <v>0.96875</v>
      </c>
      <c r="P447" s="29">
        <v>0.98750000000000004</v>
      </c>
      <c r="Q447" s="35">
        <f t="shared" ref="Q447:Q458" ca="1" si="112">IFERROR(IF(O447="","",IF(P447="",MOD(NOW()-O447,1),IF(P447&gt;=O447,P447-O447,P447+1-O447))),"")</f>
        <v>1.8750000000000044E-2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117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491.4</v>
      </c>
      <c r="L459" s="37"/>
      <c r="M459" s="37"/>
      <c r="N459" s="37"/>
      <c r="O459" s="61"/>
      <c r="P459" s="61"/>
      <c r="Q459" s="38">
        <f ca="1">IFERROR(SUM(Q447:Q458),"")</f>
        <v>1.8750000000000044E-2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300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1260</v>
      </c>
      <c r="L460" s="41"/>
      <c r="M460" s="41"/>
      <c r="N460" s="41"/>
      <c r="O460" s="63"/>
      <c r="P460" s="63"/>
      <c r="Q460" s="42">
        <f ca="1">IFERROR(Q446+Q459,"")</f>
        <v>5.4861111111111138E-2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2026-08-18T03:43:28Z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