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10" documentId="8_{C51EB6CB-002B-4D6B-B68F-DDEBDB4460C0}" xr6:coauthVersionLast="47" xr6:coauthVersionMax="47" xr10:uidLastSave="{9FBA3C25-7F06-49EC-BB7C-DE7F12BADC33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<sst xmlns="http://schemas.openxmlformats.org/spreadsheetml/2006/main" count="5690" uniqueCount="339">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</sst>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N302" sqref="N30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/>
      <c r="M301" s="35">
        <f t="shared" ca="1" si="67"/>
        <v>6.6365740349283442E-4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422</v>
      </c>
      <c r="G311" s="90">
        <f>SUM(G299:G310)</f>
        <v>2110</v>
      </c>
      <c r="H311" s="37"/>
      <c r="I311" s="37"/>
      <c r="J311" s="37"/>
      <c r="K311" s="37"/>
      <c r="L311" s="37"/>
      <c r="M311" s="38">
        <f ca="1">IFERROR(SUM(M299:M310),"")</f>
        <v>1.5941435181270613E-2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422</v>
      </c>
      <c r="G325" s="40">
        <f>G311+G324</f>
        <v>2110</v>
      </c>
      <c r="H325" s="41"/>
      <c r="I325" s="41"/>
      <c r="J325" s="41"/>
      <c r="K325" s="41"/>
      <c r="L325" s="41"/>
      <c r="M325" s="42">
        <f ca="1">IFERROR(M311+M324,"")</f>
        <v>1.5941435181270613E-2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F308" sqref="F30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0.5964969907363411</v>
      </c>
      <c r="N53" s="46" t="s">
        <v>268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0.73538587962522994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0.82010810184745231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270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271</v>
      </c>
      <c r="M96" s="30" t="str">
        <f t="shared" ref="M96:M107" ca="1" si="22">IFERROR(IF(K96="","",IF(L96="",MOD(NOW()-K96,1),IF(L96&gt;=K96,L96-K96,L96+1-K96))),"")</f>
        <v/>
      </c>
      <c r="N96" s="46" t="s">
        <v>272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275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269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284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285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286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287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288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289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146</v>
      </c>
      <c r="G311" s="36">
        <f>SUM(G299:G310)</f>
        <v>613.20000000000005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146</v>
      </c>
      <c r="G325" s="40">
        <f>G311+G324</f>
        <v>613.20000000000005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08" sqref="F307:F30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303</v>
      </c>
      <c r="M222" s="30" t="str">
        <f t="shared" ca="1" si="49"/>
        <v/>
      </c>
      <c r="N222" s="27" t="s">
        <v>304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269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0.52358032407209976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0.58538587962765531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0.64649699073876654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306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95</v>
      </c>
      <c r="G311" s="36">
        <f>SUM(G299:G310)</f>
        <v>399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95</v>
      </c>
      <c r="G325" s="40">
        <f>G311+G324</f>
        <v>399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F308" sqref="F308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297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332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333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334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335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336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337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/>
      <c r="M301" s="35">
        <f t="shared" ca="1" si="67"/>
        <v>5.5524768518807832E-2</v>
      </c>
      <c r="N301" s="27" t="s">
        <v>338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168</v>
      </c>
      <c r="G311" s="36">
        <f>SUM(G299:G310)</f>
        <v>705.6</v>
      </c>
      <c r="H311" s="37"/>
      <c r="I311" s="37"/>
      <c r="J311" s="37"/>
      <c r="K311" s="61"/>
      <c r="L311" s="61"/>
      <c r="M311" s="38">
        <f ca="1">IFERROR(SUM(M299:M310),"")</f>
        <v>7.1496990741030053E-2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168</v>
      </c>
      <c r="G325" s="40">
        <f>G311+G324</f>
        <v>705.6</v>
      </c>
      <c r="H325" s="41"/>
      <c r="I325" s="41"/>
      <c r="J325" s="41"/>
      <c r="K325" s="63"/>
      <c r="L325" s="63"/>
      <c r="M325" s="42">
        <f ca="1">IFERROR(M311+M324,"")</f>
        <v>7.1496990741030053E-2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