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37" documentId="13_ncr:1_{A6DBCFB4-28D9-4249-9038-216934055CA6}" xr6:coauthVersionLast="47" xr6:coauthVersionMax="47" xr10:uidLastSave="{48053BD9-107A-4808-81FB-38BB8A81B150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8" i="5" l="1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<sst xmlns="http://schemas.openxmlformats.org/spreadsheetml/2006/main" count="9393" uniqueCount="413">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</sst>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40" activePane="bottomLeft" state="frozen"/>
      <selection pane="bottomLeft" activeCell="J556" sqref="J55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7" t="s">
        <v>264</v>
      </c>
      <c r="B567" s="157"/>
      <c r="C567" s="157"/>
      <c r="D567" s="157"/>
      <c r="E567" s="157"/>
      <c r="F567" s="2">
        <f>SUM(F555:F566)</f>
        <v>16</v>
      </c>
      <c r="G567" s="2">
        <f>SUM(G555:G566)</f>
        <v>80</v>
      </c>
      <c r="H567" s="72"/>
      <c r="I567" s="72"/>
      <c r="J567" s="72"/>
      <c r="K567" s="72"/>
      <c r="L567" s="72"/>
      <c r="M567" s="73">
        <f ca="1">IFERROR(SUM(M555:M566),"")</f>
        <v>0.16041666666666676</v>
      </c>
      <c r="N567" s="2" t="s">
        <v>262</v>
      </c>
      <c r="O567" s="74"/>
    </row>
    <row r="568" spans="1:15" ht="18" customHeight="1">
      <c r="A568" s="158" t="s">
        <v>250</v>
      </c>
      <c r="B568" s="158"/>
      <c r="C568" s="158"/>
      <c r="D568" s="158"/>
      <c r="E568" s="158"/>
      <c r="F568" s="1">
        <f>F554+F567</f>
        <v>16</v>
      </c>
      <c r="G568" s="1">
        <f>G554+G567</f>
        <v>80</v>
      </c>
      <c r="H568" s="76"/>
      <c r="I568" s="76"/>
      <c r="J568" s="76"/>
      <c r="K568" s="76"/>
      <c r="L568" s="76"/>
      <c r="M568" s="77">
        <f ca="1">IFERROR(M554+M567,"")</f>
        <v>0.66041666666666665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7" t="s">
        <v>261</v>
      </c>
      <c r="B581" s="157"/>
      <c r="C581" s="157"/>
      <c r="D581" s="157"/>
      <c r="E581" s="157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58" t="s">
        <v>250</v>
      </c>
      <c r="B595" s="158"/>
      <c r="C595" s="158"/>
      <c r="D595" s="158"/>
      <c r="E595" s="158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33" activePane="bottomLeft" state="frozen"/>
      <selection pane="bottomLeft" activeCell="E558" sqref="E55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0.88479305554938037</v>
      </c>
      <c r="R53" s="80" t="s">
        <v>308</v>
      </c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1.0236819444382681</v>
      </c>
      <c r="R54" s="2" t="s">
        <v>262</v>
      </c>
      <c r="S54" s="113">
        <v>352430</v>
      </c>
      <c r="T54" s="114"/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1.1084041666604909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0.21465416666615056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0.21465416666615056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0.53618194444392819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O562" sqref="O56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191.6</v>
      </c>
      <c r="L567" s="72"/>
      <c r="M567" s="72"/>
      <c r="N567" s="72"/>
      <c r="O567" s="72"/>
      <c r="P567" s="72"/>
      <c r="Q567" s="73">
        <f ca="1">IFERROR(SUM(Q555:Q566),"")</f>
        <v>2.7083333333333459E-2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51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229.4</v>
      </c>
      <c r="L568" s="76"/>
      <c r="M568" s="76"/>
      <c r="N568" s="76"/>
      <c r="O568" s="76"/>
      <c r="P568" s="76"/>
      <c r="Q568" s="77">
        <f ca="1">IFERROR(Q554+Q567,"")</f>
        <v>0.43750000000000017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N566" sqref="N565:N56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/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 t="str">
        <f t="shared" si="143"/>
        <v/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411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412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>
        <v>0.99722222222222223</v>
      </c>
      <c r="P562" s="65"/>
      <c r="Q562" s="66">
        <f t="shared" ca="1" si="145"/>
        <v>9.0986111099482514E-3</v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174.60000000000002</v>
      </c>
      <c r="L567" s="72"/>
      <c r="M567" s="72"/>
      <c r="N567" s="72"/>
      <c r="O567" s="134"/>
      <c r="P567" s="134"/>
      <c r="Q567" s="73">
        <f ca="1">IFERROR(SUM(Q555:Q566),"")</f>
        <v>5.2154166665503765E-2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172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724.80000000000007</v>
      </c>
      <c r="L568" s="76"/>
      <c r="M568" s="76"/>
      <c r="N568" s="76"/>
      <c r="O568" s="135"/>
      <c r="P568" s="135"/>
      <c r="Q568" s="77">
        <f ca="1">IFERROR(Q554+Q567,"")</f>
        <v>0.20840416666550382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2026-08-22T04:09:06Z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