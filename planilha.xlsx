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73" documentId="8_{AF585B22-221D-4780-BB9C-493D365A6A02}" xr6:coauthVersionLast="47" xr6:coauthVersionMax="47" xr10:uidLastSave="{FE400FBD-A6A0-40A4-A700-89BF1039D1E0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<sst xmlns="http://schemas.openxmlformats.org/spreadsheetml/2006/main" count="3105" uniqueCount="254">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</sst>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F156" sqref="F1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155</v>
      </c>
      <c r="G162" s="36">
        <f>SUM(G150:G161)</f>
        <v>775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234</v>
      </c>
      <c r="G163" s="40">
        <f>G149+G162</f>
        <v>1170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50" activePane="bottomLeft" state="frozen"/>
      <selection pane="bottomLeft" activeCell="F155" sqref="F1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101</v>
      </c>
      <c r="G162" s="36">
        <f>SUM(G150:G161)</f>
        <v>450.6</v>
      </c>
      <c r="H162" s="37"/>
      <c r="I162" s="37"/>
      <c r="J162" s="37"/>
      <c r="K162" s="37"/>
      <c r="L162" s="37"/>
      <c r="M162" s="38">
        <f ca="1">IFERROR(SUM(M150:M161),"")</f>
        <v>2.2222222222222143E-2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196</v>
      </c>
      <c r="G163" s="40">
        <f>G149+G162</f>
        <v>925.6</v>
      </c>
      <c r="H163" s="41"/>
      <c r="I163" s="41"/>
      <c r="J163" s="41"/>
      <c r="K163" s="41"/>
      <c r="L163" s="41"/>
      <c r="M163" s="42">
        <f ca="1">IFERROR(M149+M162,"")</f>
        <v>0.23333333333333323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43" activePane="bottomLeft" state="frozen"/>
      <selection pane="bottomLeft" activeCell="J150" sqref="J1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/>
      <c r="M150" s="30">
        <f t="shared" ref="M150:M161" ca="1" si="34">IFERROR(IF(K150="","",IF(L150="",MOD(NOW()-K150,1),IF(L150&gt;=K150,L150-K150,L150+1-K150))),"")</f>
        <v>9.6728009229991585E-3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56</v>
      </c>
      <c r="G162" s="36">
        <f>SUM(G150:G161)</f>
        <v>249.60000000000002</v>
      </c>
      <c r="H162" s="37"/>
      <c r="I162" s="37"/>
      <c r="J162" s="37"/>
      <c r="K162" s="37"/>
      <c r="L162" s="37"/>
      <c r="M162" s="38">
        <f ca="1">IFERROR(SUM(M150:M161),"")</f>
        <v>9.6728009229991585E-3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174</v>
      </c>
      <c r="G163" s="40">
        <f>G149+G162</f>
        <v>839.6</v>
      </c>
      <c r="H163" s="41"/>
      <c r="I163" s="41"/>
      <c r="J163" s="41"/>
      <c r="K163" s="41"/>
      <c r="L163" s="41"/>
      <c r="M163" s="42">
        <f ca="1">IFERROR(M149+M162,"")</f>
        <v>6.5228356478554794E-2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47" activePane="bottomLeft" state="frozen"/>
      <selection pane="bottomLeft" activeCell="F156" sqref="F15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242</v>
      </c>
      <c r="L58" s="29">
        <v>0.54097222222222219</v>
      </c>
      <c r="M58" s="30" t="str">
        <f t="shared" ca="1" si="13"/>
        <v/>
      </c>
      <c r="N58" s="27" t="s">
        <v>243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0.82286724536970723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1.0221728009252629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1.3895339120363739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15</v>
      </c>
      <c r="G153" s="34">
        <f t="shared" si="33"/>
        <v>63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96</v>
      </c>
      <c r="G162" s="36">
        <f>SUM(G150:G161)</f>
        <v>427.20000000000005</v>
      </c>
      <c r="H162" s="37"/>
      <c r="I162" s="37"/>
      <c r="J162" s="37"/>
      <c r="K162" s="61"/>
      <c r="L162" s="61"/>
      <c r="M162" s="38">
        <f ca="1">IFERROR(SUM(M150:M161),"")</f>
        <v>4.0277777777777635E-2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317</v>
      </c>
      <c r="G163" s="40">
        <f>G149+G162</f>
        <v>1532.2</v>
      </c>
      <c r="H163" s="41"/>
      <c r="I163" s="41"/>
      <c r="J163" s="41"/>
      <c r="K163" s="63"/>
      <c r="L163" s="63"/>
      <c r="M163" s="42">
        <f ca="1">IFERROR(M149+M162,"")</f>
        <v>0.10555555555555546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2026-07-07T05:44:26Z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