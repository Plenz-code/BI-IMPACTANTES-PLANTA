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73" documentId="8_{C51EB6CB-002B-4D6B-B68F-DDEBDB4460C0}" xr6:coauthVersionLast="47" xr6:coauthVersionMax="47" xr10:uidLastSave="{DF4BDE44-6F91-4BA5-8D15-7863BB9335DF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<sst xmlns="http://schemas.openxmlformats.org/spreadsheetml/2006/main" count="5673" uniqueCount="337">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</sst>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25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25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25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25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25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25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25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25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25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25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25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25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25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25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25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25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25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25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25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25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25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25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25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25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25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25">
      <c r="H58" s="113"/>
      <c r="I58" s="16"/>
      <c r="J58" s="16"/>
      <c r="K58" s="16" t="s">
        <v>208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209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210</v>
      </c>
      <c r="L61" s="17"/>
      <c r="M61" s="17"/>
    </row>
    <row r="62" spans="1:13" ht="15" customHeight="1" x14ac:dyDescent="0.25">
      <c r="H62" s="113"/>
      <c r="I62" s="16"/>
      <c r="J62" s="16"/>
      <c r="K62" s="16" t="s">
        <v>211</v>
      </c>
      <c r="L62" s="16"/>
      <c r="M62" s="16"/>
    </row>
    <row r="63" spans="1:13" ht="15" customHeight="1" x14ac:dyDescent="0.25">
      <c r="H63" s="113"/>
      <c r="I63" s="17"/>
      <c r="J63" s="17"/>
      <c r="K63" s="17" t="s">
        <v>212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213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214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215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216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217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218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219</v>
      </c>
      <c r="L70" s="16"/>
      <c r="M70" s="16"/>
    </row>
    <row r="71" spans="8:13" ht="15" customHeight="1" x14ac:dyDescent="0.25">
      <c r="H71" s="113"/>
      <c r="I71" s="17"/>
      <c r="J71" s="17"/>
      <c r="K71" s="17" t="s">
        <v>220</v>
      </c>
      <c r="L71" s="17"/>
      <c r="M71" s="17"/>
    </row>
    <row r="72" spans="8:13" ht="15" customHeight="1" x14ac:dyDescent="0.25">
      <c r="H72" s="113"/>
      <c r="I72" s="16"/>
      <c r="J72" s="16"/>
      <c r="K72" s="16" t="s">
        <v>221</v>
      </c>
      <c r="L72" s="16"/>
      <c r="M72" s="16"/>
    </row>
    <row r="73" spans="8:13" ht="15" customHeight="1" x14ac:dyDescent="0.25">
      <c r="H73" s="113"/>
      <c r="I73" s="17"/>
      <c r="J73" s="17"/>
      <c r="K73" s="17" t="s">
        <v>222</v>
      </c>
      <c r="L73" s="17"/>
      <c r="M73" s="17"/>
    </row>
    <row r="74" spans="8:13" ht="15" customHeight="1" x14ac:dyDescent="0.25">
      <c r="H74" s="113"/>
      <c r="I74" s="16"/>
      <c r="J74" s="16"/>
      <c r="K74" s="16" t="s">
        <v>223</v>
      </c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6" sqref="F306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 t="s">
        <v>23</v>
      </c>
      <c r="J300" s="26"/>
      <c r="K300" s="29">
        <v>0.61319444444444449</v>
      </c>
      <c r="L300" s="29"/>
      <c r="M300" s="30">
        <f t="shared" ca="1" si="67"/>
        <v>6.9594907836290076E-4</v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271</v>
      </c>
      <c r="G311" s="90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1.1807060189474028E-2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1.1807060189474028E-2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80" zoomScaleNormal="80" workbookViewId="0">
      <pane ySplit="1" topLeftCell="A297" activePane="bottomLeft" state="frozen"/>
      <selection pane="bottomLeft" activeCell="J310" sqref="J310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0.49236261573969387</v>
      </c>
      <c r="N53" s="46" t="s">
        <v>267</v>
      </c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0.6312515046285827</v>
      </c>
      <c r="N54" s="36" t="s">
        <v>236</v>
      </c>
      <c r="O54" s="84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0.71597372685080507</v>
      </c>
      <c r="N55" s="40" t="s">
        <v>240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25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 x14ac:dyDescent="0.25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25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 x14ac:dyDescent="0.25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25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25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25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 x14ac:dyDescent="0.25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 x14ac:dyDescent="0.25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3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 x14ac:dyDescent="0.25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 x14ac:dyDescent="0.25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 x14ac:dyDescent="0.25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 x14ac:dyDescent="0.25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 x14ac:dyDescent="0.25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 x14ac:dyDescent="0.25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 x14ac:dyDescent="0.25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 x14ac:dyDescent="0.25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 x14ac:dyDescent="0.25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110</v>
      </c>
      <c r="G311" s="36">
        <f>SUM(G299:G310)</f>
        <v>462.00000000000006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110</v>
      </c>
      <c r="G325" s="40">
        <f>G311+G324</f>
        <v>462.00000000000006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25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25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84" zoomScale="80" zoomScaleNormal="80" workbookViewId="0">
      <selection activeCell="H299" sqref="H299:L30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0.41944594907545252</v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0.48125150463100808</v>
      </c>
      <c r="N270" s="36" t="s">
        <v>236</v>
      </c>
      <c r="O270" s="39">
        <v>327900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0.5423626157421193</v>
      </c>
      <c r="N271" s="40" t="s">
        <v>240</v>
      </c>
      <c r="O271" s="48">
        <f>IFERROR(O257+O270,"")</f>
        <v>877340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/>
      <c r="M301" s="35">
        <f t="shared" ca="1" si="67"/>
        <v>5.5570601907675155E-3</v>
      </c>
      <c r="N301" s="27" t="s">
        <v>268</v>
      </c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79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1.5973726857434201E-2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79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1.5973726857434201E-2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5" activePane="bottomLeft" state="frozen"/>
      <selection pane="bottomLeft" activeCell="K302" sqref="K302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143</v>
      </c>
      <c r="G311" s="36">
        <f>SUM(G299:G310)</f>
        <v>600.6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143</v>
      </c>
      <c r="G325" s="40">
        <f>G311+G324</f>
        <v>600.6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2026-08-12T18:44:00Z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