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53" documentId="8_{AF585B22-221D-4780-BB9C-493D365A6A02}" xr6:coauthVersionLast="47" xr6:coauthVersionMax="47" xr10:uidLastSave="{4DBE4900-FF5C-4E15-9953-FC25AC0A9BDD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<sst xmlns="http://schemas.openxmlformats.org/spreadsheetml/2006/main" count="12358" uniqueCount="439">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</sst>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I812" sqref="I8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>
        <v>50</v>
      </c>
      <c r="H812" s="80" t="s">
        <v>16</v>
      </c>
      <c r="I812" s="80" t="s">
        <v>23</v>
      </c>
      <c r="J812" s="80"/>
      <c r="K812" s="98">
        <v>0.5</v>
      </c>
      <c r="L812" s="98"/>
      <c r="M812" s="78">
        <f ca="1">IFERROR(IF(K812="","",IF(L812="",MOD(NOW()-K812,1),IF(L812&gt;=K812,L812-K812,L812+1-K812))),"")</f>
        <v>2.4909722196753137E-3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2.4909722196753137E-3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2.4909722196753137E-3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7" sqref="F8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0.26290787036850816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0.42054675925739704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0.53026898147961921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0.24138009259331739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0.41221342592665078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0.55735231481553971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26</v>
      </c>
      <c r="G813" s="104">
        <f>IF(F813="","",IF(E813="PC 17",F813*4.2,IF(E813="PC 19",F813*5,"")))</f>
        <v>109.2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85</v>
      </c>
      <c r="G824" s="109">
        <f>SUM(G812:G823)</f>
        <v>357</v>
      </c>
      <c r="H824" s="37"/>
      <c r="I824" s="37"/>
      <c r="J824" s="37"/>
      <c r="K824" s="37"/>
      <c r="L824" s="37"/>
      <c r="M824" s="110">
        <f ca="1">IFERROR(SUM(M812:M823),"")</f>
        <v>1.8055555555555547E-2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85</v>
      </c>
      <c r="G838" s="111">
        <f>G824+G837</f>
        <v>357</v>
      </c>
      <c r="H838" s="41"/>
      <c r="I838" s="41"/>
      <c r="J838" s="41"/>
      <c r="K838" s="41"/>
      <c r="L838" s="41"/>
      <c r="M838" s="112">
        <f ca="1">IFERROR(M824+M837,"")</f>
        <v>1.8055555555555547E-2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7" sqref="F8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50</v>
      </c>
      <c r="G824" s="109">
        <f>SUM(G812:G823)</f>
        <v>210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50</v>
      </c>
      <c r="G838" s="111">
        <f>G824+G837</f>
        <v>210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7" sqref="F8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0.25318564815097488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0.45249120370653051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0.81985231481764154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39</v>
      </c>
      <c r="G824" s="109">
        <f>SUM(G812:G823)</f>
        <v>163.80000000000001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39</v>
      </c>
      <c r="G838" s="111">
        <f>G824+G837</f>
        <v>163.80000000000001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2026-07-31T16:04:03Z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