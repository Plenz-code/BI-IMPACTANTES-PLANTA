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58" documentId="8_{AF585B22-221D-4780-BB9C-493D365A6A02}" xr6:coauthVersionLast="47" xr6:coauthVersionMax="47" xr10:uidLastSave="{C3EA09C9-C767-42EF-8D01-0FA6377DD5D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<sst xmlns="http://schemas.openxmlformats.org/spreadsheetml/2006/main" count="2487" uniqueCount="233">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</sst>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8" sqref="F1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20</v>
      </c>
      <c r="G122" s="36">
        <f>SUM(G110:G121)</f>
        <v>84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20</v>
      </c>
      <c r="G136" s="40">
        <f>G122+G135</f>
        <v>84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0" activePane="bottomLeft" state="frozen"/>
      <selection pane="bottomLeft" activeCell="I110" sqref="I1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196</v>
      </c>
      <c r="F110" s="27">
        <v>22</v>
      </c>
      <c r="G110" s="28">
        <f t="shared" ref="G110:G121" si="24">IF(F110="","",IF(E110="PC 17",F110*4.2,IF(E110="PC 19",F110*5,"")))</f>
        <v>110</v>
      </c>
      <c r="H110" s="26" t="s">
        <v>18</v>
      </c>
      <c r="I110" s="26" t="s">
        <v>63</v>
      </c>
      <c r="J110" s="26"/>
      <c r="K110" s="29">
        <v>0.37916666666666665</v>
      </c>
      <c r="L110" s="29"/>
      <c r="M110" s="35">
        <f t="shared" ref="M110:M121" ca="1" si="25">IFERROR(IF(K110="","",IF(L110="",MOD(NOW()-K110,1),IF(L110&gt;=K110,L110-K110,L110+1-K110))),"")</f>
        <v>1.9466435187496245E-3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196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196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196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196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196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22</v>
      </c>
      <c r="G122" s="36">
        <f>SUM(G110:G121)</f>
        <v>110</v>
      </c>
      <c r="H122" s="37"/>
      <c r="I122" s="37"/>
      <c r="J122" s="37"/>
      <c r="K122" s="37"/>
      <c r="L122" s="37"/>
      <c r="M122" s="38">
        <f ca="1">IFERROR(SUM(M110:M121),"")</f>
        <v>1.9466435187496245E-3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22</v>
      </c>
      <c r="G136" s="40">
        <f>G122+G135</f>
        <v>110</v>
      </c>
      <c r="H136" s="41"/>
      <c r="I136" s="41"/>
      <c r="J136" s="41"/>
      <c r="K136" s="41"/>
      <c r="L136" s="41"/>
      <c r="M136" s="42">
        <f ca="1">IFERROR(M122+M135,"")</f>
        <v>1.9466435187496245E-3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8.9446643520204816E-2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8.9446643520204816E-2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8.9446643520204816E-2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8.9446643520204816E-2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8.9446643520204816E-2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8.9446643520204816E-2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2026-07-05T13:09:19Z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