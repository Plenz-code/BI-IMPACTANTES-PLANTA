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10" documentId="8_{AF585B22-221D-4780-BB9C-493D365A6A02}" xr6:coauthVersionLast="47" xr6:coauthVersionMax="47" xr10:uidLastSave="{8CA3F785-C939-4C8E-A9B8-7DF693A89216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<sst xmlns="http://schemas.openxmlformats.org/spreadsheetml/2006/main" count="7476" uniqueCount="347">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</sst>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48" activePane="bottomLeft" state="frozen"/>
      <selection pane="bottomLeft" activeCell="G469" sqref="G4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N462" sqref="N4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0.13073969907418359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0.28837858796307247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0.39810081018529464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0.10921192129899282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0.28004525463232621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0.42518414352121509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20</v>
      </c>
      <c r="G473" s="36">
        <f>SUM(G461:G472)</f>
        <v>100</v>
      </c>
      <c r="H473" s="37"/>
      <c r="I473" s="37"/>
      <c r="J473" s="37"/>
      <c r="K473" s="37"/>
      <c r="L473" s="37"/>
      <c r="M473" s="38">
        <f ca="1">IFERROR(SUM(M461:M472),"")</f>
        <v>2.4305555555555525E-2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20</v>
      </c>
      <c r="G487" s="40">
        <f>G473+G486</f>
        <v>100</v>
      </c>
      <c r="H487" s="41"/>
      <c r="I487" s="41"/>
      <c r="J487" s="41"/>
      <c r="K487" s="41"/>
      <c r="L487" s="41"/>
      <c r="M487" s="42">
        <f ca="1">IFERROR(M473+M486,"")</f>
        <v>2.4305555555555525E-2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62" sqref="F4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N462" sqref="N4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0.12101747685665032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0.32032303241220594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0.68768414352331697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/>
      <c r="M461" s="35">
        <f t="shared" ref="M461:M472" ca="1" si="103">IFERROR(IF(K461="","",IF(L461="",MOD(NOW()-K461,1),IF(L461&gt;=K461,L461-K461,L461+1-K461))),"")</f>
        <v>4.3934143519436475E-2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5</v>
      </c>
      <c r="G473" s="36">
        <f>SUM(G461:G472)</f>
        <v>25</v>
      </c>
      <c r="H473" s="37"/>
      <c r="I473" s="37"/>
      <c r="J473" s="37"/>
      <c r="K473" s="61"/>
      <c r="L473" s="61"/>
      <c r="M473" s="38">
        <f ca="1">IFERROR(SUM(M461:M472),"")</f>
        <v>4.3934143519436475E-2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5</v>
      </c>
      <c r="G487" s="40">
        <f>G473+G486</f>
        <v>25</v>
      </c>
      <c r="H487" s="41"/>
      <c r="I487" s="41"/>
      <c r="J487" s="41"/>
      <c r="K487" s="63"/>
      <c r="L487" s="63"/>
      <c r="M487" s="42">
        <f ca="1">IFERROR(M473+M486,"")</f>
        <v>4.3934143519436475E-2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2026-07-18T12:53:35Z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