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755" documentId="8_{AF585B22-221D-4780-BB9C-493D365A6A02}" xr6:coauthVersionLast="47" xr6:coauthVersionMax="47" xr10:uidLastSave="{83EFE70E-9710-41FB-AB4A-00A04E5DF624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<sst xmlns="http://schemas.openxmlformats.org/spreadsheetml/2006/main" count="10938" uniqueCount="408">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</sst>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01" activePane="bottomLeft" state="frozen"/>
      <selection pane="bottomLeft" activeCell="F719" sqref="F71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/>
      <c r="I717" s="33"/>
      <c r="J717" s="33"/>
      <c r="K717" s="29">
        <v>0.83333333333333337</v>
      </c>
      <c r="L717" s="29"/>
      <c r="M717" s="35">
        <f t="shared" ref="M717:M728" ca="1" si="160">IFERROR(IF(K717="","",IF(L717="",MOD(NOW()-K717,1),IF(L717&gt;=K717,L717-K717,L717+1-K717))),"")</f>
        <v>5.7657638884847984E-2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21</v>
      </c>
      <c r="G729" s="36">
        <f>SUM(G717:G728)</f>
        <v>105</v>
      </c>
      <c r="H729" s="37"/>
      <c r="I729" s="37"/>
      <c r="J729" s="37"/>
      <c r="K729" s="37"/>
      <c r="L729" s="37"/>
      <c r="M729" s="38">
        <f ca="1">IFERROR(SUM(M717:M728),"")</f>
        <v>5.7657638884847984E-2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324</v>
      </c>
      <c r="G730" s="40">
        <f>G716+G729</f>
        <v>1620</v>
      </c>
      <c r="H730" s="41"/>
      <c r="I730" s="41"/>
      <c r="J730" s="41"/>
      <c r="K730" s="41"/>
      <c r="L730" s="41"/>
      <c r="M730" s="42">
        <f ca="1">IFERROR(M716+M729,"")</f>
        <v>0.14724097221818122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7" activePane="bottomLeft" state="frozen"/>
      <selection pane="bottomLeft" activeCell="E718" sqref="E7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0.65140763888484798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0.80904652777373687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0.91876874999595903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0.62987986110965721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0.80071319444299061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0.94585208333187953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21</v>
      </c>
      <c r="G729" s="36">
        <f>SUM(G717:G728)</f>
        <v>91.4</v>
      </c>
      <c r="H729" s="37"/>
      <c r="I729" s="37"/>
      <c r="J729" s="37"/>
      <c r="K729" s="37"/>
      <c r="L729" s="37"/>
      <c r="M729" s="38">
        <f ca="1">IFERROR(SUM(M717:M728),"")</f>
        <v>3.472222222222221E-2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138</v>
      </c>
      <c r="G730" s="40">
        <f>G716+G729</f>
        <v>582.80000000000007</v>
      </c>
      <c r="H730" s="41"/>
      <c r="I730" s="41"/>
      <c r="J730" s="41"/>
      <c r="K730" s="41"/>
      <c r="L730" s="41"/>
      <c r="M730" s="42">
        <f ca="1">IFERROR(M716+M729,"")</f>
        <v>0.32847222222222211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95" zoomScale="50" zoomScaleNormal="50" workbookViewId="0">
      <selection activeCell="E718" sqref="E7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336</v>
      </c>
      <c r="N166" s="27" t="s">
        <v>337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357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6</v>
      </c>
      <c r="G729" s="36">
        <f>SUM(G717:G728)</f>
        <v>26.8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82</v>
      </c>
      <c r="G730" s="40">
        <f>G716+G729</f>
        <v>346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96" activePane="bottomLeft" state="frozen"/>
      <selection pane="bottomLeft" activeCell="E718" sqref="E71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362</v>
      </c>
      <c r="L58" s="29">
        <v>0.54097222222222219</v>
      </c>
      <c r="M58" s="30" t="str">
        <f t="shared" ca="1" si="13"/>
        <v/>
      </c>
      <c r="N58" s="27" t="s">
        <v>363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0.64168541666731471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0.84099097222287034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1.2083520833339814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402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403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404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405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406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407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24</v>
      </c>
      <c r="G729" s="36">
        <f>SUM(G717:G728)</f>
        <v>104</v>
      </c>
      <c r="H729" s="37"/>
      <c r="I729" s="37"/>
      <c r="J729" s="37"/>
      <c r="K729" s="61"/>
      <c r="L729" s="61"/>
      <c r="M729" s="38">
        <f ca="1">IFERROR(SUM(M717:M728),"")</f>
        <v>1.5972222222222165E-2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156</v>
      </c>
      <c r="G730" s="40">
        <f>G716+G729</f>
        <v>658.40000000000009</v>
      </c>
      <c r="H730" s="41"/>
      <c r="I730" s="41"/>
      <c r="J730" s="41"/>
      <c r="K730" s="63"/>
      <c r="L730" s="63"/>
      <c r="M730" s="42">
        <f ca="1">IFERROR(M716+M729,"")</f>
        <v>0.22222222222222215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2026-07-28T01:23:24Z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