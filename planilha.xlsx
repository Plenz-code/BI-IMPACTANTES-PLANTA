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895" documentId="8_{AF585B22-221D-4780-BB9C-493D365A6A02}" xr6:coauthVersionLast="47" xr6:coauthVersionMax="47" xr10:uidLastSave="{089AB17A-CE8D-433D-BD84-523B037A502A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<sst xmlns="http://schemas.openxmlformats.org/spreadsheetml/2006/main" count="9484" uniqueCount="382">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</sst>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7" activePane="bottomLeft" state="frozen"/>
      <selection pane="bottomLeft" activeCell="F609" sqref="F60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391</v>
      </c>
      <c r="G622" s="40">
        <f>G608+G621</f>
        <v>1955</v>
      </c>
      <c r="H622" s="41"/>
      <c r="I622" s="41"/>
      <c r="J622" s="41"/>
      <c r="K622" s="41"/>
      <c r="L622" s="41"/>
      <c r="M622" s="42">
        <f ca="1">IFERROR(M608+M621,"")</f>
        <v>2.6388888888888906E-2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609" sqref="F6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0.58363090277271112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0.74126979166160001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0.85099201388382217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0.56210312499752035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0.73293645833085375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0.87807534721974267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257</v>
      </c>
      <c r="F611" s="27"/>
      <c r="G611" s="34" t="str">
        <f>IF(F611="","",IF(E612="PC 17",F611*4.2,IF(E612="PC 19",F611*5,"")))</f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>IF(F612="","",IF(#REF!="PC 17",F612*4.2,IF(#REF!="PC 19",F612*5,"")))</f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164</v>
      </c>
      <c r="G622" s="40">
        <f>G608+G621</f>
        <v>688.80000000000007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81" zoomScale="50" zoomScaleNormal="50" workbookViewId="0">
      <selection activeCell="L610" sqref="L61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/>
      <c r="G609" s="34" t="str">
        <f t="shared" ref="G609:G614" si="135">IF(F609="","",IF(E609="PC 17",F609*4.2,IF(E609="PC 19",F609*5,"")))</f>
        <v/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257</v>
      </c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141</v>
      </c>
      <c r="G622" s="40">
        <f>G608+G621</f>
        <v>592.20000000000005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09" sqref="F60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341</v>
      </c>
      <c r="L58" s="29">
        <v>0.54097222222222219</v>
      </c>
      <c r="M58" s="30" t="str">
        <f t="shared" ca="1" si="13"/>
        <v/>
      </c>
      <c r="N58" s="27" t="s">
        <v>342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0.57390891203976935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0.77321446759532497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1.140575578706436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370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0.11488113425730262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0.16974224536841381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/>
      <c r="G609" s="34" t="str">
        <f t="shared" ref="G609:G614" si="135">IF(F609="","",IF(E609="PC 17",F609*4.2,IF(E609="PC 19",F609*5,"")))</f>
        <v/>
      </c>
      <c r="H609" s="33" t="s">
        <v>18</v>
      </c>
      <c r="I609" s="33" t="s">
        <v>75</v>
      </c>
      <c r="J609" s="33" t="s">
        <v>100</v>
      </c>
      <c r="K609" s="29">
        <v>0.29166666666666669</v>
      </c>
      <c r="L609" s="29"/>
      <c r="M609" s="35">
        <f t="shared" ref="M609:M620" ca="1" si="136">IFERROR(IF(K609="","",IF(L609="",MOD(NOW()-K609,1),IF(L609&gt;=K609,L609-K609,L609+1-K609))),"")</f>
        <v>0.53154780092881992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257</v>
      </c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0.53154780092881992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160</v>
      </c>
      <c r="G622" s="40">
        <f>G608+G621</f>
        <v>672</v>
      </c>
      <c r="H622" s="41"/>
      <c r="I622" s="41"/>
      <c r="J622" s="41"/>
      <c r="K622" s="63"/>
      <c r="L622" s="63"/>
      <c r="M622" s="42">
        <f ca="1">IFERROR(M608+M621,"")</f>
        <v>0.70129004629723379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2026-07-23T23:45:57Z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