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26" documentId="8_{AF585B22-221D-4780-BB9C-493D365A6A02}" xr6:coauthVersionLast="47" xr6:coauthVersionMax="47" xr10:uidLastSave="{F4B80FFB-82CA-4154-A330-BF5314BC8FD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<sst xmlns="http://schemas.openxmlformats.org/spreadsheetml/2006/main" count="3937" uniqueCount="272">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</sst>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N219" sqref="N2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/>
      <c r="M218" s="30">
        <f t="shared" ref="M218:M229" ca="1" si="49">IFERROR(IF(K218="","",IF(L218="",MOD(NOW()-K218,1),IF(L218&gt;=K218,L218-K218,L218+1-K218))),"")</f>
        <v>2.191458333254559E-2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58</v>
      </c>
      <c r="G230" s="36">
        <f>SUM(G218:G229)</f>
        <v>290</v>
      </c>
      <c r="H230" s="37"/>
      <c r="I230" s="37"/>
      <c r="J230" s="37"/>
      <c r="K230" s="37"/>
      <c r="L230" s="37"/>
      <c r="M230" s="38">
        <f ca="1">IFERROR(SUM(M218:M229),"")</f>
        <v>2.191458333254559E-2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290</v>
      </c>
      <c r="H244" s="41"/>
      <c r="I244" s="41"/>
      <c r="J244" s="41"/>
      <c r="K244" s="41"/>
      <c r="L244" s="41"/>
      <c r="M244" s="42">
        <f ca="1">IFERROR(M230+M243,"")</f>
        <v>2.191458333254559E-2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1" sqref="F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1" sqref="F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248</v>
      </c>
      <c r="N166" s="27" t="s">
        <v>249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>
        <v>4</v>
      </c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29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29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J219" sqref="J2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255</v>
      </c>
      <c r="L58" s="29">
        <v>0.54097222222222219</v>
      </c>
      <c r="M58" s="30" t="str">
        <f t="shared" ca="1" si="13"/>
        <v/>
      </c>
      <c r="N58" s="27" t="s">
        <v>256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0.18858125000406289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0.38788680555961852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0.75524791667072955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/>
      <c r="M219" s="35">
        <f t="shared" ca="1" si="49"/>
        <v>3.8680555735481903E-4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</v>
      </c>
      <c r="G230" s="36">
        <f>SUM(G218:G229)</f>
        <v>96.600000000000009</v>
      </c>
      <c r="H230" s="37"/>
      <c r="I230" s="37"/>
      <c r="J230" s="37"/>
      <c r="K230" s="61"/>
      <c r="L230" s="61"/>
      <c r="M230" s="38">
        <f ca="1">IFERROR(SUM(M218:M229),"")</f>
        <v>8.1636805557354863E-2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</v>
      </c>
      <c r="G244" s="40">
        <f>G230+G243</f>
        <v>96.600000000000009</v>
      </c>
      <c r="H244" s="41"/>
      <c r="I244" s="41"/>
      <c r="J244" s="41"/>
      <c r="K244" s="63"/>
      <c r="L244" s="63"/>
      <c r="M244" s="42">
        <f ca="1">IFERROR(M230+M243,"")</f>
        <v>8.1636805557354863E-2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2026-07-09T14:30:45Z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