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98" documentId="13_ncr:1_{0A10D8D4-8450-4366-8075-B53B08E6B7EA}" xr6:coauthVersionLast="47" xr6:coauthVersionMax="47" xr10:uidLastSave="{AA288816-3D17-47DE-8597-7D15DFF60D14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17" i="6" l="1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<sst xmlns="http://schemas.openxmlformats.org/spreadsheetml/2006/main" count="7292" uniqueCount="356">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</sst>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G439" sqref="G439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29</v>
      </c>
      <c r="E420" s="59" t="s">
        <v>243</v>
      </c>
      <c r="F420" s="27"/>
      <c r="G420" s="28" t="str">
        <f t="shared" ref="G420:G431" si="88">IF(F420="","",IF(E420="PC 17",F420*4.2,IF(E420="PC 19",F420*5,IF(E420="CB",F420*35,""))))</f>
        <v/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29</v>
      </c>
      <c r="E421" s="59" t="s">
        <v>243</v>
      </c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29</v>
      </c>
      <c r="E422" s="59" t="s">
        <v>243</v>
      </c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29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29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29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29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29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29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29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29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29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210</v>
      </c>
      <c r="G433" s="40">
        <f>G419+G432</f>
        <v>1050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E431" sqref="E431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0.70708124999509891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0.84597013888398775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0.93069236110621012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/>
      <c r="H420" s="140" t="str">
        <f>IFERROR(IF($G420="","",$G420*$S$432/$G$432/Cadastro!$E$33),"")</f>
        <v/>
      </c>
      <c r="I420" s="141">
        <f>IFERROR(IF($D420="","",VLOOKUP($D420,Cadastro!$C$4:$G$7,5,FALSE)),"")</f>
        <v>0.6</v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147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617.40000000000009</v>
      </c>
      <c r="L433" s="41"/>
      <c r="M433" s="41"/>
      <c r="N433" s="41"/>
      <c r="O433" s="41"/>
      <c r="P433" s="41"/>
      <c r="Q433" s="42">
        <f ca="1">IFERROR(Q419+Q432,"")</f>
        <v>9.0972222222222232E-2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E431" sqref="E431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/>
      <c r="H420" s="140" t="str">
        <f>IFERROR(IF($G420="","",$G420*$S$432/$G$432/Cadastro!$E$33),"")</f>
        <v/>
      </c>
      <c r="I420" s="141">
        <f>IFERROR(IF($D420="","",VLOOKUP($D420,Cadastro!$C$4:$G$7,5,FALSE)),"")</f>
        <v>0.6</v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121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508.20000000000005</v>
      </c>
      <c r="L433" s="41"/>
      <c r="M433" s="41"/>
      <c r="N433" s="41"/>
      <c r="O433" s="41"/>
      <c r="P433" s="41"/>
      <c r="Q433" s="42">
        <f ca="1">IFERROR(Q419+Q432,"")</f>
        <v>7.2916666666666741E-2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5" activePane="bottomLeft" state="frozen"/>
      <selection pane="bottomLeft" activeCell="N420" sqref="N420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/>
      <c r="H420" s="140" t="str">
        <f>IFERROR(IF($G420="","",$G420*$S$432/$G$432/Cadastro!$E$33),"")</f>
        <v/>
      </c>
      <c r="I420" s="141">
        <f>IFERROR(IF($D420="","",VLOOKUP($D420,Cadastro!$C$4:$G$7,5,FALSE)),"")</f>
        <v>0.6</v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/>
      <c r="Q420" s="30">
        <f t="shared" ref="Q420:Q431" ca="1" si="104">IFERROR(IF(O420="","",IF(P420="",MOD(NOW()-O420,1),IF(P420&gt;=O420,P420-O420,P420+1-O420))),"")</f>
        <v>8.3124999946448952E-4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8.3124999946448952E-4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142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596.40000000000009</v>
      </c>
      <c r="L433" s="41"/>
      <c r="M433" s="41"/>
      <c r="N433" s="41"/>
      <c r="O433" s="63"/>
      <c r="P433" s="63"/>
      <c r="Q433" s="42">
        <f ca="1">IFERROR(Q419+Q432,"")</f>
        <v>0.1161090277772423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2026-08-16T23:53:31Z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