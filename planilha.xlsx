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389" documentId="8_{AF585B22-221D-4780-BB9C-493D365A6A02}" xr6:coauthVersionLast="47" xr6:coauthVersionMax="47" xr10:uidLastSave="{569E8B84-049E-4008-B323-B6DED7942FCA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<sst xmlns="http://schemas.openxmlformats.org/spreadsheetml/2006/main" count="2548" uniqueCount="236">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</sst>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9976020</v>
      </c>
      <c r="D35" s="13">
        <f>IFERROR(SUM(D4:D34),"")</f>
        <v>4101110</v>
      </c>
      <c r="E35" s="13">
        <f>IFERROR(SUM(E4:E34),"")</f>
        <v>2346210</v>
      </c>
      <c r="F35" s="13">
        <f>IFERROR(SUM(F4:F34),"")</f>
        <v>3972190</v>
      </c>
      <c r="G35" s="13">
        <f>IFERROR(SUM(G4:G34),"")</f>
        <v>10419510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7" zoomScale="85" zoomScaleNormal="85" workbookViewId="0">
      <selection activeCell="K56" sqref="K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 t="s">
        <v>184</v>
      </c>
      <c r="L54" s="16"/>
      <c r="M54" s="16"/>
    </row>
    <row r="55" spans="1:13" ht="15" customHeight="1">
      <c r="H55" s="96"/>
      <c r="I55" s="17"/>
      <c r="J55" s="17"/>
      <c r="K55" s="17" t="s">
        <v>185</v>
      </c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99" activePane="bottomLeft" state="frozen"/>
      <selection pane="bottomLeft" activeCell="F122" sqref="F12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196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200</v>
      </c>
      <c r="O27" s="39">
        <v>1183060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200</v>
      </c>
      <c r="O54" s="39">
        <v>959290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200</v>
      </c>
      <c r="O81" s="39">
        <v>878050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200</v>
      </c>
      <c r="O108" s="39">
        <v>1700000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197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197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197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197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197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197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197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197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197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197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197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197</v>
      </c>
      <c r="F121" s="27">
        <v>0</v>
      </c>
      <c r="G121" s="34">
        <f t="shared" si="24"/>
        <v>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257</v>
      </c>
      <c r="G122" s="36">
        <f>SUM(G110:G121)</f>
        <v>1285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257</v>
      </c>
      <c r="G136" s="40">
        <f>G122+G135</f>
        <v>1285</v>
      </c>
      <c r="H136" s="41"/>
      <c r="I136" s="41"/>
      <c r="J136" s="41"/>
      <c r="K136" s="41"/>
      <c r="L136" s="41"/>
      <c r="M136" s="42">
        <f ca="1">IFERROR(M122+M135,"")</f>
        <v>1.3888888888888895E-2</v>
      </c>
      <c r="N136" s="40" t="s">
        <v>203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44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96" activePane="bottomLeft" state="frozen"/>
      <selection pane="bottomLeft" activeCell="F122" sqref="F12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200</v>
      </c>
      <c r="O27" s="78">
        <v>393200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208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85">
        <v>276360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200</v>
      </c>
      <c r="O81" s="54">
        <v>787860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200</v>
      </c>
      <c r="O108" s="54">
        <v>1087080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217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200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54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135</v>
      </c>
      <c r="G136" s="40">
        <f>G122+G135</f>
        <v>567</v>
      </c>
      <c r="H136" s="41"/>
      <c r="I136" s="41"/>
      <c r="J136" s="41"/>
      <c r="K136" s="41"/>
      <c r="L136" s="41"/>
      <c r="M136" s="42">
        <f ca="1">IFERROR(M122+M135,"")</f>
        <v>0.14166666666666666</v>
      </c>
      <c r="N136" s="40" t="s">
        <v>203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54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78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78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78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78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78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78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78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78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78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78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78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78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78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78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78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78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78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78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78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78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78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87" activePane="bottomLeft" state="frozen"/>
      <selection pane="bottomLeft" activeCell="F122" sqref="F12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200</v>
      </c>
      <c r="O27" s="39">
        <v>308500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39">
        <v>124290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200</v>
      </c>
      <c r="O81" s="39">
        <v>396340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200</v>
      </c>
      <c r="O108" s="39">
        <v>41230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7</v>
      </c>
      <c r="G136" s="40">
        <f>G122+G135</f>
        <v>29.4</v>
      </c>
      <c r="H136" s="41"/>
      <c r="I136" s="41"/>
      <c r="J136" s="41"/>
      <c r="K136" s="41"/>
      <c r="L136" s="41"/>
      <c r="M136" s="42">
        <f ca="1">IFERROR(M122+M135,"")</f>
        <v>0.4513888888888889</v>
      </c>
      <c r="N136" s="40" t="s">
        <v>203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39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100" activePane="bottomLeft" state="frozen"/>
      <selection pane="bottomLeft" activeCell="F122" sqref="F12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200</v>
      </c>
      <c r="O27" s="39">
        <v>202230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200</v>
      </c>
      <c r="O54" s="39">
        <v>473910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228</v>
      </c>
      <c r="L58" s="29">
        <v>0.54097222222222219</v>
      </c>
      <c r="M58" s="30" t="str">
        <f t="shared" ca="1" si="13"/>
        <v/>
      </c>
      <c r="N58" s="27" t="s">
        <v>229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200</v>
      </c>
      <c r="O81" s="39">
        <v>565120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200</v>
      </c>
      <c r="O108" s="39">
        <v>558590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235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54</v>
      </c>
      <c r="G136" s="40">
        <f>G122+G135</f>
        <v>226.8</v>
      </c>
      <c r="H136" s="41"/>
      <c r="I136" s="41"/>
      <c r="J136" s="41"/>
      <c r="K136" s="63"/>
      <c r="L136" s="63"/>
      <c r="M136" s="42">
        <f ca="1">IFERROR(M122+M135,"")</f>
        <v>0.36736111111111108</v>
      </c>
      <c r="N136" s="40" t="s">
        <v>203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200</v>
      </c>
      <c r="O432" s="39"/>
    </row>
    <row r="433" spans="1:17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2026-07-05T22:26:42Z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