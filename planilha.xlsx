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787" documentId="8_{AF585B22-221D-4780-BB9C-493D365A6A02}" xr6:coauthVersionLast="47" xr6:coauthVersionMax="47" xr10:uidLastSave="{BE774BB5-FCC0-4AEA-A06A-A686739B96E2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<sst xmlns="http://schemas.openxmlformats.org/spreadsheetml/2006/main" count="8586" uniqueCount="366">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</sst>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62385151</v>
      </c>
      <c r="D35" s="13">
        <f>IFERROR(SUM(D4:D34),"")</f>
        <v>23768360</v>
      </c>
      <c r="E35" s="13">
        <f>IFERROR(SUM(E4:E34),"")</f>
        <v>13840110</v>
      </c>
      <c r="F35" s="13">
        <f>IFERROR(SUM(F4:F34),"")</f>
        <v>27641240</v>
      </c>
      <c r="G35" s="13">
        <f>IFERROR(SUM(G4:G34),"")</f>
        <v>65249710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24" activePane="bottomLeft" state="frozen"/>
      <selection pane="bottomLeft" activeCell="J542" sqref="J5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4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257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231</v>
      </c>
      <c r="O540" s="39">
        <v>1240140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234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228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206</v>
      </c>
      <c r="K542" s="29">
        <v>0.30208333333333331</v>
      </c>
      <c r="L542" s="29"/>
      <c r="M542" s="30">
        <f t="shared" ref="M542:M553" ca="1" si="121">IFERROR(IF(K542="","",IF(L542="",MOD(NOW()-K542,1),IF(L542&gt;=K542,L542-K542,L542+1-K542))),"")</f>
        <v>0.12123888888891088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228</v>
      </c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228</v>
      </c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228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228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228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228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228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228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228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228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228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</v>
      </c>
      <c r="G554" s="36">
        <f>SUM(G542:G553)</f>
        <v>25</v>
      </c>
      <c r="H554" s="37"/>
      <c r="I554" s="37"/>
      <c r="J554" s="37"/>
      <c r="K554" s="37"/>
      <c r="L554" s="37"/>
      <c r="M554" s="38">
        <f ca="1">IFERROR(SUM(M542:M553),"")</f>
        <v>0.12123888888891088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</v>
      </c>
      <c r="G568" s="40">
        <f>G554+G567</f>
        <v>25</v>
      </c>
      <c r="H568" s="41"/>
      <c r="I568" s="41"/>
      <c r="J568" s="41"/>
      <c r="K568" s="41"/>
      <c r="L568" s="41"/>
      <c r="M568" s="42">
        <f ca="1">IFERROR(M554+M567,"")</f>
        <v>0.12123888888891088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6" activePane="bottomLeft" state="frozen"/>
      <selection pane="bottomLeft" activeCell="F545" sqref="F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0.18373888888891088</v>
      </c>
      <c r="N377" s="46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0.34137777777779976</v>
      </c>
      <c r="N378" s="36" t="s">
        <v>231</v>
      </c>
      <c r="O378" s="77">
        <v>511980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0.45110000000002193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0.16221111111372011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0.3330444444470535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0.47818333333594237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231</v>
      </c>
      <c r="O540" s="77">
        <v>548610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234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21</v>
      </c>
      <c r="G544" s="28">
        <f t="shared" si="120"/>
        <v>88.2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51</v>
      </c>
      <c r="G554" s="36">
        <f>SUM(G542:G553)</f>
        <v>214.20000000000002</v>
      </c>
      <c r="H554" s="37"/>
      <c r="I554" s="37"/>
      <c r="J554" s="37"/>
      <c r="K554" s="37"/>
      <c r="L554" s="37"/>
      <c r="M554" s="38">
        <f ca="1">IFERROR(SUM(M542:M553),"")</f>
        <v>2.2222222222222199E-2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51</v>
      </c>
      <c r="G568" s="40">
        <f>G554+G567</f>
        <v>214.20000000000002</v>
      </c>
      <c r="H568" s="41"/>
      <c r="I568" s="41"/>
      <c r="J568" s="41"/>
      <c r="K568" s="41"/>
      <c r="L568" s="41"/>
      <c r="M568" s="42">
        <f ca="1">IFERROR(M554+M567,"")</f>
        <v>2.2222222222222199E-2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17" zoomScale="50" zoomScaleNormal="50" workbookViewId="0">
      <selection activeCell="F545" sqref="F5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271</v>
      </c>
      <c r="K141" s="29">
        <v>0.71597222222222223</v>
      </c>
      <c r="L141" s="29" t="s">
        <v>308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310</v>
      </c>
      <c r="N166" s="27" t="s">
        <v>311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230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230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325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231</v>
      </c>
      <c r="O540" s="39">
        <v>194990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234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2</v>
      </c>
      <c r="G542" s="28">
        <f t="shared" ref="G542:G553" si="120">IF(F542="","",IF(E542="PC 17",F542*4.2,IF(E542="PC 19",F542*5,"")))</f>
        <v>8.4</v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3</v>
      </c>
      <c r="G543" s="34">
        <f t="shared" si="120"/>
        <v>12.600000000000001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5</v>
      </c>
      <c r="G544" s="28">
        <f t="shared" si="120"/>
        <v>21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10</v>
      </c>
      <c r="G554" s="36">
        <f>SUM(G542:G553)</f>
        <v>42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10</v>
      </c>
      <c r="G568" s="40">
        <f>G554+G567</f>
        <v>42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524" activePane="bottomLeft" state="frozen"/>
      <selection pane="bottomLeft" activeCell="F545" sqref="F5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230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232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2" t="s">
        <v>233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230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232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2" t="s">
        <v>233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330</v>
      </c>
      <c r="L58" s="29">
        <v>0.54097222222222219</v>
      </c>
      <c r="M58" s="30" t="str">
        <f t="shared" ca="1" si="13"/>
        <v/>
      </c>
      <c r="N58" s="27" t="s">
        <v>331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230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332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232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2" t="s">
        <v>233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230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232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2" t="s">
        <v>233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230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0.17401666667137761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232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0.37332222222693323</v>
      </c>
      <c r="N135" s="36" t="s">
        <v>231</v>
      </c>
      <c r="O135" s="39">
        <v>729290</v>
      </c>
    </row>
    <row r="136" spans="1:18" ht="18" customHeight="1">
      <c r="A136" s="102" t="s">
        <v>233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0.74068333333804426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230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232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2" t="s">
        <v>233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342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230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232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2" t="s">
        <v>233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230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232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2" t="s">
        <v>233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230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232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2" t="s">
        <v>233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230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232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2" t="s">
        <v>233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230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232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2" t="s">
        <v>233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230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232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2" t="s">
        <v>233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230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352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232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2" t="s">
        <v>233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232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2" t="s">
        <v>233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342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230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232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2" t="s">
        <v>233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230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232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2" t="s">
        <v>233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230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232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2" t="s">
        <v>233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360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361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230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232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2" t="s">
        <v>233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230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362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232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2" t="s">
        <v>233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363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364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230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232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231</v>
      </c>
      <c r="O540" s="39">
        <v>404370</v>
      </c>
    </row>
    <row r="541" spans="1:15" ht="18" customHeight="1">
      <c r="A541" s="102" t="s">
        <v>233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234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255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365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255</v>
      </c>
      <c r="F543" s="27">
        <v>23</v>
      </c>
      <c r="G543" s="34">
        <f t="shared" si="120"/>
        <v>96.600000000000009</v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255</v>
      </c>
      <c r="F544" s="27">
        <v>23</v>
      </c>
      <c r="G544" s="28">
        <f t="shared" si="120"/>
        <v>96.600000000000009</v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255</v>
      </c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255</v>
      </c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255</v>
      </c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255</v>
      </c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255</v>
      </c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255</v>
      </c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255</v>
      </c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255</v>
      </c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255</v>
      </c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230</v>
      </c>
      <c r="B554" s="100"/>
      <c r="C554" s="100"/>
      <c r="D554" s="100"/>
      <c r="E554" s="101">
        <f>SUM(E542:E553)</f>
        <v>0</v>
      </c>
      <c r="F554" s="36">
        <f>SUM(F542:F553)</f>
        <v>63</v>
      </c>
      <c r="G554" s="36">
        <f>SUM(G542:G553)</f>
        <v>264.60000000000002</v>
      </c>
      <c r="H554" s="37"/>
      <c r="I554" s="37"/>
      <c r="J554" s="37"/>
      <c r="K554" s="61"/>
      <c r="L554" s="61"/>
      <c r="M554" s="38">
        <f ca="1">IFERROR(SUM(M542:M553),"")</f>
        <v>1.4583333333333337E-2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232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2" t="s">
        <v>233</v>
      </c>
      <c r="B568" s="103"/>
      <c r="C568" s="103"/>
      <c r="D568" s="103"/>
      <c r="E568" s="104">
        <f>E554+E567</f>
        <v>0</v>
      </c>
      <c r="F568" s="40">
        <f>F554+F567</f>
        <v>63</v>
      </c>
      <c r="G568" s="40">
        <f>G554+G567</f>
        <v>264.60000000000002</v>
      </c>
      <c r="H568" s="41"/>
      <c r="I568" s="41"/>
      <c r="J568" s="41"/>
      <c r="K568" s="63"/>
      <c r="L568" s="63"/>
      <c r="M568" s="42">
        <f ca="1">IFERROR(M554+M567,"")</f>
        <v>1.4583333333333337E-2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230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232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2" t="s">
        <v>233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230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232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2" t="s">
        <v>233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230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232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2" t="s">
        <v>233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232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2" t="s">
        <v>233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230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232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2" t="s">
        <v>233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230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232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2" t="s">
        <v>233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230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232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2" t="s">
        <v>233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230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232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2" t="s">
        <v>233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230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232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2" t="s">
        <v>233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2026-07-21T14:11:24Z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