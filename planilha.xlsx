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308" documentId="8_{AF585B22-221D-4780-BB9C-493D365A6A02}" xr6:coauthVersionLast="47" xr6:coauthVersionMax="47" xr10:uidLastSave="{C169C829-5CAD-401C-BB00-57395A4AD205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" i="1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<sst xmlns="http://schemas.openxmlformats.org/spreadsheetml/2006/main" count="8960" uniqueCount="374">
  <si>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</si>
  <si>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</si>
  <si>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</si>
  <si>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</si>
  <si>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</si>
  <si>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</si>
  <si>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</si>
  <si>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</si>
  <si>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</si>
  <si>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</si>
  <si>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</si>
  <si>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</si>
  <si>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</si>
  <si>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</si>
  <si>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</si>
  <si>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</si>
  <si>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</si>
  <si>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</si>
  <si>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</si>
  <si>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</si>
  <si>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</si>
  <si>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</si>
  <si>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</si>
  <si>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</si>
  <si>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</si>
  <si>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</si>
  <si>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</si>
  <si>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</si>
  <si>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</si>
  <si>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</si>
  <si>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</si>
  <si>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</si>
  <si>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</si>
  <si>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</si>
  <si>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</si>
  <si>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</si>
  <si>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</si>
  <si>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</si>
  <si>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</si>
  <si>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</si>
  <si>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</si>
  <si>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</si>
  <si>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</si>
  <si>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</si>
  <si>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</si>
  <si>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</si>
  <si>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</si>
  <si>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</si>
  <si>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</si>
  <si>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</si>
  <si>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</si>
  <si>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</si>
  <si>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</si>
  <si>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</si>
  <si>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</si>
  <si>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</si>
  <si>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</si>
  <si>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</si>
  <si>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</si>
  <si>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</si>
  <si>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</si>
  <si>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</si>
  <si>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</si>
  <si>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</si>
  <si>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</si>
  <si>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</si>
  <si>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</si>
  <si>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</si>
  <si>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</si>
  <si>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</si>
  <si>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</si>
  <si>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</si>
  <si>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</si>
  <si>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</si>
  <si>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</si>
  <si>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</si>
  <si>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</si>
  <si>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</si>
  <si>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</si>
  <si>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</si>
  <si>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</si>
  <si>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</si>
  <si>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</si>
  <si>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</si>
  <si>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</si>
  <si>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</si>
  <si>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</si>
  <si>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</si>
  <si>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</si>
  <si>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</si>
  <si>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</si>
  <si>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</si>
  <si>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</si>
  <si>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</si>
  <si>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</si>
  <si>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</si>
  <si>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</si>
  <si>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</si>
  <si>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</si>
  <si>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</si>
  <si>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</si>
  <si>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</si>
  <si>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</si>
  <si>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</si>
  <si>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</si>
  <si>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</si>
  <si>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</si>
  <si>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</si>
  <si>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</si>
  <si>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</si>
  <si>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</si>
  <si>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</si>
  <si>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</si>
  <si>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</si>
  <si>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</si>
  <si>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</si>
  <si>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</si>
  <si>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</si>
  <si>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</si>
  <si>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</si>
  <si>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</si>
  <si>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</si>
  <si>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</si>
  <si>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</si>
  <si>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</si>
  <si>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</si>
  <si>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</si>
  <si>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</si>
  <si>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</si>
  <si>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</si>
  <si>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</si>
  <si>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</si>
  <si>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</si>
  <si>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</si>
  <si>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</si>
  <si>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</si>
  <si>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</si>
  <si>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</si>
  <si>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</si>
  <si>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</si>
  <si>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</si>
  <si>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</si>
  <si>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</si>
  <si>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</si>
  <si>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</si>
  <si>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</si>
  <si>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</si>
  <si>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</si>
  <si>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</si>
  <si>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</si>
  <si>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</si>
  <si>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</si>
  <si>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</si>
  <si>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</si>
  <si>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</si>
  <si>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</si>
  <si>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</si>
  <si>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</si>
  <si>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</si>
  <si>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</si>
  <si>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</si>
  <si>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</si>
  <si>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</si>
  <si>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</si>
  <si>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</si>
  <si>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</si>
  <si>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</si>
  <si>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</si>
  <si>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</si>
  <si>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</si>
  <si>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</si>
  <si>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</si>
  <si>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</si>
  <si>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</si>
  <si>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</si>
  <si>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</si>
  <si>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</si>
  <si>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</si>
  <si>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</si>
  <si>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</si>
  <si>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</si>
  <si>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</si>
  <si>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</si>
  <si>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</si>
  <si>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</si>
  <si>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</si>
  <si>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</si>
  <si>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</si>
  <si>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</si>
  <si>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</si>
  <si>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</si>
  <si>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</si>
  <si>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</si>
  <si>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</si>
  <si>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</si>
  <si>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</si>
  <si>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</si>
  <si>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</si>
  <si>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</si>
  <si>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</si>
  <si>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</si>
  <si>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</si>
  <si>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</si>
  <si>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</si>
  <si>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</si>
  <si>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</si>
  <si>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</si>
  <si>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</si>
  <si>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</si>
  <si>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</si>
  <si>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</si>
  <si>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</si>
  <si>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</si>
  <si>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</si>
  <si>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</si>
  <si>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</si>
  <si>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</si>
  <si>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</si>
  <si>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</si>
  <si>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</si>
  <si>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</si>
  <si>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</si>
  <si>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</si>
  <si>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</si>
  <si>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</si>
  <si>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</si>
  <si>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</si>
  <si>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</si>
  <si>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</si>
  <si>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</si>
  <si>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</si>
  <si>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</si>
  <si>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</si>
  <si>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</si>
  <si>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</si>
  <si>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</si>
  <si>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</si>
  <si>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</si>
  <si>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</si>
  <si>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</si>
  <si>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</si>
  <si>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</si>
  <si>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</si>
  <si>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</si>
  <si>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</si>
  <si>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</si>
  <si>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</si>
  <si>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</si>
  <si>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</si>
  <si>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</si>
  <si>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</si>
  <si>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</si>
  <si>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</si>
  <si>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</si>
  <si>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</si>
  <si>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</si>
  <si>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</si>
  <si>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</si>
  <si>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</si>
  <si>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</si>
  <si>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</si>
  <si>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</si>
  <si>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</si>
  <si>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</si>
  <si>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</si>
  <si>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</si>
  <si>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</si>
  <si>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</si>
  <si>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</si>
  <si>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</si>
  <si>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</si>
  <si>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</si>
  <si>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</si>
  <si>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</si>
  <si>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</si>
  <si>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</si>
  <si>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</si>
  <si>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</si>
  <si>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</si>
  <si>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</si>
  <si>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</si>
  <si>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</si>
  <si>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</si>
  <si>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</si>
  <si>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</si>
  <si>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</si>
  <si>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</si>
  <si>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</si>
  <si>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</si>
  <si>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</si>
  <si>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</si>
  <si>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</si>
  <si>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</si>
  <si>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</si>
  <si>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</si>
  <si>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</si>
  <si>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</si>
  <si>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</si>
  <si>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</si>
  <si>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</si>
  <si>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</si>
  <si>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</si>
  <si>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</si>
  <si>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</si>
  <si>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</si>
  <si>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</si>
  <si>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</si>
  <si>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</si>
  <si>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</si>
  <si>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</si>
  <si>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</si>
  <si>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</si>
  <si>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</si>
  <si>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</si>
  <si>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</si>
  <si>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</si>
  <si>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</si>
  <si>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</si>
  <si>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</si>
  <si>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</si>
  <si>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</si>
  <si>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</si>
  <si>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</si>
  <si>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</si>
  <si>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</si>
  <si>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</si>
  <si>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</si>
  <si>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</si>
  <si>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</si>
  <si>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</si>
  <si>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</si>
  <si>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</si>
  <si>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</si>
  <si>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</si>
  <si>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</si>
  <si>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</si>
  <si>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</si>
  <si>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</si>
  <si>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</si>
  <si>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</si>
  <si>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</si>
  <si>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</si>
  <si>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</si>
  <si>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</si>
  <si>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</si>
  <si>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</si>
  <si>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</si>
  <si>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</si>
  <si>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</si>
  <si>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</si>
  <si>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</si>
  <si>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</si>
  <si>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</si>
  <si>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</si>
  <si>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</si>
  <si>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</si>
  <si>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</si>
  <si>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</si>
  <si>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</si>
  <si>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</si>
  <si>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</si>
  <si>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</si>
  <si>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</si>
  <si>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</si>
  <si>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</si>
  <si>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</si>
  <si>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</si>
  <si>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</si>
  <si>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</si>
  <si>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</si>
  <si>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</si>
  <si>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</si>
  <si>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</si>
  <si>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 xml:space="preserve">colocado borracha para sanar vazamento nos moinhos,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</si>
</sst>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64593351</v>
      </c>
      <c r="D35" s="13">
        <f>IFERROR(SUM(D4:D34),"")</f>
        <v>25494250</v>
      </c>
      <c r="E35" s="13">
        <f>IFERROR(SUM(E4:E34),"")</f>
        <v>14327890</v>
      </c>
      <c r="F35" s="13">
        <f>IFERROR(SUM(F4:F34),"")</f>
        <v>28724440</v>
      </c>
      <c r="G35" s="13">
        <f>IFERROR(SUM(G4:G34),"")</f>
        <v>68546580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563" activePane="bottomLeft" state="frozen"/>
      <selection pane="bottomLeft" activeCell="J569" sqref="J56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85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2" t="s">
        <v>230</v>
      </c>
      <c r="B230" s="103"/>
      <c r="C230" s="103"/>
      <c r="D230" s="103"/>
      <c r="E230" s="10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230</v>
      </c>
      <c r="B338" s="103"/>
      <c r="C338" s="103"/>
      <c r="D338" s="103"/>
      <c r="E338" s="10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230</v>
      </c>
      <c r="B365" s="103"/>
      <c r="C365" s="103"/>
      <c r="D365" s="103"/>
      <c r="E365" s="10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2" t="s">
        <v>232</v>
      </c>
      <c r="B432" s="103"/>
      <c r="C432" s="103"/>
      <c r="D432" s="103"/>
      <c r="E432" s="104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99" t="s">
        <v>233</v>
      </c>
      <c r="B433" s="100"/>
      <c r="C433" s="100"/>
      <c r="D433" s="100"/>
      <c r="E433" s="101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2" t="s">
        <v>232</v>
      </c>
      <c r="B513" s="103"/>
      <c r="C513" s="103"/>
      <c r="D513" s="103"/>
      <c r="E513" s="104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99" t="s">
        <v>233</v>
      </c>
      <c r="B514" s="100"/>
      <c r="C514" s="100"/>
      <c r="D514" s="100"/>
      <c r="E514" s="101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228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228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228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228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228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228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228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228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228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228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228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228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231</v>
      </c>
      <c r="O567" s="39">
        <v>1482110</v>
      </c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234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/>
      <c r="M569" s="35">
        <f t="shared" ref="M569:M580" ca="1" si="127">IFERROR(IF(K569="","",IF(L569="",MOD(NOW()-K569,1),IF(L569&gt;=K569,L569-K569,L569+1-K569))),"")</f>
        <v>2.6955902772897389E-2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2.6955902772897389E-2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2.6955902772897389E-2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57" activePane="bottomLeft" state="frozen"/>
      <selection pane="bottomLeft" activeCell="I576" sqref="I57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230</v>
      </c>
      <c r="B338" s="103"/>
      <c r="C338" s="103"/>
      <c r="D338" s="103"/>
      <c r="E338" s="10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230</v>
      </c>
      <c r="B365" s="103"/>
      <c r="C365" s="103"/>
      <c r="D365" s="103"/>
      <c r="E365" s="10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0.12070590277289739</v>
      </c>
      <c r="N377" s="46"/>
      <c r="O377" s="47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0.27834479166178627</v>
      </c>
      <c r="N378" s="36" t="s">
        <v>231</v>
      </c>
      <c r="O378" s="77">
        <v>511980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0.38806701388400844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9.9178124997706618E-2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0.27001145833104001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0.41515034721992888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231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231</v>
      </c>
      <c r="O567" s="77">
        <v>722660</v>
      </c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234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30</v>
      </c>
      <c r="G581" s="36">
        <f>SUM(G569:G580)</f>
        <v>126</v>
      </c>
      <c r="H581" s="37"/>
      <c r="I581" s="37"/>
      <c r="J581" s="37"/>
      <c r="K581" s="37"/>
      <c r="L581" s="37"/>
      <c r="M581" s="38">
        <f ca="1">IFERROR(SUM(M569:M580),"")</f>
        <v>4.8611111111110938E-3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30</v>
      </c>
      <c r="G595" s="40">
        <f>G581+G594</f>
        <v>126</v>
      </c>
      <c r="H595" s="41"/>
      <c r="I595" s="41"/>
      <c r="J595" s="41"/>
      <c r="K595" s="41"/>
      <c r="L595" s="41"/>
      <c r="M595" s="42">
        <f ca="1">IFERROR(M581+M594,"")</f>
        <v>4.8611111111110938E-3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99" t="s">
        <v>233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63" zoomScale="50" zoomScaleNormal="50" workbookViewId="0">
      <selection activeCell="N576" sqref="N57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310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312</v>
      </c>
      <c r="N166" s="27" t="s">
        <v>313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2" t="s">
        <v>230</v>
      </c>
      <c r="B230" s="103"/>
      <c r="C230" s="103"/>
      <c r="D230" s="103"/>
      <c r="E230" s="10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2" t="s">
        <v>230</v>
      </c>
      <c r="B338" s="103"/>
      <c r="C338" s="103"/>
      <c r="D338" s="103"/>
      <c r="E338" s="10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2" t="s">
        <v>230</v>
      </c>
      <c r="B365" s="103"/>
      <c r="C365" s="103"/>
      <c r="D365" s="103"/>
      <c r="E365" s="10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2" t="s">
        <v>232</v>
      </c>
      <c r="B432" s="103"/>
      <c r="C432" s="103"/>
      <c r="D432" s="103"/>
      <c r="E432" s="104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99" t="s">
        <v>233</v>
      </c>
      <c r="B433" s="100"/>
      <c r="C433" s="100"/>
      <c r="D433" s="100"/>
      <c r="E433" s="101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2" t="s">
        <v>232</v>
      </c>
      <c r="B513" s="103"/>
      <c r="C513" s="103"/>
      <c r="D513" s="103"/>
      <c r="E513" s="104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99" t="s">
        <v>233</v>
      </c>
      <c r="B514" s="100"/>
      <c r="C514" s="100"/>
      <c r="D514" s="100"/>
      <c r="E514" s="101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231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329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231</v>
      </c>
      <c r="O567" s="39">
        <v>315860</v>
      </c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234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/>
      <c r="G570" s="34" t="str">
        <f t="shared" si="126"/>
        <v/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/>
      <c r="M570" s="30">
        <f t="shared" ca="1" si="127"/>
        <v>2.5567013886757195E-2</v>
      </c>
      <c r="N570" s="27" t="s">
        <v>267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6</v>
      </c>
      <c r="G581" s="36">
        <f>SUM(G569:G580)</f>
        <v>25.200000000000003</v>
      </c>
      <c r="H581" s="37"/>
      <c r="I581" s="37"/>
      <c r="J581" s="37"/>
      <c r="K581" s="37"/>
      <c r="L581" s="37"/>
      <c r="M581" s="38">
        <f ca="1">IFERROR(SUM(M569:M580),"")</f>
        <v>3.0428124997868289E-2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6</v>
      </c>
      <c r="G595" s="40">
        <f>G581+G594</f>
        <v>25.200000000000003</v>
      </c>
      <c r="H595" s="41"/>
      <c r="I595" s="41"/>
      <c r="J595" s="41"/>
      <c r="K595" s="41"/>
      <c r="L595" s="41"/>
      <c r="M595" s="42">
        <f ca="1">IFERROR(M581+M594,"")</f>
        <v>3.0428124997868289E-2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99" t="s">
        <v>233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49" activePane="bottomLeft" state="frozen"/>
      <selection pane="bottomLeft" activeCell="N569" sqref="N56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334</v>
      </c>
      <c r="L58" s="29">
        <v>0.54097222222222219</v>
      </c>
      <c r="M58" s="30" t="str">
        <f t="shared" ca="1" si="13"/>
        <v/>
      </c>
      <c r="N58" s="27" t="s">
        <v>335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0.11098368055536412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0.31028923611091974</v>
      </c>
      <c r="N135" s="36" t="s">
        <v>231</v>
      </c>
      <c r="O135" s="39">
        <v>729290</v>
      </c>
    </row>
    <row r="136" spans="1:18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0.67765034722203077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2" t="s">
        <v>230</v>
      </c>
      <c r="B230" s="103"/>
      <c r="C230" s="103"/>
      <c r="D230" s="103"/>
      <c r="E230" s="10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2" t="s">
        <v>230</v>
      </c>
      <c r="B338" s="103"/>
      <c r="C338" s="103"/>
      <c r="D338" s="103"/>
      <c r="E338" s="10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2" t="s">
        <v>232</v>
      </c>
      <c r="B432" s="103"/>
      <c r="C432" s="103"/>
      <c r="D432" s="103"/>
      <c r="E432" s="104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99" t="s">
        <v>233</v>
      </c>
      <c r="B433" s="100"/>
      <c r="C433" s="100"/>
      <c r="D433" s="100"/>
      <c r="E433" s="101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363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364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365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366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2" t="s">
        <v>232</v>
      </c>
      <c r="B513" s="103"/>
      <c r="C513" s="103"/>
      <c r="D513" s="103"/>
      <c r="E513" s="104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99" t="s">
        <v>233</v>
      </c>
      <c r="B514" s="100"/>
      <c r="C514" s="100"/>
      <c r="D514" s="100"/>
      <c r="E514" s="101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367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368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369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370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371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231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255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372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255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255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255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255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255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255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231</v>
      </c>
      <c r="O567" s="39">
        <v>499820</v>
      </c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234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/>
      <c r="M569" s="35">
        <f t="shared" ref="M569:M574" ca="1" si="127">IFERROR(IF(K569="","",IF(L569="",MOD(NOW()-K569,1),IF(L569&gt;=K569,L569-K569,L569+1-K569))),"")</f>
        <v>6.8622569444414694E-2</v>
      </c>
      <c r="N569" s="27" t="s">
        <v>373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6.8622569444414694E-2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6.8622569444414694E-2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99" t="s">
        <v>233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2026-07-22T12:38:55Z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