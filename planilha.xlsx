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49" documentId="8_{C51EB6CB-002B-4D6B-B68F-DDEBDB4460C0}" xr6:coauthVersionLast="47" xr6:coauthVersionMax="47" xr10:uidLastSave="{9A049279-FB79-425B-8F10-0B3145F0C982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<sst xmlns="http://schemas.openxmlformats.org/spreadsheetml/2006/main" count="5307" uniqueCount="331">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</sst>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E278" sqref="E2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131</v>
      </c>
      <c r="G284" s="36">
        <f>SUM(G272:G283)</f>
        <v>655</v>
      </c>
      <c r="H284" s="37"/>
      <c r="I284" s="37"/>
      <c r="J284" s="37"/>
      <c r="K284" s="37"/>
      <c r="L284" s="37"/>
      <c r="M284" s="38">
        <f ca="1">IFERROR(SUM(M272:M283),"")</f>
        <v>0.10208333333333325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131</v>
      </c>
      <c r="G298" s="40">
        <f>G284+G297</f>
        <v>655</v>
      </c>
      <c r="H298" s="41"/>
      <c r="I298" s="41"/>
      <c r="J298" s="41"/>
      <c r="K298" s="41"/>
      <c r="L298" s="41"/>
      <c r="M298" s="42">
        <f ca="1">IFERROR(M284+M297,"")</f>
        <v>0.10208333333333325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F278" sqref="F2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0.42522974536404945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0.56411863425293829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0.64884085647516065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1"/>
        <v>1.2500000000000011E-2</v>
      </c>
      <c r="N273" s="46" t="s">
        <v>284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0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1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0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1"/>
        <v>1.7361111111111105E-2</v>
      </c>
      <c r="N275" s="46" t="s">
        <v>285</v>
      </c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0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1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0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1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1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54</v>
      </c>
      <c r="G284" s="36">
        <f>SUM(G272:G283)</f>
        <v>226.8</v>
      </c>
      <c r="H284" s="37"/>
      <c r="I284" s="37"/>
      <c r="J284" s="37"/>
      <c r="K284" s="37"/>
      <c r="L284" s="37"/>
      <c r="M284" s="38">
        <f ca="1">IFERROR(SUM(M272:M283),"")</f>
        <v>7.2916666666666574E-2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54</v>
      </c>
      <c r="G298" s="40">
        <f>G284+G297</f>
        <v>226.8</v>
      </c>
      <c r="H298" s="41"/>
      <c r="I298" s="41"/>
      <c r="J298" s="41"/>
      <c r="K298" s="41"/>
      <c r="L298" s="41"/>
      <c r="M298" s="42">
        <f ca="1">IFERROR(M284+M297,"")</f>
        <v>7.2916666666666574E-2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F278" sqref="F2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295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296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297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299</v>
      </c>
      <c r="M222" s="30" t="str">
        <f t="shared" ca="1" si="49"/>
        <v/>
      </c>
      <c r="N222" s="27" t="s">
        <v>300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301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0.3523130786998081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0.41411863425536366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0.47522974536647483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302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44</v>
      </c>
      <c r="G284" s="36">
        <f>SUM(G272:G283)</f>
        <v>184.8</v>
      </c>
      <c r="H284" s="37"/>
      <c r="I284" s="37"/>
      <c r="J284" s="37"/>
      <c r="K284" s="37"/>
      <c r="L284" s="37"/>
      <c r="M284" s="38">
        <f ca="1">IFERROR(SUM(M272:M283),"")</f>
        <v>9.3055555555555503E-2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44</v>
      </c>
      <c r="G298" s="40">
        <f>G284+G297</f>
        <v>184.8</v>
      </c>
      <c r="H298" s="41"/>
      <c r="I298" s="41"/>
      <c r="J298" s="41"/>
      <c r="K298" s="41"/>
      <c r="L298" s="41"/>
      <c r="M298" s="42">
        <f ca="1">IFERROR(M284+M297,"")</f>
        <v>9.3055555555555503E-2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53" activePane="bottomLeft" state="frozen"/>
      <selection pane="bottomLeft" activeCell="F278" sqref="F2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326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327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293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328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329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330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20</v>
      </c>
      <c r="I279" s="33" t="s">
        <v>52</v>
      </c>
      <c r="J279" s="33" t="s">
        <v>56</v>
      </c>
      <c r="K279" s="29">
        <v>0.53263888888888888</v>
      </c>
      <c r="L279" s="29"/>
      <c r="M279" s="35">
        <f ca="1">IFERROR(IF(K279="","",IF(L279="",MOD(NOW()-K279,1),IF(L279&gt;=K279,L279-K279,L279+1-K279))),"")</f>
        <v>1.4118634258920792E-2</v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306.60000000000002</v>
      </c>
      <c r="H284" s="37"/>
      <c r="I284" s="37"/>
      <c r="J284" s="37"/>
      <c r="K284" s="61"/>
      <c r="L284" s="61"/>
      <c r="M284" s="38">
        <f ca="1">IFERROR(SUM(M272:M283),"")</f>
        <v>6.4118634258920726E-2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73</v>
      </c>
      <c r="G298" s="40">
        <f>G284+G297</f>
        <v>306.60000000000002</v>
      </c>
      <c r="H298" s="41"/>
      <c r="I298" s="41"/>
      <c r="J298" s="41"/>
      <c r="K298" s="63"/>
      <c r="L298" s="63"/>
      <c r="M298" s="42">
        <f ca="1">IFERROR(M284+M297,"")</f>
        <v>6.4118634258920726E-2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2026-08-11T17:07:39Z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