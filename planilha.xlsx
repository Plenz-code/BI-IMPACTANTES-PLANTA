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407" documentId="8_{AF585B22-221D-4780-BB9C-493D365A6A02}" xr6:coauthVersionLast="47" xr6:coauthVersionMax="47" xr10:uidLastSave="{BF0887DF-E3D6-4297-B925-56C8BFCCB4A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Linha 1" sheetId="4" r:id="rId3"/>
    <sheet name="Britador" sheetId="3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<sst xmlns="http://schemas.openxmlformats.org/spreadsheetml/2006/main" count="4945" uniqueCount="294">
  <si>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</si>
  <si>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</si>
  <si>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</si>
  <si>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</si>
  <si>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</si>
  <si>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</si>
  <si>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</si>
  <si>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</si>
  <si>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</si>
  <si>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</si>
  <si>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</si>
  <si>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</si>
  <si>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</si>
  <si>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</si>
  <si>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</si>
  <si>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</si>
  <si>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</si>
  <si>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</si>
  <si>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</si>
  <si>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</si>
  <si>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</si>
  <si>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</si>
  <si>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</si>
  <si>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</si>
  <si>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</si>
  <si>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</si>
  <si>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</si>
  <si>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</si>
  <si>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</si>
  <si>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</si>
  <si>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</si>
  <si>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</si>
  <si>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</si>
  <si>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</si>
  <si>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</si>
  <si>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</si>
  <si>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</si>
  <si>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</si>
  <si>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</si>
  <si>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</si>
  <si>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</si>
  <si>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</si>
  <si>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</si>
  <si>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</si>
  <si>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</si>
  <si>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</si>
  <si>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</si>
  <si>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</si>
  <si>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</si>
  <si>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</si>
  <si>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</si>
  <si>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</si>
  <si>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</si>
  <si>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</si>
  <si>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</si>
  <si>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</si>
  <si>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</si>
  <si>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</si>
  <si>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</si>
  <si>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</si>
  <si>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</si>
  <si>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</si>
  <si>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</si>
  <si>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</si>
  <si>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</si>
  <si>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</si>
  <si>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</si>
  <si>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</si>
  <si>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</si>
  <si>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</si>
  <si>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</si>
  <si>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</si>
  <si>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</si>
  <si>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</si>
  <si>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</si>
  <si>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</si>
  <si>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</si>
  <si>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</si>
  <si>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</si>
  <si>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</si>
  <si>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</si>
  <si>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</si>
  <si>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</si>
  <si>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</si>
  <si>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</si>
  <si>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</si>
  <si>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</si>
  <si>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</si>
  <si>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</si>
  <si>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</si>
  <si>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</si>
  <si>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</si>
  <si>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</si>
  <si>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</si>
  <si>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</si>
  <si>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</si>
  <si>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</si>
  <si>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</si>
  <si>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</si>
  <si>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</si>
  <si>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</si>
  <si>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</si>
  <si>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</si>
  <si>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</si>
  <si>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</si>
  <si>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</si>
  <si>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</si>
  <si>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</si>
  <si>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</si>
  <si>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</si>
  <si>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</si>
  <si>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</si>
  <si>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</si>
  <si>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</si>
  <si>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</si>
  <si>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</si>
  <si>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</si>
  <si>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</si>
  <si>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</si>
  <si>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</si>
  <si>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</si>
  <si>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</si>
  <si>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</si>
  <si>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</si>
  <si>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</si>
  <si>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</si>
  <si>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</si>
  <si>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</si>
  <si>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</si>
  <si>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</si>
  <si>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</si>
  <si>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</si>
  <si>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</si>
  <si>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</si>
  <si>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</si>
  <si>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</si>
  <si>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</si>
  <si>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</si>
  <si>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</si>
  <si>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</si>
  <si>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</si>
  <si>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</si>
  <si>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</si>
  <si>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</si>
  <si>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</si>
  <si>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</si>
  <si>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</si>
  <si>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</si>
  <si>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</si>
  <si>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</si>
  <si>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</si>
  <si>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</si>
  <si>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</si>
  <si>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</si>
  <si>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</si>
  <si>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</si>
  <si>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</si>
  <si>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</si>
  <si>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</si>
  <si>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</si>
  <si>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</si>
  <si>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</si>
  <si>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</si>
  <si>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</si>
  <si>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</si>
  <si>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</si>
  <si>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</si>
  <si>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</si>
  <si>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</si>
  <si>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</si>
  <si>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</si>
  <si>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</si>
  <si>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</si>
  <si>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</si>
  <si>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</si>
  <si>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</si>
  <si>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</si>
  <si>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</si>
  <si>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</si>
  <si>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</si>
  <si>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</si>
  <si>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</si>
  <si>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</si>
  <si>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</si>
  <si>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</si>
  <si>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</si>
  <si>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</si>
  <si>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</si>
  <si>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</si>
  <si>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</si>
  <si>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</si>
  <si>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</si>
  <si>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</si>
  <si>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</si>
  <si>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</si>
  <si>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</si>
  <si>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</si>
  <si>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</si>
  <si>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</si>
  <si>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</si>
  <si>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</si>
  <si>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</si>
  <si>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</si>
  <si>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</si>
  <si>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</si>
  <si>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</si>
  <si>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</si>
  <si>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</si>
  <si>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</si>
  <si>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</si>
  <si>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</si>
  <si>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</si>
  <si>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17</t>
  </si>
  <si>
    <t>☀  TURNO DIURNO</t>
  </si>
  <si>
    <t>Totalizador da balança  ➜</t>
  </si>
  <si>
    <t>🌙  TURNO NOTURNO</t>
  </si>
  <si>
    <t>TOTAL GLOBAL DO DIA</t>
  </si>
  <si>
    <t>Totalizador global  ➜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</si>
  <si>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</si>
  <si>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</si>
  <si>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</si>
  <si>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</si>
  <si>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</si>
  <si>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PC 19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</si>
  <si>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</si>
  <si>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</si>
  <si>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</si>
  <si>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</si>
  <si>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</si>
  <si>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</si>
  <si>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</si>
  <si>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</si>
  <si>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</si>
  <si>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</si>
  <si>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</si>
  <si>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</si>
  <si>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</si>
  <si>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</si>
  <si>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</si>
  <si>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</si>
  <si>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</si>
  <si>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</si>
  <si>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</si>
  <si>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</si>
  <si>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baixo teor</t>
  </si>
  <si>
    <t>limpeza na tc 2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</si>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</sst>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4" sqref="F2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214</v>
      </c>
      <c r="O27" s="78">
        <v>393200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85">
        <v>276360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214</v>
      </c>
      <c r="O81" s="54">
        <v>787860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214</v>
      </c>
      <c r="O108" s="54">
        <v>1087080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214</v>
      </c>
      <c r="O135" s="54">
        <v>794480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214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214</v>
      </c>
      <c r="O162" s="54">
        <v>882280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217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214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214</v>
      </c>
      <c r="O189" s="78"/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214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214</v>
      </c>
      <c r="O216" s="78">
        <v>648410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217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238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213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214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239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214</v>
      </c>
      <c r="O243" s="78">
        <v>849060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217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214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214</v>
      </c>
      <c r="O270" s="78">
        <v>625070</v>
      </c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217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242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214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243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212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212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212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124</v>
      </c>
      <c r="G297" s="36">
        <f>SUM(G285:G296)</f>
        <v>527.19999999999993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214</v>
      </c>
      <c r="O297" s="78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307</v>
      </c>
      <c r="G298" s="40">
        <f>G284+G297</f>
        <v>1295.7999999999997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217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78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78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78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78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78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78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78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78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78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78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78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78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78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78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78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78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O290" sqref="O2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244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245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214</v>
      </c>
      <c r="O27" s="39">
        <v>1183060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214</v>
      </c>
      <c r="O54" s="39">
        <v>959290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214</v>
      </c>
      <c r="O81" s="39">
        <v>878050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214</v>
      </c>
      <c r="O108" s="39">
        <v>1700000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214</v>
      </c>
      <c r="O135" s="39">
        <v>862330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214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214</v>
      </c>
      <c r="O162" s="44">
        <v>1546080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217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214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214</v>
      </c>
      <c r="O189" s="39">
        <v>2355810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217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214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214</v>
      </c>
      <c r="O216" s="45">
        <v>2013260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217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250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214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214</v>
      </c>
      <c r="O243" s="39">
        <v>1545480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217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251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214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39">
        <v>1182690</v>
      </c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217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214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252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253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253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253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253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253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238</v>
      </c>
      <c r="G297" s="36">
        <f>SUM(G285:G296)</f>
        <v>1190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554</v>
      </c>
      <c r="G298" s="40">
        <f>G284+G297</f>
        <v>2770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217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4" sqref="F2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214</v>
      </c>
      <c r="O27" s="39">
        <v>308500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39">
        <v>124290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214</v>
      </c>
      <c r="O81" s="39">
        <v>396340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214</v>
      </c>
      <c r="O108" s="39">
        <v>41230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214</v>
      </c>
      <c r="O135" s="39">
        <v>381250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214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214</v>
      </c>
      <c r="O162" s="39">
        <v>337120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217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214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214</v>
      </c>
      <c r="O189" s="39">
        <v>747210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217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214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214</v>
      </c>
      <c r="O216" s="39">
        <v>468430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217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212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212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212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212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212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212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214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214</v>
      </c>
      <c r="O243" s="39">
        <v>575930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217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212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212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212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212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212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212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214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214</v>
      </c>
      <c r="O270" s="39">
        <v>483510</v>
      </c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217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214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212</v>
      </c>
      <c r="F291" s="27">
        <v>11</v>
      </c>
      <c r="G291" s="34">
        <f t="shared" si="63"/>
        <v>46.2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212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212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212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94</v>
      </c>
      <c r="G297" s="36">
        <f>SUM(G285:G296)</f>
        <v>394.80000000000007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94</v>
      </c>
      <c r="G298" s="40">
        <f>G284+G297</f>
        <v>701.40000000000009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217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74" activePane="bottomLeft" state="frozen"/>
      <selection pane="bottomLeft" activeCell="K291" sqref="K2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214</v>
      </c>
      <c r="O27" s="39">
        <v>202230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214</v>
      </c>
      <c r="O54" s="39">
        <v>473910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214</v>
      </c>
      <c r="O81" s="39">
        <v>565120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214</v>
      </c>
      <c r="O108" s="39">
        <v>558590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0.95564050925895572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1.1549460648145113</v>
      </c>
      <c r="N135" s="36" t="s">
        <v>214</v>
      </c>
      <c r="O135" s="39">
        <v>729290</v>
      </c>
    </row>
    <row r="136" spans="1:18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1.5223071759256224</v>
      </c>
      <c r="N136" s="40" t="s">
        <v>217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214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214</v>
      </c>
      <c r="O162" s="39">
        <v>697320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217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214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214</v>
      </c>
      <c r="O189" s="39">
        <v>973580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217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214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214</v>
      </c>
      <c r="O216" s="45">
        <v>1060630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217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214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214</v>
      </c>
      <c r="O243" s="39">
        <v>982340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217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214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214</v>
      </c>
      <c r="O270" s="39">
        <v>1208450</v>
      </c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217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214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212</v>
      </c>
      <c r="F290" s="27">
        <v>25</v>
      </c>
      <c r="G290" s="28">
        <f t="shared" si="63"/>
        <v>105</v>
      </c>
      <c r="H290" s="26"/>
      <c r="I290" s="26"/>
      <c r="J290" s="26"/>
      <c r="K290" s="29">
        <v>0.2013888888888889</v>
      </c>
      <c r="L290" s="29"/>
      <c r="M290" s="64">
        <f t="shared" ca="1" si="64"/>
        <v>3.557175921741873E-3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212</v>
      </c>
      <c r="F291" s="27">
        <v>21</v>
      </c>
      <c r="G291" s="34">
        <f t="shared" si="63"/>
        <v>88.2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212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212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167</v>
      </c>
      <c r="G297" s="36">
        <f>SUM(G285:G296)</f>
        <v>715</v>
      </c>
      <c r="H297" s="37"/>
      <c r="I297" s="37"/>
      <c r="J297" s="37"/>
      <c r="K297" s="61"/>
      <c r="L297" s="61"/>
      <c r="M297" s="38">
        <f ca="1">IFERROR(SUM(M285:M296),"")</f>
        <v>0.10425162036618636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354</v>
      </c>
      <c r="G298" s="40">
        <f>G284+G297</f>
        <v>1500.4</v>
      </c>
      <c r="H298" s="41"/>
      <c r="I298" s="41"/>
      <c r="J298" s="41"/>
      <c r="K298" s="63"/>
      <c r="L298" s="63"/>
      <c r="M298" s="42">
        <f ca="1">IFERROR(M284+M297,"")</f>
        <v>0.16814050925507518</v>
      </c>
      <c r="N298" s="40" t="s">
        <v>217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214</v>
      </c>
      <c r="O432" s="39"/>
    </row>
    <row r="433" spans="1:17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2026-07-12T08:55:39Z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