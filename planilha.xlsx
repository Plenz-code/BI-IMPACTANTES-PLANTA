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552" documentId="8_{AF585B22-221D-4780-BB9C-493D365A6A02}" xr6:coauthVersionLast="47" xr6:coauthVersionMax="47" xr10:uidLastSave="{C1967727-9864-4156-B544-877A56D07DBF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<sst xmlns="http://schemas.openxmlformats.org/spreadsheetml/2006/main" count="11529" uniqueCount="421">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</sst>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85781028</v>
      </c>
      <c r="D35" s="13">
        <f>IFERROR(SUM(D4:D34),"")</f>
        <v>34599800</v>
      </c>
      <c r="E35" s="13">
        <f>IFERROR(SUM(E4:E34),"")</f>
        <v>19704660</v>
      </c>
      <c r="F35" s="13">
        <f>IFERROR(SUM(F4:F34),"")</f>
        <v>36003260</v>
      </c>
      <c r="G35" s="13">
        <f>IFERROR(SUM(G4:G34),"")</f>
        <v>90307720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6"/>
      <c r="I58" s="16"/>
      <c r="J58" s="16"/>
      <c r="K58" s="16" t="s">
        <v>206</v>
      </c>
      <c r="L58" s="16"/>
      <c r="M58" s="16"/>
    </row>
    <row r="59" spans="1:13" ht="15" customHeight="1">
      <c r="H59" s="116"/>
      <c r="I59" s="17"/>
      <c r="J59" s="17"/>
      <c r="K59" s="17" t="s">
        <v>207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208</v>
      </c>
      <c r="L61" s="17"/>
      <c r="M61" s="17"/>
    </row>
    <row r="62" spans="1:13" ht="15" customHeight="1">
      <c r="H62" s="116"/>
      <c r="I62" s="16"/>
      <c r="J62" s="16"/>
      <c r="K62" s="16" t="s">
        <v>209</v>
      </c>
      <c r="L62" s="16"/>
      <c r="M62" s="16"/>
    </row>
    <row r="63" spans="1:13" ht="15" customHeight="1">
      <c r="H63" s="116"/>
      <c r="I63" s="17"/>
      <c r="J63" s="17"/>
      <c r="K63" s="17" t="s">
        <v>210</v>
      </c>
      <c r="L63" s="17"/>
      <c r="M63" s="17"/>
    </row>
    <row r="64" spans="1:13" ht="15" customHeight="1">
      <c r="H64" s="116"/>
      <c r="I64" s="16"/>
      <c r="J64" s="16"/>
      <c r="K64" s="16" t="s">
        <v>211</v>
      </c>
      <c r="L64" s="16"/>
      <c r="M64" s="16"/>
    </row>
    <row r="65" spans="8:13" ht="15" customHeight="1">
      <c r="H65" s="116"/>
      <c r="I65" s="17"/>
      <c r="J65" s="17"/>
      <c r="K65" s="17" t="s">
        <v>212</v>
      </c>
      <c r="L65" s="17"/>
      <c r="M65" s="17"/>
    </row>
    <row r="66" spans="8:13" ht="15" customHeight="1">
      <c r="H66" s="116"/>
      <c r="I66" s="16"/>
      <c r="J66" s="16"/>
      <c r="K66" s="16" t="s">
        <v>213</v>
      </c>
      <c r="L66" s="16"/>
      <c r="M66" s="16"/>
    </row>
    <row r="67" spans="8:13" ht="15" customHeight="1">
      <c r="H67" s="116"/>
      <c r="I67" s="17"/>
      <c r="J67" s="17"/>
      <c r="K67" s="17" t="s">
        <v>214</v>
      </c>
      <c r="L67" s="17"/>
      <c r="M67" s="17"/>
    </row>
    <row r="68" spans="8:13" ht="15" customHeight="1">
      <c r="H68" s="116"/>
      <c r="I68" s="16"/>
      <c r="J68" s="16"/>
      <c r="K68" s="16" t="s">
        <v>215</v>
      </c>
      <c r="L68" s="16"/>
      <c r="M68" s="16"/>
    </row>
    <row r="69" spans="8:13" ht="15" customHeight="1">
      <c r="H69" s="116"/>
      <c r="I69" s="17"/>
      <c r="J69" s="17"/>
      <c r="K69" s="17" t="s">
        <v>216</v>
      </c>
      <c r="L69" s="17"/>
      <c r="M69" s="17"/>
    </row>
    <row r="70" spans="8:13" ht="15" customHeight="1">
      <c r="H70" s="116"/>
      <c r="I70" s="16"/>
      <c r="J70" s="16"/>
      <c r="K70" s="16" t="s">
        <v>217</v>
      </c>
      <c r="L70" s="16"/>
      <c r="M70" s="16"/>
    </row>
    <row r="71" spans="8:13" ht="15" customHeight="1">
      <c r="H71" s="116"/>
      <c r="I71" s="17"/>
      <c r="J71" s="17"/>
      <c r="K71" s="17" t="s">
        <v>218</v>
      </c>
      <c r="L71" s="17"/>
      <c r="M71" s="17"/>
    </row>
    <row r="72" spans="8:13" ht="15" customHeight="1">
      <c r="H72" s="116"/>
      <c r="I72" s="16"/>
      <c r="J72" s="16"/>
      <c r="K72" s="16" t="s">
        <v>219</v>
      </c>
      <c r="L72" s="16"/>
      <c r="M72" s="16"/>
    </row>
    <row r="73" spans="8:13" ht="15" customHeight="1">
      <c r="H73" s="116"/>
      <c r="I73" s="17"/>
      <c r="J73" s="17"/>
      <c r="K73" s="17" t="s">
        <v>220</v>
      </c>
      <c r="L73" s="17"/>
      <c r="M73" s="17"/>
    </row>
    <row r="74" spans="8:13" ht="15" customHeight="1">
      <c r="H74" s="116"/>
      <c r="I74" s="16"/>
      <c r="J74" s="16"/>
      <c r="K74" s="16"/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46" activePane="bottomLeft" state="frozen"/>
      <selection pane="bottomLeft" activeCell="F759" sqref="F75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36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6</v>
      </c>
      <c r="G770" s="36">
        <f>SUM(G758:G769)</f>
        <v>30</v>
      </c>
      <c r="H770" s="37"/>
      <c r="I770" s="37"/>
      <c r="J770" s="37"/>
      <c r="K770" s="37"/>
      <c r="L770" s="37"/>
      <c r="M770" s="38">
        <f ca="1">IFERROR(SUM(M758:M769),"")</f>
        <v>3.125E-2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6</v>
      </c>
      <c r="G784" s="40">
        <f>G770+G783</f>
        <v>30</v>
      </c>
      <c r="H784" s="41"/>
      <c r="I784" s="41"/>
      <c r="J784" s="41"/>
      <c r="K784" s="41"/>
      <c r="L784" s="41"/>
      <c r="M784" s="42">
        <f ca="1">IFERROR(M770+M783,"")</f>
        <v>3.125E-2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37" activePane="bottomLeft" state="frozen"/>
      <selection pane="bottomLeft" activeCell="E769" sqref="E76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9.4836111107724719E-2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0.2524749999966136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0.36219722221883577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7.3308333332533948E-2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0.24414166666586731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0.38928055555475616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323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324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326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9" t="s">
        <v>234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327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328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329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330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331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332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333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335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259</v>
      </c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21</v>
      </c>
      <c r="G770" s="36">
        <f>SUM(G758:G769)</f>
        <v>88.2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21</v>
      </c>
      <c r="G784" s="40">
        <f>G770+G783</f>
        <v>88.2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41" zoomScale="50" zoomScaleNormal="50" workbookViewId="0">
      <selection activeCell="E769" sqref="E76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286</v>
      </c>
      <c r="K141" s="29">
        <v>0.71597222222222223</v>
      </c>
      <c r="L141" s="29" t="s">
        <v>341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343</v>
      </c>
      <c r="N166" s="27" t="s">
        <v>344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325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364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309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323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323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365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366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367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259</v>
      </c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2</v>
      </c>
      <c r="G770" s="36">
        <f>SUM(G758:G769)</f>
        <v>8.4</v>
      </c>
      <c r="H770" s="37"/>
      <c r="I770" s="37"/>
      <c r="J770" s="37"/>
      <c r="K770" s="37"/>
      <c r="L770" s="37"/>
      <c r="M770" s="38">
        <f ca="1">IFERROR(SUM(M758:M769),"")</f>
        <v>1.6666666666666663E-2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2</v>
      </c>
      <c r="G784" s="40">
        <f>G770+G783</f>
        <v>8.4</v>
      </c>
      <c r="H784" s="41"/>
      <c r="I784" s="41"/>
      <c r="J784" s="41"/>
      <c r="K784" s="41"/>
      <c r="L784" s="41"/>
      <c r="M784" s="42">
        <f ca="1">IFERROR(M770+M783,"")</f>
        <v>1.6666666666666663E-2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48" activePane="bottomLeft" state="frozen"/>
      <selection pane="bottomLeft" activeCell="F759" sqref="F75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372</v>
      </c>
      <c r="L58" s="29">
        <v>0.54097222222222219</v>
      </c>
      <c r="M58" s="30" t="str">
        <f t="shared" ca="1" si="13"/>
        <v/>
      </c>
      <c r="N58" s="27" t="s">
        <v>373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375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8.5113888890191447E-2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0.28441944444574707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0.6517805555568581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385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395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401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402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403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404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405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406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407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408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409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410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411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412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413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414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415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416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417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281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323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418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419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420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/>
      <c r="M758" s="30">
        <f t="shared" ref="M758:M769" ca="1" si="169">IFERROR(IF(K758="","",IF(L758="",MOD(NOW()-K758,1),IF(L758&gt;=K758,L758-K758,L758+1-K758))),"")</f>
        <v>4.2752777779242024E-2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4.2752777779242024E-2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4.2752777779242024E-2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2026-07-29T12:03:21Z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