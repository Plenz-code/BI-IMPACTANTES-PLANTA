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39" documentId="8_{AF585B22-221D-4780-BB9C-493D365A6A02}" xr6:coauthVersionLast="47" xr6:coauthVersionMax="47" xr10:uidLastSave="{6A6F25AD-55CC-4888-B63E-ACCCDD8C7486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<sst xmlns="http://schemas.openxmlformats.org/spreadsheetml/2006/main" count="4339" uniqueCount="282">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</sst>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7" sqref="I1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24" activePane="bottomLeft" state="frozen"/>
      <selection pane="bottomLeft" activeCell="F248" sqref="F248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209</v>
      </c>
      <c r="E2" s="59" t="s">
        <v>210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213</v>
      </c>
      <c r="O27" s="39">
        <v>1183060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213</v>
      </c>
      <c r="O54" s="39">
        <v>959290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213</v>
      </c>
      <c r="O81" s="39">
        <v>878050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213</v>
      </c>
      <c r="O108" s="39">
        <v>1700000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213</v>
      </c>
      <c r="O135" s="39">
        <v>862330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213</v>
      </c>
      <c r="O162" s="44">
        <v>1546080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213</v>
      </c>
      <c r="O189" s="39">
        <v>2355810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213</v>
      </c>
      <c r="O216" s="45">
        <v>2013260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213</v>
      </c>
      <c r="O243" s="39">
        <v>1545480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210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210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210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210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210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210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210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210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210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70</v>
      </c>
      <c r="G257" s="36">
        <f>SUM(G245:G256)</f>
        <v>350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70</v>
      </c>
      <c r="G271" s="40">
        <f>G257+G270</f>
        <v>350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24" activePane="bottomLeft" state="frozen"/>
      <selection pane="bottomLeft" activeCell="F248" sqref="F2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213</v>
      </c>
      <c r="O27" s="78">
        <v>393200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85">
        <v>276360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213</v>
      </c>
      <c r="O81" s="54">
        <v>787860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213</v>
      </c>
      <c r="O108" s="54">
        <v>1087080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213</v>
      </c>
      <c r="O135" s="54">
        <v>794480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213</v>
      </c>
      <c r="O162" s="54">
        <v>882280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213</v>
      </c>
      <c r="O189" s="78"/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213</v>
      </c>
      <c r="O216" s="78">
        <v>648410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238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213</v>
      </c>
      <c r="O243" s="78">
        <v>849060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24</v>
      </c>
      <c r="G257" s="36">
        <f>SUM(G245:G256)</f>
        <v>100.8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213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78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24</v>
      </c>
      <c r="G271" s="40">
        <f>G257+G270</f>
        <v>100.8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216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78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78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78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78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78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78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78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78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78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78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78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78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78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78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78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78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78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23" zoomScale="50" zoomScaleNormal="50" workbookViewId="0">
      <selection activeCell="F248" sqref="F2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213</v>
      </c>
      <c r="O27" s="39">
        <v>308500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213</v>
      </c>
      <c r="O54" s="39">
        <v>124290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213</v>
      </c>
      <c r="O81" s="39">
        <v>396340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213</v>
      </c>
      <c r="O108" s="39">
        <v>41230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213</v>
      </c>
      <c r="O135" s="39">
        <v>381250</v>
      </c>
    </row>
    <row r="136" spans="1:15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213</v>
      </c>
      <c r="O162" s="39">
        <v>337120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254</v>
      </c>
      <c r="N166" s="27" t="s">
        <v>255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213</v>
      </c>
      <c r="O189" s="39">
        <v>747210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213</v>
      </c>
      <c r="O216" s="39">
        <v>468430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213</v>
      </c>
      <c r="O243" s="39">
        <v>575930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25</v>
      </c>
      <c r="G245" s="28">
        <f t="shared" ref="G245:G256" si="54">IF(F245="","",IF(E245="PC 17",F245*4.2,IF(E245="PC 19",F245*5,"")))</f>
        <v>105</v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52</v>
      </c>
      <c r="G257" s="36">
        <f>SUM(G245:G256)</f>
        <v>218.4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52</v>
      </c>
      <c r="G271" s="40">
        <f>G257+G270</f>
        <v>218.4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213</v>
      </c>
      <c r="O432" s="39"/>
    </row>
    <row r="433" spans="1:15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N246" sqref="N24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199</v>
      </c>
      <c r="C1" s="23" t="s">
        <v>12</v>
      </c>
      <c r="D1" s="22" t="s">
        <v>13</v>
      </c>
      <c r="E1" s="22" t="s">
        <v>200</v>
      </c>
      <c r="F1" s="23" t="s">
        <v>201</v>
      </c>
      <c r="G1" s="23" t="s">
        <v>202</v>
      </c>
      <c r="H1" s="23" t="s">
        <v>14</v>
      </c>
      <c r="I1" s="23" t="s">
        <v>15</v>
      </c>
      <c r="J1" s="23" t="s">
        <v>203</v>
      </c>
      <c r="K1" s="23" t="s">
        <v>204</v>
      </c>
      <c r="L1" s="23" t="s">
        <v>205</v>
      </c>
      <c r="M1" s="24" t="s">
        <v>206</v>
      </c>
      <c r="N1" s="23" t="s">
        <v>207</v>
      </c>
      <c r="O1" s="23" t="s">
        <v>208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212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214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213</v>
      </c>
      <c r="O27" s="39">
        <v>202230</v>
      </c>
    </row>
    <row r="28" spans="1:15" ht="18" customHeight="1">
      <c r="A28" s="94" t="s">
        <v>215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212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214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213</v>
      </c>
      <c r="O54" s="39">
        <v>473910</v>
      </c>
    </row>
    <row r="55" spans="1:15" ht="18" customHeight="1">
      <c r="A55" s="94" t="s">
        <v>215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261</v>
      </c>
      <c r="L58" s="29">
        <v>0.54097222222222219</v>
      </c>
      <c r="M58" s="30" t="str">
        <f t="shared" ca="1" si="13"/>
        <v/>
      </c>
      <c r="N58" s="27" t="s">
        <v>262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212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214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213</v>
      </c>
      <c r="O81" s="39">
        <v>565120</v>
      </c>
    </row>
    <row r="82" spans="1:15" ht="18" customHeight="1">
      <c r="A82" s="94" t="s">
        <v>215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212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214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213</v>
      </c>
      <c r="O108" s="39">
        <v>558590</v>
      </c>
    </row>
    <row r="109" spans="1:15" ht="18" customHeight="1">
      <c r="A109" s="94" t="s">
        <v>215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212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210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210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0.17136562499945285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214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0.37067118055500847</v>
      </c>
      <c r="N135" s="36" t="s">
        <v>213</v>
      </c>
      <c r="O135" s="39">
        <v>729290</v>
      </c>
    </row>
    <row r="136" spans="1:18" ht="18" customHeight="1">
      <c r="A136" s="94" t="s">
        <v>215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0.7380322916661195</v>
      </c>
      <c r="N136" s="40" t="s">
        <v>216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210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212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214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213</v>
      </c>
      <c r="O162" s="39">
        <v>697320</v>
      </c>
    </row>
    <row r="163" spans="1:15" ht="18" customHeight="1">
      <c r="A163" s="94" t="s">
        <v>215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223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223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212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223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223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214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213</v>
      </c>
      <c r="O189" s="39">
        <v>973580</v>
      </c>
    </row>
    <row r="190" spans="1:15" ht="18" customHeight="1">
      <c r="A190" s="94" t="s">
        <v>215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223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223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223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212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214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213</v>
      </c>
      <c r="O216" s="45">
        <v>1060630</v>
      </c>
    </row>
    <row r="217" spans="1:15" ht="18" customHeight="1">
      <c r="A217" s="94" t="s">
        <v>215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223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223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212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223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214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213</v>
      </c>
      <c r="O243" s="39">
        <v>982340</v>
      </c>
    </row>
    <row r="244" spans="1:15" ht="18" customHeight="1">
      <c r="A244" s="94" t="s">
        <v>215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/>
      <c r="M245" s="30">
        <f t="shared" ref="M245:M256" ca="1" si="55">IFERROR(IF(K245="","",IF(L245="",MOD(NOW()-K245,1),IF(L245&gt;=K245,L245-K245,L245+1-K245))),"")</f>
        <v>1.3032291666604578E-2</v>
      </c>
      <c r="N245" s="27" t="s">
        <v>281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223</v>
      </c>
      <c r="F246" s="27">
        <v>20</v>
      </c>
      <c r="G246" s="34">
        <f t="shared" si="54"/>
        <v>84</v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223</v>
      </c>
      <c r="F247" s="27">
        <v>17</v>
      </c>
      <c r="G247" s="28">
        <f t="shared" si="54"/>
        <v>71.400000000000006</v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223</v>
      </c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223</v>
      </c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223</v>
      </c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223</v>
      </c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223</v>
      </c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223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223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223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223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212</v>
      </c>
      <c r="B257" s="92"/>
      <c r="C257" s="92"/>
      <c r="D257" s="92"/>
      <c r="E257" s="93">
        <f>SUM(E245:E256)</f>
        <v>0</v>
      </c>
      <c r="F257" s="36">
        <f>SUM(F245:F256)</f>
        <v>52</v>
      </c>
      <c r="G257" s="36">
        <f>SUM(G245:G256)</f>
        <v>218.4</v>
      </c>
      <c r="H257" s="37"/>
      <c r="I257" s="37"/>
      <c r="J257" s="37"/>
      <c r="K257" s="61"/>
      <c r="L257" s="61"/>
      <c r="M257" s="38">
        <f ca="1">IFERROR(SUM(M245:M256),"")</f>
        <v>1.3032291666604578E-2</v>
      </c>
      <c r="N257" s="36" t="s">
        <v>213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214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213</v>
      </c>
      <c r="O270" s="39"/>
    </row>
    <row r="271" spans="1:15" ht="18" customHeight="1">
      <c r="A271" s="94" t="s">
        <v>215</v>
      </c>
      <c r="B271" s="95"/>
      <c r="C271" s="95"/>
      <c r="D271" s="95"/>
      <c r="E271" s="96">
        <f>E257+E270</f>
        <v>0</v>
      </c>
      <c r="F271" s="40">
        <f>F257+F270</f>
        <v>52</v>
      </c>
      <c r="G271" s="40">
        <f>G257+G270</f>
        <v>218.4</v>
      </c>
      <c r="H271" s="41"/>
      <c r="I271" s="41"/>
      <c r="J271" s="41"/>
      <c r="K271" s="63"/>
      <c r="L271" s="63"/>
      <c r="M271" s="42">
        <f ca="1">IFERROR(M257+M270,"")</f>
        <v>1.3032291666604578E-2</v>
      </c>
      <c r="N271" s="40" t="s">
        <v>216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212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213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214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213</v>
      </c>
      <c r="O297" s="39"/>
    </row>
    <row r="298" spans="1:15" ht="18" customHeight="1">
      <c r="A298" s="94" t="s">
        <v>215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216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212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213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214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213</v>
      </c>
      <c r="O324" s="39"/>
    </row>
    <row r="325" spans="1:15" ht="18" customHeight="1">
      <c r="A325" s="94" t="s">
        <v>215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216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212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213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214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213</v>
      </c>
      <c r="O351" s="39"/>
    </row>
    <row r="352" spans="1:15" ht="18" customHeight="1">
      <c r="A352" s="94" t="s">
        <v>215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216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212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213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214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213</v>
      </c>
      <c r="O378" s="39"/>
    </row>
    <row r="379" spans="1:15" ht="18" customHeight="1">
      <c r="A379" s="94" t="s">
        <v>215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216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212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213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214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213</v>
      </c>
      <c r="O405" s="39"/>
    </row>
    <row r="406" spans="1:15" ht="18" customHeight="1">
      <c r="A406" s="94" t="s">
        <v>215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216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212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214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213</v>
      </c>
      <c r="O432" s="39"/>
    </row>
    <row r="433" spans="1:17" ht="18" customHeight="1">
      <c r="A433" s="94" t="s">
        <v>215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212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214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213</v>
      </c>
      <c r="O459" s="39"/>
    </row>
    <row r="460" spans="1:15" ht="18" customHeight="1">
      <c r="A460" s="94" t="s">
        <v>215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212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214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213</v>
      </c>
      <c r="O486" s="39"/>
    </row>
    <row r="487" spans="1:15" ht="18" customHeight="1">
      <c r="A487" s="94" t="s">
        <v>215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212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214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213</v>
      </c>
      <c r="O513" s="39"/>
    </row>
    <row r="514" spans="1:15" ht="18" customHeight="1">
      <c r="A514" s="94" t="s">
        <v>215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212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214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213</v>
      </c>
      <c r="O540" s="39"/>
    </row>
    <row r="541" spans="1:15" ht="18" customHeight="1">
      <c r="A541" s="94" t="s">
        <v>215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212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214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213</v>
      </c>
      <c r="O567" s="39"/>
    </row>
    <row r="568" spans="1:15" ht="18" customHeight="1">
      <c r="A568" s="94" t="s">
        <v>215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212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214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213</v>
      </c>
      <c r="O594" s="39"/>
    </row>
    <row r="595" spans="1:15" ht="18" customHeight="1">
      <c r="A595" s="94" t="s">
        <v>215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212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214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213</v>
      </c>
      <c r="O621" s="39"/>
    </row>
    <row r="622" spans="1:15" ht="18" customHeight="1">
      <c r="A622" s="94" t="s">
        <v>215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212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214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213</v>
      </c>
      <c r="O648" s="39"/>
    </row>
    <row r="649" spans="1:15" ht="18" customHeight="1">
      <c r="A649" s="94" t="s">
        <v>215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212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214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213</v>
      </c>
      <c r="O675" s="39"/>
    </row>
    <row r="676" spans="1:15" ht="18" customHeight="1">
      <c r="A676" s="94" t="s">
        <v>215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212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214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213</v>
      </c>
      <c r="O702" s="39"/>
    </row>
    <row r="703" spans="1:15" ht="18" customHeight="1">
      <c r="A703" s="94" t="s">
        <v>215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212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214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213</v>
      </c>
      <c r="O729" s="39"/>
    </row>
    <row r="730" spans="1:15" ht="18" customHeight="1">
      <c r="A730" s="94" t="s">
        <v>215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212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214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213</v>
      </c>
      <c r="O756" s="39"/>
    </row>
    <row r="757" spans="1:15" ht="18" customHeight="1">
      <c r="A757" s="94" t="s">
        <v>215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212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214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213</v>
      </c>
      <c r="O783" s="39"/>
    </row>
    <row r="784" spans="1:15" ht="18" customHeight="1">
      <c r="A784" s="94" t="s">
        <v>215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212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214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213</v>
      </c>
      <c r="O810" s="39"/>
    </row>
    <row r="811" spans="1:15" ht="18" customHeight="1">
      <c r="A811" s="94" t="s">
        <v>215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216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2026-07-10T14:06:16Z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