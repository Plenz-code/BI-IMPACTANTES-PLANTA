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9" documentId="8_{C51EB6CB-002B-4D6B-B68F-DDEBDB4460C0}" xr6:coauthVersionLast="47" xr6:coauthVersionMax="47" xr10:uidLastSave="{7643F3A8-5BFB-4EEC-BE03-1C3DBC287FB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<sst xmlns="http://schemas.openxmlformats.org/spreadsheetml/2006/main" count="2466" uniqueCount="262">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</sst>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J83" sqref="J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/>
      <c r="M83" s="35">
        <f t="shared" ref="M83:M94" ca="1" si="19">IFERROR(IF(K83="","",IF(L83="",MOD(NOW()-K83,1),IF(L83&gt;=K83,L83-K83,L83+1-K83))),"")</f>
        <v>7.8258101857500151E-3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100</v>
      </c>
      <c r="G95" s="36">
        <f>SUM(G83:G94)</f>
        <v>500</v>
      </c>
      <c r="H95" s="37"/>
      <c r="I95" s="37"/>
      <c r="J95" s="37"/>
      <c r="K95" s="37"/>
      <c r="L95" s="37"/>
      <c r="M95" s="38">
        <f ca="1">IFERROR(SUM(M83:M94),"")</f>
        <v>7.8258101857500151E-3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100</v>
      </c>
      <c r="G109" s="40">
        <f>G95+G108</f>
        <v>500</v>
      </c>
      <c r="H109" s="41"/>
      <c r="I109" s="41"/>
      <c r="J109" s="41"/>
      <c r="K109" s="41"/>
      <c r="L109" s="41"/>
      <c r="M109" s="42">
        <f ca="1">IFERROR(M95+M108,"")</f>
        <v>7.8258101857500151E-3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59" activePane="bottomLeft" state="frozen"/>
      <selection pane="bottomLeft" activeCell="L86" sqref="L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0.30990914351423271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0.44879803240312161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0.53352025462534391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33</v>
      </c>
      <c r="G95" s="36">
        <f>SUM(G83:G94)</f>
        <v>138.60000000000002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33</v>
      </c>
      <c r="G109" s="40">
        <f>G95+G108</f>
        <v>138.60000000000002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6" sqref="F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12</v>
      </c>
      <c r="G95" s="36">
        <f>SUM(G83:G94)</f>
        <v>50.400000000000006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</v>
      </c>
      <c r="G109" s="40">
        <f>G95+G108</f>
        <v>50.400000000000006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F86" sqref="F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45</v>
      </c>
      <c r="G95" s="36">
        <f>SUM(G83:G94)</f>
        <v>189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45</v>
      </c>
      <c r="G109" s="40">
        <f>G95+G108</f>
        <v>189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2026-08-04T14:23:18Z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