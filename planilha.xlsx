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322" documentId="8_{AF585B22-221D-4780-BB9C-493D365A6A02}" xr6:coauthVersionLast="47" xr6:coauthVersionMax="47" xr10:uidLastSave="{C7FCAFA0-479F-42B8-9E81-4E5A27ED65EB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86" i="6" l="1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96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<sst xmlns="http://schemas.openxmlformats.org/spreadsheetml/2006/main" count="11994" uniqueCount="436">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</sst>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648030</v>
      </c>
      <c r="E33" s="11">
        <f>IFERROR('Linha 2'!O811,"")</f>
        <v>419450</v>
      </c>
      <c r="F33" s="11">
        <f>IFERROR('Linha 3'!O811,"")</f>
        <v>99040</v>
      </c>
      <c r="G33" s="12">
        <f t="shared" si="0"/>
        <v>1166520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92221798</v>
      </c>
      <c r="D35" s="13">
        <f>IFERROR(SUM(D4:D34),"")</f>
        <v>36740850</v>
      </c>
      <c r="E35" s="13">
        <f>IFERROR(SUM(E4:E34),"")</f>
        <v>20561990</v>
      </c>
      <c r="F35" s="13">
        <f>IFERROR(SUM(F4:F34),"")</f>
        <v>36889040</v>
      </c>
      <c r="G35" s="13">
        <f>IFERROR(SUM(G4:G34),"")</f>
        <v>94191880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78" activePane="bottomLeft" state="frozen"/>
      <selection pane="bottomLeft" activeCell="O798" sqref="O79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/>
      <c r="M787" s="35">
        <f t="shared" ca="1" si="174"/>
        <v>2.9948726856673602E-2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291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7.3004282412229116E-2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291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7.3004282412229116E-2</v>
      </c>
      <c r="N811" s="40" t="s">
        <v>239</v>
      </c>
      <c r="O811" s="43">
        <f>IFERROR(O797+O810,"")</f>
        <v>2191180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78" activePane="bottomLeft" state="frozen"/>
      <selection pane="bottomLeft" activeCell="O798" sqref="O79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0.54383761573990341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0.7014765046287923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0.81119872685101446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0.52230983796471264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0.69314317129804603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0.83828206018693496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796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154</v>
      </c>
      <c r="G811" s="40">
        <f>G797+G810</f>
        <v>652.4</v>
      </c>
      <c r="H811" s="41"/>
      <c r="I811" s="41"/>
      <c r="J811" s="41"/>
      <c r="K811" s="41"/>
      <c r="L811" s="41"/>
      <c r="M811" s="42">
        <f ca="1">IFERROR(M797+M810,"")</f>
        <v>0.12083333333333324</v>
      </c>
      <c r="N811" s="40" t="s">
        <v>239</v>
      </c>
      <c r="O811" s="82">
        <f>IFERROR(O797+O810,"")</f>
        <v>648030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78" zoomScale="50" zoomScaleNormal="50" workbookViewId="0">
      <selection activeCell="H779" sqref="H77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796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94</v>
      </c>
      <c r="G811" s="40">
        <f>G797+G810</f>
        <v>400.4</v>
      </c>
      <c r="H811" s="41"/>
      <c r="I811" s="41"/>
      <c r="J811" s="41"/>
      <c r="K811" s="41"/>
      <c r="L811" s="41"/>
      <c r="M811" s="42">
        <f ca="1">IFERROR(M797+M810,"")</f>
        <v>0.10277777777777769</v>
      </c>
      <c r="N811" s="40" t="s">
        <v>239</v>
      </c>
      <c r="O811" s="43">
        <f>IFERROR(O797+O810,"")</f>
        <v>419450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70" activePane="bottomLeft" state="frozen"/>
      <selection pane="bottomLeft" activeCell="N790" sqref="N79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0.53411539352237014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0.73342094907792577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1.1007820601890368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796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434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435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22</v>
      </c>
      <c r="G811" s="40">
        <f>G797+G810</f>
        <v>92.4</v>
      </c>
      <c r="H811" s="41"/>
      <c r="I811" s="41"/>
      <c r="J811" s="41"/>
      <c r="K811" s="63"/>
      <c r="L811" s="63"/>
      <c r="M811" s="42">
        <f ca="1">IFERROR(M797+M810,"")</f>
        <v>0.44930555555555546</v>
      </c>
      <c r="N811" s="40" t="s">
        <v>239</v>
      </c>
      <c r="O811" s="43">
        <f>IFERROR(O797+O810,"")</f>
        <v>99040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2026-07-30T22:48:39Z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