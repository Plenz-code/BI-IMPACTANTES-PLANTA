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harpiagold-my.sharepoint.com/personal/dsf_cco01_harpiagold_com_br/Documents/Documentos/"/>
    </mc:Choice>
  </mc:AlternateContent>
  <xr:revisionPtr revIDLastSave="1847" documentId="13_ncr:1_{0A10D8D4-8450-4366-8075-B53B08E6B7EA}" xr6:coauthVersionLast="47" xr6:coauthVersionMax="47" xr10:uidLastSave="{2C0976B6-9F41-4AAF-ABB8-A88EF8512ECB}"/>
  <bookViews>
    <workbookView xWindow="-28920" yWindow="-60" windowWidth="29040" windowHeight="15720" tabRatio="500" firstSheet="4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35" i="1" l="1"/>
  <c r="K327" i="6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H312" i="4"/>
  <c r="H313" i="4"/>
  <c r="H314" i="4"/>
  <c r="H315" i="4"/>
  <c r="H316" i="4"/>
  <c r="H317" i="4"/>
  <c r="H318" i="4"/>
  <c r="H319" i="4"/>
  <c r="H320" i="4"/>
  <c r="H321" i="4"/>
  <c r="H322" i="4"/>
  <c r="H323" i="4"/>
  <c r="H310" i="4"/>
  <c r="H300" i="4"/>
  <c r="H301" i="4"/>
  <c r="H302" i="4"/>
  <c r="H303" i="4"/>
  <c r="H304" i="4"/>
  <c r="H305" i="4"/>
  <c r="H306" i="4"/>
  <c r="H307" i="4"/>
  <c r="H308" i="4"/>
  <c r="H309" i="4"/>
  <c r="H299" i="4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461" i="6"/>
  <c r="J462" i="6"/>
  <c r="J463" i="6"/>
  <c r="J464" i="6"/>
  <c r="J465" i="6"/>
  <c r="J451" i="6"/>
  <c r="J457" i="6"/>
  <c r="J458" i="6"/>
  <c r="J434" i="6"/>
  <c r="J435" i="6"/>
  <c r="J422" i="6"/>
  <c r="J423" i="6"/>
  <c r="J424" i="6"/>
  <c r="J425" i="6"/>
  <c r="J426" i="6"/>
  <c r="J427" i="6"/>
  <c r="J428" i="6"/>
  <c r="J429" i="6"/>
  <c r="J430" i="6"/>
  <c r="J431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J447" i="5"/>
  <c r="J448" i="5"/>
  <c r="J449" i="5"/>
  <c r="J450" i="5"/>
  <c r="J451" i="5"/>
  <c r="J452" i="5"/>
  <c r="J453" i="5"/>
  <c r="J454" i="5"/>
  <c r="J455" i="5"/>
  <c r="J456" i="5"/>
  <c r="J457" i="5"/>
  <c r="J458" i="5"/>
  <c r="J434" i="5"/>
  <c r="J435" i="5"/>
  <c r="J436" i="5"/>
  <c r="J437" i="5"/>
  <c r="J438" i="5"/>
  <c r="J439" i="5"/>
  <c r="J440" i="5"/>
  <c r="J441" i="5"/>
  <c r="J442" i="5"/>
  <c r="J443" i="5"/>
  <c r="J444" i="5"/>
  <c r="J445" i="5"/>
  <c r="J420" i="5"/>
  <c r="J421" i="5"/>
  <c r="J422" i="5"/>
  <c r="J423" i="5"/>
  <c r="J424" i="5"/>
  <c r="J425" i="5"/>
  <c r="J426" i="5"/>
  <c r="J427" i="5"/>
  <c r="J428" i="5"/>
  <c r="J429" i="5"/>
  <c r="J430" i="5"/>
  <c r="J431" i="5"/>
  <c r="J407" i="5"/>
  <c r="J408" i="5"/>
  <c r="J409" i="5"/>
  <c r="J410" i="5"/>
  <c r="J411" i="5"/>
  <c r="J412" i="5"/>
  <c r="J413" i="5"/>
  <c r="J414" i="5"/>
  <c r="J415" i="5"/>
  <c r="J416" i="5"/>
  <c r="J417" i="5"/>
  <c r="J418" i="5"/>
  <c r="J825" i="4"/>
  <c r="J826" i="4"/>
  <c r="J827" i="4"/>
  <c r="J828" i="4"/>
  <c r="J829" i="4"/>
  <c r="J830" i="4"/>
  <c r="J831" i="4"/>
  <c r="J832" i="4"/>
  <c r="J833" i="4"/>
  <c r="J834" i="4"/>
  <c r="J835" i="4"/>
  <c r="J836" i="4"/>
  <c r="J812" i="4"/>
  <c r="J813" i="4"/>
  <c r="J814" i="4"/>
  <c r="J815" i="4"/>
  <c r="J816" i="4"/>
  <c r="J817" i="4"/>
  <c r="J818" i="4"/>
  <c r="J819" i="4"/>
  <c r="J820" i="4"/>
  <c r="J821" i="4"/>
  <c r="J822" i="4"/>
  <c r="J823" i="4"/>
  <c r="J798" i="4"/>
  <c r="J799" i="4"/>
  <c r="J800" i="4"/>
  <c r="J801" i="4"/>
  <c r="J802" i="4"/>
  <c r="J803" i="4"/>
  <c r="J804" i="4"/>
  <c r="J805" i="4"/>
  <c r="J806" i="4"/>
  <c r="J807" i="4"/>
  <c r="J808" i="4"/>
  <c r="J809" i="4"/>
  <c r="J785" i="4"/>
  <c r="J786" i="4"/>
  <c r="J787" i="4"/>
  <c r="J788" i="4"/>
  <c r="J789" i="4"/>
  <c r="J790" i="4"/>
  <c r="J791" i="4"/>
  <c r="J792" i="4"/>
  <c r="J793" i="4"/>
  <c r="J794" i="4"/>
  <c r="J795" i="4"/>
  <c r="J796" i="4"/>
  <c r="J771" i="4"/>
  <c r="J772" i="4"/>
  <c r="J773" i="4"/>
  <c r="J774" i="4"/>
  <c r="J775" i="4"/>
  <c r="J776" i="4"/>
  <c r="J777" i="4"/>
  <c r="J778" i="4"/>
  <c r="J779" i="4"/>
  <c r="J780" i="4"/>
  <c r="J781" i="4"/>
  <c r="J782" i="4"/>
  <c r="J758" i="4"/>
  <c r="J759" i="4"/>
  <c r="J760" i="4"/>
  <c r="J761" i="4"/>
  <c r="J762" i="4"/>
  <c r="J763" i="4"/>
  <c r="J764" i="4"/>
  <c r="J765" i="4"/>
  <c r="J766" i="4"/>
  <c r="J767" i="4"/>
  <c r="J768" i="4"/>
  <c r="J769" i="4"/>
  <c r="J744" i="4"/>
  <c r="J745" i="4"/>
  <c r="J746" i="4"/>
  <c r="J747" i="4"/>
  <c r="J748" i="4"/>
  <c r="J749" i="4"/>
  <c r="J750" i="4"/>
  <c r="J751" i="4"/>
  <c r="J752" i="4"/>
  <c r="J753" i="4"/>
  <c r="J754" i="4"/>
  <c r="J755" i="4"/>
  <c r="J731" i="4"/>
  <c r="J732" i="4"/>
  <c r="J733" i="4"/>
  <c r="J734" i="4"/>
  <c r="J735" i="4"/>
  <c r="J736" i="4"/>
  <c r="J737" i="4"/>
  <c r="J738" i="4"/>
  <c r="J739" i="4"/>
  <c r="J740" i="4"/>
  <c r="J741" i="4"/>
  <c r="J742" i="4"/>
  <c r="J717" i="4"/>
  <c r="J718" i="4"/>
  <c r="J719" i="4"/>
  <c r="J720" i="4"/>
  <c r="J721" i="4"/>
  <c r="J722" i="4"/>
  <c r="J723" i="4"/>
  <c r="J724" i="4"/>
  <c r="J725" i="4"/>
  <c r="J726" i="4"/>
  <c r="J727" i="4"/>
  <c r="J728" i="4"/>
  <c r="J704" i="4"/>
  <c r="J705" i="4"/>
  <c r="J706" i="4"/>
  <c r="J707" i="4"/>
  <c r="J708" i="4"/>
  <c r="J709" i="4"/>
  <c r="J710" i="4"/>
  <c r="J711" i="4"/>
  <c r="J712" i="4"/>
  <c r="J713" i="4"/>
  <c r="J714" i="4"/>
  <c r="J715" i="4"/>
  <c r="J690" i="4"/>
  <c r="J691" i="4"/>
  <c r="J692" i="4"/>
  <c r="J693" i="4"/>
  <c r="J694" i="4"/>
  <c r="J695" i="4"/>
  <c r="J696" i="4"/>
  <c r="J697" i="4"/>
  <c r="J698" i="4"/>
  <c r="J699" i="4"/>
  <c r="J700" i="4"/>
  <c r="J701" i="4"/>
  <c r="J677" i="4"/>
  <c r="J678" i="4"/>
  <c r="J679" i="4"/>
  <c r="J680" i="4"/>
  <c r="J681" i="4"/>
  <c r="J682" i="4"/>
  <c r="J683" i="4"/>
  <c r="J684" i="4"/>
  <c r="J685" i="4"/>
  <c r="J686" i="4"/>
  <c r="J687" i="4"/>
  <c r="J688" i="4"/>
  <c r="J663" i="4"/>
  <c r="J664" i="4"/>
  <c r="J665" i="4"/>
  <c r="J666" i="4"/>
  <c r="J667" i="4"/>
  <c r="J668" i="4"/>
  <c r="J669" i="4"/>
  <c r="J670" i="4"/>
  <c r="J671" i="4"/>
  <c r="J672" i="4"/>
  <c r="J673" i="4"/>
  <c r="J674" i="4"/>
  <c r="J650" i="4"/>
  <c r="J651" i="4"/>
  <c r="J652" i="4"/>
  <c r="J653" i="4"/>
  <c r="J654" i="4"/>
  <c r="J655" i="4"/>
  <c r="J656" i="4"/>
  <c r="J657" i="4"/>
  <c r="J658" i="4"/>
  <c r="J659" i="4"/>
  <c r="J660" i="4"/>
  <c r="J661" i="4"/>
  <c r="J636" i="4"/>
  <c r="J637" i="4"/>
  <c r="J638" i="4"/>
  <c r="J639" i="4"/>
  <c r="J640" i="4"/>
  <c r="J641" i="4"/>
  <c r="J642" i="4"/>
  <c r="J643" i="4"/>
  <c r="J644" i="4"/>
  <c r="J645" i="4"/>
  <c r="J646" i="4"/>
  <c r="J647" i="4"/>
  <c r="J623" i="4"/>
  <c r="J624" i="4"/>
  <c r="J625" i="4"/>
  <c r="J626" i="4"/>
  <c r="J627" i="4"/>
  <c r="J628" i="4"/>
  <c r="J629" i="4"/>
  <c r="J630" i="4"/>
  <c r="J631" i="4"/>
  <c r="J632" i="4"/>
  <c r="J633" i="4"/>
  <c r="J634" i="4"/>
  <c r="J609" i="4"/>
  <c r="J610" i="4"/>
  <c r="J611" i="4"/>
  <c r="J612" i="4"/>
  <c r="J613" i="4"/>
  <c r="J614" i="4"/>
  <c r="J615" i="4"/>
  <c r="J616" i="4"/>
  <c r="J617" i="4"/>
  <c r="J618" i="4"/>
  <c r="J619" i="4"/>
  <c r="J620" i="4"/>
  <c r="J596" i="4"/>
  <c r="J597" i="4"/>
  <c r="J598" i="4"/>
  <c r="J599" i="4"/>
  <c r="J600" i="4"/>
  <c r="J601" i="4"/>
  <c r="J602" i="4"/>
  <c r="J603" i="4"/>
  <c r="J604" i="4"/>
  <c r="J605" i="4"/>
  <c r="J606" i="4"/>
  <c r="J607" i="4"/>
  <c r="J582" i="4"/>
  <c r="J583" i="4"/>
  <c r="J584" i="4"/>
  <c r="J585" i="4"/>
  <c r="J586" i="4"/>
  <c r="J587" i="4"/>
  <c r="J588" i="4"/>
  <c r="J589" i="4"/>
  <c r="J590" i="4"/>
  <c r="J591" i="4"/>
  <c r="J592" i="4"/>
  <c r="J593" i="4"/>
  <c r="J569" i="4"/>
  <c r="J570" i="4"/>
  <c r="J571" i="4"/>
  <c r="J572" i="4"/>
  <c r="J573" i="4"/>
  <c r="J574" i="4"/>
  <c r="J575" i="4"/>
  <c r="J576" i="4"/>
  <c r="J577" i="4"/>
  <c r="J578" i="4"/>
  <c r="J579" i="4"/>
  <c r="J580" i="4"/>
  <c r="J555" i="4"/>
  <c r="J556" i="4"/>
  <c r="J557" i="4"/>
  <c r="J558" i="4"/>
  <c r="J559" i="4"/>
  <c r="J560" i="4"/>
  <c r="J561" i="4"/>
  <c r="J562" i="4"/>
  <c r="J563" i="4"/>
  <c r="J564" i="4"/>
  <c r="J565" i="4"/>
  <c r="J566" i="4"/>
  <c r="J542" i="4"/>
  <c r="J543" i="4"/>
  <c r="J544" i="4"/>
  <c r="J545" i="4"/>
  <c r="J546" i="4"/>
  <c r="J547" i="4"/>
  <c r="J548" i="4"/>
  <c r="J549" i="4"/>
  <c r="J550" i="4"/>
  <c r="J551" i="4"/>
  <c r="J552" i="4"/>
  <c r="J553" i="4"/>
  <c r="J528" i="4"/>
  <c r="J529" i="4"/>
  <c r="J530" i="4"/>
  <c r="J531" i="4"/>
  <c r="J532" i="4"/>
  <c r="J533" i="4"/>
  <c r="J534" i="4"/>
  <c r="J535" i="4"/>
  <c r="J536" i="4"/>
  <c r="J537" i="4"/>
  <c r="J538" i="4"/>
  <c r="J539" i="4"/>
  <c r="J515" i="4"/>
  <c r="J516" i="4"/>
  <c r="J517" i="4"/>
  <c r="J518" i="4"/>
  <c r="J519" i="4"/>
  <c r="J520" i="4"/>
  <c r="J521" i="4"/>
  <c r="J522" i="4"/>
  <c r="J523" i="4"/>
  <c r="J524" i="4"/>
  <c r="J525" i="4"/>
  <c r="J526" i="4"/>
  <c r="J501" i="4"/>
  <c r="J502" i="4"/>
  <c r="J503" i="4"/>
  <c r="J504" i="4"/>
  <c r="J505" i="4"/>
  <c r="J506" i="4"/>
  <c r="J507" i="4"/>
  <c r="J508" i="4"/>
  <c r="J509" i="4"/>
  <c r="J510" i="4"/>
  <c r="J511" i="4"/>
  <c r="J512" i="4"/>
  <c r="J488" i="4"/>
  <c r="J489" i="4"/>
  <c r="J490" i="4"/>
  <c r="J491" i="4"/>
  <c r="J492" i="4"/>
  <c r="J493" i="4"/>
  <c r="J494" i="4"/>
  <c r="J495" i="4"/>
  <c r="J496" i="4"/>
  <c r="J497" i="4"/>
  <c r="J498" i="4"/>
  <c r="J499" i="4"/>
  <c r="J474" i="4"/>
  <c r="J475" i="4"/>
  <c r="J476" i="4"/>
  <c r="J477" i="4"/>
  <c r="J478" i="4"/>
  <c r="J479" i="4"/>
  <c r="J480" i="4"/>
  <c r="J481" i="4"/>
  <c r="J482" i="4"/>
  <c r="J483" i="4"/>
  <c r="J484" i="4"/>
  <c r="J485" i="4"/>
  <c r="J461" i="4"/>
  <c r="J462" i="4"/>
  <c r="J463" i="4"/>
  <c r="J464" i="4"/>
  <c r="J465" i="4"/>
  <c r="J466" i="4"/>
  <c r="J467" i="4"/>
  <c r="J468" i="4"/>
  <c r="J469" i="4"/>
  <c r="J470" i="4"/>
  <c r="J471" i="4"/>
  <c r="J472" i="4"/>
  <c r="J447" i="4"/>
  <c r="J448" i="4"/>
  <c r="J449" i="4"/>
  <c r="J450" i="4"/>
  <c r="J451" i="4"/>
  <c r="J452" i="4"/>
  <c r="J453" i="4"/>
  <c r="J454" i="4"/>
  <c r="J455" i="4"/>
  <c r="J456" i="4"/>
  <c r="J457" i="4"/>
  <c r="J458" i="4"/>
  <c r="J434" i="4"/>
  <c r="J435" i="4"/>
  <c r="J436" i="4"/>
  <c r="J437" i="4"/>
  <c r="J438" i="4"/>
  <c r="J439" i="4"/>
  <c r="J440" i="4"/>
  <c r="J441" i="4"/>
  <c r="J442" i="4"/>
  <c r="J443" i="4"/>
  <c r="J444" i="4"/>
  <c r="J445" i="4"/>
  <c r="J420" i="4"/>
  <c r="J421" i="4"/>
  <c r="J422" i="4"/>
  <c r="J423" i="4"/>
  <c r="J424" i="4"/>
  <c r="J425" i="4"/>
  <c r="J426" i="4"/>
  <c r="J427" i="4"/>
  <c r="J428" i="4"/>
  <c r="J429" i="4"/>
  <c r="J430" i="4"/>
  <c r="J431" i="4"/>
  <c r="J407" i="4"/>
  <c r="J408" i="4"/>
  <c r="J409" i="4"/>
  <c r="J410" i="4"/>
  <c r="J411" i="4"/>
  <c r="J412" i="4"/>
  <c r="J413" i="4"/>
  <c r="J414" i="4"/>
  <c r="J415" i="4"/>
  <c r="J416" i="4"/>
  <c r="J417" i="4"/>
  <c r="J418" i="4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61" i="6"/>
  <c r="H462" i="6"/>
  <c r="H463" i="6"/>
  <c r="H464" i="6"/>
  <c r="H465" i="6"/>
  <c r="H466" i="6"/>
  <c r="J466" i="6" s="1"/>
  <c r="H467" i="6"/>
  <c r="J467" i="6" s="1"/>
  <c r="H468" i="6"/>
  <c r="J468" i="6" s="1"/>
  <c r="H469" i="6"/>
  <c r="J469" i="6" s="1"/>
  <c r="H470" i="6"/>
  <c r="J470" i="6" s="1"/>
  <c r="H471" i="6"/>
  <c r="J471" i="6" s="1"/>
  <c r="H472" i="6"/>
  <c r="J472" i="6" s="1"/>
  <c r="H447" i="6"/>
  <c r="J447" i="6" s="1"/>
  <c r="H448" i="6"/>
  <c r="J448" i="6" s="1"/>
  <c r="H449" i="6"/>
  <c r="J449" i="6" s="1"/>
  <c r="H450" i="6"/>
  <c r="J450" i="6" s="1"/>
  <c r="H451" i="6"/>
  <c r="H452" i="6"/>
  <c r="J452" i="6" s="1"/>
  <c r="H453" i="6"/>
  <c r="J453" i="6" s="1"/>
  <c r="H454" i="6"/>
  <c r="J454" i="6" s="1"/>
  <c r="H455" i="6"/>
  <c r="J455" i="6" s="1"/>
  <c r="H456" i="6"/>
  <c r="J456" i="6" s="1"/>
  <c r="H457" i="6"/>
  <c r="H458" i="6"/>
  <c r="H434" i="6"/>
  <c r="H435" i="6"/>
  <c r="H436" i="6"/>
  <c r="J436" i="6" s="1"/>
  <c r="H437" i="6"/>
  <c r="J437" i="6" s="1"/>
  <c r="H438" i="6"/>
  <c r="J438" i="6" s="1"/>
  <c r="H439" i="6"/>
  <c r="J439" i="6" s="1"/>
  <c r="H440" i="6"/>
  <c r="J440" i="6" s="1"/>
  <c r="H441" i="6"/>
  <c r="J441" i="6" s="1"/>
  <c r="H442" i="6"/>
  <c r="J442" i="6" s="1"/>
  <c r="H443" i="6"/>
  <c r="J443" i="6" s="1"/>
  <c r="H444" i="6"/>
  <c r="J444" i="6" s="1"/>
  <c r="H445" i="6"/>
  <c r="J445" i="6" s="1"/>
  <c r="H420" i="6"/>
  <c r="J420" i="6" s="1"/>
  <c r="H421" i="6"/>
  <c r="J421" i="6" s="1"/>
  <c r="H422" i="6"/>
  <c r="H423" i="6"/>
  <c r="H424" i="6"/>
  <c r="H425" i="6"/>
  <c r="H426" i="6"/>
  <c r="H427" i="6"/>
  <c r="H428" i="6"/>
  <c r="H429" i="6"/>
  <c r="H430" i="6"/>
  <c r="H431" i="6"/>
  <c r="H407" i="6"/>
  <c r="J407" i="6" s="1"/>
  <c r="H408" i="6"/>
  <c r="J408" i="6" s="1"/>
  <c r="H409" i="6"/>
  <c r="J409" i="6" s="1"/>
  <c r="H410" i="6"/>
  <c r="J410" i="6" s="1"/>
  <c r="H411" i="6"/>
  <c r="J411" i="6" s="1"/>
  <c r="H412" i="6"/>
  <c r="J412" i="6" s="1"/>
  <c r="H413" i="6"/>
  <c r="J413" i="6" s="1"/>
  <c r="H414" i="6"/>
  <c r="J414" i="6" s="1"/>
  <c r="H415" i="6"/>
  <c r="J415" i="6" s="1"/>
  <c r="H416" i="6"/>
  <c r="J416" i="6" s="1"/>
  <c r="H417" i="6"/>
  <c r="J417" i="6" s="1"/>
  <c r="H418" i="6"/>
  <c r="J418" i="6" s="1"/>
  <c r="H395" i="6"/>
  <c r="J395" i="6" s="1"/>
  <c r="H396" i="6"/>
  <c r="J396" i="6" s="1"/>
  <c r="H397" i="6"/>
  <c r="J397" i="6" s="1"/>
  <c r="H398" i="6"/>
  <c r="J398" i="6" s="1"/>
  <c r="H399" i="6"/>
  <c r="J399" i="6" s="1"/>
  <c r="H400" i="6"/>
  <c r="J400" i="6" s="1"/>
  <c r="H401" i="6"/>
  <c r="J401" i="6" s="1"/>
  <c r="H402" i="6"/>
  <c r="J402" i="6" s="1"/>
  <c r="H403" i="6"/>
  <c r="J403" i="6" s="1"/>
  <c r="H404" i="6"/>
  <c r="J404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395" i="5"/>
  <c r="J395" i="5" s="1"/>
  <c r="H396" i="5"/>
  <c r="J396" i="5" s="1"/>
  <c r="H397" i="5"/>
  <c r="J397" i="5" s="1"/>
  <c r="H398" i="5"/>
  <c r="J398" i="5" s="1"/>
  <c r="H399" i="5"/>
  <c r="J399" i="5" s="1"/>
  <c r="H400" i="5"/>
  <c r="J400" i="5" s="1"/>
  <c r="H401" i="5"/>
  <c r="J401" i="5" s="1"/>
  <c r="H402" i="5"/>
  <c r="J402" i="5" s="1"/>
  <c r="H403" i="5"/>
  <c r="J403" i="5" s="1"/>
  <c r="H404" i="5"/>
  <c r="J404" i="5" s="1"/>
  <c r="H825" i="4"/>
  <c r="H826" i="4"/>
  <c r="H827" i="4"/>
  <c r="H828" i="4"/>
  <c r="H829" i="4"/>
  <c r="H830" i="4"/>
  <c r="H831" i="4"/>
  <c r="H832" i="4"/>
  <c r="H833" i="4"/>
  <c r="H834" i="4"/>
  <c r="H835" i="4"/>
  <c r="H836" i="4"/>
  <c r="H812" i="4"/>
  <c r="H813" i="4"/>
  <c r="H814" i="4"/>
  <c r="H815" i="4"/>
  <c r="H816" i="4"/>
  <c r="H817" i="4"/>
  <c r="H818" i="4"/>
  <c r="H819" i="4"/>
  <c r="H820" i="4"/>
  <c r="H821" i="4"/>
  <c r="H822" i="4"/>
  <c r="H823" i="4"/>
  <c r="H798" i="4"/>
  <c r="H799" i="4"/>
  <c r="H800" i="4"/>
  <c r="H801" i="4"/>
  <c r="H802" i="4"/>
  <c r="H803" i="4"/>
  <c r="H804" i="4"/>
  <c r="H805" i="4"/>
  <c r="H806" i="4"/>
  <c r="H807" i="4"/>
  <c r="H808" i="4"/>
  <c r="H809" i="4"/>
  <c r="H785" i="4"/>
  <c r="H786" i="4"/>
  <c r="H787" i="4"/>
  <c r="H788" i="4"/>
  <c r="H789" i="4"/>
  <c r="H790" i="4"/>
  <c r="H791" i="4"/>
  <c r="H792" i="4"/>
  <c r="H793" i="4"/>
  <c r="H794" i="4"/>
  <c r="H795" i="4"/>
  <c r="H796" i="4"/>
  <c r="H771" i="4"/>
  <c r="H772" i="4"/>
  <c r="H773" i="4"/>
  <c r="H774" i="4"/>
  <c r="H775" i="4"/>
  <c r="H776" i="4"/>
  <c r="H777" i="4"/>
  <c r="H778" i="4"/>
  <c r="H779" i="4"/>
  <c r="H780" i="4"/>
  <c r="H781" i="4"/>
  <c r="H782" i="4"/>
  <c r="H758" i="4"/>
  <c r="H759" i="4"/>
  <c r="H760" i="4"/>
  <c r="H761" i="4"/>
  <c r="H762" i="4"/>
  <c r="H763" i="4"/>
  <c r="H764" i="4"/>
  <c r="H765" i="4"/>
  <c r="H766" i="4"/>
  <c r="H767" i="4"/>
  <c r="H768" i="4"/>
  <c r="H769" i="4"/>
  <c r="H744" i="4"/>
  <c r="H745" i="4"/>
  <c r="H746" i="4"/>
  <c r="H747" i="4"/>
  <c r="H748" i="4"/>
  <c r="H749" i="4"/>
  <c r="H750" i="4"/>
  <c r="H751" i="4"/>
  <c r="H752" i="4"/>
  <c r="H753" i="4"/>
  <c r="H754" i="4"/>
  <c r="H755" i="4"/>
  <c r="H731" i="4"/>
  <c r="H732" i="4"/>
  <c r="H733" i="4"/>
  <c r="H734" i="4"/>
  <c r="H735" i="4"/>
  <c r="H736" i="4"/>
  <c r="H737" i="4"/>
  <c r="H738" i="4"/>
  <c r="H739" i="4"/>
  <c r="H740" i="4"/>
  <c r="H741" i="4"/>
  <c r="H742" i="4"/>
  <c r="H717" i="4"/>
  <c r="H718" i="4"/>
  <c r="H719" i="4"/>
  <c r="H720" i="4"/>
  <c r="H721" i="4"/>
  <c r="H722" i="4"/>
  <c r="H723" i="4"/>
  <c r="H724" i="4"/>
  <c r="H725" i="4"/>
  <c r="H726" i="4"/>
  <c r="H727" i="4"/>
  <c r="H728" i="4"/>
  <c r="H704" i="4"/>
  <c r="H705" i="4"/>
  <c r="H706" i="4"/>
  <c r="H707" i="4"/>
  <c r="H708" i="4"/>
  <c r="H709" i="4"/>
  <c r="H710" i="4"/>
  <c r="H711" i="4"/>
  <c r="H712" i="4"/>
  <c r="H713" i="4"/>
  <c r="H714" i="4"/>
  <c r="H715" i="4"/>
  <c r="H690" i="4"/>
  <c r="H691" i="4"/>
  <c r="H692" i="4"/>
  <c r="H693" i="4"/>
  <c r="H694" i="4"/>
  <c r="H695" i="4"/>
  <c r="H696" i="4"/>
  <c r="H697" i="4"/>
  <c r="H698" i="4"/>
  <c r="H699" i="4"/>
  <c r="H700" i="4"/>
  <c r="H701" i="4"/>
  <c r="H677" i="4"/>
  <c r="H678" i="4"/>
  <c r="H679" i="4"/>
  <c r="H680" i="4"/>
  <c r="H681" i="4"/>
  <c r="H682" i="4"/>
  <c r="H683" i="4"/>
  <c r="H684" i="4"/>
  <c r="H685" i="4"/>
  <c r="H686" i="4"/>
  <c r="H687" i="4"/>
  <c r="H688" i="4"/>
  <c r="H663" i="4"/>
  <c r="H664" i="4"/>
  <c r="H665" i="4"/>
  <c r="H666" i="4"/>
  <c r="H667" i="4"/>
  <c r="H668" i="4"/>
  <c r="H669" i="4"/>
  <c r="H670" i="4"/>
  <c r="H671" i="4"/>
  <c r="H672" i="4"/>
  <c r="H673" i="4"/>
  <c r="H674" i="4"/>
  <c r="H650" i="4"/>
  <c r="H651" i="4"/>
  <c r="H652" i="4"/>
  <c r="H653" i="4"/>
  <c r="H654" i="4"/>
  <c r="H655" i="4"/>
  <c r="H656" i="4"/>
  <c r="H657" i="4"/>
  <c r="H658" i="4"/>
  <c r="H659" i="4"/>
  <c r="H660" i="4"/>
  <c r="H661" i="4"/>
  <c r="H636" i="4"/>
  <c r="H637" i="4"/>
  <c r="H638" i="4"/>
  <c r="H639" i="4"/>
  <c r="H640" i="4"/>
  <c r="H641" i="4"/>
  <c r="H642" i="4"/>
  <c r="H643" i="4"/>
  <c r="H644" i="4"/>
  <c r="H645" i="4"/>
  <c r="H646" i="4"/>
  <c r="H647" i="4"/>
  <c r="H623" i="4"/>
  <c r="H624" i="4"/>
  <c r="H625" i="4"/>
  <c r="H626" i="4"/>
  <c r="H627" i="4"/>
  <c r="H628" i="4"/>
  <c r="H629" i="4"/>
  <c r="H630" i="4"/>
  <c r="H631" i="4"/>
  <c r="H632" i="4"/>
  <c r="H633" i="4"/>
  <c r="H634" i="4"/>
  <c r="H609" i="4"/>
  <c r="H610" i="4"/>
  <c r="H611" i="4"/>
  <c r="H612" i="4"/>
  <c r="H613" i="4"/>
  <c r="H614" i="4"/>
  <c r="H615" i="4"/>
  <c r="H616" i="4"/>
  <c r="H617" i="4"/>
  <c r="H618" i="4"/>
  <c r="H619" i="4"/>
  <c r="H620" i="4"/>
  <c r="H596" i="4"/>
  <c r="H597" i="4"/>
  <c r="H598" i="4"/>
  <c r="H599" i="4"/>
  <c r="H600" i="4"/>
  <c r="H601" i="4"/>
  <c r="H602" i="4"/>
  <c r="H603" i="4"/>
  <c r="H604" i="4"/>
  <c r="H605" i="4"/>
  <c r="H606" i="4"/>
  <c r="H607" i="4"/>
  <c r="H582" i="4"/>
  <c r="H583" i="4"/>
  <c r="H584" i="4"/>
  <c r="H585" i="4"/>
  <c r="H586" i="4"/>
  <c r="H587" i="4"/>
  <c r="H588" i="4"/>
  <c r="H589" i="4"/>
  <c r="H590" i="4"/>
  <c r="H591" i="4"/>
  <c r="H592" i="4"/>
  <c r="H593" i="4"/>
  <c r="H569" i="4"/>
  <c r="H570" i="4"/>
  <c r="H571" i="4"/>
  <c r="H572" i="4"/>
  <c r="H573" i="4"/>
  <c r="H574" i="4"/>
  <c r="H575" i="4"/>
  <c r="H576" i="4"/>
  <c r="H577" i="4"/>
  <c r="H578" i="4"/>
  <c r="H579" i="4"/>
  <c r="H580" i="4"/>
  <c r="H555" i="4"/>
  <c r="H556" i="4"/>
  <c r="H557" i="4"/>
  <c r="H558" i="4"/>
  <c r="H559" i="4"/>
  <c r="H560" i="4"/>
  <c r="H561" i="4"/>
  <c r="H562" i="4"/>
  <c r="H563" i="4"/>
  <c r="H564" i="4"/>
  <c r="H565" i="4"/>
  <c r="H566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488" i="4"/>
  <c r="H489" i="4"/>
  <c r="H490" i="4"/>
  <c r="H491" i="4"/>
  <c r="H492" i="4"/>
  <c r="H493" i="4"/>
  <c r="H494" i="4"/>
  <c r="H495" i="4"/>
  <c r="H496" i="4"/>
  <c r="H497" i="4"/>
  <c r="H498" i="4"/>
  <c r="H499" i="4"/>
  <c r="H474" i="4"/>
  <c r="H475" i="4"/>
  <c r="H476" i="4"/>
  <c r="H477" i="4"/>
  <c r="H478" i="4"/>
  <c r="H479" i="4"/>
  <c r="H480" i="4"/>
  <c r="H481" i="4"/>
  <c r="H482" i="4"/>
  <c r="H483" i="4"/>
  <c r="H484" i="4"/>
  <c r="H485" i="4"/>
  <c r="H461" i="4"/>
  <c r="H462" i="4"/>
  <c r="H463" i="4"/>
  <c r="H464" i="4"/>
  <c r="H465" i="4"/>
  <c r="H466" i="4"/>
  <c r="H467" i="4"/>
  <c r="H468" i="4"/>
  <c r="H469" i="4"/>
  <c r="H470" i="4"/>
  <c r="H471" i="4"/>
  <c r="H472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34" i="4"/>
  <c r="H435" i="4"/>
  <c r="H436" i="4"/>
  <c r="H437" i="4"/>
  <c r="H438" i="4"/>
  <c r="H439" i="4"/>
  <c r="H440" i="4"/>
  <c r="H441" i="4"/>
  <c r="H442" i="4"/>
  <c r="H443" i="4"/>
  <c r="H444" i="4"/>
  <c r="H445" i="4"/>
  <c r="H420" i="4"/>
  <c r="H421" i="4"/>
  <c r="H422" i="4"/>
  <c r="H423" i="4"/>
  <c r="H424" i="4"/>
  <c r="H425" i="4"/>
  <c r="H426" i="4"/>
  <c r="H427" i="4"/>
  <c r="H428" i="4"/>
  <c r="H429" i="4"/>
  <c r="H430" i="4"/>
  <c r="H431" i="4"/>
  <c r="H407" i="4"/>
  <c r="H408" i="4"/>
  <c r="H409" i="4"/>
  <c r="H410" i="4"/>
  <c r="H411" i="4"/>
  <c r="H412" i="4"/>
  <c r="H413" i="4"/>
  <c r="H414" i="4"/>
  <c r="H415" i="4"/>
  <c r="H416" i="4"/>
  <c r="H417" i="4"/>
  <c r="H418" i="4"/>
  <c r="H395" i="4"/>
  <c r="J395" i="4" s="1"/>
  <c r="H396" i="4"/>
  <c r="J396" i="4" s="1"/>
  <c r="H397" i="4"/>
  <c r="J397" i="4" s="1"/>
  <c r="H398" i="4"/>
  <c r="J398" i="4" s="1"/>
  <c r="H399" i="4"/>
  <c r="J399" i="4" s="1"/>
  <c r="H400" i="4"/>
  <c r="J400" i="4" s="1"/>
  <c r="H401" i="4"/>
  <c r="J401" i="4" s="1"/>
  <c r="H402" i="4"/>
  <c r="J402" i="4" s="1"/>
  <c r="H403" i="4"/>
  <c r="J403" i="4" s="1"/>
  <c r="H404" i="4"/>
  <c r="J404" i="4" s="1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J312" i="4" s="1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J306" i="4" s="1"/>
  <c r="F307" i="4"/>
  <c r="J307" i="4" s="1"/>
  <c r="F308" i="4"/>
  <c r="J308" i="4" s="1"/>
  <c r="F309" i="4"/>
  <c r="J309" i="4" s="1"/>
  <c r="F310" i="4"/>
  <c r="J310" i="4" s="1"/>
  <c r="J648" i="6" l="1"/>
  <c r="T648" i="6" s="1"/>
  <c r="J621" i="5"/>
  <c r="T621" i="5" s="1"/>
  <c r="J621" i="4"/>
  <c r="T621" i="4" s="1"/>
  <c r="J756" i="5"/>
  <c r="T756" i="5" s="1"/>
  <c r="J729" i="6"/>
  <c r="T729" i="6" s="1"/>
  <c r="J648" i="5"/>
  <c r="T648" i="5" s="1"/>
  <c r="J554" i="5"/>
  <c r="T554" i="5" s="1"/>
  <c r="J635" i="5"/>
  <c r="T635" i="5" s="1"/>
  <c r="J797" i="5"/>
  <c r="T797" i="5" s="1"/>
  <c r="J419" i="4"/>
  <c r="T419" i="4" s="1"/>
  <c r="J729" i="4"/>
  <c r="T729" i="4" s="1"/>
  <c r="J621" i="6"/>
  <c r="T621" i="6" s="1"/>
  <c r="J743" i="4"/>
  <c r="T743" i="4" s="1"/>
  <c r="J756" i="4"/>
  <c r="T756" i="4" s="1"/>
  <c r="J581" i="4"/>
  <c r="T581" i="4" s="1"/>
  <c r="J554" i="4"/>
  <c r="T554" i="4" s="1"/>
  <c r="J648" i="4"/>
  <c r="T648" i="4" s="1"/>
  <c r="J702" i="4"/>
  <c r="T702" i="4" s="1"/>
  <c r="J554" i="6"/>
  <c r="T554" i="6" s="1"/>
  <c r="J702" i="6"/>
  <c r="J594" i="5"/>
  <c r="T594" i="5" s="1"/>
  <c r="J446" i="4"/>
  <c r="T446" i="4" s="1"/>
  <c r="J500" i="5"/>
  <c r="T500" i="5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473" i="6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459" i="5"/>
  <c r="T459" i="5" s="1"/>
  <c r="J716" i="5"/>
  <c r="T716" i="5" s="1"/>
  <c r="J824" i="4"/>
  <c r="T824" i="4" s="1"/>
  <c r="J432" i="5"/>
  <c r="T432" i="5" s="1"/>
  <c r="J810" i="5"/>
  <c r="T810" i="5" s="1"/>
  <c r="J419" i="5"/>
  <c r="T419" i="5" s="1"/>
  <c r="J473" i="4"/>
  <c r="T473" i="4" s="1"/>
  <c r="J446" i="6"/>
  <c r="T446" i="6" s="1"/>
  <c r="J540" i="6"/>
  <c r="T540" i="6" s="1"/>
  <c r="J432" i="4"/>
  <c r="T432" i="4" s="1"/>
  <c r="J716" i="4"/>
  <c r="T716" i="4" s="1"/>
  <c r="J324" i="5"/>
  <c r="T324" i="5" s="1"/>
  <c r="J810" i="4"/>
  <c r="T810" i="4" s="1"/>
  <c r="J459" i="6"/>
  <c r="T459" i="6" s="1"/>
  <c r="J783" i="6"/>
  <c r="T783" i="6" s="1"/>
  <c r="J810" i="6"/>
  <c r="T810" i="6" s="1"/>
  <c r="J729" i="5"/>
  <c r="T729" i="5" s="1"/>
  <c r="J716" i="6"/>
  <c r="T716" i="6" s="1"/>
  <c r="J459" i="4"/>
  <c r="T459" i="4" s="1"/>
  <c r="J837" i="4"/>
  <c r="T837" i="4" s="1"/>
  <c r="J446" i="5"/>
  <c r="T446" i="5" s="1"/>
  <c r="J824" i="5"/>
  <c r="T824" i="5" s="1"/>
  <c r="J432" i="6"/>
  <c r="T432" i="6" s="1"/>
  <c r="J419" i="6"/>
  <c r="J486" i="4"/>
  <c r="T486" i="4" s="1"/>
  <c r="J473" i="5"/>
  <c r="T473" i="5" s="1"/>
  <c r="J567" i="5"/>
  <c r="T567" i="5" s="1"/>
  <c r="J837" i="6"/>
  <c r="T837" i="6" s="1"/>
  <c r="H459" i="6"/>
  <c r="H837" i="5"/>
  <c r="H527" i="5"/>
  <c r="H513" i="5"/>
  <c r="H527" i="4"/>
  <c r="H419" i="4"/>
  <c r="H621" i="4"/>
  <c r="H567" i="6"/>
  <c r="H446" i="6"/>
  <c r="H460" i="6" s="1"/>
  <c r="H608" i="6"/>
  <c r="H621" i="6"/>
  <c r="H770" i="6"/>
  <c r="H648" i="6"/>
  <c r="H756" i="6"/>
  <c r="H743" i="6"/>
  <c r="H757" i="6" s="1"/>
  <c r="H500" i="6"/>
  <c r="H594" i="6"/>
  <c r="H702" i="6"/>
  <c r="H581" i="6"/>
  <c r="H824" i="6"/>
  <c r="H716" i="6"/>
  <c r="H513" i="6"/>
  <c r="H635" i="6"/>
  <c r="H473" i="6"/>
  <c r="H729" i="6"/>
  <c r="H486" i="6"/>
  <c r="H810" i="6"/>
  <c r="H689" i="6"/>
  <c r="H837" i="6"/>
  <c r="H824" i="5"/>
  <c r="H838" i="5" s="1"/>
  <c r="H702" i="5"/>
  <c r="H594" i="5"/>
  <c r="H446" i="5"/>
  <c r="H473" i="5"/>
  <c r="H581" i="5"/>
  <c r="H621" i="5"/>
  <c r="H648" i="5"/>
  <c r="H459" i="5"/>
  <c r="H635" i="5"/>
  <c r="H689" i="5"/>
  <c r="H608" i="5"/>
  <c r="H486" i="5"/>
  <c r="H716" i="5"/>
  <c r="H756" i="5"/>
  <c r="H500" i="5"/>
  <c r="H514" i="5" s="1"/>
  <c r="H729" i="5"/>
  <c r="H743" i="5"/>
  <c r="H757" i="5" s="1"/>
  <c r="H824" i="4"/>
  <c r="H838" i="4" s="1"/>
  <c r="H716" i="4"/>
  <c r="H608" i="4"/>
  <c r="H622" i="4" s="1"/>
  <c r="H702" i="4"/>
  <c r="H837" i="4"/>
  <c r="H756" i="4"/>
  <c r="H743" i="4"/>
  <c r="H757" i="4" s="1"/>
  <c r="H486" i="4"/>
  <c r="H581" i="4"/>
  <c r="H595" i="4" s="1"/>
  <c r="H770" i="4"/>
  <c r="H635" i="4"/>
  <c r="H648" i="4"/>
  <c r="H729" i="4"/>
  <c r="H473" i="4"/>
  <c r="H487" i="4" s="1"/>
  <c r="H594" i="4"/>
  <c r="H500" i="4"/>
  <c r="H513" i="4"/>
  <c r="H540" i="4"/>
  <c r="H541" i="4" s="1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419" i="6"/>
  <c r="H567" i="4"/>
  <c r="H432" i="4"/>
  <c r="H433" i="4" s="1"/>
  <c r="H797" i="6"/>
  <c r="H432" i="6"/>
  <c r="H446" i="4"/>
  <c r="H675" i="4"/>
  <c r="H797" i="5"/>
  <c r="H324" i="5"/>
  <c r="H797" i="4"/>
  <c r="H432" i="5"/>
  <c r="H783" i="6"/>
  <c r="H675" i="6"/>
  <c r="H662" i="4"/>
  <c r="H783" i="5"/>
  <c r="H554" i="5"/>
  <c r="H459" i="4"/>
  <c r="H419" i="5"/>
  <c r="H540" i="6"/>
  <c r="H810" i="4"/>
  <c r="H689" i="4"/>
  <c r="H810" i="5"/>
  <c r="T270" i="5" l="1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622" i="4"/>
  <c r="T622" i="4" s="1"/>
  <c r="T608" i="4"/>
  <c r="J514" i="5"/>
  <c r="T514" i="5" s="1"/>
  <c r="T513" i="5"/>
  <c r="J487" i="6"/>
  <c r="T487" i="6" s="1"/>
  <c r="T473" i="6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433" i="6"/>
  <c r="T433" i="6" s="1"/>
  <c r="T419" i="6"/>
  <c r="J514" i="4"/>
  <c r="T514" i="4" s="1"/>
  <c r="T500" i="4"/>
  <c r="J784" i="6"/>
  <c r="T784" i="6" s="1"/>
  <c r="T770" i="6"/>
  <c r="J541" i="5"/>
  <c r="T541" i="5" s="1"/>
  <c r="J487" i="5"/>
  <c r="T487" i="5" s="1"/>
  <c r="J784" i="5"/>
  <c r="T784" i="5" s="1"/>
  <c r="J730" i="4"/>
  <c r="T730" i="4" s="1"/>
  <c r="J514" i="6"/>
  <c r="T514" i="6" s="1"/>
  <c r="J433" i="4"/>
  <c r="T433" i="4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433" i="5"/>
  <c r="T433" i="5" s="1"/>
  <c r="J811" i="4"/>
  <c r="T811" i="4" s="1"/>
  <c r="J649" i="5"/>
  <c r="T649" i="5" s="1"/>
  <c r="J622" i="6"/>
  <c r="T622" i="6" s="1"/>
  <c r="J568" i="5"/>
  <c r="T568" i="5" s="1"/>
  <c r="J649" i="6"/>
  <c r="T649" i="6" s="1"/>
  <c r="J703" i="5"/>
  <c r="T703" i="5" s="1"/>
  <c r="J460" i="4"/>
  <c r="T460" i="4" s="1"/>
  <c r="J703" i="4"/>
  <c r="T703" i="4" s="1"/>
  <c r="J649" i="4"/>
  <c r="T64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595" i="6"/>
  <c r="T595" i="6" s="1"/>
  <c r="J838" i="6"/>
  <c r="T838" i="6" s="1"/>
  <c r="J460" i="6"/>
  <c r="T460" i="6" s="1"/>
  <c r="J811" i="6"/>
  <c r="T811" i="6" s="1"/>
  <c r="J460" i="5"/>
  <c r="T460" i="5" s="1"/>
  <c r="J487" i="4"/>
  <c r="T487" i="4" s="1"/>
  <c r="H487" i="6"/>
  <c r="H784" i="6"/>
  <c r="H730" i="6"/>
  <c r="H838" i="6"/>
  <c r="H649" i="6"/>
  <c r="H703" i="6"/>
  <c r="H622" i="6"/>
  <c r="H811" i="6"/>
  <c r="H730" i="5"/>
  <c r="H784" i="5"/>
  <c r="H622" i="5"/>
  <c r="H703" i="5"/>
  <c r="H649" i="5"/>
  <c r="H595" i="5"/>
  <c r="H703" i="4"/>
  <c r="H568" i="4"/>
  <c r="H460" i="4"/>
  <c r="H514" i="6"/>
  <c r="H676" i="6"/>
  <c r="H433" i="5"/>
  <c r="H487" i="5"/>
  <c r="H676" i="5"/>
  <c r="H460" i="5"/>
  <c r="H649" i="4"/>
  <c r="H730" i="4"/>
  <c r="H514" i="4"/>
  <c r="H811" i="5"/>
  <c r="H568" i="5"/>
  <c r="H676" i="4"/>
  <c r="H433" i="6"/>
  <c r="H541" i="6"/>
  <c r="H811" i="4"/>
  <c r="H31" i="1" l="1"/>
  <c r="J31" i="1" s="1"/>
  <c r="H33" i="1"/>
  <c r="J33" i="1" s="1"/>
  <c r="H26" i="1"/>
  <c r="J26" i="1" s="1"/>
  <c r="H20" i="1"/>
  <c r="J20" i="1" s="1"/>
  <c r="H34" i="1"/>
  <c r="J34" i="1" s="1"/>
  <c r="H21" i="1"/>
  <c r="J21" i="1" s="1"/>
  <c r="H30" i="1"/>
  <c r="J30" i="1" s="1"/>
  <c r="H22" i="1"/>
  <c r="J22" i="1" s="1"/>
  <c r="H23" i="1"/>
  <c r="J23" i="1" s="1"/>
  <c r="H24" i="1"/>
  <c r="J24" i="1" s="1"/>
  <c r="H25" i="1"/>
  <c r="J25" i="1" s="1"/>
  <c r="H27" i="1"/>
  <c r="J27" i="1" s="1"/>
  <c r="H19" i="1"/>
  <c r="J19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G487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K458" i="6"/>
  <c r="Q457" i="6"/>
  <c r="K457" i="6"/>
  <c r="Q456" i="6"/>
  <c r="K456" i="6"/>
  <c r="Q455" i="6"/>
  <c r="K455" i="6"/>
  <c r="Q454" i="6"/>
  <c r="K454" i="6"/>
  <c r="Q453" i="6"/>
  <c r="K453" i="6"/>
  <c r="Q452" i="6"/>
  <c r="K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H391" i="6" s="1"/>
  <c r="J391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H364" i="6" s="1"/>
  <c r="J364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K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393" i="6" l="1"/>
  <c r="H394" i="6"/>
  <c r="J394" i="6" s="1"/>
  <c r="H393" i="5"/>
  <c r="H394" i="5"/>
  <c r="J394" i="5" s="1"/>
  <c r="H393" i="4"/>
  <c r="H394" i="4"/>
  <c r="J394" i="4" s="1"/>
  <c r="J393" i="6"/>
  <c r="J405" i="6" s="1"/>
  <c r="T405" i="6" s="1"/>
  <c r="H405" i="6"/>
  <c r="J393" i="5"/>
  <c r="J405" i="5" s="1"/>
  <c r="T405" i="5" s="1"/>
  <c r="H405" i="5"/>
  <c r="J393" i="4"/>
  <c r="J405" i="4" s="1"/>
  <c r="T405" i="4" s="1"/>
  <c r="H405" i="4"/>
  <c r="H390" i="5"/>
  <c r="J390" i="5" s="1"/>
  <c r="H391" i="5"/>
  <c r="J391" i="5" s="1"/>
  <c r="H390" i="4"/>
  <c r="J390" i="4" s="1"/>
  <c r="H391" i="4"/>
  <c r="J391" i="4" s="1"/>
  <c r="H389" i="6"/>
  <c r="J389" i="6" s="1"/>
  <c r="H390" i="6"/>
  <c r="J390" i="6" s="1"/>
  <c r="H388" i="5"/>
  <c r="J388" i="5" s="1"/>
  <c r="H389" i="5"/>
  <c r="J389" i="5" s="1"/>
  <c r="H388" i="4"/>
  <c r="J388" i="4" s="1"/>
  <c r="H389" i="4"/>
  <c r="J389" i="4" s="1"/>
  <c r="H387" i="6"/>
  <c r="J387" i="6" s="1"/>
  <c r="H388" i="6"/>
  <c r="J388" i="6" s="1"/>
  <c r="H386" i="5"/>
  <c r="J386" i="5" s="1"/>
  <c r="H387" i="5"/>
  <c r="J387" i="5" s="1"/>
  <c r="H386" i="4"/>
  <c r="J386" i="4" s="1"/>
  <c r="H387" i="4"/>
  <c r="J387" i="4" s="1"/>
  <c r="H385" i="6"/>
  <c r="J385" i="6" s="1"/>
  <c r="H386" i="6"/>
  <c r="J386" i="6" s="1"/>
  <c r="H384" i="5"/>
  <c r="J384" i="5" s="1"/>
  <c r="H385" i="5"/>
  <c r="J385" i="5" s="1"/>
  <c r="H384" i="4"/>
  <c r="J384" i="4" s="1"/>
  <c r="H385" i="4"/>
  <c r="J385" i="4" s="1"/>
  <c r="H383" i="6"/>
  <c r="J383" i="6" s="1"/>
  <c r="H384" i="6"/>
  <c r="J384" i="6" s="1"/>
  <c r="H382" i="5"/>
  <c r="J382" i="5" s="1"/>
  <c r="H383" i="5"/>
  <c r="J383" i="5" s="1"/>
  <c r="H382" i="4"/>
  <c r="J382" i="4" s="1"/>
  <c r="H383" i="4"/>
  <c r="J383" i="4" s="1"/>
  <c r="H381" i="6"/>
  <c r="J381" i="6" s="1"/>
  <c r="H382" i="6"/>
  <c r="J382" i="6" s="1"/>
  <c r="H380" i="5"/>
  <c r="H381" i="5"/>
  <c r="J381" i="5" s="1"/>
  <c r="H380" i="4"/>
  <c r="H381" i="4"/>
  <c r="J381" i="4" s="1"/>
  <c r="G406" i="6"/>
  <c r="H380" i="6"/>
  <c r="J380" i="5"/>
  <c r="J392" i="5" s="1"/>
  <c r="H392" i="5"/>
  <c r="H406" i="5" s="1"/>
  <c r="J380" i="4"/>
  <c r="J392" i="4" s="1"/>
  <c r="H392" i="4"/>
  <c r="H406" i="4" s="1"/>
  <c r="H376" i="6"/>
  <c r="J376" i="6" s="1"/>
  <c r="H377" i="6"/>
  <c r="J377" i="6" s="1"/>
  <c r="H376" i="5"/>
  <c r="J376" i="5" s="1"/>
  <c r="H377" i="5"/>
  <c r="J377" i="5" s="1"/>
  <c r="H376" i="4"/>
  <c r="J376" i="4" s="1"/>
  <c r="H377" i="4"/>
  <c r="J377" i="4" s="1"/>
  <c r="H374" i="6"/>
  <c r="J374" i="6" s="1"/>
  <c r="H375" i="6"/>
  <c r="J375" i="6" s="1"/>
  <c r="H374" i="5"/>
  <c r="J374" i="5" s="1"/>
  <c r="H375" i="5"/>
  <c r="J375" i="5" s="1"/>
  <c r="H374" i="4"/>
  <c r="J374" i="4" s="1"/>
  <c r="H375" i="4"/>
  <c r="J375" i="4" s="1"/>
  <c r="H372" i="6"/>
  <c r="J372" i="6" s="1"/>
  <c r="H373" i="6"/>
  <c r="J373" i="6" s="1"/>
  <c r="H372" i="5"/>
  <c r="J372" i="5" s="1"/>
  <c r="H373" i="5"/>
  <c r="J373" i="5" s="1"/>
  <c r="H372" i="4"/>
  <c r="J372" i="4" s="1"/>
  <c r="H373" i="4"/>
  <c r="J373" i="4" s="1"/>
  <c r="H370" i="6"/>
  <c r="J370" i="6" s="1"/>
  <c r="H371" i="6"/>
  <c r="J371" i="6" s="1"/>
  <c r="H370" i="5"/>
  <c r="J370" i="5" s="1"/>
  <c r="H371" i="5"/>
  <c r="J371" i="5" s="1"/>
  <c r="H370" i="4"/>
  <c r="J370" i="4" s="1"/>
  <c r="H371" i="4"/>
  <c r="J371" i="4" s="1"/>
  <c r="H368" i="6"/>
  <c r="J368" i="6" s="1"/>
  <c r="H369" i="6"/>
  <c r="J369" i="6" s="1"/>
  <c r="H368" i="5"/>
  <c r="J368" i="5" s="1"/>
  <c r="H369" i="5"/>
  <c r="J369" i="5" s="1"/>
  <c r="H368" i="4"/>
  <c r="J368" i="4" s="1"/>
  <c r="H369" i="4"/>
  <c r="J369" i="4" s="1"/>
  <c r="H366" i="5"/>
  <c r="H367" i="5"/>
  <c r="J367" i="5" s="1"/>
  <c r="H366" i="6"/>
  <c r="H367" i="6"/>
  <c r="J367" i="6" s="1"/>
  <c r="H366" i="4"/>
  <c r="H367" i="4"/>
  <c r="J367" i="4" s="1"/>
  <c r="J366" i="6"/>
  <c r="J378" i="6" s="1"/>
  <c r="T378" i="6" s="1"/>
  <c r="H378" i="6"/>
  <c r="J366" i="5"/>
  <c r="J378" i="5" s="1"/>
  <c r="T378" i="5" s="1"/>
  <c r="H378" i="5"/>
  <c r="J366" i="4"/>
  <c r="J378" i="4" s="1"/>
  <c r="T378" i="4" s="1"/>
  <c r="H378" i="4"/>
  <c r="H363" i="5"/>
  <c r="J363" i="5" s="1"/>
  <c r="H364" i="5"/>
  <c r="J364" i="5" s="1"/>
  <c r="H363" i="4"/>
  <c r="J363" i="4" s="1"/>
  <c r="H364" i="4"/>
  <c r="J364" i="4" s="1"/>
  <c r="H361" i="4"/>
  <c r="J361" i="4" s="1"/>
  <c r="H362" i="4"/>
  <c r="J362" i="4" s="1"/>
  <c r="H362" i="6"/>
  <c r="J362" i="6" s="1"/>
  <c r="H363" i="6"/>
  <c r="J363" i="6" s="1"/>
  <c r="H361" i="5"/>
  <c r="J361" i="5" s="1"/>
  <c r="H362" i="5"/>
  <c r="J362" i="5" s="1"/>
  <c r="H360" i="6"/>
  <c r="J360" i="6" s="1"/>
  <c r="H361" i="6"/>
  <c r="J361" i="6" s="1"/>
  <c r="H359" i="5"/>
  <c r="J359" i="5" s="1"/>
  <c r="H360" i="5"/>
  <c r="J360" i="5" s="1"/>
  <c r="H359" i="4"/>
  <c r="J359" i="4" s="1"/>
  <c r="H360" i="4"/>
  <c r="J360" i="4" s="1"/>
  <c r="H358" i="6"/>
  <c r="J358" i="6" s="1"/>
  <c r="H359" i="6"/>
  <c r="J359" i="6" s="1"/>
  <c r="H356" i="6"/>
  <c r="J356" i="6" s="1"/>
  <c r="H357" i="6"/>
  <c r="J357" i="6" s="1"/>
  <c r="H357" i="5"/>
  <c r="J357" i="5" s="1"/>
  <c r="H358" i="5"/>
  <c r="J358" i="5" s="1"/>
  <c r="H357" i="4"/>
  <c r="J357" i="4" s="1"/>
  <c r="H358" i="4"/>
  <c r="J358" i="4" s="1"/>
  <c r="H355" i="5"/>
  <c r="J355" i="5" s="1"/>
  <c r="H356" i="5"/>
  <c r="J356" i="5" s="1"/>
  <c r="H355" i="4"/>
  <c r="J355" i="4" s="1"/>
  <c r="H356" i="4"/>
  <c r="J356" i="4" s="1"/>
  <c r="H354" i="6"/>
  <c r="J354" i="6" s="1"/>
  <c r="H355" i="6"/>
  <c r="J355" i="6" s="1"/>
  <c r="H353" i="5"/>
  <c r="H354" i="5"/>
  <c r="J354" i="5" s="1"/>
  <c r="H353" i="4"/>
  <c r="H354" i="4"/>
  <c r="J354" i="4" s="1"/>
  <c r="J353" i="5"/>
  <c r="J365" i="5" s="1"/>
  <c r="H365" i="5"/>
  <c r="H379" i="5" s="1"/>
  <c r="J353" i="4"/>
  <c r="J365" i="4" s="1"/>
  <c r="H365" i="4"/>
  <c r="H379" i="4" s="1"/>
  <c r="G379" i="6"/>
  <c r="H353" i="6"/>
  <c r="H349" i="6"/>
  <c r="J349" i="6" s="1"/>
  <c r="H350" i="6"/>
  <c r="J350" i="6" s="1"/>
  <c r="H349" i="5"/>
  <c r="J349" i="5" s="1"/>
  <c r="H350" i="5"/>
  <c r="J350" i="5" s="1"/>
  <c r="H349" i="4"/>
  <c r="J349" i="4" s="1"/>
  <c r="H350" i="4"/>
  <c r="J350" i="4" s="1"/>
  <c r="H347" i="6"/>
  <c r="J347" i="6" s="1"/>
  <c r="H348" i="6"/>
  <c r="J348" i="6" s="1"/>
  <c r="H347" i="5"/>
  <c r="J347" i="5" s="1"/>
  <c r="H348" i="5"/>
  <c r="J348" i="5" s="1"/>
  <c r="H347" i="4"/>
  <c r="J347" i="4" s="1"/>
  <c r="H348" i="4"/>
  <c r="J348" i="4" s="1"/>
  <c r="H345" i="6"/>
  <c r="J345" i="6" s="1"/>
  <c r="H346" i="6"/>
  <c r="J346" i="6" s="1"/>
  <c r="H345" i="5"/>
  <c r="J345" i="5" s="1"/>
  <c r="H346" i="5"/>
  <c r="J346" i="5" s="1"/>
  <c r="H345" i="4"/>
  <c r="J345" i="4" s="1"/>
  <c r="H346" i="4"/>
  <c r="J346" i="4" s="1"/>
  <c r="H343" i="6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06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G406" i="4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G446" i="3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F406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J380" i="6" l="1"/>
  <c r="J392" i="6" s="1"/>
  <c r="H392" i="6"/>
  <c r="H406" i="6" s="1"/>
  <c r="T392" i="5"/>
  <c r="J406" i="5"/>
  <c r="T406" i="5" s="1"/>
  <c r="J406" i="4"/>
  <c r="T406" i="4" s="1"/>
  <c r="T392" i="4"/>
  <c r="T365" i="5"/>
  <c r="J379" i="5"/>
  <c r="T379" i="5" s="1"/>
  <c r="T365" i="4"/>
  <c r="J379" i="4"/>
  <c r="T379" i="4" s="1"/>
  <c r="J353" i="6"/>
  <c r="J365" i="6" s="1"/>
  <c r="H365" i="6"/>
  <c r="H379" i="6" s="1"/>
  <c r="H338" i="6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406" i="4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40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406" i="6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T392" i="6" l="1"/>
  <c r="J406" i="6"/>
  <c r="T406" i="6" s="1"/>
  <c r="H18" i="1" s="1"/>
  <c r="J18" i="1" s="1"/>
  <c r="T365" i="6"/>
  <c r="J379" i="6"/>
  <c r="T379" i="6" s="1"/>
  <c r="H17" i="1" s="1"/>
  <c r="J17" i="1" s="1"/>
  <c r="J352" i="6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J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35" i="1" l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  <author>Desktop CCO01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9" authorId="1" shapeId="0" xr:uid="{BF557869-8C65-4955-B60F-D81F2CA20E3E}">
      <text>
        <r>
          <rPr>
            <b/>
            <sz val="9"/>
            <color indexed="81"/>
            <rFont val="Segoe UI"/>
            <family val="2"/>
          </rPr>
          <t>Desktop CCO01:</t>
        </r>
        <r>
          <rPr>
            <sz val="9"/>
            <color indexed="81"/>
            <rFont val="Segoe UI"/>
            <family val="2"/>
          </rPr>
          <t xml:space="preserve">
NÃO MEXER E NÃO ALTERAR, POR FAVOR!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<sst xmlns="http://schemas.openxmlformats.org/spreadsheetml/2006/main" count="6913" uniqueCount="351">
  <si>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</si>
  <si>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</si>
  <si>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</si>
  <si>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</si>
  <si>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</si>
  <si>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</si>
  <si>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</si>
  <si>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</si>
  <si>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</si>
  <si>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</si>
  <si>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Dia</t>
  </si>
  <si>
    <t>Data</t>
  </si>
  <si>
    <t>Balança (t)</t>
  </si>
  <si>
    <t>Ouro Realizado da limpeza acumulado (%)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</si>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</sst>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2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  <font>
      <b/>
      <sz val="10"/>
      <color rgb="FFFFFFFF"/>
      <name val="Arial"/>
    </font>
    <font>
      <b/>
      <sz val="13"/>
      <color rgb="FFFFFFFF"/>
      <name val="Arial"/>
    </font>
    <font>
      <b/>
      <sz val="9"/>
      <color rgb="FF1A1A1A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rgb="FFFF9900"/>
      </patternFill>
    </fill>
    <fill>
      <patternFill patternType="solid">
        <fgColor rgb="FFFFC000"/>
        <bgColor rgb="FF1F497D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4" fillId="0" borderId="0" applyFont="0" applyFill="0" applyBorder="0" applyAlignment="0" applyProtection="0"/>
  </cellStyleXfs>
  <cellXfs count="177">
    <xf numFmtId="0" fontId="0" fillId="0" borderId="0" xfId="0"/>
    <xf numFmtId="0" fontId="1" fillId="3" borderId="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8" borderId="2" xfId="0" applyFont="1" applyFill="1" applyBorder="1" applyAlignment="1">
      <alignment horizontal="center" vertical="center"/>
    </xf>
    <xf numFmtId="3" fontId="5" fillId="8" borderId="2" xfId="0" applyNumberFormat="1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3" fontId="5" fillId="9" borderId="2" xfId="0" applyNumberFormat="1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1" fillId="2" borderId="2" xfId="0" applyNumberFormat="1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horizontal="left" vertical="center"/>
    </xf>
    <xf numFmtId="0" fontId="10" fillId="11" borderId="2" xfId="0" applyFont="1" applyFill="1" applyBorder="1" applyAlignment="1">
      <alignment horizontal="left" vertical="center"/>
    </xf>
    <xf numFmtId="0" fontId="4" fillId="11" borderId="2" xfId="0" applyFont="1" applyFill="1" applyBorder="1" applyAlignment="1">
      <alignment horizontal="left" vertical="center"/>
    </xf>
    <xf numFmtId="0" fontId="11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8" fillId="2" borderId="2" xfId="0" applyNumberFormat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165" fontId="8" fillId="2" borderId="2" xfId="0" applyNumberFormat="1" applyFont="1" applyFill="1" applyBorder="1" applyAlignment="1">
      <alignment horizontal="center" vertical="center" wrapText="1"/>
    </xf>
    <xf numFmtId="166" fontId="10" fillId="11" borderId="2" xfId="0" applyNumberFormat="1" applyFont="1" applyFill="1" applyBorder="1" applyAlignment="1">
      <alignment horizontal="center" vertical="center"/>
    </xf>
    <xf numFmtId="0" fontId="10" fillId="11" borderId="2" xfId="0" applyFont="1" applyFill="1" applyBorder="1" applyAlignment="1" applyProtection="1">
      <alignment horizontal="center" vertical="center"/>
      <protection locked="0"/>
    </xf>
    <xf numFmtId="0" fontId="10" fillId="13" borderId="2" xfId="0" applyFont="1" applyFill="1" applyBorder="1" applyAlignment="1" applyProtection="1">
      <alignment horizontal="center" vertical="center"/>
      <protection locked="0"/>
    </xf>
    <xf numFmtId="3" fontId="10" fillId="11" borderId="2" xfId="0" applyNumberFormat="1" applyFont="1" applyFill="1" applyBorder="1" applyAlignment="1">
      <alignment horizontal="center" vertical="center"/>
    </xf>
    <xf numFmtId="166" fontId="10" fillId="13" borderId="2" xfId="0" applyNumberFormat="1" applyFont="1" applyFill="1" applyBorder="1" applyAlignment="1" applyProtection="1">
      <alignment horizontal="center" vertical="center"/>
      <protection locked="0"/>
    </xf>
    <xf numFmtId="165" fontId="10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0" fillId="8" borderId="2" xfId="0" applyNumberFormat="1" applyFont="1" applyFill="1" applyBorder="1" applyAlignment="1">
      <alignment horizontal="center" vertical="center"/>
    </xf>
    <xf numFmtId="0" fontId="10" fillId="8" borderId="2" xfId="0" applyFont="1" applyFill="1" applyBorder="1" applyAlignment="1" applyProtection="1">
      <alignment horizontal="center" vertical="center"/>
      <protection locked="0"/>
    </xf>
    <xf numFmtId="3" fontId="10" fillId="8" borderId="2" xfId="0" applyNumberFormat="1" applyFont="1" applyFill="1" applyBorder="1" applyAlignment="1">
      <alignment horizontal="center" vertical="center"/>
    </xf>
    <xf numFmtId="165" fontId="10" fillId="8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9" fillId="3" borderId="2" xfId="0" applyNumberFormat="1" applyFont="1" applyFill="1" applyBorder="1" applyAlignment="1">
      <alignment horizontal="center" vertical="center"/>
    </xf>
    <xf numFmtId="3" fontId="12" fillId="13" borderId="5" xfId="0" applyNumberFormat="1" applyFont="1" applyFill="1" applyBorder="1" applyAlignment="1" applyProtection="1">
      <alignment horizontal="center" vertical="center"/>
      <protection locked="0"/>
    </xf>
    <xf numFmtId="0" fontId="9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9" fillId="2" borderId="2" xfId="0" applyNumberFormat="1" applyFont="1" applyFill="1" applyBorder="1" applyAlignment="1">
      <alignment horizontal="center" vertical="center"/>
    </xf>
    <xf numFmtId="3" fontId="8" fillId="2" borderId="2" xfId="0" applyNumberFormat="1" applyFont="1" applyFill="1" applyBorder="1" applyAlignment="1">
      <alignment horizontal="center" vertical="center"/>
    </xf>
    <xf numFmtId="0" fontId="13" fillId="14" borderId="6" xfId="0" applyFont="1" applyFill="1" applyBorder="1" applyAlignment="1" applyProtection="1">
      <alignment horizontal="center"/>
      <protection locked="0"/>
    </xf>
    <xf numFmtId="3" fontId="14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8" fillId="2" borderId="7" xfId="0" applyNumberFormat="1" applyFont="1" applyFill="1" applyBorder="1" applyAlignment="1">
      <alignment horizontal="center" vertical="center"/>
    </xf>
    <xf numFmtId="0" fontId="4" fillId="8" borderId="2" xfId="0" applyFont="1" applyFill="1" applyBorder="1" applyAlignment="1" applyProtection="1">
      <alignment horizontal="center" vertical="center"/>
      <protection locked="0"/>
    </xf>
    <xf numFmtId="0" fontId="4" fillId="11" borderId="2" xfId="0" applyFont="1" applyFill="1" applyBorder="1" applyAlignment="1" applyProtection="1">
      <alignment horizontal="center" vertical="center"/>
      <protection locked="0"/>
    </xf>
    <xf numFmtId="165" fontId="4" fillId="11" borderId="2" xfId="0" applyNumberFormat="1" applyFont="1" applyFill="1" applyBorder="1" applyAlignment="1">
      <alignment horizontal="center" vertical="center"/>
    </xf>
    <xf numFmtId="0" fontId="4" fillId="13" borderId="1" xfId="0" applyFont="1" applyFill="1" applyBorder="1" applyAlignment="1" applyProtection="1">
      <alignment horizontal="center" vertical="center"/>
      <protection locked="0"/>
    </xf>
    <xf numFmtId="0" fontId="15" fillId="13" borderId="1" xfId="0" applyFont="1" applyFill="1" applyBorder="1" applyAlignment="1" applyProtection="1">
      <alignment horizontal="center" vertical="center"/>
      <protection locked="0"/>
    </xf>
    <xf numFmtId="167" fontId="16" fillId="15" borderId="6" xfId="0" applyNumberFormat="1" applyFont="1" applyFill="1" applyBorder="1" applyAlignment="1" applyProtection="1">
      <alignment horizontal="center" wrapText="1"/>
      <protection locked="0"/>
    </xf>
    <xf numFmtId="0" fontId="4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0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0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4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8" fillId="2" borderId="2" xfId="0" applyNumberFormat="1" applyFont="1" applyFill="1" applyBorder="1" applyAlignment="1">
      <alignment horizontal="center" vertical="center" wrapText="1"/>
    </xf>
    <xf numFmtId="14" fontId="10" fillId="11" borderId="2" xfId="0" applyNumberFormat="1" applyFont="1" applyFill="1" applyBorder="1" applyAlignment="1">
      <alignment horizontal="center" vertical="center"/>
    </xf>
    <xf numFmtId="14" fontId="10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2" fillId="2" borderId="2" xfId="0" applyNumberFormat="1" applyFont="1" applyFill="1" applyBorder="1" applyAlignment="1">
      <alignment horizontal="center" vertical="center" wrapText="1"/>
    </xf>
    <xf numFmtId="14" fontId="4" fillId="8" borderId="2" xfId="0" applyNumberFormat="1" applyFont="1" applyFill="1" applyBorder="1" applyAlignment="1">
      <alignment horizontal="center" vertical="center"/>
    </xf>
    <xf numFmtId="14" fontId="4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8" fillId="13" borderId="5" xfId="0" applyNumberFormat="1" applyFont="1" applyFill="1" applyBorder="1" applyAlignment="1" applyProtection="1">
      <alignment horizontal="center" vertical="center"/>
      <protection locked="0"/>
    </xf>
    <xf numFmtId="20" fontId="10" fillId="13" borderId="1" xfId="0" applyNumberFormat="1" applyFont="1" applyFill="1" applyBorder="1" applyAlignment="1" applyProtection="1">
      <alignment horizontal="center" vertical="center"/>
      <protection locked="0"/>
    </xf>
    <xf numFmtId="0" fontId="19" fillId="0" borderId="0" xfId="0" applyFont="1"/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3" fontId="9" fillId="3" borderId="2" xfId="0" applyNumberFormat="1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13" borderId="9" xfId="0" applyFont="1" applyFill="1" applyBorder="1" applyAlignment="1" applyProtection="1">
      <alignment horizontal="center" vertical="center"/>
      <protection locked="0"/>
    </xf>
    <xf numFmtId="165" fontId="10" fillId="8" borderId="1" xfId="0" applyNumberFormat="1" applyFont="1" applyFill="1" applyBorder="1" applyAlignment="1">
      <alignment horizontal="center" vertical="center"/>
    </xf>
    <xf numFmtId="0" fontId="10" fillId="13" borderId="7" xfId="0" applyFont="1" applyFill="1" applyBorder="1" applyAlignment="1" applyProtection="1">
      <alignment horizontal="center" vertical="center"/>
      <protection locked="0"/>
    </xf>
    <xf numFmtId="0" fontId="10" fillId="13" borderId="6" xfId="0" applyFont="1" applyFill="1" applyBorder="1" applyAlignment="1" applyProtection="1">
      <alignment horizontal="center" vertical="center"/>
      <protection locked="0"/>
    </xf>
    <xf numFmtId="3" fontId="9" fillId="2" borderId="2" xfId="0" applyNumberFormat="1" applyFont="1" applyFill="1" applyBorder="1" applyAlignment="1">
      <alignment horizontal="center" vertical="center"/>
    </xf>
    <xf numFmtId="21" fontId="10" fillId="13" borderId="1" xfId="0" applyNumberFormat="1" applyFont="1" applyFill="1" applyBorder="1" applyAlignment="1" applyProtection="1">
      <alignment horizontal="center" vertical="center"/>
      <protection locked="0"/>
    </xf>
    <xf numFmtId="3" fontId="13" fillId="14" borderId="6" xfId="0" applyNumberFormat="1" applyFont="1" applyFill="1" applyBorder="1" applyAlignment="1" applyProtection="1">
      <alignment horizontal="center"/>
      <protection locked="0"/>
    </xf>
    <xf numFmtId="0" fontId="9" fillId="2" borderId="4" xfId="0" applyFont="1" applyFill="1" applyBorder="1" applyAlignment="1">
      <alignment horizontal="center" vertical="center"/>
    </xf>
    <xf numFmtId="168" fontId="10" fillId="8" borderId="2" xfId="0" applyNumberFormat="1" applyFont="1" applyFill="1" applyBorder="1" applyAlignment="1">
      <alignment horizontal="center" vertical="center"/>
    </xf>
    <xf numFmtId="168" fontId="10" fillId="11" borderId="2" xfId="0" applyNumberFormat="1" applyFont="1" applyFill="1" applyBorder="1" applyAlignment="1">
      <alignment horizontal="center" vertical="center"/>
    </xf>
    <xf numFmtId="10" fontId="10" fillId="8" borderId="2" xfId="0" applyNumberFormat="1" applyFont="1" applyFill="1" applyBorder="1" applyAlignment="1">
      <alignment horizontal="center" vertical="center"/>
    </xf>
    <xf numFmtId="10" fontId="10" fillId="11" borderId="2" xfId="0" applyNumberFormat="1" applyFont="1" applyFill="1" applyBorder="1" applyAlignment="1">
      <alignment horizontal="center" vertical="center"/>
    </xf>
    <xf numFmtId="4" fontId="6" fillId="8" borderId="2" xfId="0" applyNumberFormat="1" applyFont="1" applyFill="1" applyBorder="1" applyAlignment="1">
      <alignment horizontal="center" vertical="center"/>
    </xf>
    <xf numFmtId="4" fontId="1" fillId="2" borderId="2" xfId="0" applyNumberFormat="1" applyFont="1" applyFill="1" applyBorder="1" applyAlignment="1">
      <alignment horizontal="center" vertical="center"/>
    </xf>
    <xf numFmtId="0" fontId="23" fillId="0" borderId="0" xfId="0" applyFont="1"/>
    <xf numFmtId="168" fontId="22" fillId="8" borderId="2" xfId="0" applyNumberFormat="1" applyFont="1" applyFill="1" applyBorder="1" applyAlignment="1">
      <alignment horizontal="left" vertical="center"/>
    </xf>
    <xf numFmtId="10" fontId="22" fillId="8" borderId="2" xfId="0" applyNumberFormat="1" applyFont="1" applyFill="1" applyBorder="1" applyAlignment="1">
      <alignment horizontal="left" vertical="center"/>
    </xf>
    <xf numFmtId="168" fontId="22" fillId="11" borderId="2" xfId="0" applyNumberFormat="1" applyFont="1" applyFill="1" applyBorder="1" applyAlignment="1">
      <alignment horizontal="left" vertical="center"/>
    </xf>
    <xf numFmtId="10" fontId="22" fillId="11" borderId="2" xfId="0" applyNumberFormat="1" applyFont="1" applyFill="1" applyBorder="1" applyAlignment="1">
      <alignment horizontal="left" vertical="center"/>
    </xf>
    <xf numFmtId="168" fontId="23" fillId="0" borderId="0" xfId="0" applyNumberFormat="1" applyFont="1"/>
    <xf numFmtId="10" fontId="23" fillId="0" borderId="0" xfId="0" applyNumberFormat="1" applyFont="1"/>
    <xf numFmtId="0" fontId="10" fillId="13" borderId="4" xfId="0" applyFont="1" applyFill="1" applyBorder="1" applyAlignment="1" applyProtection="1">
      <alignment horizontal="center" vertical="center"/>
      <protection locked="0"/>
    </xf>
    <xf numFmtId="0" fontId="10" fillId="13" borderId="4" xfId="0" applyFont="1" applyFill="1" applyBorder="1" applyAlignment="1" applyProtection="1">
      <alignment horizontal="center" vertical="center" wrapText="1"/>
      <protection locked="0"/>
    </xf>
    <xf numFmtId="0" fontId="4" fillId="13" borderId="4" xfId="0" applyFont="1" applyFill="1" applyBorder="1" applyAlignment="1" applyProtection="1">
      <alignment horizontal="center" vertical="center"/>
      <protection locked="0"/>
    </xf>
    <xf numFmtId="164" fontId="10" fillId="11" borderId="1" xfId="0" applyNumberFormat="1" applyFont="1" applyFill="1" applyBorder="1" applyAlignment="1" applyProtection="1">
      <alignment horizontal="center" vertical="center"/>
      <protection locked="0"/>
    </xf>
    <xf numFmtId="164" fontId="10" fillId="8" borderId="1" xfId="0" applyNumberFormat="1" applyFont="1" applyFill="1" applyBorder="1" applyAlignment="1" applyProtection="1">
      <alignment horizontal="center" vertical="center"/>
      <protection locked="0"/>
    </xf>
    <xf numFmtId="2" fontId="9" fillId="3" borderId="2" xfId="0" applyNumberFormat="1" applyFont="1" applyFill="1" applyBorder="1" applyAlignment="1">
      <alignment horizontal="center" vertical="center"/>
    </xf>
    <xf numFmtId="2" fontId="9" fillId="3" borderId="7" xfId="0" applyNumberFormat="1" applyFont="1" applyFill="1" applyBorder="1" applyAlignment="1">
      <alignment horizontal="center" vertical="center"/>
    </xf>
    <xf numFmtId="2" fontId="9" fillId="2" borderId="2" xfId="0" applyNumberFormat="1" applyFont="1" applyFill="1" applyBorder="1" applyAlignment="1">
      <alignment horizontal="center" vertical="center"/>
    </xf>
    <xf numFmtId="3" fontId="25" fillId="19" borderId="0" xfId="0" applyNumberFormat="1" applyFont="1" applyFill="1" applyAlignment="1">
      <alignment horizontal="center"/>
    </xf>
    <xf numFmtId="10" fontId="9" fillId="3" borderId="2" xfId="0" applyNumberFormat="1" applyFont="1" applyFill="1" applyBorder="1" applyAlignment="1">
      <alignment horizontal="center" vertical="center"/>
    </xf>
    <xf numFmtId="10" fontId="9" fillId="3" borderId="7" xfId="0" applyNumberFormat="1" applyFont="1" applyFill="1" applyBorder="1" applyAlignment="1">
      <alignment horizontal="center" vertical="center"/>
    </xf>
    <xf numFmtId="10" fontId="9" fillId="2" borderId="2" xfId="0" applyNumberFormat="1" applyFont="1" applyFill="1" applyBorder="1" applyAlignment="1">
      <alignment horizontal="center" vertical="center"/>
    </xf>
    <xf numFmtId="4" fontId="18" fillId="13" borderId="5" xfId="0" applyNumberFormat="1" applyFont="1" applyFill="1" applyBorder="1" applyAlignment="1" applyProtection="1">
      <alignment horizontal="center" vertical="center"/>
      <protection locked="0"/>
    </xf>
    <xf numFmtId="4" fontId="16" fillId="15" borderId="6" xfId="0" applyNumberFormat="1" applyFont="1" applyFill="1" applyBorder="1" applyAlignment="1" applyProtection="1">
      <alignment horizontal="center" wrapText="1"/>
      <protection locked="0"/>
    </xf>
    <xf numFmtId="4" fontId="12" fillId="13" borderId="5" xfId="0" applyNumberFormat="1" applyFont="1" applyFill="1" applyBorder="1" applyAlignment="1" applyProtection="1">
      <alignment horizontal="center" vertical="center"/>
      <protection locked="0"/>
    </xf>
    <xf numFmtId="4" fontId="8" fillId="2" borderId="2" xfId="0" applyNumberFormat="1" applyFont="1" applyFill="1" applyBorder="1" applyAlignment="1">
      <alignment horizontal="center" vertical="center"/>
    </xf>
    <xf numFmtId="4" fontId="8" fillId="2" borderId="7" xfId="0" applyNumberFormat="1" applyFont="1" applyFill="1" applyBorder="1" applyAlignment="1">
      <alignment horizontal="center" vertical="center"/>
    </xf>
    <xf numFmtId="4" fontId="14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3" borderId="2" xfId="0" applyNumberFormat="1" applyFont="1" applyFill="1" applyBorder="1" applyAlignment="1">
      <alignment horizontal="center" vertical="center"/>
    </xf>
    <xf numFmtId="4" fontId="9" fillId="3" borderId="7" xfId="0" applyNumberFormat="1" applyFont="1" applyFill="1" applyBorder="1" applyAlignment="1">
      <alignment horizontal="center" vertical="center"/>
    </xf>
    <xf numFmtId="4" fontId="9" fillId="2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 applyProtection="1">
      <alignment horizontal="center" vertical="center" wrapText="1"/>
      <protection locked="0"/>
    </xf>
    <xf numFmtId="0" fontId="1" fillId="7" borderId="10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9" fontId="6" fillId="8" borderId="2" xfId="1" applyFont="1" applyFill="1" applyBorder="1" applyAlignment="1">
      <alignment horizontal="center" vertical="center"/>
    </xf>
    <xf numFmtId="9" fontId="1" fillId="2" borderId="2" xfId="1" applyFont="1" applyFill="1" applyBorder="1" applyAlignment="1">
      <alignment horizontal="center" vertical="center"/>
    </xf>
    <xf numFmtId="0" fontId="1" fillId="18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" fillId="16" borderId="7" xfId="0" applyFont="1" applyFill="1" applyBorder="1" applyAlignment="1">
      <alignment horizontal="center" vertical="center" wrapText="1"/>
    </xf>
    <xf numFmtId="2" fontId="19" fillId="17" borderId="2" xfId="0" applyNumberFormat="1" applyFont="1" applyFill="1" applyBorder="1" applyAlignment="1">
      <alignment horizontal="center"/>
    </xf>
    <xf numFmtId="10" fontId="19" fillId="17" borderId="2" xfId="0" applyNumberFormat="1" applyFont="1" applyFill="1" applyBorder="1" applyAlignment="1">
      <alignment horizontal="center"/>
    </xf>
    <xf numFmtId="4" fontId="19" fillId="17" borderId="2" xfId="0" applyNumberFormat="1" applyFont="1" applyFill="1" applyBorder="1" applyAlignment="1">
      <alignment horizontal="center"/>
    </xf>
    <xf numFmtId="2" fontId="19" fillId="17" borderId="7" xfId="0" applyNumberFormat="1" applyFont="1" applyFill="1" applyBorder="1" applyAlignment="1">
      <alignment horizontal="center"/>
    </xf>
    <xf numFmtId="10" fontId="19" fillId="17" borderId="7" xfId="0" applyNumberFormat="1" applyFont="1" applyFill="1" applyBorder="1" applyAlignment="1">
      <alignment horizontal="center"/>
    </xf>
    <xf numFmtId="4" fontId="19" fillId="17" borderId="7" xfId="0" applyNumberFormat="1" applyFont="1" applyFill="1" applyBorder="1" applyAlignment="1">
      <alignment horizontal="center"/>
    </xf>
    <xf numFmtId="2" fontId="19" fillId="17" borderId="9" xfId="0" applyNumberFormat="1" applyFont="1" applyFill="1" applyBorder="1" applyAlignment="1">
      <alignment horizontal="center"/>
    </xf>
    <xf numFmtId="10" fontId="19" fillId="17" borderId="9" xfId="0" applyNumberFormat="1" applyFont="1" applyFill="1" applyBorder="1" applyAlignment="1">
      <alignment horizontal="center"/>
    </xf>
    <xf numFmtId="4" fontId="19" fillId="17" borderId="9" xfId="0" applyNumberFormat="1" applyFont="1" applyFill="1" applyBorder="1" applyAlignment="1">
      <alignment horizontal="center"/>
    </xf>
    <xf numFmtId="3" fontId="1" fillId="2" borderId="7" xfId="0" applyNumberFormat="1" applyFont="1" applyFill="1" applyBorder="1" applyAlignment="1">
      <alignment horizontal="center" vertical="center"/>
    </xf>
    <xf numFmtId="4" fontId="1" fillId="2" borderId="7" xfId="0" applyNumberFormat="1" applyFont="1" applyFill="1" applyBorder="1" applyAlignment="1">
      <alignment horizontal="center" vertical="center"/>
    </xf>
    <xf numFmtId="2" fontId="2" fillId="3" borderId="2" xfId="0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10" fontId="2" fillId="3" borderId="2" xfId="0" applyNumberFormat="1" applyFont="1" applyFill="1" applyBorder="1" applyAlignment="1">
      <alignment horizontal="center" vertical="center"/>
    </xf>
    <xf numFmtId="4" fontId="2" fillId="3" borderId="2" xfId="0" applyNumberFormat="1" applyFont="1" applyFill="1" applyBorder="1" applyAlignment="1">
      <alignment horizontal="center" vertical="center"/>
    </xf>
    <xf numFmtId="3" fontId="26" fillId="13" borderId="5" xfId="0" applyNumberFormat="1" applyFont="1" applyFill="1" applyBorder="1" applyAlignment="1" applyProtection="1">
      <alignment horizontal="center" vertical="center"/>
      <protection locked="0"/>
    </xf>
    <xf numFmtId="166" fontId="27" fillId="13" borderId="2" xfId="0" applyNumberFormat="1" applyFont="1" applyFill="1" applyBorder="1" applyAlignment="1" applyProtection="1">
      <alignment horizontal="center" vertical="center"/>
      <protection locked="0"/>
    </xf>
    <xf numFmtId="3" fontId="28" fillId="11" borderId="2" xfId="0" applyNumberFormat="1" applyFont="1" applyFill="1" applyBorder="1" applyAlignment="1">
      <alignment horizontal="center" vertical="center"/>
    </xf>
    <xf numFmtId="0" fontId="29" fillId="7" borderId="10" xfId="0" applyFont="1" applyFill="1" applyBorder="1" applyAlignment="1">
      <alignment horizontal="center" vertical="center" wrapText="1"/>
    </xf>
    <xf numFmtId="0" fontId="29" fillId="20" borderId="10" xfId="0" applyFont="1" applyFill="1" applyBorder="1" applyAlignment="1">
      <alignment horizontal="center" vertical="center" wrapText="1"/>
    </xf>
    <xf numFmtId="9" fontId="31" fillId="8" borderId="2" xfId="1" applyFont="1" applyFill="1" applyBorder="1" applyAlignment="1">
      <alignment horizontal="center" vertical="center"/>
    </xf>
    <xf numFmtId="0" fontId="31" fillId="8" borderId="2" xfId="1" applyNumberFormat="1" applyFont="1" applyFill="1" applyBorder="1" applyAlignment="1">
      <alignment horizontal="center" vertical="center"/>
    </xf>
    <xf numFmtId="0" fontId="2" fillId="21" borderId="2" xfId="0" applyFont="1" applyFill="1" applyBorder="1" applyAlignment="1">
      <alignment horizontal="center" vertical="center" wrapText="1"/>
    </xf>
    <xf numFmtId="0" fontId="29" fillId="2" borderId="2" xfId="1" applyNumberFormat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30" fillId="2" borderId="11" xfId="0" applyFont="1" applyFill="1" applyBorder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7" fillId="2" borderId="2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left" vertical="center" wrapText="1"/>
    </xf>
    <xf numFmtId="0" fontId="9" fillId="3" borderId="4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5"/>
  <sheetViews>
    <sheetView showGridLines="0" topLeftCell="B1" zoomScaleNormal="100" workbookViewId="0">
      <pane ySplit="3" topLeftCell="A4" activePane="bottomLeft" state="frozen"/>
      <selection pane="bottomLeft" activeCell="F40" sqref="F40"/>
    </sheetView>
  </sheetViews>
  <sheetFormatPr defaultColWidth="8.5703125" defaultRowHeight="1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8.5703125" customWidth="1"/>
    <col min="8" max="8" width="19" hidden="1" customWidth="1"/>
    <col min="9" max="9" width="18.5703125" hidden="1" customWidth="1"/>
    <col min="10" max="10" width="13.28515625" hidden="1" customWidth="1"/>
    <col min="11" max="11" width="22.140625" hidden="1" customWidth="1"/>
    <col min="12" max="12" width="8.5703125" customWidth="1"/>
  </cols>
  <sheetData>
    <row r="1" spans="1:11" ht="31.5" customHeight="1">
      <c r="A1" s="164" t="s">
        <v>0</v>
      </c>
      <c r="B1" s="165"/>
      <c r="C1" s="165"/>
      <c r="D1" s="165"/>
      <c r="E1" s="165"/>
      <c r="F1" s="165"/>
      <c r="G1" s="165"/>
      <c r="H1" s="165"/>
      <c r="I1" s="165"/>
      <c r="J1" s="165"/>
      <c r="K1" s="165"/>
    </row>
    <row r="2" spans="1:11" ht="30" customHeight="1">
      <c r="A2" s="162"/>
      <c r="B2" s="162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156" t="s">
        <v>7</v>
      </c>
      <c r="J2" s="127" t="s">
        <v>8</v>
      </c>
      <c r="K2" s="152" t="s">
        <v>9</v>
      </c>
    </row>
    <row r="3" spans="1:11" ht="30" customHeight="1">
      <c r="A3" s="6" t="s">
        <v>10</v>
      </c>
      <c r="B3" s="70" t="s">
        <v>11</v>
      </c>
      <c r="C3" s="6" t="s">
        <v>12</v>
      </c>
      <c r="D3" s="6" t="s">
        <v>12</v>
      </c>
      <c r="E3" s="6" t="s">
        <v>12</v>
      </c>
      <c r="F3" s="6" t="s">
        <v>12</v>
      </c>
      <c r="G3" s="6" t="s">
        <v>12</v>
      </c>
      <c r="H3" s="6" t="s">
        <v>6</v>
      </c>
      <c r="I3" s="6" t="s">
        <v>7</v>
      </c>
      <c r="J3" s="128" t="s">
        <v>8</v>
      </c>
      <c r="K3" s="153" t="s">
        <v>13</v>
      </c>
    </row>
    <row r="4" spans="1:11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  <c r="K4" s="154"/>
    </row>
    <row r="5" spans="1:11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  <c r="K5" s="154"/>
    </row>
    <row r="6" spans="1:11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  <c r="K6" s="154"/>
    </row>
    <row r="7" spans="1:11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  <c r="K7" s="154"/>
    </row>
    <row r="8" spans="1:11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  <c r="K8" s="154"/>
    </row>
    <row r="9" spans="1:11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  <c r="K9" s="154"/>
    </row>
    <row r="10" spans="1:11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  <c r="K10" s="154"/>
    </row>
    <row r="11" spans="1:11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  <c r="K11" s="154"/>
    </row>
    <row r="12" spans="1:11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  <c r="K12" s="154"/>
    </row>
    <row r="13" spans="1:11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  <c r="K13" s="154"/>
    </row>
    <row r="14" spans="1:11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  <c r="K14" s="154"/>
    </row>
    <row r="15" spans="1:11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682.96512154031052</v>
      </c>
      <c r="I15" s="96">
        <v>702</v>
      </c>
      <c r="J15" s="129">
        <f>IF(H15=0,"-",1-ABS(I15-H15)/H15)</f>
        <v>0.9721290621448434</v>
      </c>
      <c r="K15" s="155">
        <v>450.78</v>
      </c>
    </row>
    <row r="16" spans="1:11" ht="15.75" customHeight="1">
      <c r="A16" s="7">
        <v>13</v>
      </c>
      <c r="B16" s="71">
        <v>46247</v>
      </c>
      <c r="C16" s="8">
        <f>IFERROR(Britador!O352,"")</f>
        <v>4080780</v>
      </c>
      <c r="D16" s="8">
        <f>IFERROR('Linha 1'!S352,"")</f>
        <v>899060</v>
      </c>
      <c r="E16" s="8">
        <f>IFERROR('Linha 2'!S352,"")</f>
        <v>643480</v>
      </c>
      <c r="F16" s="8">
        <f>IFERROR('Linha 3'!S352,"")</f>
        <v>2269490</v>
      </c>
      <c r="G16" s="9">
        <f t="shared" si="0"/>
        <v>3812030</v>
      </c>
      <c r="H16" s="96">
        <f>IFERROR('Linha 1'!T352+'Linha 2'!T352+'Linha 3'!T352,0)</f>
        <v>800.52629999999976</v>
      </c>
      <c r="I16" s="96">
        <v>855.8</v>
      </c>
      <c r="J16" s="129">
        <f t="shared" si="1"/>
        <v>0.93095329909835545</v>
      </c>
      <c r="K16" s="154"/>
    </row>
    <row r="17" spans="1:11" ht="15.75" customHeight="1">
      <c r="A17" s="10">
        <v>14</v>
      </c>
      <c r="B17" s="72">
        <v>46248</v>
      </c>
      <c r="C17" s="11">
        <f>IFERROR(Britador!O379,"")</f>
        <v>4930110</v>
      </c>
      <c r="D17" s="11">
        <f>IFERROR('Linha 1'!S379,"")</f>
        <v>1428570</v>
      </c>
      <c r="E17" s="11">
        <f>IFERROR('Linha 2'!S379,"")</f>
        <v>692690</v>
      </c>
      <c r="F17" s="11">
        <f>IFERROR('Linha 3'!S379,"")</f>
        <v>2022200</v>
      </c>
      <c r="G17" s="12">
        <f t="shared" si="0"/>
        <v>4143460</v>
      </c>
      <c r="H17" s="96">
        <f>IFERROR('Linha 1'!T379+'Linha 2'!T379+'Linha 3'!T379,0)</f>
        <v>870.12659999999983</v>
      </c>
      <c r="I17" s="96">
        <v>845.44</v>
      </c>
      <c r="J17" s="129">
        <f t="shared" si="1"/>
        <v>0.97162872621064589</v>
      </c>
      <c r="K17" s="154"/>
    </row>
    <row r="18" spans="1:11" ht="15.75" customHeight="1">
      <c r="A18" s="7">
        <v>15</v>
      </c>
      <c r="B18" s="71">
        <v>46249</v>
      </c>
      <c r="C18" s="8">
        <f>IFERROR(Britador!O406,"")</f>
        <v>2491620</v>
      </c>
      <c r="D18" s="8">
        <f>IFERROR('Linha 1'!S406,"")</f>
        <v>820320</v>
      </c>
      <c r="E18" s="8">
        <f>IFERROR('Linha 2'!S406,"")</f>
        <v>479620</v>
      </c>
      <c r="F18" s="8">
        <f>IFERROR('Linha 3'!S406,"")</f>
        <v>675670</v>
      </c>
      <c r="G18" s="9">
        <f>IFERROR(D18+E18+F18,"")</f>
        <v>1975610</v>
      </c>
      <c r="H18" s="96">
        <f>IFERROR('Linha 1'!T406+'Linha 2'!T406+'Linha 3'!T406,0)</f>
        <v>405.41971156626499</v>
      </c>
      <c r="I18" s="96"/>
      <c r="J18" s="129">
        <f t="shared" si="1"/>
        <v>0</v>
      </c>
      <c r="K18" s="154"/>
    </row>
    <row r="19" spans="1:11" ht="15.75" customHeight="1">
      <c r="A19" s="10">
        <v>16</v>
      </c>
      <c r="B19" s="72">
        <v>46250</v>
      </c>
      <c r="C19" s="11">
        <f>IFERROR(Britador!O433,"")</f>
        <v>0</v>
      </c>
      <c r="D19" s="11">
        <f>IFERROR('Linha 1'!S433,"")</f>
        <v>0</v>
      </c>
      <c r="E19" s="11">
        <f>IFERROR('Linha 2'!S433,"")</f>
        <v>0</v>
      </c>
      <c r="F19" s="11">
        <f>IFERROR('Linha 3'!S433,"")</f>
        <v>0</v>
      </c>
      <c r="G19" s="12">
        <f t="shared" si="0"/>
        <v>0</v>
      </c>
      <c r="H19" s="96">
        <f>IFERROR('Linha 1'!T433+'Linha 2'!T433+'Linha 3'!T433,0)</f>
        <v>0</v>
      </c>
      <c r="I19" s="96"/>
      <c r="J19" s="129" t="str">
        <f t="shared" si="1"/>
        <v>-</v>
      </c>
      <c r="K19" s="154"/>
    </row>
    <row r="20" spans="1:11" ht="15.75" customHeight="1">
      <c r="A20" s="7">
        <v>17</v>
      </c>
      <c r="B20" s="71">
        <v>46251</v>
      </c>
      <c r="C20" s="8">
        <f>IFERROR(Britador!O460,"")</f>
        <v>0</v>
      </c>
      <c r="D20" s="8">
        <f>IFERROR('Linha 1'!S460,"")</f>
        <v>0</v>
      </c>
      <c r="E20" s="8">
        <f>IFERROR('Linha 2'!S460,"")</f>
        <v>0</v>
      </c>
      <c r="F20" s="8">
        <f>IFERROR('Linha 3'!S460,"")</f>
        <v>0</v>
      </c>
      <c r="G20" s="9">
        <f t="shared" si="0"/>
        <v>0</v>
      </c>
      <c r="H20" s="96">
        <f>IFERROR('Linha 1'!T460+'Linha 2'!T460+'Linha 3'!T460,0)</f>
        <v>0</v>
      </c>
      <c r="I20" s="96"/>
      <c r="J20" s="129" t="str">
        <f t="shared" si="1"/>
        <v>-</v>
      </c>
      <c r="K20" s="154"/>
    </row>
    <row r="21" spans="1:11" ht="15.75" customHeight="1">
      <c r="A21" s="10">
        <v>18</v>
      </c>
      <c r="B21" s="72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6">
        <f>IFERROR('Linha 1'!T487+'Linha 2'!T487+'Linha 3'!T487,0)</f>
        <v>0</v>
      </c>
      <c r="I21" s="96"/>
      <c r="J21" s="129" t="str">
        <f t="shared" si="1"/>
        <v>-</v>
      </c>
      <c r="K21" s="154"/>
    </row>
    <row r="22" spans="1:11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  <c r="K22" s="154"/>
    </row>
    <row r="23" spans="1:11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  <c r="K23" s="154"/>
    </row>
    <row r="24" spans="1:11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  <c r="K24" s="154"/>
    </row>
    <row r="25" spans="1:11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  <c r="K25" s="154"/>
    </row>
    <row r="26" spans="1:11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  <c r="K26" s="154"/>
    </row>
    <row r="27" spans="1:11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  <c r="K27" s="154"/>
    </row>
    <row r="28" spans="1:11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  <c r="K28" s="154"/>
    </row>
    <row r="29" spans="1:11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  <c r="K29" s="154"/>
    </row>
    <row r="30" spans="1:11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  <c r="K30" s="154"/>
    </row>
    <row r="31" spans="1:11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  <c r="K31" s="154"/>
    </row>
    <row r="32" spans="1:11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  <c r="K32" s="154"/>
    </row>
    <row r="33" spans="1:11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  <c r="K33" s="154"/>
    </row>
    <row r="34" spans="1:11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  <c r="K34" s="154"/>
    </row>
    <row r="35" spans="1:11" ht="14.25" customHeight="1">
      <c r="A35" s="163" t="s">
        <v>14</v>
      </c>
      <c r="B35" s="163"/>
      <c r="C35" s="13">
        <f t="shared" ref="C35:H35" si="2">IFERROR(SUM(C4:C34),"")</f>
        <v>53780520</v>
      </c>
      <c r="D35" s="13">
        <f t="shared" si="2"/>
        <v>17473480</v>
      </c>
      <c r="E35" s="13">
        <f t="shared" si="2"/>
        <v>8945310</v>
      </c>
      <c r="F35" s="13">
        <f t="shared" si="2"/>
        <v>22519480</v>
      </c>
      <c r="G35" s="13">
        <f t="shared" si="2"/>
        <v>48938270</v>
      </c>
      <c r="H35" s="97">
        <f t="shared" si="2"/>
        <v>2759.0377331065752</v>
      </c>
      <c r="I35" s="97">
        <f>IFERROR(SUM(I4:I34),"")</f>
        <v>2403.2399999999998</v>
      </c>
      <c r="J35" s="130">
        <f>IFERROR(AVERAGE(J4:J34),"-")</f>
        <v>0.71867777186346116</v>
      </c>
      <c r="K35" s="157">
        <f>SUM(K4:K34)</f>
        <v>450.78</v>
      </c>
    </row>
  </sheetData>
  <sheetProtection algorithmName="SHA-512" hashValue="IrfNho2feiWZfOO6d9dHLv1JXNgLv5M+T1rWWwVaGz2HqhHIHJyCr705on9TyGr+a1vmAN1YSqQCo1MQUxfY8Q==" saltValue="Q8MYCPwmSrWpCTh6lrtigA==" spinCount="100000" sheet="1" objects="1" scenarios="1"/>
  <mergeCells count="3">
    <mergeCell ref="A2:B2"/>
    <mergeCell ref="A35:B35"/>
    <mergeCell ref="A1:K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2" zoomScale="85" zoomScaleNormal="85" workbookViewId="0">
      <selection activeCell="G6" sqref="G6"/>
    </sheetView>
  </sheetViews>
  <sheetFormatPr defaultColWidth="8.5703125" defaultRowHeight="15"/>
  <cols>
    <col min="1" max="1" width="14" customWidth="1"/>
    <col min="2" max="2" width="2" customWidth="1"/>
    <col min="3" max="3" width="17.5703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6" t="s">
        <v>15</v>
      </c>
      <c r="B1" s="166"/>
      <c r="C1" s="166"/>
      <c r="D1" s="166"/>
      <c r="E1" s="166"/>
      <c r="F1" s="166"/>
      <c r="G1" s="166"/>
      <c r="H1" s="166"/>
      <c r="I1" s="166"/>
      <c r="J1" s="166"/>
      <c r="K1" s="166"/>
      <c r="L1" s="166"/>
      <c r="M1" s="167"/>
      <c r="N1" s="168" t="s">
        <v>16</v>
      </c>
      <c r="O1" s="168"/>
      <c r="P1" s="168"/>
      <c r="Q1" s="168"/>
      <c r="R1" s="168"/>
    </row>
    <row r="2" spans="1:18" ht="4.5" customHeight="1">
      <c r="M2" s="167"/>
    </row>
    <row r="3" spans="1:18" ht="25.9" customHeight="1">
      <c r="A3" s="14" t="s">
        <v>17</v>
      </c>
      <c r="C3" s="14" t="s">
        <v>18</v>
      </c>
      <c r="E3" s="14" t="s">
        <v>19</v>
      </c>
      <c r="G3" s="14" t="s">
        <v>20</v>
      </c>
      <c r="J3" s="14" t="s">
        <v>21</v>
      </c>
      <c r="L3" s="14" t="s">
        <v>22</v>
      </c>
      <c r="M3" s="167"/>
      <c r="N3" s="15" t="s">
        <v>23</v>
      </c>
      <c r="O3" s="15" t="s">
        <v>24</v>
      </c>
      <c r="P3" s="15" t="s">
        <v>25</v>
      </c>
      <c r="Q3" s="15" t="s">
        <v>26</v>
      </c>
      <c r="R3" s="15" t="s">
        <v>27</v>
      </c>
    </row>
    <row r="4" spans="1:18" ht="15.75" customHeight="1">
      <c r="A4" s="16" t="s">
        <v>28</v>
      </c>
      <c r="C4" s="16" t="s">
        <v>29</v>
      </c>
      <c r="E4" s="92">
        <v>0.35</v>
      </c>
      <c r="G4" s="94">
        <v>0.6</v>
      </c>
      <c r="J4" s="16" t="s">
        <v>23</v>
      </c>
      <c r="L4" s="16" t="s">
        <v>30</v>
      </c>
      <c r="M4" s="167"/>
      <c r="N4" s="16" t="s">
        <v>31</v>
      </c>
      <c r="O4" s="16" t="s">
        <v>32</v>
      </c>
      <c r="P4" s="16" t="s">
        <v>33</v>
      </c>
      <c r="Q4" s="16" t="s">
        <v>34</v>
      </c>
      <c r="R4" s="16" t="s">
        <v>35</v>
      </c>
    </row>
    <row r="5" spans="1:18" ht="15.75" customHeight="1">
      <c r="A5" s="17" t="s">
        <v>36</v>
      </c>
      <c r="C5" s="17" t="s">
        <v>37</v>
      </c>
      <c r="E5" s="93">
        <v>0.24</v>
      </c>
      <c r="G5" s="95">
        <v>0.6</v>
      </c>
      <c r="J5" s="17" t="s">
        <v>24</v>
      </c>
      <c r="L5" s="17" t="s">
        <v>38</v>
      </c>
      <c r="M5" s="167"/>
      <c r="N5" s="17" t="s">
        <v>39</v>
      </c>
      <c r="O5" s="17" t="s">
        <v>40</v>
      </c>
      <c r="P5" s="17" t="s">
        <v>41</v>
      </c>
      <c r="Q5" s="17" t="s">
        <v>42</v>
      </c>
      <c r="R5" s="17" t="s">
        <v>43</v>
      </c>
    </row>
    <row r="6" spans="1:18" ht="15.75" customHeight="1">
      <c r="A6" s="16" t="s">
        <v>44</v>
      </c>
      <c r="C6" s="16" t="s">
        <v>45</v>
      </c>
      <c r="E6" s="92">
        <v>0.21</v>
      </c>
      <c r="G6" s="94">
        <v>0.55000000000000004</v>
      </c>
      <c r="J6" s="16" t="s">
        <v>25</v>
      </c>
      <c r="L6" s="16" t="s">
        <v>46</v>
      </c>
      <c r="M6" s="167"/>
      <c r="N6" s="16" t="s">
        <v>47</v>
      </c>
      <c r="O6" s="16" t="s">
        <v>48</v>
      </c>
      <c r="P6" s="16" t="s">
        <v>49</v>
      </c>
      <c r="Q6" s="16" t="s">
        <v>50</v>
      </c>
      <c r="R6" s="16" t="s">
        <v>51</v>
      </c>
    </row>
    <row r="7" spans="1:18" ht="15.75" customHeight="1">
      <c r="A7" s="17" t="s">
        <v>52</v>
      </c>
      <c r="C7" s="17" t="s">
        <v>53</v>
      </c>
      <c r="E7" s="93">
        <v>0.13</v>
      </c>
      <c r="G7" s="95">
        <v>0.55000000000000004</v>
      </c>
      <c r="J7" s="16" t="s">
        <v>26</v>
      </c>
      <c r="L7" s="17" t="s">
        <v>54</v>
      </c>
      <c r="M7" s="167"/>
      <c r="N7" s="17" t="s">
        <v>55</v>
      </c>
      <c r="O7" s="17" t="s">
        <v>56</v>
      </c>
      <c r="P7" s="17" t="s">
        <v>41</v>
      </c>
      <c r="Q7" s="17" t="s">
        <v>57</v>
      </c>
      <c r="R7" s="17" t="s">
        <v>58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27</v>
      </c>
      <c r="L8" s="16" t="s">
        <v>59</v>
      </c>
      <c r="M8" s="167"/>
      <c r="N8" s="16" t="s">
        <v>60</v>
      </c>
      <c r="O8" s="16" t="s">
        <v>61</v>
      </c>
      <c r="P8" s="16" t="s">
        <v>49</v>
      </c>
      <c r="Q8" s="16" t="s">
        <v>62</v>
      </c>
      <c r="R8" s="16" t="s">
        <v>63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64</v>
      </c>
      <c r="M9" s="167"/>
      <c r="N9" s="17" t="s">
        <v>65</v>
      </c>
      <c r="O9" s="17" t="s">
        <v>66</v>
      </c>
      <c r="P9" s="17" t="s">
        <v>67</v>
      </c>
      <c r="Q9" s="17" t="s">
        <v>68</v>
      </c>
      <c r="R9" s="17" t="s">
        <v>69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70</v>
      </c>
      <c r="M10" s="167"/>
      <c r="N10" s="16" t="s">
        <v>71</v>
      </c>
      <c r="O10" s="16" t="s">
        <v>72</v>
      </c>
      <c r="P10" s="16" t="s">
        <v>73</v>
      </c>
      <c r="Q10" s="16" t="s">
        <v>74</v>
      </c>
      <c r="R10" s="16" t="s">
        <v>75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76</v>
      </c>
      <c r="M11" s="167"/>
      <c r="N11" s="17" t="s">
        <v>77</v>
      </c>
      <c r="O11" s="17" t="s">
        <v>78</v>
      </c>
      <c r="P11" s="17" t="s">
        <v>79</v>
      </c>
      <c r="Q11" s="17" t="s">
        <v>80</v>
      </c>
      <c r="R11" s="17" t="s">
        <v>81</v>
      </c>
    </row>
    <row r="12" spans="1:18" ht="15.75" customHeight="1">
      <c r="A12" s="16"/>
      <c r="C12" s="16"/>
      <c r="J12" s="16"/>
      <c r="L12" s="16" t="s">
        <v>82</v>
      </c>
      <c r="M12" s="167"/>
      <c r="N12" s="16" t="s">
        <v>83</v>
      </c>
      <c r="O12" s="16" t="s">
        <v>84</v>
      </c>
      <c r="P12" s="16" t="s">
        <v>68</v>
      </c>
      <c r="Q12" s="16" t="s">
        <v>85</v>
      </c>
      <c r="R12" s="16" t="s">
        <v>86</v>
      </c>
    </row>
    <row r="13" spans="1:18" ht="15.75" customHeight="1">
      <c r="A13" s="17"/>
      <c r="C13" s="17"/>
      <c r="J13" s="17"/>
      <c r="L13" s="17" t="s">
        <v>87</v>
      </c>
      <c r="M13" s="167"/>
      <c r="N13" s="17"/>
      <c r="O13" s="17" t="s">
        <v>88</v>
      </c>
      <c r="P13" s="17" t="s">
        <v>89</v>
      </c>
      <c r="Q13" s="17" t="s">
        <v>90</v>
      </c>
      <c r="R13" s="17" t="s">
        <v>91</v>
      </c>
    </row>
    <row r="14" spans="1:18" ht="15.75" customHeight="1">
      <c r="A14" s="16"/>
      <c r="C14" s="16"/>
      <c r="J14" s="16"/>
      <c r="L14" s="16" t="s">
        <v>92</v>
      </c>
      <c r="M14" s="167"/>
      <c r="N14" s="16" t="s">
        <v>93</v>
      </c>
      <c r="O14" s="16" t="s">
        <v>94</v>
      </c>
      <c r="P14" s="16" t="s">
        <v>95</v>
      </c>
      <c r="Q14" s="16" t="s">
        <v>96</v>
      </c>
      <c r="R14" s="16" t="s">
        <v>97</v>
      </c>
    </row>
    <row r="15" spans="1:18" ht="15.75" customHeight="1">
      <c r="A15" s="17"/>
      <c r="C15" s="17"/>
      <c r="J15" s="17"/>
      <c r="L15" s="17" t="s">
        <v>98</v>
      </c>
      <c r="M15" s="167"/>
      <c r="N15" s="17" t="s">
        <v>99</v>
      </c>
      <c r="O15" s="17" t="s">
        <v>100</v>
      </c>
      <c r="P15" s="17" t="s">
        <v>101</v>
      </c>
      <c r="Q15" s="17" t="s">
        <v>102</v>
      </c>
      <c r="R15" s="17" t="s">
        <v>103</v>
      </c>
    </row>
    <row r="16" spans="1:18" ht="15.75" customHeight="1">
      <c r="A16" s="16"/>
      <c r="C16" s="16"/>
      <c r="J16" s="16"/>
      <c r="L16" s="16" t="s">
        <v>104</v>
      </c>
      <c r="M16" s="167"/>
      <c r="N16" s="16" t="s">
        <v>105</v>
      </c>
      <c r="O16" s="16" t="s">
        <v>106</v>
      </c>
      <c r="P16" s="16" t="s">
        <v>107</v>
      </c>
      <c r="Q16" s="16" t="s">
        <v>108</v>
      </c>
      <c r="R16" s="16" t="s">
        <v>109</v>
      </c>
    </row>
    <row r="17" spans="1:18" ht="15.75" customHeight="1">
      <c r="A17" s="17"/>
      <c r="C17" s="17"/>
      <c r="J17" s="17"/>
      <c r="L17" s="17" t="s">
        <v>110</v>
      </c>
      <c r="M17" s="167"/>
      <c r="N17" s="17" t="s">
        <v>111</v>
      </c>
      <c r="O17" s="17" t="s">
        <v>112</v>
      </c>
      <c r="P17" s="17" t="s">
        <v>113</v>
      </c>
      <c r="Q17" s="17" t="s">
        <v>114</v>
      </c>
      <c r="R17" s="17" t="s">
        <v>115</v>
      </c>
    </row>
    <row r="18" spans="1:18" ht="15.75" customHeight="1">
      <c r="A18" s="16"/>
      <c r="C18" s="16"/>
      <c r="J18" s="16"/>
      <c r="L18" s="16" t="s">
        <v>116</v>
      </c>
      <c r="M18" s="167"/>
      <c r="N18" s="16" t="s">
        <v>117</v>
      </c>
      <c r="O18" s="16" t="s">
        <v>118</v>
      </c>
      <c r="P18" s="16" t="s">
        <v>119</v>
      </c>
      <c r="Q18" s="16" t="s">
        <v>120</v>
      </c>
      <c r="R18" s="16" t="s">
        <v>121</v>
      </c>
    </row>
    <row r="19" spans="1:18" ht="15.75" customHeight="1">
      <c r="A19" s="17"/>
      <c r="C19" s="17"/>
      <c r="J19" s="17"/>
      <c r="L19" s="17" t="s">
        <v>122</v>
      </c>
      <c r="M19" s="167"/>
      <c r="N19" s="17" t="s">
        <v>123</v>
      </c>
      <c r="O19" s="17" t="s">
        <v>124</v>
      </c>
      <c r="P19" s="17" t="s">
        <v>125</v>
      </c>
      <c r="Q19" s="17"/>
      <c r="R19" s="17" t="s">
        <v>126</v>
      </c>
    </row>
    <row r="20" spans="1:18" ht="15.75" customHeight="1">
      <c r="A20" s="16"/>
      <c r="C20" s="16"/>
      <c r="J20" s="16"/>
      <c r="L20" s="16" t="s">
        <v>127</v>
      </c>
      <c r="M20" s="167"/>
      <c r="N20" s="16"/>
      <c r="O20" s="16"/>
      <c r="P20" s="16" t="s">
        <v>128</v>
      </c>
      <c r="Q20" s="16"/>
      <c r="R20" s="16" t="s">
        <v>129</v>
      </c>
    </row>
    <row r="21" spans="1:18" ht="15.75" customHeight="1">
      <c r="A21" s="17"/>
      <c r="C21" s="17"/>
      <c r="J21" s="17"/>
      <c r="L21" s="17" t="s">
        <v>130</v>
      </c>
      <c r="M21" s="167"/>
      <c r="N21" s="17"/>
      <c r="O21" s="17"/>
      <c r="P21" s="17" t="s">
        <v>131</v>
      </c>
      <c r="Q21" s="17"/>
      <c r="R21" s="17" t="s">
        <v>132</v>
      </c>
    </row>
    <row r="22" spans="1:18" ht="15.75" customHeight="1">
      <c r="A22" s="16"/>
      <c r="C22" s="16"/>
      <c r="J22" s="16"/>
      <c r="L22" s="16" t="s">
        <v>133</v>
      </c>
      <c r="M22" s="167"/>
      <c r="N22" s="16"/>
      <c r="O22" s="16"/>
      <c r="P22" s="16" t="s">
        <v>134</v>
      </c>
      <c r="Q22" s="16"/>
      <c r="R22" s="16" t="s">
        <v>135</v>
      </c>
    </row>
    <row r="23" spans="1:18" ht="15.75" customHeight="1">
      <c r="A23" s="17"/>
      <c r="C23" s="17"/>
      <c r="J23" s="17"/>
      <c r="L23" s="17" t="s">
        <v>136</v>
      </c>
      <c r="M23" s="167"/>
      <c r="N23" s="17"/>
      <c r="O23" s="17"/>
      <c r="P23" s="17" t="s">
        <v>137</v>
      </c>
      <c r="Q23" s="17"/>
      <c r="R23" s="17" t="s">
        <v>138</v>
      </c>
    </row>
    <row r="24" spans="1:18" ht="15.75" customHeight="1">
      <c r="A24" s="16"/>
      <c r="C24" s="16"/>
      <c r="J24" s="16"/>
      <c r="L24" s="16" t="s">
        <v>139</v>
      </c>
      <c r="M24" s="167"/>
      <c r="N24" s="16"/>
      <c r="O24" s="16"/>
      <c r="P24" s="16" t="s">
        <v>140</v>
      </c>
      <c r="Q24" s="16"/>
      <c r="R24" s="16" t="s">
        <v>141</v>
      </c>
    </row>
    <row r="25" spans="1:18" ht="15.75" customHeight="1">
      <c r="A25" s="17"/>
      <c r="C25" s="17"/>
      <c r="J25" s="17"/>
      <c r="L25" s="17" t="s">
        <v>142</v>
      </c>
      <c r="M25" s="167"/>
      <c r="N25" s="17"/>
      <c r="O25" s="17"/>
      <c r="P25" s="17" t="s">
        <v>143</v>
      </c>
      <c r="Q25" s="17"/>
      <c r="R25" s="17" t="s">
        <v>144</v>
      </c>
    </row>
    <row r="26" spans="1:18" ht="15.75" customHeight="1">
      <c r="A26" s="16"/>
      <c r="C26" s="16"/>
      <c r="J26" s="16"/>
      <c r="L26" s="16" t="s">
        <v>145</v>
      </c>
      <c r="M26" s="167"/>
      <c r="N26" s="16"/>
      <c r="O26" s="16"/>
      <c r="P26" s="16" t="s">
        <v>146</v>
      </c>
      <c r="Q26" s="16"/>
      <c r="R26" s="16"/>
    </row>
    <row r="27" spans="1:18" ht="15.75" customHeight="1">
      <c r="A27" s="17"/>
      <c r="C27" s="17"/>
      <c r="J27" s="17"/>
      <c r="L27" s="17" t="s">
        <v>147</v>
      </c>
      <c r="M27" s="167"/>
      <c r="N27" s="17"/>
      <c r="O27" s="17"/>
      <c r="P27" s="17" t="s">
        <v>138</v>
      </c>
      <c r="Q27" s="17"/>
      <c r="R27" s="17" t="s">
        <v>69</v>
      </c>
    </row>
    <row r="28" spans="1:18" ht="15.75" customHeight="1">
      <c r="A28" s="16"/>
      <c r="C28" s="16"/>
      <c r="J28" s="16"/>
      <c r="L28" s="16" t="s">
        <v>148</v>
      </c>
      <c r="M28" s="167"/>
      <c r="N28" s="16"/>
      <c r="O28" s="16"/>
      <c r="P28" s="16" t="s">
        <v>141</v>
      </c>
      <c r="Q28" s="16"/>
      <c r="R28" s="16" t="s">
        <v>149</v>
      </c>
    </row>
    <row r="29" spans="1:18" ht="15.75" customHeight="1">
      <c r="A29" s="17"/>
      <c r="C29" s="17"/>
      <c r="J29" s="17"/>
      <c r="L29" s="17" t="s">
        <v>150</v>
      </c>
      <c r="M29" s="167"/>
      <c r="N29" s="17"/>
      <c r="O29" s="17"/>
      <c r="P29" s="17" t="s">
        <v>151</v>
      </c>
      <c r="Q29" s="17"/>
      <c r="R29" s="17" t="s">
        <v>152</v>
      </c>
    </row>
    <row r="30" spans="1:18" ht="15.75" customHeight="1">
      <c r="A30" s="16"/>
      <c r="C30" s="16"/>
      <c r="J30" s="16"/>
      <c r="L30" s="16" t="s">
        <v>153</v>
      </c>
      <c r="M30" s="167"/>
      <c r="N30" s="16"/>
      <c r="O30" s="16"/>
      <c r="P30" s="16" t="s">
        <v>154</v>
      </c>
      <c r="Q30" s="16"/>
      <c r="R30" s="16" t="s">
        <v>155</v>
      </c>
    </row>
    <row r="31" spans="1:18" ht="15.75" customHeight="1">
      <c r="A31" s="17"/>
      <c r="C31" s="17"/>
      <c r="J31" s="17"/>
      <c r="L31" s="17" t="s">
        <v>156</v>
      </c>
      <c r="M31" s="167"/>
      <c r="N31" s="17"/>
      <c r="O31" s="17"/>
      <c r="P31" s="18" t="s">
        <v>157</v>
      </c>
      <c r="Q31" s="17"/>
      <c r="R31" s="17" t="s">
        <v>158</v>
      </c>
    </row>
    <row r="32" spans="1:18" ht="15.75" customHeight="1">
      <c r="A32" s="16"/>
      <c r="C32" s="16"/>
      <c r="J32" s="16"/>
      <c r="L32" s="16" t="s">
        <v>159</v>
      </c>
      <c r="M32" s="167"/>
      <c r="N32" s="16"/>
      <c r="O32" s="16"/>
      <c r="P32" s="16" t="s">
        <v>160</v>
      </c>
      <c r="Q32" s="16"/>
      <c r="R32" t="s">
        <v>161</v>
      </c>
    </row>
    <row r="33" spans="1:18" ht="15.75" customHeight="1">
      <c r="A33" s="17"/>
      <c r="C33" s="131" t="s">
        <v>162</v>
      </c>
      <c r="E33" s="113">
        <v>1000</v>
      </c>
      <c r="J33" s="17"/>
      <c r="L33" s="17" t="s">
        <v>163</v>
      </c>
      <c r="M33" s="167"/>
      <c r="N33" s="17"/>
      <c r="O33" s="17"/>
      <c r="P33" s="18" t="s">
        <v>164</v>
      </c>
      <c r="Q33" s="17"/>
      <c r="R33" s="17" t="s">
        <v>27</v>
      </c>
    </row>
    <row r="34" spans="1:18" ht="15.75" customHeight="1">
      <c r="A34" s="16"/>
      <c r="C34" s="16"/>
      <c r="J34" s="16"/>
      <c r="L34" s="16" t="s">
        <v>165</v>
      </c>
      <c r="M34" s="167"/>
      <c r="N34" s="16"/>
      <c r="O34" s="16"/>
      <c r="P34" s="16" t="s">
        <v>86</v>
      </c>
      <c r="Q34" s="16"/>
      <c r="R34" s="16" t="s">
        <v>166</v>
      </c>
    </row>
    <row r="35" spans="1:18" ht="15.75" customHeight="1">
      <c r="A35" s="17"/>
      <c r="C35" s="17"/>
      <c r="J35" s="17"/>
      <c r="L35" s="17" t="s">
        <v>167</v>
      </c>
      <c r="M35" s="167"/>
      <c r="N35" s="17"/>
      <c r="O35" s="17"/>
      <c r="P35" s="17" t="s">
        <v>168</v>
      </c>
      <c r="Q35" s="17"/>
      <c r="R35" s="17" t="s">
        <v>169</v>
      </c>
    </row>
    <row r="36" spans="1:18" ht="15.75" customHeight="1">
      <c r="A36" s="16"/>
      <c r="C36" s="16"/>
      <c r="J36" s="16"/>
      <c r="L36" s="16" t="s">
        <v>170</v>
      </c>
      <c r="M36" s="167"/>
      <c r="N36" s="16"/>
      <c r="O36" s="16"/>
      <c r="P36" s="16" t="s">
        <v>171</v>
      </c>
      <c r="Q36" s="16"/>
      <c r="R36" s="16" t="s">
        <v>172</v>
      </c>
    </row>
    <row r="37" spans="1:18" ht="15.75" customHeight="1">
      <c r="A37" s="17"/>
      <c r="C37" s="17"/>
      <c r="J37" s="17"/>
      <c r="L37" s="17" t="s">
        <v>173</v>
      </c>
      <c r="M37" s="167"/>
      <c r="N37" s="17"/>
      <c r="O37" s="17"/>
      <c r="P37" s="17" t="s">
        <v>174</v>
      </c>
      <c r="Q37" s="17"/>
      <c r="R37" s="17" t="s">
        <v>175</v>
      </c>
    </row>
    <row r="38" spans="1:18" ht="15.75" customHeight="1">
      <c r="A38" s="16"/>
      <c r="C38" s="16"/>
      <c r="J38" s="16"/>
      <c r="L38" s="16" t="s">
        <v>176</v>
      </c>
      <c r="M38" s="167"/>
      <c r="N38" s="16"/>
      <c r="O38" s="16"/>
      <c r="P38" s="16" t="s">
        <v>177</v>
      </c>
      <c r="Q38" s="16"/>
      <c r="R38" s="16" t="s">
        <v>178</v>
      </c>
    </row>
    <row r="39" spans="1:18" ht="15.75" customHeight="1">
      <c r="A39" s="17"/>
      <c r="C39" s="17"/>
      <c r="J39" s="17"/>
      <c r="L39" s="17"/>
      <c r="M39" s="167"/>
      <c r="N39" s="17"/>
      <c r="O39" s="17"/>
      <c r="P39" s="17" t="s">
        <v>179</v>
      </c>
      <c r="Q39" s="17"/>
      <c r="R39" s="17" t="s">
        <v>180</v>
      </c>
    </row>
    <row r="40" spans="1:18" ht="15.75" customHeight="1">
      <c r="A40" s="16"/>
      <c r="C40" s="16"/>
      <c r="J40" s="16"/>
      <c r="L40" s="16"/>
      <c r="M40" s="167"/>
      <c r="N40" s="16"/>
      <c r="O40" s="16"/>
      <c r="P40" s="16" t="s">
        <v>181</v>
      </c>
      <c r="Q40" s="16"/>
      <c r="R40" s="16" t="s">
        <v>182</v>
      </c>
    </row>
    <row r="41" spans="1:18" ht="15.75" customHeight="1">
      <c r="A41" s="17"/>
      <c r="C41" s="17"/>
      <c r="J41" s="17"/>
      <c r="L41" s="17"/>
      <c r="M41" s="167"/>
      <c r="N41" s="17"/>
      <c r="O41" s="17"/>
      <c r="P41" s="17" t="s">
        <v>183</v>
      </c>
      <c r="Q41" s="17"/>
      <c r="R41" s="17" t="s">
        <v>184</v>
      </c>
    </row>
    <row r="42" spans="1:18" ht="15.75" customHeight="1">
      <c r="A42" s="16"/>
      <c r="C42" s="16"/>
      <c r="J42" s="16"/>
      <c r="L42" s="16"/>
      <c r="M42" s="167"/>
      <c r="N42" s="16"/>
      <c r="O42" s="16"/>
      <c r="P42" s="16" t="s">
        <v>185</v>
      </c>
      <c r="Q42" s="16"/>
      <c r="R42" s="16" t="s">
        <v>186</v>
      </c>
    </row>
    <row r="43" spans="1:18" ht="15.75" customHeight="1">
      <c r="A43" s="17"/>
      <c r="C43" s="17"/>
      <c r="J43" s="17"/>
      <c r="L43" s="17"/>
      <c r="M43" s="167"/>
      <c r="N43" s="17"/>
      <c r="O43" s="17"/>
      <c r="P43" s="17" t="s">
        <v>187</v>
      </c>
      <c r="Q43" s="17"/>
      <c r="R43" s="17" t="s">
        <v>188</v>
      </c>
    </row>
    <row r="44" spans="1:18" ht="15.75" customHeight="1">
      <c r="A44" s="16"/>
      <c r="C44" s="16"/>
      <c r="J44" s="16"/>
      <c r="L44" s="16"/>
      <c r="M44" s="167"/>
      <c r="N44" s="16"/>
      <c r="O44" s="16"/>
      <c r="P44" s="16" t="s">
        <v>189</v>
      </c>
      <c r="Q44" s="16"/>
      <c r="R44" s="16" t="s">
        <v>190</v>
      </c>
    </row>
    <row r="45" spans="1:18" ht="15.75" customHeight="1">
      <c r="A45" s="17"/>
      <c r="C45" s="17"/>
      <c r="J45" s="17"/>
      <c r="L45" s="17"/>
      <c r="M45" s="167"/>
      <c r="N45" s="17"/>
      <c r="O45" s="17"/>
      <c r="P45" s="17"/>
      <c r="Q45" s="17"/>
      <c r="R45" s="17" t="s">
        <v>191</v>
      </c>
    </row>
    <row r="46" spans="1:18" ht="15.75" customHeight="1">
      <c r="A46" s="16"/>
      <c r="C46" s="16"/>
      <c r="J46" s="16"/>
      <c r="L46" s="16"/>
      <c r="M46" s="167"/>
      <c r="N46" s="16"/>
      <c r="O46" s="16"/>
      <c r="P46" s="16" t="s">
        <v>192</v>
      </c>
      <c r="Q46" s="16"/>
      <c r="R46" s="16" t="s">
        <v>193</v>
      </c>
    </row>
    <row r="47" spans="1:18" ht="15.75" customHeight="1">
      <c r="A47" s="17"/>
      <c r="C47" s="17"/>
      <c r="J47" s="17"/>
      <c r="L47" s="17"/>
      <c r="M47" s="167"/>
      <c r="N47" s="17"/>
      <c r="O47" s="17"/>
      <c r="P47" s="17" t="s">
        <v>194</v>
      </c>
      <c r="Q47" s="17"/>
      <c r="R47" s="17" t="s">
        <v>195</v>
      </c>
    </row>
    <row r="48" spans="1:18" ht="15.75" customHeight="1">
      <c r="A48" s="16"/>
      <c r="C48" s="16"/>
      <c r="J48" s="16"/>
      <c r="L48" s="16"/>
      <c r="M48" s="167"/>
      <c r="N48" s="16"/>
      <c r="O48" s="16"/>
      <c r="P48" s="16" t="s">
        <v>196</v>
      </c>
      <c r="Q48" s="16"/>
      <c r="R48" s="16" t="s">
        <v>197</v>
      </c>
    </row>
    <row r="49" spans="1:18" ht="18" customHeight="1">
      <c r="M49" s="167"/>
      <c r="N49" s="17"/>
      <c r="O49" s="17"/>
      <c r="P49" s="17" t="s">
        <v>198</v>
      </c>
      <c r="Q49" s="17"/>
      <c r="R49" s="17" t="s">
        <v>199</v>
      </c>
    </row>
    <row r="50" spans="1:18" ht="21" customHeight="1">
      <c r="A50" s="19" t="s">
        <v>200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67"/>
      <c r="N50" s="16"/>
      <c r="O50" s="16"/>
      <c r="P50" s="16" t="s">
        <v>201</v>
      </c>
      <c r="Q50" s="16"/>
      <c r="R50" s="16" t="s">
        <v>202</v>
      </c>
    </row>
    <row r="51" spans="1:18" ht="24" customHeight="1">
      <c r="M51" s="167"/>
      <c r="N51" s="17"/>
      <c r="O51" s="17"/>
      <c r="P51" s="17" t="s">
        <v>203</v>
      </c>
      <c r="Q51" s="17"/>
      <c r="R51" s="17" t="s">
        <v>204</v>
      </c>
    </row>
    <row r="52" spans="1:18" ht="24" customHeight="1">
      <c r="M52" s="167"/>
      <c r="N52" s="16"/>
      <c r="O52" s="16"/>
      <c r="P52" s="16" t="s">
        <v>205</v>
      </c>
      <c r="Q52" s="16"/>
      <c r="R52" s="16" t="s">
        <v>206</v>
      </c>
    </row>
    <row r="53" spans="1:18" ht="36" customHeight="1">
      <c r="M53" s="167"/>
      <c r="N53" s="17"/>
      <c r="O53" s="17"/>
      <c r="P53" s="17" t="s">
        <v>207</v>
      </c>
      <c r="Q53" s="17"/>
      <c r="R53" s="17" t="s">
        <v>208</v>
      </c>
    </row>
    <row r="54" spans="1:18" ht="15" customHeight="1">
      <c r="M54" s="167"/>
      <c r="N54" s="16"/>
      <c r="O54" s="16"/>
      <c r="P54" s="16" t="s">
        <v>209</v>
      </c>
      <c r="Q54" s="16"/>
      <c r="R54" s="16" t="s">
        <v>210</v>
      </c>
    </row>
    <row r="55" spans="1:18" ht="15" customHeight="1">
      <c r="M55" s="167"/>
      <c r="N55" s="17"/>
      <c r="O55" s="17"/>
      <c r="P55" s="17" t="s">
        <v>211</v>
      </c>
      <c r="Q55" s="17"/>
      <c r="R55" s="17" t="s">
        <v>212</v>
      </c>
    </row>
    <row r="56" spans="1:18" ht="15" customHeight="1">
      <c r="M56" s="167"/>
      <c r="N56" s="16"/>
      <c r="O56" s="16"/>
      <c r="P56" s="16" t="s">
        <v>213</v>
      </c>
      <c r="Q56" s="16"/>
      <c r="R56" s="16" t="s">
        <v>214</v>
      </c>
    </row>
    <row r="57" spans="1:18" ht="15" customHeight="1">
      <c r="M57" s="167"/>
      <c r="N57" s="17"/>
      <c r="O57" s="17"/>
      <c r="P57" s="17" t="s">
        <v>57</v>
      </c>
      <c r="Q57" s="17"/>
      <c r="R57" s="17" t="s">
        <v>215</v>
      </c>
    </row>
    <row r="58" spans="1:18" ht="15" customHeight="1">
      <c r="M58" s="167"/>
      <c r="N58" s="16"/>
      <c r="O58" s="16"/>
      <c r="P58" s="16" t="s">
        <v>216</v>
      </c>
      <c r="Q58" s="16"/>
      <c r="R58" s="16"/>
    </row>
    <row r="59" spans="1:18" ht="15" customHeight="1">
      <c r="M59" s="167"/>
      <c r="N59" s="17"/>
      <c r="O59" s="17"/>
      <c r="P59" s="17" t="s">
        <v>217</v>
      </c>
      <c r="Q59" s="17"/>
      <c r="R59" s="17"/>
    </row>
    <row r="60" spans="1:18" ht="15" customHeight="1">
      <c r="M60" s="167"/>
      <c r="N60" s="16"/>
      <c r="O60" s="16"/>
      <c r="P60" s="77" t="s">
        <v>112</v>
      </c>
      <c r="Q60" s="16"/>
      <c r="R60" s="16"/>
    </row>
    <row r="61" spans="1:18" ht="15" customHeight="1">
      <c r="M61" s="167"/>
      <c r="N61" s="17"/>
      <c r="O61" s="17"/>
      <c r="P61" s="17" t="s">
        <v>218</v>
      </c>
      <c r="Q61" s="17"/>
      <c r="R61" s="17"/>
    </row>
    <row r="62" spans="1:18" ht="15" customHeight="1">
      <c r="M62" s="167"/>
      <c r="N62" s="16"/>
      <c r="O62" s="16"/>
      <c r="P62" s="16" t="s">
        <v>219</v>
      </c>
      <c r="Q62" s="16"/>
      <c r="R62" s="16"/>
    </row>
    <row r="63" spans="1:18" ht="15" customHeight="1">
      <c r="M63" s="167"/>
      <c r="N63" s="17"/>
      <c r="O63" s="17"/>
      <c r="P63" s="17" t="s">
        <v>220</v>
      </c>
      <c r="Q63" s="17"/>
      <c r="R63" s="17"/>
    </row>
    <row r="64" spans="1:18" ht="15" customHeight="1">
      <c r="M64" s="167"/>
      <c r="N64" s="16"/>
      <c r="O64" s="16"/>
      <c r="P64" s="16" t="s">
        <v>221</v>
      </c>
      <c r="Q64" s="16"/>
      <c r="R64" s="16"/>
    </row>
    <row r="65" spans="13:18" ht="15" customHeight="1">
      <c r="M65" s="167"/>
      <c r="N65" s="17"/>
      <c r="O65" s="17"/>
      <c r="P65" s="17" t="s">
        <v>222</v>
      </c>
      <c r="Q65" s="17"/>
      <c r="R65" s="17"/>
    </row>
    <row r="66" spans="13:18" ht="15" customHeight="1">
      <c r="M66" s="167"/>
      <c r="N66" s="16"/>
      <c r="O66" s="16"/>
      <c r="P66" s="16" t="s">
        <v>223</v>
      </c>
      <c r="Q66" s="16"/>
      <c r="R66" s="16"/>
    </row>
    <row r="67" spans="13:18" ht="15" customHeight="1">
      <c r="M67" s="167"/>
      <c r="N67" s="17"/>
      <c r="O67" s="17"/>
      <c r="P67" s="17" t="s">
        <v>224</v>
      </c>
      <c r="Q67" s="17"/>
      <c r="R67" s="17"/>
    </row>
    <row r="68" spans="13:18" ht="15" customHeight="1">
      <c r="M68" s="167"/>
      <c r="N68" s="16"/>
      <c r="O68" s="16"/>
      <c r="P68" s="16" t="s">
        <v>225</v>
      </c>
      <c r="Q68" s="16"/>
      <c r="R68" s="16"/>
    </row>
    <row r="69" spans="13:18" ht="15" customHeight="1">
      <c r="M69" s="167"/>
      <c r="N69" s="17"/>
      <c r="O69" s="17"/>
      <c r="P69" s="17" t="s">
        <v>226</v>
      </c>
      <c r="Q69" s="17"/>
      <c r="R69" s="17"/>
    </row>
    <row r="70" spans="13:18" ht="15" customHeight="1">
      <c r="M70" s="167"/>
      <c r="N70" s="16"/>
      <c r="O70" s="16"/>
      <c r="P70" s="16" t="s">
        <v>227</v>
      </c>
      <c r="Q70" s="16"/>
      <c r="R70" s="16"/>
    </row>
    <row r="71" spans="13:18" ht="15" customHeight="1">
      <c r="M71" s="167"/>
      <c r="N71" s="17"/>
      <c r="O71" s="17"/>
      <c r="P71" s="17" t="s">
        <v>228</v>
      </c>
      <c r="Q71" s="17"/>
      <c r="R71" s="17"/>
    </row>
    <row r="72" spans="13:18" ht="15" customHeight="1">
      <c r="M72" s="167"/>
      <c r="N72" s="16"/>
      <c r="O72" s="16"/>
      <c r="P72" s="16" t="s">
        <v>229</v>
      </c>
      <c r="Q72" s="16"/>
      <c r="R72" s="16"/>
    </row>
    <row r="73" spans="13:18" ht="15" customHeight="1">
      <c r="M73" s="167"/>
      <c r="N73" s="17"/>
      <c r="O73" s="17"/>
      <c r="P73" s="17" t="s">
        <v>230</v>
      </c>
      <c r="Q73" s="17"/>
      <c r="R73" s="17"/>
    </row>
    <row r="74" spans="13:18" ht="15" customHeight="1">
      <c r="M74" s="167"/>
      <c r="N74" s="16"/>
      <c r="O74" s="16"/>
      <c r="P74" s="16" t="s">
        <v>231</v>
      </c>
      <c r="Q74" s="16"/>
      <c r="R74" s="16"/>
    </row>
    <row r="75" spans="13:18" ht="15" customHeight="1">
      <c r="M75" s="167"/>
      <c r="N75" s="17"/>
      <c r="O75" s="17"/>
      <c r="P75" s="17"/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376" activePane="bottomLeft" state="frozen"/>
      <selection pane="bottomLeft" activeCell="L394" sqref="L394"/>
    </sheetView>
  </sheetViews>
  <sheetFormatPr defaultColWidth="8.5703125" defaultRowHeight="1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9.85546875" customWidth="1"/>
  </cols>
  <sheetData>
    <row r="1" spans="1:15" ht="37.5" customHeight="1">
      <c r="A1" s="66" t="s">
        <v>11</v>
      </c>
      <c r="B1" s="23" t="s">
        <v>232</v>
      </c>
      <c r="C1" s="23" t="s">
        <v>17</v>
      </c>
      <c r="D1" s="22" t="s">
        <v>18</v>
      </c>
      <c r="E1" s="22" t="s">
        <v>233</v>
      </c>
      <c r="F1" s="23" t="s">
        <v>234</v>
      </c>
      <c r="G1" s="23" t="s">
        <v>235</v>
      </c>
      <c r="H1" s="23" t="s">
        <v>21</v>
      </c>
      <c r="I1" s="23" t="s">
        <v>22</v>
      </c>
      <c r="J1" s="23" t="s">
        <v>236</v>
      </c>
      <c r="K1" s="23" t="s">
        <v>237</v>
      </c>
      <c r="L1" s="23" t="s">
        <v>238</v>
      </c>
      <c r="M1" s="24" t="s">
        <v>239</v>
      </c>
      <c r="N1" s="23" t="s">
        <v>240</v>
      </c>
      <c r="O1" s="23" t="s">
        <v>241</v>
      </c>
    </row>
    <row r="2" spans="1:15" ht="15" customHeight="1">
      <c r="A2" s="67">
        <v>46235</v>
      </c>
      <c r="B2" s="25">
        <v>0.33333333333333298</v>
      </c>
      <c r="C2" s="26" t="s">
        <v>52</v>
      </c>
      <c r="D2" s="20" t="s">
        <v>45</v>
      </c>
      <c r="E2" s="59" t="s">
        <v>242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26</v>
      </c>
      <c r="I2" s="26" t="s">
        <v>30</v>
      </c>
      <c r="J2" s="26" t="s">
        <v>74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52</v>
      </c>
      <c r="D3" s="59" t="s">
        <v>45</v>
      </c>
      <c r="E3" s="59" t="s">
        <v>242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52</v>
      </c>
      <c r="D4" s="59" t="s">
        <v>45</v>
      </c>
      <c r="E4" s="59" t="s">
        <v>242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52</v>
      </c>
      <c r="D5" s="59" t="s">
        <v>45</v>
      </c>
      <c r="E5" s="59" t="s">
        <v>242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52</v>
      </c>
      <c r="D6" s="59" t="s">
        <v>45</v>
      </c>
      <c r="E6" s="59" t="s">
        <v>242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52</v>
      </c>
      <c r="D7" s="59" t="s">
        <v>45</v>
      </c>
      <c r="E7" s="59" t="s">
        <v>242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52</v>
      </c>
      <c r="D8" s="59" t="s">
        <v>45</v>
      </c>
      <c r="E8" s="59" t="s">
        <v>242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52</v>
      </c>
      <c r="D9" s="59" t="s">
        <v>45</v>
      </c>
      <c r="E9" s="59" t="s">
        <v>242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52</v>
      </c>
      <c r="D10" s="59" t="s">
        <v>45</v>
      </c>
      <c r="E10" s="59" t="s">
        <v>242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52</v>
      </c>
      <c r="D11" s="59" t="s">
        <v>45</v>
      </c>
      <c r="E11" s="59" t="s">
        <v>242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52</v>
      </c>
      <c r="D12" s="59" t="s">
        <v>45</v>
      </c>
      <c r="E12" s="59" t="s">
        <v>242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52</v>
      </c>
      <c r="D13" s="59" t="s">
        <v>45</v>
      </c>
      <c r="E13" s="59" t="s">
        <v>242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58" t="s">
        <v>243</v>
      </c>
      <c r="B14" s="159"/>
      <c r="C14" s="159"/>
      <c r="D14" s="159"/>
      <c r="E14" s="169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244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62" t="s">
        <v>242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27</v>
      </c>
      <c r="I15" s="33" t="s">
        <v>30</v>
      </c>
      <c r="J15" s="33" t="s">
        <v>138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62" t="s">
        <v>242</v>
      </c>
      <c r="F16" s="27">
        <v>10</v>
      </c>
      <c r="G16" s="34">
        <f t="shared" si="3"/>
        <v>50</v>
      </c>
      <c r="H16" s="26" t="s">
        <v>27</v>
      </c>
      <c r="I16" s="26" t="s">
        <v>30</v>
      </c>
      <c r="J16" s="26" t="s">
        <v>51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62" t="s">
        <v>242</v>
      </c>
      <c r="F17" s="27">
        <v>35</v>
      </c>
      <c r="G17" s="34">
        <f t="shared" si="3"/>
        <v>175</v>
      </c>
      <c r="H17" s="33" t="s">
        <v>25</v>
      </c>
      <c r="I17" s="33" t="s">
        <v>30</v>
      </c>
      <c r="J17" s="33" t="s">
        <v>57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245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62" t="s">
        <v>242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62" t="s">
        <v>242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62" t="s">
        <v>242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62" t="s">
        <v>242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62" t="s">
        <v>242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62" t="s">
        <v>242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62" t="s">
        <v>242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62" t="s">
        <v>242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62" t="s">
        <v>242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58" t="s">
        <v>246</v>
      </c>
      <c r="B27" s="159"/>
      <c r="C27" s="159"/>
      <c r="D27" s="159"/>
      <c r="E27" s="169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244</v>
      </c>
      <c r="O27" s="39">
        <v>997910</v>
      </c>
    </row>
    <row r="28" spans="1:15" ht="18" customHeight="1">
      <c r="A28" s="160" t="s">
        <v>247</v>
      </c>
      <c r="B28" s="161"/>
      <c r="C28" s="161"/>
      <c r="D28" s="161"/>
      <c r="E28" s="170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248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59" t="s">
        <v>242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25</v>
      </c>
      <c r="I29" s="33" t="s">
        <v>30</v>
      </c>
      <c r="J29" s="33" t="s">
        <v>164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59" t="s">
        <v>242</v>
      </c>
      <c r="F30" s="27">
        <v>36</v>
      </c>
      <c r="G30" s="34">
        <f t="shared" si="6"/>
        <v>180</v>
      </c>
      <c r="H30" s="26" t="s">
        <v>25</v>
      </c>
      <c r="I30" s="26" t="s">
        <v>30</v>
      </c>
      <c r="J30" s="26" t="s">
        <v>137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249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59" t="s">
        <v>242</v>
      </c>
      <c r="F31" s="27">
        <v>35</v>
      </c>
      <c r="G31" s="28">
        <f t="shared" si="6"/>
        <v>175</v>
      </c>
      <c r="H31" s="33" t="s">
        <v>25</v>
      </c>
      <c r="I31" s="33" t="s">
        <v>30</v>
      </c>
      <c r="J31" s="33" t="s">
        <v>57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245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59" t="s">
        <v>242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59" t="s">
        <v>242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59" t="s">
        <v>242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59" t="s">
        <v>242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59" t="s">
        <v>242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59" t="s">
        <v>242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59" t="s">
        <v>242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59" t="s">
        <v>242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59" t="s">
        <v>242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58" t="s">
        <v>243</v>
      </c>
      <c r="B41" s="159"/>
      <c r="C41" s="159"/>
      <c r="D41" s="159"/>
      <c r="E41" s="169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244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36</v>
      </c>
      <c r="D42" s="62" t="s">
        <v>45</v>
      </c>
      <c r="E42" s="62" t="s">
        <v>242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26</v>
      </c>
      <c r="I42" s="26" t="s">
        <v>30</v>
      </c>
      <c r="J42" s="26" t="s">
        <v>74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250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45</v>
      </c>
      <c r="E43" s="62" t="s">
        <v>242</v>
      </c>
      <c r="F43" s="27">
        <v>0</v>
      </c>
      <c r="G43" s="28">
        <f t="shared" si="9"/>
        <v>0</v>
      </c>
      <c r="H43" s="33" t="s">
        <v>27</v>
      </c>
      <c r="I43" s="33" t="s">
        <v>30</v>
      </c>
      <c r="J43" s="33" t="s">
        <v>51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45</v>
      </c>
      <c r="E44" s="62" t="s">
        <v>242</v>
      </c>
      <c r="F44" s="27">
        <v>0</v>
      </c>
      <c r="G44" s="34">
        <f t="shared" si="9"/>
        <v>0</v>
      </c>
      <c r="H44" s="26" t="s">
        <v>27</v>
      </c>
      <c r="I44" s="26" t="s">
        <v>30</v>
      </c>
      <c r="J44" s="26" t="s">
        <v>51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45</v>
      </c>
      <c r="E45" s="62" t="s">
        <v>242</v>
      </c>
      <c r="F45" s="27">
        <v>0</v>
      </c>
      <c r="G45" s="28">
        <f t="shared" si="9"/>
        <v>0</v>
      </c>
      <c r="H45" s="33" t="s">
        <v>26</v>
      </c>
      <c r="I45" s="33" t="s">
        <v>30</v>
      </c>
      <c r="J45" s="33" t="s">
        <v>57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45</v>
      </c>
      <c r="E46" s="62" t="s">
        <v>242</v>
      </c>
      <c r="F46" s="27">
        <v>27</v>
      </c>
      <c r="G46" s="34">
        <f t="shared" si="9"/>
        <v>135</v>
      </c>
      <c r="H46" s="26" t="s">
        <v>27</v>
      </c>
      <c r="I46" s="26" t="s">
        <v>30</v>
      </c>
      <c r="J46" s="26" t="s">
        <v>51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45</v>
      </c>
      <c r="E47" s="62" t="s">
        <v>242</v>
      </c>
      <c r="F47" s="27">
        <v>17</v>
      </c>
      <c r="G47" s="28">
        <f t="shared" si="9"/>
        <v>85</v>
      </c>
      <c r="H47" s="33" t="s">
        <v>27</v>
      </c>
      <c r="I47" s="33" t="s">
        <v>30</v>
      </c>
      <c r="J47" s="33" t="s">
        <v>51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45</v>
      </c>
      <c r="E48" s="62" t="s">
        <v>242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45</v>
      </c>
      <c r="E49" s="62" t="s">
        <v>242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45</v>
      </c>
      <c r="E50" s="62" t="s">
        <v>242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45</v>
      </c>
      <c r="E51" s="62" t="s">
        <v>242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36</v>
      </c>
      <c r="D52" s="62" t="s">
        <v>45</v>
      </c>
      <c r="E52" s="62" t="s">
        <v>242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36</v>
      </c>
      <c r="D53" s="62" t="s">
        <v>45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58" t="s">
        <v>246</v>
      </c>
      <c r="B54" s="159"/>
      <c r="C54" s="159"/>
      <c r="D54" s="159"/>
      <c r="E54" s="169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244</v>
      </c>
      <c r="O54" s="39">
        <v>981310</v>
      </c>
    </row>
    <row r="55" spans="1:15" ht="18" customHeight="1">
      <c r="A55" s="160" t="s">
        <v>247</v>
      </c>
      <c r="B55" s="161"/>
      <c r="C55" s="161"/>
      <c r="D55" s="161"/>
      <c r="E55" s="170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248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52</v>
      </c>
      <c r="D56" s="20" t="s">
        <v>45</v>
      </c>
      <c r="E56" s="59" t="s">
        <v>242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25</v>
      </c>
      <c r="I56" s="26" t="s">
        <v>30</v>
      </c>
      <c r="J56" s="26" t="s">
        <v>164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59" t="s">
        <v>242</v>
      </c>
      <c r="F57" s="27">
        <v>16</v>
      </c>
      <c r="G57" s="34">
        <f t="shared" si="12"/>
        <v>80</v>
      </c>
      <c r="H57" s="33" t="s">
        <v>27</v>
      </c>
      <c r="I57" s="33" t="s">
        <v>30</v>
      </c>
      <c r="J57" s="33" t="s">
        <v>141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45</v>
      </c>
      <c r="E58" s="59" t="s">
        <v>242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59" t="s">
        <v>242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59" t="s">
        <v>242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59" t="s">
        <v>242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59" t="s">
        <v>242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59" t="s">
        <v>242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59" t="s">
        <v>242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59" t="s">
        <v>242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59" t="s">
        <v>242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59" t="s">
        <v>242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58" t="s">
        <v>243</v>
      </c>
      <c r="B68" s="159"/>
      <c r="C68" s="159"/>
      <c r="D68" s="159"/>
      <c r="E68" s="169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244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62" t="s">
        <v>242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27</v>
      </c>
      <c r="I69" s="33" t="s">
        <v>30</v>
      </c>
      <c r="J69" s="33" t="s">
        <v>51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62" t="s">
        <v>242</v>
      </c>
      <c r="F70" s="27">
        <v>14</v>
      </c>
      <c r="G70" s="28">
        <f t="shared" si="15"/>
        <v>70</v>
      </c>
      <c r="H70" s="26" t="s">
        <v>26</v>
      </c>
      <c r="I70" s="26" t="s">
        <v>30</v>
      </c>
      <c r="J70" s="26" t="s">
        <v>74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251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62" t="s">
        <v>242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62" t="s">
        <v>242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62" t="s">
        <v>242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62" t="s">
        <v>242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62" t="s">
        <v>242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62" t="s">
        <v>242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62" t="s">
        <v>242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37</v>
      </c>
      <c r="E78" s="62" t="s">
        <v>242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62" t="s">
        <v>242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62" t="s">
        <v>242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58" t="s">
        <v>246</v>
      </c>
      <c r="B81" s="159"/>
      <c r="C81" s="159"/>
      <c r="D81" s="159"/>
      <c r="E81" s="169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244</v>
      </c>
      <c r="O81" s="39">
        <v>1547910</v>
      </c>
    </row>
    <row r="82" spans="1:15" ht="18" customHeight="1">
      <c r="A82" s="160" t="s">
        <v>247</v>
      </c>
      <c r="B82" s="161"/>
      <c r="C82" s="161"/>
      <c r="D82" s="161"/>
      <c r="E82" s="170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248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59" t="s">
        <v>242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23</v>
      </c>
      <c r="I83" s="33" t="s">
        <v>30</v>
      </c>
      <c r="J83" s="33" t="s">
        <v>65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59" t="s">
        <v>242</v>
      </c>
      <c r="F84" s="27">
        <v>30</v>
      </c>
      <c r="G84" s="34">
        <f t="shared" si="18"/>
        <v>150</v>
      </c>
      <c r="H84" s="26" t="s">
        <v>27</v>
      </c>
      <c r="I84" s="26" t="s">
        <v>30</v>
      </c>
      <c r="J84" s="26" t="s">
        <v>141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59" t="s">
        <v>242</v>
      </c>
      <c r="F85" s="27">
        <v>35</v>
      </c>
      <c r="G85" s="28">
        <f t="shared" si="18"/>
        <v>175</v>
      </c>
      <c r="H85" s="33" t="s">
        <v>27</v>
      </c>
      <c r="I85" s="33" t="s">
        <v>30</v>
      </c>
      <c r="J85" s="33" t="s">
        <v>152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252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59" t="s">
        <v>242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59" t="s">
        <v>242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59" t="s">
        <v>242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59" t="s">
        <v>242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59" t="s">
        <v>242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59" t="s">
        <v>242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59" t="s">
        <v>242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59" t="s">
        <v>242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59" t="s">
        <v>242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58" t="s">
        <v>243</v>
      </c>
      <c r="B95" s="159"/>
      <c r="C95" s="159"/>
      <c r="D95" s="159"/>
      <c r="E95" s="169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244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62" t="s">
        <v>242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62" t="s">
        <v>242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62" t="s">
        <v>242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62" t="s">
        <v>242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62" t="s">
        <v>242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62" t="s">
        <v>242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253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62" t="s">
        <v>242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62" t="s">
        <v>242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62" t="s">
        <v>242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62" t="s">
        <v>242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62" t="s">
        <v>242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62" t="s">
        <v>242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58" t="s">
        <v>246</v>
      </c>
      <c r="B108" s="159"/>
      <c r="C108" s="159"/>
      <c r="D108" s="159"/>
      <c r="E108" s="169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244</v>
      </c>
      <c r="O108" s="39">
        <v>3156240</v>
      </c>
    </row>
    <row r="109" spans="1:15" ht="18" customHeight="1">
      <c r="A109" s="160" t="s">
        <v>247</v>
      </c>
      <c r="B109" s="161"/>
      <c r="C109" s="161"/>
      <c r="D109" s="161"/>
      <c r="E109" s="170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248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59" t="s">
        <v>242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25</v>
      </c>
      <c r="I110" s="26" t="s">
        <v>30</v>
      </c>
      <c r="J110" s="26" t="s">
        <v>41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59" t="s">
        <v>242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59" t="s">
        <v>242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59" t="s">
        <v>242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59" t="s">
        <v>242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59" t="s">
        <v>242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59" t="s">
        <v>242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59" t="s">
        <v>242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59" t="s">
        <v>242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59" t="s">
        <v>242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59" t="s">
        <v>242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59" t="s">
        <v>242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58" t="s">
        <v>243</v>
      </c>
      <c r="B122" s="159"/>
      <c r="C122" s="159"/>
      <c r="D122" s="159"/>
      <c r="E122" s="169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244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62" t="s">
        <v>242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62" t="s">
        <v>242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62" t="s">
        <v>242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62" t="s">
        <v>242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62" t="s">
        <v>242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62" t="s">
        <v>242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62" t="s">
        <v>242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62" t="s">
        <v>242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62" t="s">
        <v>242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62" t="s">
        <v>242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36</v>
      </c>
      <c r="D133" s="62" t="s">
        <v>45</v>
      </c>
      <c r="E133" s="62" t="s">
        <v>242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45</v>
      </c>
      <c r="E134" s="62" t="s">
        <v>242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58" t="s">
        <v>246</v>
      </c>
      <c r="B135" s="159"/>
      <c r="C135" s="159"/>
      <c r="D135" s="159"/>
      <c r="E135" s="169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244</v>
      </c>
      <c r="O135" s="39">
        <v>2875180</v>
      </c>
    </row>
    <row r="136" spans="1:15" ht="18" customHeight="1">
      <c r="A136" s="160" t="s">
        <v>247</v>
      </c>
      <c r="B136" s="161"/>
      <c r="C136" s="161"/>
      <c r="D136" s="161"/>
      <c r="E136" s="170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248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28</v>
      </c>
      <c r="D137" s="62" t="s">
        <v>45</v>
      </c>
      <c r="E137" s="62" t="s">
        <v>242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24</v>
      </c>
      <c r="I137" s="33" t="s">
        <v>30</v>
      </c>
      <c r="J137" s="33" t="s">
        <v>32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254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45</v>
      </c>
      <c r="E138" s="62" t="s">
        <v>242</v>
      </c>
      <c r="F138" s="27">
        <v>35</v>
      </c>
      <c r="G138" s="28">
        <f t="shared" si="30"/>
        <v>175</v>
      </c>
      <c r="H138" s="26" t="s">
        <v>26</v>
      </c>
      <c r="I138" s="26" t="s">
        <v>30</v>
      </c>
      <c r="J138" s="26" t="s">
        <v>114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62" t="s">
        <v>242</v>
      </c>
      <c r="F139" s="27">
        <v>25</v>
      </c>
      <c r="G139" s="34">
        <f t="shared" si="30"/>
        <v>125</v>
      </c>
      <c r="H139" s="33" t="s">
        <v>27</v>
      </c>
      <c r="I139" s="33" t="s">
        <v>30</v>
      </c>
      <c r="J139" s="33" t="s">
        <v>43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62" t="s">
        <v>242</v>
      </c>
      <c r="F140" s="27">
        <v>30</v>
      </c>
      <c r="G140" s="28">
        <f t="shared" si="30"/>
        <v>150</v>
      </c>
      <c r="H140" s="26" t="s">
        <v>23</v>
      </c>
      <c r="I140" s="26" t="s">
        <v>30</v>
      </c>
      <c r="J140" s="26" t="s">
        <v>123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62" t="s">
        <v>242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62" t="s">
        <v>242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62" t="s">
        <v>242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62" t="s">
        <v>242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62" t="s">
        <v>242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62" t="s">
        <v>242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62" t="s">
        <v>242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62" t="s">
        <v>242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58" t="s">
        <v>243</v>
      </c>
      <c r="B149" s="159"/>
      <c r="C149" s="159"/>
      <c r="D149" s="159"/>
      <c r="E149" s="169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244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59" t="s">
        <v>242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27</v>
      </c>
      <c r="I150" s="26" t="s">
        <v>30</v>
      </c>
      <c r="J150" s="26" t="s">
        <v>141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59" t="s">
        <v>242</v>
      </c>
      <c r="F151" s="27">
        <v>0</v>
      </c>
      <c r="G151" s="34">
        <f t="shared" si="33"/>
        <v>0</v>
      </c>
      <c r="H151" s="33" t="s">
        <v>24</v>
      </c>
      <c r="I151" s="33" t="s">
        <v>30</v>
      </c>
      <c r="J151" s="33" t="s">
        <v>94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255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59" t="s">
        <v>242</v>
      </c>
      <c r="F152" s="27">
        <v>14</v>
      </c>
      <c r="G152" s="28">
        <f t="shared" si="33"/>
        <v>70</v>
      </c>
      <c r="H152" s="26" t="s">
        <v>27</v>
      </c>
      <c r="I152" s="26" t="s">
        <v>30</v>
      </c>
      <c r="J152" s="26" t="s">
        <v>141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59" t="s">
        <v>242</v>
      </c>
      <c r="F153" s="27">
        <v>0</v>
      </c>
      <c r="G153" s="34">
        <f t="shared" si="33"/>
        <v>0</v>
      </c>
      <c r="H153" s="33" t="s">
        <v>26</v>
      </c>
      <c r="I153" s="33" t="s">
        <v>30</v>
      </c>
      <c r="J153" s="33" t="s">
        <v>74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59" t="s">
        <v>242</v>
      </c>
      <c r="F154" s="27">
        <v>10</v>
      </c>
      <c r="G154" s="28">
        <f t="shared" si="33"/>
        <v>50</v>
      </c>
      <c r="H154" s="26" t="s">
        <v>27</v>
      </c>
      <c r="I154" s="26" t="s">
        <v>30</v>
      </c>
      <c r="J154" s="26" t="s">
        <v>152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59" t="s">
        <v>242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59" t="s">
        <v>242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59" t="s">
        <v>242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59" t="s">
        <v>242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59" t="s">
        <v>242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59" t="s">
        <v>242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59" t="s">
        <v>242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58" t="s">
        <v>246</v>
      </c>
      <c r="B162" s="159"/>
      <c r="C162" s="159"/>
      <c r="D162" s="159"/>
      <c r="E162" s="169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244</v>
      </c>
      <c r="O162" s="44">
        <v>842000</v>
      </c>
    </row>
    <row r="163" spans="1:15" ht="18" customHeight="1">
      <c r="A163" s="160" t="s">
        <v>247</v>
      </c>
      <c r="B163" s="161"/>
      <c r="C163" s="161"/>
      <c r="D163" s="161"/>
      <c r="E163" s="170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248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59" t="s">
        <v>242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25</v>
      </c>
      <c r="I164" s="26" t="s">
        <v>30</v>
      </c>
      <c r="J164" s="26" t="s">
        <v>231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256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59" t="s">
        <v>242</v>
      </c>
      <c r="F165" s="27">
        <v>35</v>
      </c>
      <c r="G165" s="34">
        <f t="shared" si="36"/>
        <v>175</v>
      </c>
      <c r="H165" s="33" t="s">
        <v>23</v>
      </c>
      <c r="I165" s="33" t="s">
        <v>30</v>
      </c>
      <c r="J165" s="33" t="s">
        <v>123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59" t="s">
        <v>242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59" t="s">
        <v>242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59" t="s">
        <v>242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59" t="s">
        <v>242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59" t="s">
        <v>242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59" t="s">
        <v>242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59" t="s">
        <v>242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59" t="s">
        <v>242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59" t="s">
        <v>242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59" t="s">
        <v>242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58" t="s">
        <v>243</v>
      </c>
      <c r="B176" s="159"/>
      <c r="C176" s="159"/>
      <c r="D176" s="159"/>
      <c r="E176" s="169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244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62" t="s">
        <v>242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24</v>
      </c>
      <c r="I177" s="33" t="s">
        <v>30</v>
      </c>
      <c r="J177" s="33" t="s">
        <v>94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257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62" t="s">
        <v>242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62" t="s">
        <v>242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62" t="s">
        <v>242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62" t="s">
        <v>242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62" t="s">
        <v>242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62" t="s">
        <v>242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62" t="s">
        <v>242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62" t="s">
        <v>258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62" t="s">
        <v>242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62" t="s">
        <v>242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62" t="s">
        <v>242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58" t="s">
        <v>246</v>
      </c>
      <c r="B189" s="159"/>
      <c r="C189" s="159"/>
      <c r="D189" s="159"/>
      <c r="E189" s="169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244</v>
      </c>
      <c r="O189" s="39">
        <v>1901630</v>
      </c>
    </row>
    <row r="190" spans="1:15" ht="18" customHeight="1">
      <c r="A190" s="160" t="s">
        <v>247</v>
      </c>
      <c r="B190" s="161"/>
      <c r="C190" s="161"/>
      <c r="D190" s="161"/>
      <c r="E190" s="170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248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62" t="s">
        <v>242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27</v>
      </c>
      <c r="I191" s="33" t="s">
        <v>30</v>
      </c>
      <c r="J191" s="33" t="s">
        <v>43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62" t="s">
        <v>242</v>
      </c>
      <c r="F192" s="27">
        <v>15</v>
      </c>
      <c r="G192" s="28">
        <f t="shared" si="42"/>
        <v>75</v>
      </c>
      <c r="H192" s="26" t="s">
        <v>27</v>
      </c>
      <c r="I192" s="26" t="s">
        <v>30</v>
      </c>
      <c r="J192" s="26" t="s">
        <v>43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62" t="s">
        <v>242</v>
      </c>
      <c r="F193" s="27">
        <v>20</v>
      </c>
      <c r="G193" s="34">
        <f t="shared" si="42"/>
        <v>100</v>
      </c>
      <c r="H193" s="33" t="s">
        <v>27</v>
      </c>
      <c r="I193" s="33" t="s">
        <v>30</v>
      </c>
      <c r="J193" s="33" t="s">
        <v>43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259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62" t="s">
        <v>242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62" t="s">
        <v>242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62" t="s">
        <v>242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62" t="s">
        <v>242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62" t="s">
        <v>242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62" t="s">
        <v>242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62" t="s">
        <v>242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62" t="s">
        <v>242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62" t="s">
        <v>242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58" t="s">
        <v>243</v>
      </c>
      <c r="B203" s="159"/>
      <c r="C203" s="159"/>
      <c r="D203" s="159"/>
      <c r="E203" s="169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244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59" t="s">
        <v>242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59" t="s">
        <v>242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59" t="s">
        <v>242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59" t="s">
        <v>242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59" t="s">
        <v>242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59" t="s">
        <v>242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59" t="s">
        <v>242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59" t="s">
        <v>242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59" t="s">
        <v>242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59" t="s">
        <v>242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59" t="s">
        <v>242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59" t="s">
        <v>242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58" t="s">
        <v>246</v>
      </c>
      <c r="B216" s="159"/>
      <c r="C216" s="159"/>
      <c r="D216" s="159"/>
      <c r="E216" s="169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244</v>
      </c>
      <c r="O216" s="45">
        <v>1852295</v>
      </c>
    </row>
    <row r="217" spans="1:15" ht="18" customHeight="1">
      <c r="A217" s="160" t="s">
        <v>247</v>
      </c>
      <c r="B217" s="161"/>
      <c r="C217" s="161"/>
      <c r="D217" s="161"/>
      <c r="E217" s="170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248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59" t="s">
        <v>242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25</v>
      </c>
      <c r="I218" s="26" t="s">
        <v>30</v>
      </c>
      <c r="J218" s="26" t="s">
        <v>174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59" t="s">
        <v>242</v>
      </c>
      <c r="F219" s="27">
        <v>45</v>
      </c>
      <c r="G219" s="34">
        <f t="shared" si="48"/>
        <v>225</v>
      </c>
      <c r="H219" s="33" t="s">
        <v>27</v>
      </c>
      <c r="I219" s="33" t="s">
        <v>30</v>
      </c>
      <c r="J219" s="33" t="s">
        <v>51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59" t="s">
        <v>242</v>
      </c>
      <c r="F220" s="27">
        <v>30</v>
      </c>
      <c r="G220" s="28">
        <f t="shared" si="48"/>
        <v>150</v>
      </c>
      <c r="H220" s="26" t="s">
        <v>27</v>
      </c>
      <c r="I220" s="26" t="s">
        <v>30</v>
      </c>
      <c r="J220" s="26" t="s">
        <v>210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260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59" t="s">
        <v>242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59" t="s">
        <v>242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59" t="s">
        <v>242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59" t="s">
        <v>242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59" t="s">
        <v>242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59" t="s">
        <v>242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59" t="s">
        <v>242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59" t="s">
        <v>242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59" t="s">
        <v>242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71" t="s">
        <v>243</v>
      </c>
      <c r="B230" s="172"/>
      <c r="C230" s="172"/>
      <c r="D230" s="172"/>
      <c r="E230" s="173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244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62" t="s">
        <v>242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27</v>
      </c>
      <c r="I231" s="33" t="s">
        <v>30</v>
      </c>
      <c r="J231" s="33" t="s">
        <v>210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62" t="s">
        <v>242</v>
      </c>
      <c r="F232" s="27">
        <v>37</v>
      </c>
      <c r="G232" s="28">
        <f t="shared" si="51"/>
        <v>185</v>
      </c>
      <c r="H232" s="26" t="s">
        <v>27</v>
      </c>
      <c r="I232" s="26" t="s">
        <v>30</v>
      </c>
      <c r="J232" s="26" t="s">
        <v>152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62" t="s">
        <v>242</v>
      </c>
      <c r="F233" s="27">
        <v>16</v>
      </c>
      <c r="G233" s="34">
        <f t="shared" si="51"/>
        <v>80</v>
      </c>
      <c r="H233" s="33" t="s">
        <v>27</v>
      </c>
      <c r="I233" s="33" t="s">
        <v>30</v>
      </c>
      <c r="J233" s="33" t="s">
        <v>152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62" t="s">
        <v>261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62" t="s">
        <v>261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62" t="s">
        <v>261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62" t="s">
        <v>261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62" t="s">
        <v>261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62" t="s">
        <v>261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62" t="s">
        <v>261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62" t="s">
        <v>261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62" t="s">
        <v>261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58" t="s">
        <v>246</v>
      </c>
      <c r="B243" s="159"/>
      <c r="C243" s="159"/>
      <c r="D243" s="159"/>
      <c r="E243" s="169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244</v>
      </c>
      <c r="O243" s="39">
        <v>991010</v>
      </c>
    </row>
    <row r="244" spans="1:15" ht="18" customHeight="1">
      <c r="A244" s="160" t="s">
        <v>247</v>
      </c>
      <c r="B244" s="161"/>
      <c r="C244" s="161"/>
      <c r="D244" s="161"/>
      <c r="E244" s="170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248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59" t="s">
        <v>242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27</v>
      </c>
      <c r="I245" s="33" t="s">
        <v>30</v>
      </c>
      <c r="J245" s="33" t="s">
        <v>215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59" t="s">
        <v>242</v>
      </c>
      <c r="F246" s="27">
        <v>2</v>
      </c>
      <c r="G246" s="34">
        <f t="shared" si="54"/>
        <v>10</v>
      </c>
      <c r="H246" s="33" t="s">
        <v>27</v>
      </c>
      <c r="I246" s="26" t="s">
        <v>30</v>
      </c>
      <c r="J246" s="33" t="s">
        <v>75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59" t="s">
        <v>242</v>
      </c>
      <c r="F247" s="27">
        <v>3</v>
      </c>
      <c r="G247" s="28">
        <f t="shared" si="54"/>
        <v>15</v>
      </c>
      <c r="H247" s="33" t="s">
        <v>26</v>
      </c>
      <c r="I247" s="33" t="s">
        <v>30</v>
      </c>
      <c r="J247" s="33" t="s">
        <v>74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37</v>
      </c>
      <c r="E248" s="59" t="s">
        <v>242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59" t="s">
        <v>242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262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59" t="s">
        <v>242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59" t="s">
        <v>242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59" t="s">
        <v>242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59" t="s">
        <v>242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59" t="s">
        <v>242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59" t="s">
        <v>242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59" t="s">
        <v>242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58" t="s">
        <v>243</v>
      </c>
      <c r="B257" s="159"/>
      <c r="C257" s="159"/>
      <c r="D257" s="159"/>
      <c r="E257" s="169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244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52</v>
      </c>
      <c r="D258" s="62" t="s">
        <v>263</v>
      </c>
      <c r="E258" s="62" t="s">
        <v>242</v>
      </c>
      <c r="F258" s="27">
        <v>0</v>
      </c>
      <c r="G258" s="34">
        <v>0</v>
      </c>
      <c r="H258" s="26" t="s">
        <v>26</v>
      </c>
      <c r="I258" s="26" t="s">
        <v>30</v>
      </c>
      <c r="J258" s="26" t="s">
        <v>96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52</v>
      </c>
      <c r="D259" s="62" t="s">
        <v>263</v>
      </c>
      <c r="E259" s="62" t="s">
        <v>242</v>
      </c>
      <c r="F259" s="27">
        <v>15</v>
      </c>
      <c r="G259" s="28">
        <v>75</v>
      </c>
      <c r="H259" s="50" t="s">
        <v>27</v>
      </c>
      <c r="I259" s="50" t="s">
        <v>30</v>
      </c>
      <c r="J259" s="50" t="s">
        <v>141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52</v>
      </c>
      <c r="D260" s="62" t="s">
        <v>263</v>
      </c>
      <c r="E260" s="62" t="s">
        <v>242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52</v>
      </c>
      <c r="D261" s="62" t="s">
        <v>263</v>
      </c>
      <c r="E261" s="62" t="s">
        <v>242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52</v>
      </c>
      <c r="D262" s="62" t="s">
        <v>263</v>
      </c>
      <c r="E262" s="62" t="s">
        <v>242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52</v>
      </c>
      <c r="D263" s="62" t="s">
        <v>263</v>
      </c>
      <c r="E263" s="62" t="s">
        <v>242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52</v>
      </c>
      <c r="D264" s="62" t="s">
        <v>263</v>
      </c>
      <c r="E264" s="62" t="s">
        <v>242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52</v>
      </c>
      <c r="D265" s="62" t="s">
        <v>263</v>
      </c>
      <c r="E265" s="62" t="s">
        <v>242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52</v>
      </c>
      <c r="D266" s="62" t="s">
        <v>263</v>
      </c>
      <c r="E266" s="62" t="s">
        <v>242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52</v>
      </c>
      <c r="D267" s="62" t="s">
        <v>263</v>
      </c>
      <c r="E267" s="62" t="s">
        <v>242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52</v>
      </c>
      <c r="D268" s="62" t="s">
        <v>263</v>
      </c>
      <c r="E268" s="62" t="s">
        <v>242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52</v>
      </c>
      <c r="D269" s="62" t="s">
        <v>263</v>
      </c>
      <c r="E269" s="62" t="s">
        <v>242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58" t="s">
        <v>246</v>
      </c>
      <c r="B270" s="159"/>
      <c r="C270" s="159"/>
      <c r="D270" s="159"/>
      <c r="E270" s="169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244</v>
      </c>
      <c r="O270" s="39">
        <v>1544700</v>
      </c>
    </row>
    <row r="271" spans="1:15" ht="18" customHeight="1">
      <c r="A271" s="160" t="s">
        <v>247</v>
      </c>
      <c r="B271" s="161"/>
      <c r="C271" s="161"/>
      <c r="D271" s="161"/>
      <c r="E271" s="170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248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36</v>
      </c>
      <c r="D272" s="59" t="s">
        <v>263</v>
      </c>
      <c r="E272" s="59" t="s">
        <v>242</v>
      </c>
      <c r="F272" s="27">
        <v>37</v>
      </c>
      <c r="G272" s="28">
        <v>185</v>
      </c>
      <c r="H272" s="26" t="s">
        <v>25</v>
      </c>
      <c r="I272" s="26" t="s">
        <v>30</v>
      </c>
      <c r="J272" s="26" t="s">
        <v>174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36</v>
      </c>
      <c r="D273" s="59" t="s">
        <v>263</v>
      </c>
      <c r="E273" s="59" t="s">
        <v>242</v>
      </c>
      <c r="F273" s="27">
        <v>31</v>
      </c>
      <c r="G273" s="34">
        <v>155</v>
      </c>
      <c r="H273" s="33" t="s">
        <v>27</v>
      </c>
      <c r="I273" s="33" t="s">
        <v>30</v>
      </c>
      <c r="J273" s="33" t="s">
        <v>141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36</v>
      </c>
      <c r="D274" s="59" t="s">
        <v>263</v>
      </c>
      <c r="E274" s="59" t="s">
        <v>242</v>
      </c>
      <c r="F274" s="27">
        <v>20</v>
      </c>
      <c r="G274" s="28">
        <v>100</v>
      </c>
      <c r="H274" s="26" t="s">
        <v>26</v>
      </c>
      <c r="I274" s="26" t="s">
        <v>30</v>
      </c>
      <c r="J274" s="26" t="s">
        <v>74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36</v>
      </c>
      <c r="D275" s="59" t="s">
        <v>263</v>
      </c>
      <c r="E275" s="59" t="s">
        <v>242</v>
      </c>
      <c r="F275" s="27">
        <v>8</v>
      </c>
      <c r="G275" s="34">
        <v>40</v>
      </c>
      <c r="H275" s="33" t="s">
        <v>27</v>
      </c>
      <c r="I275" s="33" t="s">
        <v>30</v>
      </c>
      <c r="J275" s="33" t="s">
        <v>215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36</v>
      </c>
      <c r="D276" s="59" t="s">
        <v>263</v>
      </c>
      <c r="E276" s="59" t="s">
        <v>242</v>
      </c>
      <c r="F276" s="27">
        <v>35</v>
      </c>
      <c r="G276" s="28">
        <v>175</v>
      </c>
      <c r="H276" s="26" t="s">
        <v>26</v>
      </c>
      <c r="I276" s="26" t="s">
        <v>30</v>
      </c>
      <c r="J276" s="26" t="s">
        <v>57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36</v>
      </c>
      <c r="D277" s="59" t="s">
        <v>263</v>
      </c>
      <c r="E277" s="59" t="s">
        <v>242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264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36</v>
      </c>
      <c r="D278" s="59" t="s">
        <v>263</v>
      </c>
      <c r="E278" s="59" t="s">
        <v>242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36</v>
      </c>
      <c r="D279" s="59" t="s">
        <v>263</v>
      </c>
      <c r="E279" s="59" t="s">
        <v>242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36</v>
      </c>
      <c r="D280" s="59" t="s">
        <v>263</v>
      </c>
      <c r="E280" s="59" t="s">
        <v>242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36</v>
      </c>
      <c r="D281" s="59" t="s">
        <v>263</v>
      </c>
      <c r="E281" s="59" t="s">
        <v>242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36</v>
      </c>
      <c r="D282" s="59" t="s">
        <v>263</v>
      </c>
      <c r="E282" s="59" t="s">
        <v>242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36</v>
      </c>
      <c r="D283" s="59" t="s">
        <v>263</v>
      </c>
      <c r="E283" s="59" t="s">
        <v>242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58" t="s">
        <v>243</v>
      </c>
      <c r="B284" s="159"/>
      <c r="C284" s="159"/>
      <c r="D284" s="159"/>
      <c r="E284" s="169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244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52</v>
      </c>
      <c r="D285" s="62" t="s">
        <v>263</v>
      </c>
      <c r="E285" s="62" t="s">
        <v>258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52</v>
      </c>
      <c r="D286" s="62" t="s">
        <v>263</v>
      </c>
      <c r="E286" s="62" t="s">
        <v>258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52</v>
      </c>
      <c r="D287" s="62" t="s">
        <v>263</v>
      </c>
      <c r="E287" s="62" t="s">
        <v>258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52</v>
      </c>
      <c r="D288" s="62" t="s">
        <v>263</v>
      </c>
      <c r="E288" s="62" t="s">
        <v>258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52</v>
      </c>
      <c r="D289" s="62" t="s">
        <v>263</v>
      </c>
      <c r="E289" s="62" t="s">
        <v>258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52</v>
      </c>
      <c r="D290" s="62" t="s">
        <v>263</v>
      </c>
      <c r="E290" s="62" t="s">
        <v>258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52</v>
      </c>
      <c r="D291" s="62" t="s">
        <v>263</v>
      </c>
      <c r="E291" s="62" t="s">
        <v>258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52</v>
      </c>
      <c r="D292" s="62" t="s">
        <v>263</v>
      </c>
      <c r="E292" s="62" t="s">
        <v>258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52</v>
      </c>
      <c r="D293" s="62" t="s">
        <v>263</v>
      </c>
      <c r="E293" s="62" t="s">
        <v>258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52</v>
      </c>
      <c r="D294" s="62" t="s">
        <v>263</v>
      </c>
      <c r="E294" s="62" t="s">
        <v>258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52</v>
      </c>
      <c r="D295" s="62" t="s">
        <v>263</v>
      </c>
      <c r="E295" s="62" t="s">
        <v>258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52</v>
      </c>
      <c r="D296" s="62" t="s">
        <v>263</v>
      </c>
      <c r="E296" s="62" t="s">
        <v>258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58" t="s">
        <v>246</v>
      </c>
      <c r="B297" s="159"/>
      <c r="C297" s="159"/>
      <c r="D297" s="159"/>
      <c r="E297" s="169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244</v>
      </c>
      <c r="O297" s="39">
        <v>1715230</v>
      </c>
    </row>
    <row r="298" spans="1:15" ht="18" customHeight="1">
      <c r="A298" s="160" t="s">
        <v>247</v>
      </c>
      <c r="B298" s="161"/>
      <c r="C298" s="161"/>
      <c r="D298" s="161"/>
      <c r="E298" s="170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248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242</v>
      </c>
      <c r="F299" s="27">
        <v>37</v>
      </c>
      <c r="G299" s="34">
        <v>185</v>
      </c>
      <c r="H299" s="33" t="s">
        <v>25</v>
      </c>
      <c r="I299" s="33" t="s">
        <v>30</v>
      </c>
      <c r="J299" s="33" t="s">
        <v>231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36</v>
      </c>
      <c r="D300" s="62" t="s">
        <v>37</v>
      </c>
      <c r="E300" s="62" t="s">
        <v>242</v>
      </c>
      <c r="F300" s="27">
        <v>31</v>
      </c>
      <c r="G300" s="28">
        <v>155</v>
      </c>
      <c r="H300" s="26" t="s">
        <v>27</v>
      </c>
      <c r="I300" s="26" t="s">
        <v>30</v>
      </c>
      <c r="J300" s="26" t="s">
        <v>141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36</v>
      </c>
      <c r="D301" s="62" t="s">
        <v>37</v>
      </c>
      <c r="E301" s="62" t="s">
        <v>242</v>
      </c>
      <c r="F301" s="27">
        <v>35</v>
      </c>
      <c r="G301" s="34">
        <v>175</v>
      </c>
      <c r="H301" s="33" t="s">
        <v>25</v>
      </c>
      <c r="I301" s="33" t="s">
        <v>30</v>
      </c>
      <c r="J301" s="33" t="s">
        <v>41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36</v>
      </c>
      <c r="D302" s="62" t="s">
        <v>37</v>
      </c>
      <c r="E302" s="62" t="s">
        <v>242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265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36</v>
      </c>
      <c r="D303" s="62" t="s">
        <v>37</v>
      </c>
      <c r="E303" s="62" t="s">
        <v>242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36</v>
      </c>
      <c r="D304" s="62" t="s">
        <v>37</v>
      </c>
      <c r="E304" s="62" t="s">
        <v>242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36</v>
      </c>
      <c r="D305" s="62" t="s">
        <v>37</v>
      </c>
      <c r="E305" s="62" t="s">
        <v>242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36</v>
      </c>
      <c r="D306" s="62" t="s">
        <v>37</v>
      </c>
      <c r="E306" s="62" t="s">
        <v>242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36</v>
      </c>
      <c r="D307" s="62" t="s">
        <v>37</v>
      </c>
      <c r="E307" s="62" t="s">
        <v>242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36</v>
      </c>
      <c r="D308" s="62" t="s">
        <v>37</v>
      </c>
      <c r="E308" s="62" t="s">
        <v>242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36</v>
      </c>
      <c r="D309" s="62" t="s">
        <v>37</v>
      </c>
      <c r="E309" s="62" t="s">
        <v>242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36</v>
      </c>
      <c r="D310" s="62" t="s">
        <v>37</v>
      </c>
      <c r="E310" s="62" t="s">
        <v>242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58" t="s">
        <v>243</v>
      </c>
      <c r="B311" s="159"/>
      <c r="C311" s="159"/>
      <c r="D311" s="159"/>
      <c r="E311" s="169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244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62" t="s">
        <v>242</v>
      </c>
      <c r="F312" s="27">
        <v>0</v>
      </c>
      <c r="G312" s="28">
        <v>0</v>
      </c>
      <c r="H312" s="26" t="s">
        <v>25</v>
      </c>
      <c r="I312" s="26" t="s">
        <v>30</v>
      </c>
      <c r="J312" s="26" t="s">
        <v>41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28</v>
      </c>
      <c r="D313" s="59" t="s">
        <v>37</v>
      </c>
      <c r="E313" s="62" t="s">
        <v>242</v>
      </c>
      <c r="F313" s="27">
        <v>0</v>
      </c>
      <c r="G313" s="28">
        <v>0</v>
      </c>
      <c r="H313" s="33" t="s">
        <v>23</v>
      </c>
      <c r="I313" s="33"/>
      <c r="J313" s="33" t="s">
        <v>31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28</v>
      </c>
      <c r="D314" s="59" t="s">
        <v>37</v>
      </c>
      <c r="E314" s="62" t="s">
        <v>242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28</v>
      </c>
      <c r="D315" s="59" t="s">
        <v>37</v>
      </c>
      <c r="E315" s="62" t="s">
        <v>242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28</v>
      </c>
      <c r="D316" s="59" t="s">
        <v>37</v>
      </c>
      <c r="E316" s="62" t="s">
        <v>242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28</v>
      </c>
      <c r="D317" s="59" t="s">
        <v>37</v>
      </c>
      <c r="E317" s="62" t="s">
        <v>242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28</v>
      </c>
      <c r="D318" s="59" t="s">
        <v>37</v>
      </c>
      <c r="E318" s="62" t="s">
        <v>242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28</v>
      </c>
      <c r="D319" s="59" t="s">
        <v>37</v>
      </c>
      <c r="E319" s="62" t="s">
        <v>242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28</v>
      </c>
      <c r="D320" s="59" t="s">
        <v>37</v>
      </c>
      <c r="E320" s="62" t="s">
        <v>242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28</v>
      </c>
      <c r="D321" s="59" t="s">
        <v>37</v>
      </c>
      <c r="E321" s="62" t="s">
        <v>242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28</v>
      </c>
      <c r="D322" s="59" t="s">
        <v>37</v>
      </c>
      <c r="E322" s="62" t="s">
        <v>242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28</v>
      </c>
      <c r="D323" s="59" t="s">
        <v>37</v>
      </c>
      <c r="E323" s="62" t="s">
        <v>242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58" t="s">
        <v>246</v>
      </c>
      <c r="B324" s="159"/>
      <c r="C324" s="159"/>
      <c r="D324" s="159"/>
      <c r="E324" s="169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244</v>
      </c>
      <c r="O324" s="39">
        <v>2216340</v>
      </c>
    </row>
    <row r="325" spans="1:15" ht="18" customHeight="1">
      <c r="A325" s="160" t="s">
        <v>247</v>
      </c>
      <c r="B325" s="161"/>
      <c r="C325" s="161"/>
      <c r="D325" s="161"/>
      <c r="E325" s="170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248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36</v>
      </c>
      <c r="D326" s="59" t="s">
        <v>37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27</v>
      </c>
      <c r="I326" s="26" t="s">
        <v>30</v>
      </c>
      <c r="J326" s="26" t="s">
        <v>141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36</v>
      </c>
      <c r="D327" s="59" t="s">
        <v>37</v>
      </c>
      <c r="E327" s="59"/>
      <c r="F327" s="27"/>
      <c r="G327" s="34" t="str">
        <f t="shared" si="67"/>
        <v/>
      </c>
      <c r="H327" s="33" t="s">
        <v>27</v>
      </c>
      <c r="I327" s="33" t="s">
        <v>30</v>
      </c>
      <c r="J327" s="33" t="s">
        <v>210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36</v>
      </c>
      <c r="D328" s="59" t="s">
        <v>37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266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36</v>
      </c>
      <c r="D329" s="59" t="s">
        <v>37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36</v>
      </c>
      <c r="D330" s="59" t="s">
        <v>37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36</v>
      </c>
      <c r="D331" s="59" t="s">
        <v>37</v>
      </c>
      <c r="E331" s="59" t="s">
        <v>242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36</v>
      </c>
      <c r="D332" s="59" t="s">
        <v>37</v>
      </c>
      <c r="E332" s="59" t="s">
        <v>242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36</v>
      </c>
      <c r="D333" s="59" t="s">
        <v>37</v>
      </c>
      <c r="E333" s="59" t="s">
        <v>242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267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36</v>
      </c>
      <c r="D334" s="59" t="s">
        <v>37</v>
      </c>
      <c r="E334" s="59" t="s">
        <v>242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36</v>
      </c>
      <c r="D335" s="59" t="s">
        <v>37</v>
      </c>
      <c r="E335" s="59" t="s">
        <v>242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36</v>
      </c>
      <c r="D336" s="59" t="s">
        <v>37</v>
      </c>
      <c r="E336" s="59" t="s">
        <v>242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36</v>
      </c>
      <c r="D337" s="59" t="s">
        <v>37</v>
      </c>
      <c r="E337" s="59" t="s">
        <v>242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58" t="s">
        <v>243</v>
      </c>
      <c r="B338" s="159"/>
      <c r="C338" s="159"/>
      <c r="D338" s="159"/>
      <c r="E338" s="169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244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28</v>
      </c>
      <c r="D339" s="62" t="s">
        <v>37</v>
      </c>
      <c r="E339" s="62" t="s">
        <v>242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27</v>
      </c>
      <c r="I339" s="33" t="s">
        <v>30</v>
      </c>
      <c r="J339" s="33" t="s">
        <v>43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28</v>
      </c>
      <c r="D340" s="62" t="s">
        <v>37</v>
      </c>
      <c r="E340" s="62" t="s">
        <v>242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28</v>
      </c>
      <c r="D341" s="62" t="s">
        <v>37</v>
      </c>
      <c r="E341" s="62" t="s">
        <v>242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28</v>
      </c>
      <c r="D342" s="62" t="s">
        <v>37</v>
      </c>
      <c r="E342" s="62" t="s">
        <v>242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28</v>
      </c>
      <c r="D343" s="62" t="s">
        <v>37</v>
      </c>
      <c r="E343" s="62" t="s">
        <v>242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28</v>
      </c>
      <c r="D344" s="62" t="s">
        <v>37</v>
      </c>
      <c r="E344" s="62" t="s">
        <v>242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28</v>
      </c>
      <c r="D345" s="62" t="s">
        <v>37</v>
      </c>
      <c r="E345" s="62" t="s">
        <v>242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28</v>
      </c>
      <c r="D346" s="62" t="s">
        <v>37</v>
      </c>
      <c r="E346" s="62" t="s">
        <v>242</v>
      </c>
      <c r="F346" s="27">
        <v>35</v>
      </c>
      <c r="G346" s="28">
        <f t="shared" si="70"/>
        <v>175</v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28</v>
      </c>
      <c r="D347" s="62" t="s">
        <v>37</v>
      </c>
      <c r="E347" s="62" t="s">
        <v>242</v>
      </c>
      <c r="F347" s="27">
        <v>30</v>
      </c>
      <c r="G347" s="34">
        <f t="shared" si="70"/>
        <v>150</v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28</v>
      </c>
      <c r="D348" s="62" t="s">
        <v>37</v>
      </c>
      <c r="E348" s="62" t="s">
        <v>242</v>
      </c>
      <c r="F348" s="27">
        <v>25</v>
      </c>
      <c r="G348" s="28">
        <f t="shared" si="70"/>
        <v>125</v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28</v>
      </c>
      <c r="D349" s="62" t="s">
        <v>37</v>
      </c>
      <c r="E349" s="62" t="s">
        <v>242</v>
      </c>
      <c r="F349" s="27">
        <v>25</v>
      </c>
      <c r="G349" s="34">
        <f t="shared" si="70"/>
        <v>125</v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28</v>
      </c>
      <c r="D350" s="62" t="s">
        <v>37</v>
      </c>
      <c r="E350" s="62" t="s">
        <v>242</v>
      </c>
      <c r="F350" s="27">
        <v>25</v>
      </c>
      <c r="G350" s="28">
        <f t="shared" si="70"/>
        <v>125</v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58" t="s">
        <v>246</v>
      </c>
      <c r="B351" s="159"/>
      <c r="C351" s="159"/>
      <c r="D351" s="159"/>
      <c r="E351" s="169">
        <f>SUM(E339:E350)</f>
        <v>0</v>
      </c>
      <c r="F351" s="36">
        <f>SUM(F339:F350)</f>
        <v>315</v>
      </c>
      <c r="G351" s="36">
        <f>SUM(G339:G350)</f>
        <v>1575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244</v>
      </c>
      <c r="O351" s="39">
        <v>2154990</v>
      </c>
    </row>
    <row r="352" spans="1:15" ht="18" customHeight="1">
      <c r="A352" s="160" t="s">
        <v>247</v>
      </c>
      <c r="B352" s="161"/>
      <c r="C352" s="161"/>
      <c r="D352" s="161"/>
      <c r="E352" s="170">
        <f>E338+E351</f>
        <v>0</v>
      </c>
      <c r="F352" s="40">
        <f>F338+F351</f>
        <v>547</v>
      </c>
      <c r="G352" s="40">
        <f>G338+G351</f>
        <v>2735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248</v>
      </c>
      <c r="O352" s="48">
        <f>IFERROR(O338+O351,"")</f>
        <v>4080780</v>
      </c>
    </row>
    <row r="353" spans="1:15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62" t="s">
        <v>242</v>
      </c>
      <c r="F353" s="27">
        <v>36</v>
      </c>
      <c r="G353" s="34">
        <f t="shared" ref="G353:G364" si="73">IF(F353="","",IF(E353="PC 17",F353*4.2,IF(E353="PC 19",F353*5,IF(E353="CB",F353*35,""))))</f>
        <v>180</v>
      </c>
      <c r="H353" s="33" t="s">
        <v>27</v>
      </c>
      <c r="I353" s="33" t="s">
        <v>30</v>
      </c>
      <c r="J353" s="33" t="s">
        <v>51</v>
      </c>
      <c r="K353" s="29">
        <v>0.40833333333333333</v>
      </c>
      <c r="L353" s="29">
        <v>0.41249999999999998</v>
      </c>
      <c r="M353" s="35">
        <f t="shared" ref="M353:M364" ca="1" si="74">IFERROR(IF(K353="","",IF(L353="",MOD(NOW()-K353,1),IF(L353&gt;=K353,L353-K353,L353+1-K353))),"")</f>
        <v>4.1666666666666519E-3</v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 t="s">
        <v>36</v>
      </c>
      <c r="D354" s="62" t="s">
        <v>29</v>
      </c>
      <c r="E354" s="62" t="s">
        <v>242</v>
      </c>
      <c r="F354" s="27">
        <v>25</v>
      </c>
      <c r="G354" s="28">
        <f t="shared" si="73"/>
        <v>125</v>
      </c>
      <c r="H354" s="26" t="s">
        <v>27</v>
      </c>
      <c r="I354" s="26" t="s">
        <v>30</v>
      </c>
      <c r="J354" s="26" t="s">
        <v>141</v>
      </c>
      <c r="K354" s="29">
        <v>0.46527777777777779</v>
      </c>
      <c r="L354" s="29">
        <v>0.50277777777777777</v>
      </c>
      <c r="M354" s="30">
        <f t="shared" ca="1" si="74"/>
        <v>3.7499999999999978E-2</v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 t="s">
        <v>36</v>
      </c>
      <c r="D355" s="62" t="s">
        <v>29</v>
      </c>
      <c r="E355" s="62" t="s">
        <v>242</v>
      </c>
      <c r="F355" s="27">
        <v>35</v>
      </c>
      <c r="G355" s="34">
        <f t="shared" si="73"/>
        <v>175</v>
      </c>
      <c r="H355" s="33" t="s">
        <v>27</v>
      </c>
      <c r="I355" s="33" t="s">
        <v>30</v>
      </c>
      <c r="J355" s="33" t="s">
        <v>51</v>
      </c>
      <c r="K355" s="29">
        <v>0.52638888888888891</v>
      </c>
      <c r="L355" s="29">
        <v>0.52916666666666667</v>
      </c>
      <c r="M355" s="35">
        <f t="shared" ca="1" si="74"/>
        <v>2.7777777777777679E-3</v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 t="s">
        <v>36</v>
      </c>
      <c r="D356" s="62" t="s">
        <v>29</v>
      </c>
      <c r="E356" s="62" t="s">
        <v>242</v>
      </c>
      <c r="F356" s="27">
        <v>32</v>
      </c>
      <c r="G356" s="28">
        <f t="shared" si="73"/>
        <v>160</v>
      </c>
      <c r="H356" s="26" t="s">
        <v>27</v>
      </c>
      <c r="I356" s="26" t="s">
        <v>30</v>
      </c>
      <c r="J356" s="26" t="s">
        <v>51</v>
      </c>
      <c r="K356" s="29">
        <v>0.55000000000000004</v>
      </c>
      <c r="L356" s="29">
        <v>0.55277777777777781</v>
      </c>
      <c r="M356" s="30">
        <f t="shared" ca="1" si="74"/>
        <v>2.7777777777777679E-3</v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 t="s">
        <v>36</v>
      </c>
      <c r="D357" s="62" t="s">
        <v>29</v>
      </c>
      <c r="E357" s="62" t="s">
        <v>242</v>
      </c>
      <c r="F357" s="27">
        <v>35</v>
      </c>
      <c r="G357" s="34">
        <f t="shared" si="73"/>
        <v>175</v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 t="s">
        <v>36</v>
      </c>
      <c r="D358" s="62" t="s">
        <v>29</v>
      </c>
      <c r="E358" s="62" t="s">
        <v>242</v>
      </c>
      <c r="F358" s="27">
        <v>40</v>
      </c>
      <c r="G358" s="28">
        <f t="shared" si="73"/>
        <v>200</v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 t="s">
        <v>36</v>
      </c>
      <c r="D359" s="62" t="s">
        <v>29</v>
      </c>
      <c r="E359" s="62" t="s">
        <v>258</v>
      </c>
      <c r="F359" s="27">
        <v>42</v>
      </c>
      <c r="G359" s="34">
        <f t="shared" si="73"/>
        <v>176.4</v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 t="s">
        <v>36</v>
      </c>
      <c r="D360" s="62" t="s">
        <v>29</v>
      </c>
      <c r="E360" s="62" t="s">
        <v>242</v>
      </c>
      <c r="F360" s="27">
        <v>47</v>
      </c>
      <c r="G360" s="28">
        <f t="shared" si="73"/>
        <v>235</v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 t="s">
        <v>36</v>
      </c>
      <c r="D361" s="62" t="s">
        <v>29</v>
      </c>
      <c r="E361" s="62" t="s">
        <v>242</v>
      </c>
      <c r="F361" s="27">
        <v>32</v>
      </c>
      <c r="G361" s="34">
        <f t="shared" si="73"/>
        <v>160</v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 t="s">
        <v>36</v>
      </c>
      <c r="D362" s="62" t="s">
        <v>29</v>
      </c>
      <c r="E362" s="62" t="s">
        <v>242</v>
      </c>
      <c r="F362" s="27">
        <v>20</v>
      </c>
      <c r="G362" s="28">
        <f t="shared" si="73"/>
        <v>100</v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 t="s">
        <v>36</v>
      </c>
      <c r="D363" s="62" t="s">
        <v>29</v>
      </c>
      <c r="E363" s="62" t="s">
        <v>242</v>
      </c>
      <c r="F363" s="27">
        <v>41</v>
      </c>
      <c r="G363" s="34">
        <f t="shared" si="73"/>
        <v>205</v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 t="s">
        <v>36</v>
      </c>
      <c r="D364" s="62" t="s">
        <v>29</v>
      </c>
      <c r="E364" s="62" t="s">
        <v>242</v>
      </c>
      <c r="F364" s="27">
        <v>15</v>
      </c>
      <c r="G364" s="28">
        <f t="shared" si="73"/>
        <v>75</v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58" t="s">
        <v>243</v>
      </c>
      <c r="B365" s="159"/>
      <c r="C365" s="159"/>
      <c r="D365" s="159"/>
      <c r="E365" s="169">
        <f>SUM(E353:E364)</f>
        <v>0</v>
      </c>
      <c r="F365" s="36">
        <f>SUM(F353:F364)</f>
        <v>400</v>
      </c>
      <c r="G365" s="36">
        <f>SUM(G353:G364)</f>
        <v>1966.4</v>
      </c>
      <c r="H365" s="37"/>
      <c r="I365" s="37"/>
      <c r="J365" s="37"/>
      <c r="K365" s="37"/>
      <c r="L365" s="37"/>
      <c r="M365" s="38">
        <f ca="1">IFERROR(SUM(M353:M364),"")</f>
        <v>4.7222222222222165E-2</v>
      </c>
      <c r="N365" s="36" t="s">
        <v>244</v>
      </c>
      <c r="O365" s="39">
        <v>2315280</v>
      </c>
    </row>
    <row r="366" spans="1:15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59" t="s">
        <v>242</v>
      </c>
      <c r="F366" s="27">
        <v>40</v>
      </c>
      <c r="G366" s="28">
        <f t="shared" ref="G366:G377" si="76">IF(F366="","",IF(E366="PC 17",F366*4.2,IF(E366="PC 19",F366*5,IF(E366="CB",F366*35,""))))</f>
        <v>200</v>
      </c>
      <c r="H366" s="26" t="s">
        <v>27</v>
      </c>
      <c r="I366" s="26" t="s">
        <v>30</v>
      </c>
      <c r="J366" s="26" t="s">
        <v>58</v>
      </c>
      <c r="K366" s="29">
        <v>0.90625</v>
      </c>
      <c r="L366" s="29">
        <v>0.93055555555555558</v>
      </c>
      <c r="M366" s="30">
        <f t="shared" ref="M366:M377" ca="1" si="77">IFERROR(IF(K366="","",IF(L366="",MOD(NOW()-K366,1),IF(L366&gt;=K366,L366-K366,L366+1-K366))),"")</f>
        <v>2.430555555555558E-2</v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 t="s">
        <v>28</v>
      </c>
      <c r="D367" s="59" t="s">
        <v>29</v>
      </c>
      <c r="E367" s="59" t="s">
        <v>242</v>
      </c>
      <c r="F367" s="27">
        <v>45</v>
      </c>
      <c r="G367" s="34">
        <f t="shared" si="76"/>
        <v>225</v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 t="s">
        <v>28</v>
      </c>
      <c r="D368" s="59" t="s">
        <v>29</v>
      </c>
      <c r="E368" s="59" t="s">
        <v>242</v>
      </c>
      <c r="F368" s="27">
        <v>30</v>
      </c>
      <c r="G368" s="28">
        <f t="shared" si="76"/>
        <v>150</v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 t="s">
        <v>28</v>
      </c>
      <c r="D369" s="59" t="s">
        <v>29</v>
      </c>
      <c r="E369" s="59" t="s">
        <v>242</v>
      </c>
      <c r="F369" s="27">
        <v>30</v>
      </c>
      <c r="G369" s="34">
        <f t="shared" si="76"/>
        <v>150</v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 t="s">
        <v>28</v>
      </c>
      <c r="D370" s="59" t="s">
        <v>29</v>
      </c>
      <c r="E370" s="59" t="s">
        <v>242</v>
      </c>
      <c r="F370" s="27">
        <v>15</v>
      </c>
      <c r="G370" s="28">
        <f t="shared" si="76"/>
        <v>75</v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 t="s">
        <v>28</v>
      </c>
      <c r="D371" s="59" t="s">
        <v>29</v>
      </c>
      <c r="E371" s="59" t="s">
        <v>242</v>
      </c>
      <c r="F371" s="27">
        <v>40</v>
      </c>
      <c r="G371" s="34">
        <f t="shared" si="76"/>
        <v>200</v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 t="s">
        <v>28</v>
      </c>
      <c r="D372" s="59" t="s">
        <v>29</v>
      </c>
      <c r="E372" s="59" t="s">
        <v>242</v>
      </c>
      <c r="F372" s="27">
        <v>40</v>
      </c>
      <c r="G372" s="28">
        <f t="shared" si="76"/>
        <v>200</v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 t="s">
        <v>28</v>
      </c>
      <c r="D373" s="59" t="s">
        <v>29</v>
      </c>
      <c r="E373" s="59" t="s">
        <v>242</v>
      </c>
      <c r="F373" s="27">
        <v>40</v>
      </c>
      <c r="G373" s="34">
        <f t="shared" si="76"/>
        <v>200</v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 t="s">
        <v>28</v>
      </c>
      <c r="D374" s="59" t="s">
        <v>29</v>
      </c>
      <c r="E374" s="59" t="s">
        <v>242</v>
      </c>
      <c r="F374" s="27">
        <v>60</v>
      </c>
      <c r="G374" s="28">
        <f t="shared" si="76"/>
        <v>300</v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 t="s">
        <v>28</v>
      </c>
      <c r="D375" s="59" t="s">
        <v>29</v>
      </c>
      <c r="E375" s="59" t="s">
        <v>242</v>
      </c>
      <c r="F375" s="27">
        <v>35</v>
      </c>
      <c r="G375" s="34">
        <f t="shared" si="76"/>
        <v>175</v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 t="s">
        <v>28</v>
      </c>
      <c r="D376" s="59" t="s">
        <v>29</v>
      </c>
      <c r="E376" s="59" t="s">
        <v>242</v>
      </c>
      <c r="F376" s="27">
        <v>40</v>
      </c>
      <c r="G376" s="28">
        <f t="shared" si="76"/>
        <v>200</v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 t="s">
        <v>28</v>
      </c>
      <c r="D377" s="59" t="s">
        <v>29</v>
      </c>
      <c r="E377" s="59" t="s">
        <v>242</v>
      </c>
      <c r="F377" s="27">
        <v>32</v>
      </c>
      <c r="G377" s="34">
        <f t="shared" si="76"/>
        <v>160</v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58" t="s">
        <v>246</v>
      </c>
      <c r="B378" s="159"/>
      <c r="C378" s="159"/>
      <c r="D378" s="159"/>
      <c r="E378" s="169">
        <f>SUM(E366:E377)</f>
        <v>0</v>
      </c>
      <c r="F378" s="36">
        <f>SUM(F366:F377)</f>
        <v>447</v>
      </c>
      <c r="G378" s="36">
        <f>SUM(G366:G377)</f>
        <v>2235</v>
      </c>
      <c r="H378" s="37"/>
      <c r="I378" s="37"/>
      <c r="J378" s="37"/>
      <c r="K378" s="37"/>
      <c r="L378" s="37"/>
      <c r="M378" s="38">
        <f ca="1">IFERROR(SUM(M366:M377),"")</f>
        <v>2.430555555555558E-2</v>
      </c>
      <c r="N378" s="36" t="s">
        <v>244</v>
      </c>
      <c r="O378" s="39">
        <v>2614830</v>
      </c>
    </row>
    <row r="379" spans="1:15" ht="18" customHeight="1">
      <c r="A379" s="160" t="s">
        <v>247</v>
      </c>
      <c r="B379" s="161"/>
      <c r="C379" s="161"/>
      <c r="D379" s="161"/>
      <c r="E379" s="170">
        <f>E365+E378</f>
        <v>0</v>
      </c>
      <c r="F379" s="40">
        <f>F365+F378</f>
        <v>847</v>
      </c>
      <c r="G379" s="40">
        <f>G365+G378</f>
        <v>4201.3999999999996</v>
      </c>
      <c r="H379" s="41"/>
      <c r="I379" s="41"/>
      <c r="J379" s="41"/>
      <c r="K379" s="41"/>
      <c r="L379" s="41"/>
      <c r="M379" s="42">
        <f ca="1">IFERROR(M365+M378,"")</f>
        <v>7.1527777777777746E-2</v>
      </c>
      <c r="N379" s="40" t="s">
        <v>248</v>
      </c>
      <c r="O379" s="48">
        <f>IFERROR(O365+O378,"")</f>
        <v>4930110</v>
      </c>
    </row>
    <row r="380" spans="1:15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59" t="s">
        <v>242</v>
      </c>
      <c r="F380" s="27">
        <v>20</v>
      </c>
      <c r="G380" s="28">
        <f t="shared" ref="G380:G391" si="79">IF(F380="","",IF(E380="PC 17",F380*4.2,IF(E380="PC 19",F380*5,IF(E380="CB",F380*35,""))))</f>
        <v>100</v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 t="s">
        <v>52</v>
      </c>
      <c r="D381" s="59" t="s">
        <v>29</v>
      </c>
      <c r="E381" s="59" t="s">
        <v>242</v>
      </c>
      <c r="F381" s="27">
        <v>7</v>
      </c>
      <c r="G381" s="34">
        <f t="shared" si="79"/>
        <v>35</v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 t="s">
        <v>52</v>
      </c>
      <c r="D382" s="59" t="s">
        <v>29</v>
      </c>
      <c r="E382" s="20" t="s">
        <v>242</v>
      </c>
      <c r="F382" s="27">
        <v>13</v>
      </c>
      <c r="G382" s="28">
        <f>IF(F382="","",IF(E383="PC 17",F382*4.2,IF(E383="PC 19",F382*5,IF(E383="CB",F382*35,""))))</f>
        <v>65</v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 t="s">
        <v>52</v>
      </c>
      <c r="D383" s="59" t="s">
        <v>29</v>
      </c>
      <c r="E383" s="59" t="s">
        <v>242</v>
      </c>
      <c r="F383" s="27">
        <v>3</v>
      </c>
      <c r="G383" s="34">
        <v>30</v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 t="s">
        <v>52</v>
      </c>
      <c r="D384" s="59" t="s">
        <v>29</v>
      </c>
      <c r="E384" s="59" t="s">
        <v>242</v>
      </c>
      <c r="F384" s="27">
        <v>6</v>
      </c>
      <c r="G384" s="28">
        <f t="shared" si="79"/>
        <v>30</v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 t="s">
        <v>52</v>
      </c>
      <c r="D385" s="59" t="s">
        <v>29</v>
      </c>
      <c r="E385" s="59" t="s">
        <v>242</v>
      </c>
      <c r="F385" s="27">
        <v>12</v>
      </c>
      <c r="G385" s="34">
        <f t="shared" si="79"/>
        <v>60</v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 t="s">
        <v>52</v>
      </c>
      <c r="D386" s="59" t="s">
        <v>29</v>
      </c>
      <c r="E386" s="59" t="s">
        <v>242</v>
      </c>
      <c r="F386" s="27">
        <v>50</v>
      </c>
      <c r="G386" s="28">
        <f t="shared" si="79"/>
        <v>250</v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 t="s">
        <v>52</v>
      </c>
      <c r="D387" s="59" t="s">
        <v>29</v>
      </c>
      <c r="E387" s="59" t="s">
        <v>242</v>
      </c>
      <c r="F387" s="27">
        <v>42</v>
      </c>
      <c r="G387" s="34">
        <f t="shared" si="79"/>
        <v>210</v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 t="s">
        <v>52</v>
      </c>
      <c r="D388" s="59" t="s">
        <v>29</v>
      </c>
      <c r="E388" s="59" t="s">
        <v>242</v>
      </c>
      <c r="F388" s="27">
        <v>43</v>
      </c>
      <c r="G388" s="28">
        <f t="shared" si="79"/>
        <v>215</v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 t="s">
        <v>52</v>
      </c>
      <c r="D389" s="59" t="s">
        <v>29</v>
      </c>
      <c r="E389" s="59" t="s">
        <v>242</v>
      </c>
      <c r="F389" s="27">
        <v>31</v>
      </c>
      <c r="G389" s="34">
        <f t="shared" si="79"/>
        <v>155</v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 t="s">
        <v>52</v>
      </c>
      <c r="D390" s="59" t="s">
        <v>29</v>
      </c>
      <c r="E390" s="59" t="s">
        <v>242</v>
      </c>
      <c r="F390" s="27">
        <v>30</v>
      </c>
      <c r="G390" s="28">
        <f t="shared" si="79"/>
        <v>150</v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 t="s">
        <v>52</v>
      </c>
      <c r="D391" s="59" t="s">
        <v>29</v>
      </c>
      <c r="E391" s="59" t="s">
        <v>242</v>
      </c>
      <c r="F391" s="27">
        <v>23</v>
      </c>
      <c r="G391" s="34">
        <f t="shared" si="79"/>
        <v>115</v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58" t="s">
        <v>243</v>
      </c>
      <c r="B392" s="159"/>
      <c r="C392" s="159"/>
      <c r="D392" s="159"/>
      <c r="E392" s="169">
        <f>SUM(E380:E391)</f>
        <v>0</v>
      </c>
      <c r="F392" s="36">
        <f>SUM(F380:F391)</f>
        <v>280</v>
      </c>
      <c r="G392" s="36">
        <f>SUM(G380:G391)</f>
        <v>1415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244</v>
      </c>
      <c r="O392" s="39">
        <v>2491620</v>
      </c>
    </row>
    <row r="393" spans="1:15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62" t="s">
        <v>242</v>
      </c>
      <c r="F393" s="27">
        <v>45</v>
      </c>
      <c r="G393" s="34">
        <f t="shared" ref="G393:G404" si="82">IF(F393="","",IF(E393="PC 17",F393*4.2,IF(E393="PC 19",F393*5,IF(E393="CB",F393*35,""))))</f>
        <v>225</v>
      </c>
      <c r="H393" s="33" t="s">
        <v>25</v>
      </c>
      <c r="I393" s="33" t="s">
        <v>30</v>
      </c>
      <c r="J393" s="33" t="s">
        <v>164</v>
      </c>
      <c r="K393" s="29">
        <v>0.84722222222222221</v>
      </c>
      <c r="L393" s="29">
        <v>0.89166666666666672</v>
      </c>
      <c r="M393" s="35">
        <f t="shared" ref="M393:M404" ca="1" si="83">IFERROR(IF(K393="","",IF(L393="",MOD(NOW()-K393,1),IF(L393&gt;=K393,L393-K393,L393+1-K393))),"")</f>
        <v>4.4444444444444509E-2</v>
      </c>
      <c r="N393" s="46"/>
      <c r="O393" s="47" t="s">
        <v>268</v>
      </c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 t="s">
        <v>28</v>
      </c>
      <c r="D394" s="62" t="s">
        <v>29</v>
      </c>
      <c r="E394" s="62" t="s">
        <v>242</v>
      </c>
      <c r="F394" s="27">
        <v>20</v>
      </c>
      <c r="G394" s="28">
        <f t="shared" si="82"/>
        <v>100</v>
      </c>
      <c r="H394" s="26"/>
      <c r="I394" s="26"/>
      <c r="J394" s="26"/>
      <c r="K394" s="29"/>
      <c r="L394" s="29"/>
      <c r="M394" s="30" t="str">
        <f t="shared" ca="1" si="83"/>
        <v/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 t="s">
        <v>28</v>
      </c>
      <c r="D395" s="62" t="s">
        <v>29</v>
      </c>
      <c r="E395" s="62" t="s">
        <v>242</v>
      </c>
      <c r="F395" s="27"/>
      <c r="G395" s="34" t="str">
        <f t="shared" si="82"/>
        <v/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 t="s">
        <v>28</v>
      </c>
      <c r="D396" s="62" t="s">
        <v>29</v>
      </c>
      <c r="E396" s="62" t="s">
        <v>242</v>
      </c>
      <c r="F396" s="27"/>
      <c r="G396" s="28" t="str">
        <f t="shared" si="82"/>
        <v/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 t="s">
        <v>28</v>
      </c>
      <c r="D397" s="62" t="s">
        <v>29</v>
      </c>
      <c r="E397" s="62" t="s">
        <v>242</v>
      </c>
      <c r="F397" s="27"/>
      <c r="G397" s="34" t="str">
        <f t="shared" si="82"/>
        <v/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 t="s">
        <v>28</v>
      </c>
      <c r="D398" s="62" t="s">
        <v>29</v>
      </c>
      <c r="E398" s="62" t="s">
        <v>242</v>
      </c>
      <c r="F398" s="27"/>
      <c r="G398" s="28" t="str">
        <f t="shared" si="82"/>
        <v/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 t="s">
        <v>28</v>
      </c>
      <c r="D399" s="62" t="s">
        <v>29</v>
      </c>
      <c r="E399" s="62" t="s">
        <v>242</v>
      </c>
      <c r="F399" s="27"/>
      <c r="G399" s="34" t="str">
        <f t="shared" si="82"/>
        <v/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 t="s">
        <v>28</v>
      </c>
      <c r="D400" s="62" t="s">
        <v>29</v>
      </c>
      <c r="E400" s="62" t="s">
        <v>242</v>
      </c>
      <c r="F400" s="27"/>
      <c r="G400" s="28" t="str">
        <f t="shared" si="82"/>
        <v/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 t="s">
        <v>28</v>
      </c>
      <c r="D401" s="62" t="s">
        <v>29</v>
      </c>
      <c r="E401" s="62" t="s">
        <v>242</v>
      </c>
      <c r="F401" s="27"/>
      <c r="G401" s="34" t="str">
        <f t="shared" si="82"/>
        <v/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 t="s">
        <v>28</v>
      </c>
      <c r="D402" s="62" t="s">
        <v>29</v>
      </c>
      <c r="E402" s="62" t="s">
        <v>242</v>
      </c>
      <c r="F402" s="27"/>
      <c r="G402" s="28" t="str">
        <f t="shared" si="82"/>
        <v/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 t="s">
        <v>28</v>
      </c>
      <c r="D403" s="62" t="s">
        <v>29</v>
      </c>
      <c r="E403" s="62" t="s">
        <v>242</v>
      </c>
      <c r="F403" s="27"/>
      <c r="G403" s="34" t="str">
        <f t="shared" si="82"/>
        <v/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 t="s">
        <v>28</v>
      </c>
      <c r="D404" s="62" t="s">
        <v>29</v>
      </c>
      <c r="E404" s="62" t="s">
        <v>242</v>
      </c>
      <c r="F404" s="27"/>
      <c r="G404" s="28" t="str">
        <f t="shared" si="82"/>
        <v/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58" t="s">
        <v>246</v>
      </c>
      <c r="B405" s="159"/>
      <c r="C405" s="159"/>
      <c r="D405" s="159"/>
      <c r="E405" s="169">
        <f>SUM(E393:E404)</f>
        <v>0</v>
      </c>
      <c r="F405" s="36">
        <f>SUM(F393:F404)</f>
        <v>65</v>
      </c>
      <c r="G405" s="36">
        <f>SUM(G393:G404)</f>
        <v>325</v>
      </c>
      <c r="H405" s="37"/>
      <c r="I405" s="37"/>
      <c r="J405" s="37"/>
      <c r="K405" s="37"/>
      <c r="L405" s="37"/>
      <c r="M405" s="38">
        <f ca="1">IFERROR(SUM(M393:M404),"")</f>
        <v>4.4444444444444509E-2</v>
      </c>
      <c r="N405" s="36" t="s">
        <v>244</v>
      </c>
      <c r="O405" s="39"/>
    </row>
    <row r="406" spans="1:15" ht="18" customHeight="1">
      <c r="A406" s="160" t="s">
        <v>247</v>
      </c>
      <c r="B406" s="161"/>
      <c r="C406" s="161"/>
      <c r="D406" s="161"/>
      <c r="E406" s="170">
        <f>E392+E405</f>
        <v>0</v>
      </c>
      <c r="F406" s="40">
        <f>F392+F405</f>
        <v>345</v>
      </c>
      <c r="G406" s="40">
        <f>G392+G405</f>
        <v>1740</v>
      </c>
      <c r="H406" s="41"/>
      <c r="I406" s="41"/>
      <c r="J406" s="41"/>
      <c r="K406" s="41"/>
      <c r="L406" s="41"/>
      <c r="M406" s="42">
        <f ca="1">IFERROR(M392+M405,"")</f>
        <v>4.4444444444444509E-2</v>
      </c>
      <c r="N406" s="40" t="s">
        <v>248</v>
      </c>
      <c r="O406" s="48">
        <f>IFERROR(O392+O405,"")</f>
        <v>2491620</v>
      </c>
    </row>
    <row r="407" spans="1:15" ht="15" customHeight="1">
      <c r="A407" s="68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85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86">IFERROR(IF(K407="","",IF(L407="",MOD(NOW()-K407,1),IF(L407&gt;=K407,L407-K407,L407+1-K407))),"")</f>
        <v/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/>
      <c r="D408" s="62"/>
      <c r="E408" s="62"/>
      <c r="F408" s="27"/>
      <c r="G408" s="28" t="str">
        <f t="shared" si="85"/>
        <v/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/>
      <c r="D409" s="62"/>
      <c r="E409" s="62"/>
      <c r="F409" s="27"/>
      <c r="G409" s="34" t="str">
        <f t="shared" si="85"/>
        <v/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/>
      <c r="D410" s="62"/>
      <c r="E410" s="62"/>
      <c r="F410" s="27"/>
      <c r="G410" s="28" t="str">
        <f t="shared" si="85"/>
        <v/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/>
      <c r="D411" s="62"/>
      <c r="E411" s="62"/>
      <c r="F411" s="27"/>
      <c r="G411" s="34" t="str">
        <f t="shared" si="85"/>
        <v/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/>
      <c r="D412" s="62"/>
      <c r="E412" s="62"/>
      <c r="F412" s="27"/>
      <c r="G412" s="28" t="str">
        <f t="shared" si="85"/>
        <v/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/>
      <c r="D413" s="62"/>
      <c r="E413" s="62"/>
      <c r="F413" s="27"/>
      <c r="G413" s="34" t="str">
        <f t="shared" si="85"/>
        <v/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/>
      <c r="D414" s="62"/>
      <c r="E414" s="62"/>
      <c r="F414" s="27"/>
      <c r="G414" s="28" t="str">
        <f t="shared" si="85"/>
        <v/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/>
      <c r="D415" s="62"/>
      <c r="E415" s="62"/>
      <c r="F415" s="27"/>
      <c r="G415" s="34" t="str">
        <f t="shared" si="85"/>
        <v/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/>
      <c r="D416" s="62"/>
      <c r="E416" s="62"/>
      <c r="F416" s="27"/>
      <c r="G416" s="28" t="str">
        <f t="shared" si="85"/>
        <v/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/>
      <c r="D417" s="62"/>
      <c r="E417" s="62"/>
      <c r="F417" s="27"/>
      <c r="G417" s="34" t="str">
        <f t="shared" si="85"/>
        <v/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/>
      <c r="D418" s="62"/>
      <c r="E418" s="62"/>
      <c r="F418" s="27"/>
      <c r="G418" s="28" t="str">
        <f t="shared" si="85"/>
        <v/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58" t="s">
        <v>243</v>
      </c>
      <c r="B419" s="159"/>
      <c r="C419" s="159"/>
      <c r="D419" s="159"/>
      <c r="E419" s="16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244</v>
      </c>
      <c r="O419" s="39"/>
    </row>
    <row r="420" spans="1:15" ht="15" customHeight="1">
      <c r="A420" s="67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88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89">IFERROR(IF(K420="","",IF(L420="",MOD(NOW()-K420,1),IF(L420&gt;=K420,L420-K420,L420+1-K420))),"")</f>
        <v/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/>
      <c r="D421" s="59"/>
      <c r="E421" s="59"/>
      <c r="F421" s="27"/>
      <c r="G421" s="34" t="str">
        <f t="shared" si="88"/>
        <v/>
      </c>
      <c r="H421" s="33"/>
      <c r="I421" s="33"/>
      <c r="J421" s="33"/>
      <c r="K421" s="29"/>
      <c r="L421" s="29"/>
      <c r="M421" s="35" t="str">
        <f t="shared" ca="1" si="89"/>
        <v/>
      </c>
      <c r="N421" s="46"/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/>
      <c r="D422" s="59"/>
      <c r="E422" s="59"/>
      <c r="F422" s="27"/>
      <c r="G422" s="28" t="str">
        <f t="shared" si="88"/>
        <v/>
      </c>
      <c r="H422" s="26"/>
      <c r="I422" s="26"/>
      <c r="J422" s="26"/>
      <c r="K422" s="29"/>
      <c r="L422" s="29"/>
      <c r="M422" s="30" t="str">
        <f t="shared" ca="1" si="89"/>
        <v/>
      </c>
      <c r="N422" s="46"/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/>
      <c r="D423" s="59"/>
      <c r="E423" s="59"/>
      <c r="F423" s="27"/>
      <c r="G423" s="34" t="str">
        <f t="shared" si="88"/>
        <v/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/>
      <c r="D424" s="59"/>
      <c r="E424" s="59"/>
      <c r="F424" s="27"/>
      <c r="G424" s="28" t="str">
        <f t="shared" si="88"/>
        <v/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/>
      <c r="D425" s="59"/>
      <c r="E425" s="59"/>
      <c r="F425" s="27"/>
      <c r="G425" s="34" t="str">
        <f t="shared" si="88"/>
        <v/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/>
      <c r="D426" s="59"/>
      <c r="E426" s="59"/>
      <c r="F426" s="27"/>
      <c r="G426" s="28" t="str">
        <f t="shared" si="88"/>
        <v/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/>
      <c r="D427" s="59"/>
      <c r="E427" s="59"/>
      <c r="F427" s="27"/>
      <c r="G427" s="34" t="str">
        <f t="shared" si="88"/>
        <v/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/>
      <c r="D428" s="59"/>
      <c r="E428" s="59"/>
      <c r="F428" s="27"/>
      <c r="G428" s="28" t="str">
        <f t="shared" si="88"/>
        <v/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/>
      <c r="D429" s="59"/>
      <c r="E429" s="59"/>
      <c r="F429" s="27"/>
      <c r="G429" s="34" t="str">
        <f t="shared" si="88"/>
        <v/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/>
      <c r="D430" s="59"/>
      <c r="E430" s="59"/>
      <c r="F430" s="27"/>
      <c r="G430" s="28" t="str">
        <f t="shared" si="88"/>
        <v/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/>
      <c r="D431" s="59"/>
      <c r="E431" s="59"/>
      <c r="F431" s="27"/>
      <c r="G431" s="34" t="str">
        <f t="shared" si="88"/>
        <v/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58" t="s">
        <v>246</v>
      </c>
      <c r="B432" s="159"/>
      <c r="C432" s="159"/>
      <c r="D432" s="159"/>
      <c r="E432" s="16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244</v>
      </c>
      <c r="O432" s="39"/>
    </row>
    <row r="433" spans="1:15" ht="18" customHeight="1">
      <c r="A433" s="160" t="s">
        <v>247</v>
      </c>
      <c r="B433" s="161"/>
      <c r="C433" s="161"/>
      <c r="D433" s="161"/>
      <c r="E433" s="170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248</v>
      </c>
      <c r="O433" s="48">
        <f>IFERROR(O419+O432,"")</f>
        <v>0</v>
      </c>
    </row>
    <row r="434" spans="1:15" ht="15" customHeight="1">
      <c r="A434" s="67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1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2">IFERROR(IF(K434="","",IF(L434="",MOD(NOW()-K434,1),IF(L434&gt;=K434,L434-K434,L434+1-K434))),"")</f>
        <v/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/>
      <c r="D435" s="59"/>
      <c r="E435" s="59"/>
      <c r="F435" s="27"/>
      <c r="G435" s="28" t="str">
        <f t="shared" si="91"/>
        <v/>
      </c>
      <c r="H435" s="33"/>
      <c r="I435" s="33"/>
      <c r="J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/>
      <c r="D436" s="59"/>
      <c r="E436" s="59"/>
      <c r="F436" s="27"/>
      <c r="G436" s="28" t="str">
        <f t="shared" si="91"/>
        <v/>
      </c>
      <c r="H436" s="26"/>
      <c r="I436" s="26"/>
      <c r="J436" s="26"/>
      <c r="K436" s="29"/>
      <c r="L436" s="29"/>
      <c r="M436" s="30" t="str">
        <f t="shared" ca="1" si="92"/>
        <v/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/>
      <c r="D437" s="59"/>
      <c r="E437" s="59"/>
      <c r="F437" s="27"/>
      <c r="G437" s="34" t="str">
        <f t="shared" si="91"/>
        <v/>
      </c>
      <c r="H437" s="33"/>
      <c r="I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/>
      <c r="D438" s="59"/>
      <c r="E438" s="59"/>
      <c r="F438" s="27"/>
      <c r="G438" s="28" t="str">
        <f t="shared" si="91"/>
        <v/>
      </c>
      <c r="H438" s="26"/>
      <c r="I438" s="26"/>
      <c r="J438" s="26"/>
      <c r="K438" s="29"/>
      <c r="L438" s="29"/>
      <c r="M438" s="30" t="str">
        <f t="shared" ca="1" si="92"/>
        <v/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/>
      <c r="D439" s="59"/>
      <c r="E439" s="59"/>
      <c r="F439" s="27"/>
      <c r="G439" s="34" t="str">
        <f t="shared" si="91"/>
        <v/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/>
      <c r="D440" s="59"/>
      <c r="E440" s="59"/>
      <c r="F440" s="27"/>
      <c r="G440" s="28" t="str">
        <f t="shared" si="91"/>
        <v/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/>
      <c r="D441" s="59"/>
      <c r="E441" s="59"/>
      <c r="F441" s="27"/>
      <c r="G441" s="34" t="str">
        <f t="shared" si="91"/>
        <v/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/>
      <c r="D442" s="59"/>
      <c r="E442" s="59"/>
      <c r="F442" s="27"/>
      <c r="G442" s="28" t="str">
        <f t="shared" si="91"/>
        <v/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/>
      <c r="D443" s="59"/>
      <c r="E443" s="59"/>
      <c r="F443" s="27"/>
      <c r="G443" s="34" t="str">
        <f t="shared" si="91"/>
        <v/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/>
      <c r="D444" s="59"/>
      <c r="E444" s="59"/>
      <c r="F444" s="27"/>
      <c r="G444" s="28" t="str">
        <f t="shared" si="91"/>
        <v/>
      </c>
      <c r="H444" s="26"/>
      <c r="I444" s="26"/>
      <c r="J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/>
      <c r="D445" s="59"/>
      <c r="E445" s="59"/>
      <c r="F445" s="27"/>
      <c r="G445" s="34" t="str">
        <f t="shared" si="91"/>
        <v/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58" t="s">
        <v>243</v>
      </c>
      <c r="B446" s="159"/>
      <c r="C446" s="159"/>
      <c r="D446" s="159"/>
      <c r="E446" s="16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244</v>
      </c>
      <c r="O446" s="39"/>
    </row>
    <row r="447" spans="1:15" ht="15" customHeight="1">
      <c r="A447" s="68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4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95">IFERROR(IF(K447="","",IF(L447="",MOD(NOW()-K447,1),IF(L447&gt;=K447,L447-K447,L447+1-K447))),"")</f>
        <v/>
      </c>
      <c r="N447" s="46"/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/>
      <c r="D448" s="62"/>
      <c r="E448" s="62"/>
      <c r="F448" s="27"/>
      <c r="G448" s="28" t="str">
        <f t="shared" si="94"/>
        <v/>
      </c>
      <c r="H448" s="26"/>
      <c r="I448" s="26"/>
      <c r="J448" s="26"/>
      <c r="K448" s="29"/>
      <c r="L448" s="29"/>
      <c r="M448" s="30" t="str">
        <f t="shared" ca="1" si="95"/>
        <v/>
      </c>
      <c r="N448" s="46"/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/>
      <c r="D449" s="62"/>
      <c r="E449" s="62"/>
      <c r="F449" s="27"/>
      <c r="G449" s="34" t="str">
        <f t="shared" si="94"/>
        <v/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/>
      <c r="D450" s="62"/>
      <c r="E450" s="62"/>
      <c r="F450" s="27"/>
      <c r="G450" s="28" t="str">
        <f t="shared" si="94"/>
        <v/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/>
      <c r="D451" s="62"/>
      <c r="E451" s="62"/>
      <c r="F451" s="27"/>
      <c r="G451" s="34" t="str">
        <f t="shared" si="94"/>
        <v/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/>
      <c r="D452" s="62"/>
      <c r="E452" s="62"/>
      <c r="F452" s="27"/>
      <c r="G452" s="28" t="str">
        <f t="shared" si="94"/>
        <v/>
      </c>
      <c r="H452" s="26"/>
      <c r="I452" s="26"/>
      <c r="J452" s="26"/>
      <c r="K452" s="29"/>
      <c r="L452" s="29"/>
      <c r="M452" s="30" t="str">
        <f t="shared" ca="1" si="95"/>
        <v/>
      </c>
      <c r="N452" s="46"/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95"/>
        <v/>
      </c>
      <c r="N453" s="46"/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95"/>
        <v/>
      </c>
      <c r="N454" s="46"/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/>
      <c r="D455" s="62"/>
      <c r="E455" s="62"/>
      <c r="F455" s="27"/>
      <c r="G455" s="34" t="str">
        <f t="shared" si="94"/>
        <v/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/>
      <c r="D456" s="62"/>
      <c r="E456" s="62"/>
      <c r="F456" s="27"/>
      <c r="G456" s="28" t="str">
        <f t="shared" si="94"/>
        <v/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/>
      <c r="D457" s="62"/>
      <c r="E457" s="62"/>
      <c r="F457" s="27"/>
      <c r="G457" s="34" t="str">
        <f t="shared" si="94"/>
        <v/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/>
      <c r="D458" s="62"/>
      <c r="E458" s="62"/>
      <c r="F458" s="27"/>
      <c r="G458" s="28" t="str">
        <f t="shared" si="94"/>
        <v/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58" t="s">
        <v>246</v>
      </c>
      <c r="B459" s="159"/>
      <c r="C459" s="159"/>
      <c r="D459" s="159"/>
      <c r="E459" s="16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244</v>
      </c>
      <c r="O459" s="39"/>
    </row>
    <row r="460" spans="1:15" ht="18" customHeight="1">
      <c r="A460" s="160" t="s">
        <v>247</v>
      </c>
      <c r="B460" s="161"/>
      <c r="C460" s="161"/>
      <c r="D460" s="161"/>
      <c r="E460" s="170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248</v>
      </c>
      <c r="O460" s="48">
        <f>IFERROR(O446+O459,"")</f>
        <v>0</v>
      </c>
    </row>
    <row r="461" spans="1:15" ht="15" customHeight="1">
      <c r="A461" s="68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97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98">IFERROR(IF(K461="","",IF(L461="",MOD(NOW()-K461,1),IF(L461&gt;=K461,L461-K461,L461+1-K461))),"")</f>
        <v/>
      </c>
      <c r="N461" s="46"/>
      <c r="O461" s="47"/>
    </row>
    <row r="462" spans="1:15" ht="15" customHeight="1">
      <c r="A462" s="67">
        <v>46252</v>
      </c>
      <c r="B462" s="25">
        <f t="shared" ref="B462:B472" si="99">B461+TIME(0,60,0)</f>
        <v>0.37499999999999967</v>
      </c>
      <c r="C462" s="33"/>
      <c r="D462" s="62"/>
      <c r="E462" s="62"/>
      <c r="F462" s="27"/>
      <c r="G462" s="28" t="str">
        <f t="shared" si="97"/>
        <v/>
      </c>
      <c r="H462" s="26"/>
      <c r="I462" s="26"/>
      <c r="J462" s="26"/>
      <c r="K462" s="29"/>
      <c r="L462" s="29"/>
      <c r="M462" s="30" t="str">
        <f t="shared" ca="1" si="98"/>
        <v/>
      </c>
      <c r="N462" s="46"/>
      <c r="O462" s="47"/>
    </row>
    <row r="463" spans="1:15" ht="15" customHeight="1">
      <c r="A463" s="68">
        <v>46252</v>
      </c>
      <c r="B463" s="32">
        <f t="shared" si="99"/>
        <v>0.41666666666666635</v>
      </c>
      <c r="C463" s="33"/>
      <c r="D463" s="62"/>
      <c r="E463" s="62"/>
      <c r="F463" s="27"/>
      <c r="G463" s="34" t="str">
        <f t="shared" si="97"/>
        <v/>
      </c>
      <c r="H463" s="33"/>
      <c r="I463" s="33"/>
      <c r="J463" s="33"/>
      <c r="K463" s="29"/>
      <c r="L463" s="29"/>
      <c r="M463" s="51" t="str">
        <f t="shared" ca="1" si="98"/>
        <v/>
      </c>
      <c r="N463" s="52"/>
      <c r="O463" s="47"/>
    </row>
    <row r="464" spans="1:15" ht="15" customHeight="1">
      <c r="A464" s="67">
        <v>46252</v>
      </c>
      <c r="B464" s="25">
        <f t="shared" si="99"/>
        <v>0.45833333333333304</v>
      </c>
      <c r="C464" s="33"/>
      <c r="D464" s="62"/>
      <c r="E464" s="62"/>
      <c r="F464" s="27"/>
      <c r="G464" s="28" t="str">
        <f t="shared" si="97"/>
        <v/>
      </c>
      <c r="H464" s="26"/>
      <c r="I464" s="26"/>
      <c r="J464" s="26"/>
      <c r="K464" s="29"/>
      <c r="L464" s="29"/>
      <c r="M464" s="30" t="str">
        <f t="shared" ca="1" si="98"/>
        <v/>
      </c>
      <c r="N464" s="46"/>
      <c r="O464" s="47"/>
    </row>
    <row r="465" spans="1:15" ht="15" customHeight="1">
      <c r="A465" s="68">
        <v>46252</v>
      </c>
      <c r="B465" s="32">
        <f t="shared" si="99"/>
        <v>0.49999999999999972</v>
      </c>
      <c r="C465" s="33"/>
      <c r="D465" s="62"/>
      <c r="E465" s="62"/>
      <c r="F465" s="27"/>
      <c r="G465" s="34" t="str">
        <f t="shared" si="97"/>
        <v/>
      </c>
      <c r="H465" s="33"/>
      <c r="I465" s="33"/>
      <c r="J465" s="33"/>
      <c r="K465" s="29"/>
      <c r="L465" s="29"/>
      <c r="M465" s="35" t="str">
        <f t="shared" ca="1" si="98"/>
        <v/>
      </c>
      <c r="N465" s="53"/>
      <c r="O465" s="47"/>
    </row>
    <row r="466" spans="1:15" ht="15" customHeight="1">
      <c r="A466" s="67">
        <v>46252</v>
      </c>
      <c r="B466" s="25">
        <f t="shared" si="99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98"/>
        <v/>
      </c>
      <c r="N466" s="53"/>
      <c r="O466" s="47"/>
    </row>
    <row r="467" spans="1:15" ht="15" customHeight="1">
      <c r="A467" s="68">
        <v>46252</v>
      </c>
      <c r="B467" s="32">
        <f t="shared" si="99"/>
        <v>0.58333333333333304</v>
      </c>
      <c r="C467" s="33"/>
      <c r="D467" s="62"/>
      <c r="E467" s="62"/>
      <c r="F467" s="27"/>
      <c r="G467" s="34" t="str">
        <f t="shared" si="97"/>
        <v/>
      </c>
      <c r="H467" s="33"/>
      <c r="I467" s="33"/>
      <c r="J467" s="33"/>
      <c r="K467" s="29"/>
      <c r="L467" s="29"/>
      <c r="M467" s="35" t="str">
        <f t="shared" ca="1" si="98"/>
        <v/>
      </c>
      <c r="N467" s="46"/>
      <c r="O467" s="47"/>
    </row>
    <row r="468" spans="1:15" ht="15" customHeight="1">
      <c r="A468" s="67">
        <v>46252</v>
      </c>
      <c r="B468" s="25">
        <f t="shared" si="99"/>
        <v>0.62499999999999967</v>
      </c>
      <c r="C468" s="33"/>
      <c r="D468" s="62"/>
      <c r="E468" s="62"/>
      <c r="F468" s="27"/>
      <c r="G468" s="28" t="str">
        <f t="shared" si="97"/>
        <v/>
      </c>
      <c r="H468" s="26"/>
      <c r="I468" s="26"/>
      <c r="J468" s="26"/>
      <c r="K468" s="29"/>
      <c r="L468" s="29"/>
      <c r="M468" s="30" t="str">
        <f t="shared" ca="1" si="98"/>
        <v/>
      </c>
      <c r="N468" s="46"/>
      <c r="O468" s="47"/>
    </row>
    <row r="469" spans="1:15" ht="15" customHeight="1">
      <c r="A469" s="68">
        <v>46252</v>
      </c>
      <c r="B469" s="32">
        <f t="shared" si="99"/>
        <v>0.6666666666666663</v>
      </c>
      <c r="C469" s="33"/>
      <c r="D469" s="62"/>
      <c r="E469" s="62"/>
      <c r="F469" s="27"/>
      <c r="G469" s="34" t="str">
        <f t="shared" si="97"/>
        <v/>
      </c>
      <c r="H469" s="33"/>
      <c r="I469" s="33"/>
      <c r="J469" s="33"/>
      <c r="K469" s="29"/>
      <c r="L469" s="29"/>
      <c r="M469" s="35" t="str">
        <f t="shared" ca="1" si="98"/>
        <v/>
      </c>
      <c r="N469" s="46"/>
      <c r="O469" s="47"/>
    </row>
    <row r="470" spans="1:15" ht="15" customHeight="1">
      <c r="A470" s="67">
        <v>46252</v>
      </c>
      <c r="B470" s="25">
        <f t="shared" si="99"/>
        <v>0.70833333333333293</v>
      </c>
      <c r="C470" s="33"/>
      <c r="D470" s="62"/>
      <c r="E470" s="62"/>
      <c r="F470" s="27"/>
      <c r="G470" s="28" t="str">
        <f t="shared" si="97"/>
        <v/>
      </c>
      <c r="H470" s="26"/>
      <c r="I470" s="26"/>
      <c r="J470" s="26"/>
      <c r="K470" s="29"/>
      <c r="L470" s="29"/>
      <c r="M470" s="30" t="str">
        <f t="shared" ca="1" si="98"/>
        <v/>
      </c>
      <c r="N470" s="46"/>
      <c r="O470" s="47"/>
    </row>
    <row r="471" spans="1:15" ht="15" customHeight="1">
      <c r="A471" s="68">
        <v>46252</v>
      </c>
      <c r="B471" s="32">
        <f t="shared" si="99"/>
        <v>0.74999999999999956</v>
      </c>
      <c r="C471" s="33"/>
      <c r="D471" s="62"/>
      <c r="E471" s="62"/>
      <c r="F471" s="27"/>
      <c r="G471" s="34" t="str">
        <f t="shared" si="97"/>
        <v/>
      </c>
      <c r="H471" s="33"/>
      <c r="I471" s="33"/>
      <c r="J471" s="33"/>
      <c r="K471" s="29"/>
      <c r="L471" s="29"/>
      <c r="M471" s="35" t="str">
        <f t="shared" ca="1" si="98"/>
        <v/>
      </c>
      <c r="N471" s="46"/>
      <c r="O471" s="47"/>
    </row>
    <row r="472" spans="1:15" ht="15" customHeight="1">
      <c r="A472" s="67">
        <v>46252</v>
      </c>
      <c r="B472" s="25">
        <f t="shared" si="99"/>
        <v>0.79166666666666619</v>
      </c>
      <c r="C472" s="33"/>
      <c r="D472" s="62"/>
      <c r="E472" s="62"/>
      <c r="F472" s="27"/>
      <c r="G472" s="28" t="str">
        <f t="shared" si="97"/>
        <v/>
      </c>
      <c r="H472" s="26"/>
      <c r="I472" s="26"/>
      <c r="J472" s="26"/>
      <c r="K472" s="29"/>
      <c r="L472" s="29"/>
      <c r="M472" s="30" t="str">
        <f t="shared" ca="1" si="98"/>
        <v/>
      </c>
      <c r="N472" s="46"/>
      <c r="O472" s="47"/>
    </row>
    <row r="473" spans="1:15" ht="15.75" customHeight="1">
      <c r="A473" s="158" t="s">
        <v>243</v>
      </c>
      <c r="B473" s="159"/>
      <c r="C473" s="159"/>
      <c r="D473" s="159"/>
      <c r="E473" s="16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244</v>
      </c>
      <c r="O473" s="39"/>
    </row>
    <row r="474" spans="1:15" ht="15" customHeight="1">
      <c r="A474" s="67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0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1">IFERROR(IF(K474="","",IF(L474="",MOD(NOW()-K474,1),IF(L474&gt;=K474,L474-K474,L474+1-K474))),"")</f>
        <v/>
      </c>
      <c r="N474" s="46"/>
      <c r="O474" s="47"/>
    </row>
    <row r="475" spans="1:15" ht="15" customHeight="1">
      <c r="A475" s="68">
        <v>46252</v>
      </c>
      <c r="B475" s="32">
        <f t="shared" ref="B475:B485" si="102">B474+TIME(0,60,0)</f>
        <v>0.87499999999999967</v>
      </c>
      <c r="C475" s="26"/>
      <c r="D475" s="59"/>
      <c r="E475" s="59"/>
      <c r="F475" s="27"/>
      <c r="G475" s="34" t="str">
        <f t="shared" si="100"/>
        <v/>
      </c>
      <c r="H475" s="33"/>
      <c r="I475" s="33"/>
      <c r="J475" s="33"/>
      <c r="K475" s="29"/>
      <c r="L475" s="29"/>
      <c r="M475" s="35" t="str">
        <f t="shared" ca="1" si="101"/>
        <v/>
      </c>
      <c r="N475" s="46"/>
      <c r="O475" s="47"/>
    </row>
    <row r="476" spans="1:15" ht="15" customHeight="1">
      <c r="A476" s="67">
        <v>46252</v>
      </c>
      <c r="B476" s="25">
        <f t="shared" si="102"/>
        <v>0.9166666666666663</v>
      </c>
      <c r="C476" s="26"/>
      <c r="D476" s="59"/>
      <c r="E476" s="59"/>
      <c r="F476" s="27"/>
      <c r="G476" s="28" t="str">
        <f t="shared" si="100"/>
        <v/>
      </c>
      <c r="H476" s="26"/>
      <c r="I476" s="26"/>
      <c r="J476" s="26"/>
      <c r="K476" s="29"/>
      <c r="L476" s="29"/>
      <c r="M476" s="30" t="str">
        <f t="shared" ca="1" si="101"/>
        <v/>
      </c>
      <c r="N476" s="46"/>
      <c r="O476" s="47"/>
    </row>
    <row r="477" spans="1:15" ht="15" customHeight="1">
      <c r="A477" s="68">
        <v>46252</v>
      </c>
      <c r="B477" s="32">
        <f t="shared" si="102"/>
        <v>0.95833333333333293</v>
      </c>
      <c r="C477" s="26"/>
      <c r="D477" s="59"/>
      <c r="E477" s="59"/>
      <c r="F477" s="27"/>
      <c r="G477" s="34" t="str">
        <f t="shared" si="100"/>
        <v/>
      </c>
      <c r="H477" s="33"/>
      <c r="I477" s="33"/>
      <c r="J477" s="33"/>
      <c r="K477" s="29"/>
      <c r="L477" s="29"/>
      <c r="M477" s="35" t="str">
        <f t="shared" ca="1" si="101"/>
        <v/>
      </c>
      <c r="N477" s="46"/>
      <c r="O477" s="47"/>
    </row>
    <row r="478" spans="1:15" ht="15" customHeight="1">
      <c r="A478" s="67">
        <v>46252</v>
      </c>
      <c r="B478" s="25">
        <f t="shared" si="102"/>
        <v>0.99999999999999956</v>
      </c>
      <c r="C478" s="26"/>
      <c r="D478" s="59"/>
      <c r="E478" s="59"/>
      <c r="F478" s="27"/>
      <c r="G478" s="28" t="str">
        <f t="shared" si="100"/>
        <v/>
      </c>
      <c r="H478" s="26"/>
      <c r="I478" s="26"/>
      <c r="J478" s="26"/>
      <c r="K478" s="29"/>
      <c r="L478" s="29"/>
      <c r="M478" s="30" t="str">
        <f t="shared" ca="1" si="101"/>
        <v/>
      </c>
      <c r="N478" s="46"/>
      <c r="O478" s="47"/>
    </row>
    <row r="479" spans="1:15" ht="15" customHeight="1">
      <c r="A479" s="68">
        <v>46252</v>
      </c>
      <c r="B479" s="32">
        <f t="shared" si="102"/>
        <v>1.0416666666666663</v>
      </c>
      <c r="C479" s="26"/>
      <c r="D479" s="59"/>
      <c r="E479" s="59"/>
      <c r="F479" s="27"/>
      <c r="G479" s="34" t="str">
        <f t="shared" si="100"/>
        <v/>
      </c>
      <c r="H479" s="33"/>
      <c r="I479" s="33"/>
      <c r="J479" s="33"/>
      <c r="K479" s="29"/>
      <c r="L479" s="29"/>
      <c r="M479" s="35" t="str">
        <f t="shared" ca="1" si="101"/>
        <v/>
      </c>
      <c r="N479" s="46"/>
      <c r="O479" s="47"/>
    </row>
    <row r="480" spans="1:15" ht="15" customHeight="1">
      <c r="A480" s="67">
        <v>46252</v>
      </c>
      <c r="B480" s="25">
        <f t="shared" si="102"/>
        <v>1.083333333333333</v>
      </c>
      <c r="C480" s="26"/>
      <c r="D480" s="59"/>
      <c r="E480" s="59"/>
      <c r="F480" s="27"/>
      <c r="G480" s="28" t="str">
        <f t="shared" si="100"/>
        <v/>
      </c>
      <c r="H480" s="26"/>
      <c r="I480" s="26"/>
      <c r="J480" s="26"/>
      <c r="K480" s="29"/>
      <c r="L480" s="29"/>
      <c r="M480" s="30" t="str">
        <f t="shared" ca="1" si="101"/>
        <v/>
      </c>
      <c r="N480" s="46"/>
      <c r="O480" s="47"/>
    </row>
    <row r="481" spans="1:15" ht="15" customHeight="1">
      <c r="A481" s="68">
        <v>46252</v>
      </c>
      <c r="B481" s="32">
        <f t="shared" si="102"/>
        <v>1.1249999999999998</v>
      </c>
      <c r="C481" s="26"/>
      <c r="D481" s="59"/>
      <c r="E481" s="59"/>
      <c r="F481" s="27"/>
      <c r="G481" s="34" t="str">
        <f t="shared" si="100"/>
        <v/>
      </c>
      <c r="H481" s="33"/>
      <c r="I481" s="33"/>
      <c r="J481" s="33"/>
      <c r="K481" s="29"/>
      <c r="L481" s="29"/>
      <c r="M481" s="35" t="str">
        <f t="shared" ca="1" si="101"/>
        <v/>
      </c>
      <c r="N481" s="46"/>
      <c r="O481" s="47"/>
    </row>
    <row r="482" spans="1:15" ht="15" customHeight="1">
      <c r="A482" s="67">
        <v>46252</v>
      </c>
      <c r="B482" s="25">
        <f t="shared" si="102"/>
        <v>1.1666666666666665</v>
      </c>
      <c r="C482" s="26"/>
      <c r="D482" s="59"/>
      <c r="E482" s="59"/>
      <c r="F482" s="27"/>
      <c r="G482" s="28" t="str">
        <f t="shared" si="100"/>
        <v/>
      </c>
      <c r="H482" s="26"/>
      <c r="I482" s="26"/>
      <c r="J482" s="26"/>
      <c r="K482" s="29"/>
      <c r="L482" s="29"/>
      <c r="M482" s="30" t="str">
        <f t="shared" ca="1" si="101"/>
        <v/>
      </c>
      <c r="N482" s="46"/>
      <c r="O482" s="47"/>
    </row>
    <row r="483" spans="1:15" ht="15" customHeight="1">
      <c r="A483" s="68">
        <v>46252</v>
      </c>
      <c r="B483" s="32">
        <f t="shared" si="102"/>
        <v>1.2083333333333333</v>
      </c>
      <c r="C483" s="26"/>
      <c r="D483" s="59"/>
      <c r="E483" s="59"/>
      <c r="F483" s="27"/>
      <c r="G483" s="34" t="str">
        <f t="shared" si="100"/>
        <v/>
      </c>
      <c r="H483" s="33"/>
      <c r="I483" s="33"/>
      <c r="J483" s="33"/>
      <c r="K483" s="29"/>
      <c r="L483" s="29"/>
      <c r="M483" s="35" t="str">
        <f t="shared" ca="1" si="101"/>
        <v/>
      </c>
      <c r="N483" s="46"/>
      <c r="O483" s="47"/>
    </row>
    <row r="484" spans="1:15" ht="15" customHeight="1">
      <c r="A484" s="67">
        <v>46252</v>
      </c>
      <c r="B484" s="25">
        <f t="shared" si="102"/>
        <v>1.25</v>
      </c>
      <c r="C484" s="26"/>
      <c r="D484" s="59"/>
      <c r="E484" s="59"/>
      <c r="F484" s="27"/>
      <c r="G484" s="28" t="str">
        <f t="shared" si="100"/>
        <v/>
      </c>
      <c r="H484" s="26"/>
      <c r="I484" s="26"/>
      <c r="J484" s="26"/>
      <c r="K484" s="29"/>
      <c r="L484" s="29"/>
      <c r="M484" s="30" t="str">
        <f t="shared" ca="1" si="101"/>
        <v/>
      </c>
      <c r="N484" s="46"/>
      <c r="O484" s="47"/>
    </row>
    <row r="485" spans="1:15" ht="15" customHeight="1">
      <c r="A485" s="68">
        <v>46252</v>
      </c>
      <c r="B485" s="32">
        <f t="shared" si="102"/>
        <v>1.2916666666666667</v>
      </c>
      <c r="C485" s="26"/>
      <c r="D485" s="59"/>
      <c r="E485" s="59"/>
      <c r="F485" s="27"/>
      <c r="G485" s="34" t="str">
        <f t="shared" si="100"/>
        <v/>
      </c>
      <c r="H485" s="33"/>
      <c r="I485" s="33"/>
      <c r="J485" s="33"/>
      <c r="K485" s="29"/>
      <c r="L485" s="29"/>
      <c r="M485" s="35" t="str">
        <f t="shared" ca="1" si="101"/>
        <v/>
      </c>
      <c r="N485" s="46"/>
      <c r="O485" s="47"/>
    </row>
    <row r="486" spans="1:15" ht="15.75" customHeight="1">
      <c r="A486" s="158" t="s">
        <v>246</v>
      </c>
      <c r="B486" s="159"/>
      <c r="C486" s="159"/>
      <c r="D486" s="159"/>
      <c r="E486" s="16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244</v>
      </c>
      <c r="O486" s="39"/>
    </row>
    <row r="487" spans="1:15" ht="18" customHeight="1">
      <c r="A487" s="160" t="s">
        <v>247</v>
      </c>
      <c r="B487" s="161"/>
      <c r="C487" s="161"/>
      <c r="D487" s="161"/>
      <c r="E487" s="170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248</v>
      </c>
      <c r="O487" s="48">
        <f>IFERROR(O473+O486,"")</f>
        <v>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3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4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5">B488+TIME(0,60,0)</f>
        <v>0.37499999999999967</v>
      </c>
      <c r="C489" s="26"/>
      <c r="D489" s="59"/>
      <c r="E489" s="59"/>
      <c r="F489" s="27"/>
      <c r="G489" s="34" t="str">
        <f t="shared" si="103"/>
        <v/>
      </c>
      <c r="H489" s="33"/>
      <c r="I489" s="33"/>
      <c r="J489" s="33"/>
      <c r="K489" s="29"/>
      <c r="L489" s="29"/>
      <c r="M489" s="35" t="str">
        <f t="shared" ca="1" si="104"/>
        <v/>
      </c>
      <c r="N489" s="46"/>
      <c r="O489" s="47"/>
    </row>
    <row r="490" spans="1:15" ht="15" customHeight="1">
      <c r="A490" s="67">
        <v>46253</v>
      </c>
      <c r="B490" s="25">
        <f t="shared" si="105"/>
        <v>0.41666666666666635</v>
      </c>
      <c r="C490" s="26"/>
      <c r="D490" s="59"/>
      <c r="E490" s="59"/>
      <c r="F490" s="27"/>
      <c r="G490" s="28" t="str">
        <f t="shared" si="103"/>
        <v/>
      </c>
      <c r="H490" s="26"/>
      <c r="I490" s="26"/>
      <c r="J490" s="26"/>
      <c r="K490" s="29"/>
      <c r="L490" s="29"/>
      <c r="M490" s="30" t="str">
        <f t="shared" ca="1" si="104"/>
        <v/>
      </c>
      <c r="N490" s="46"/>
      <c r="O490" s="47"/>
    </row>
    <row r="491" spans="1:15" ht="15" customHeight="1">
      <c r="A491" s="68">
        <v>46253</v>
      </c>
      <c r="B491" s="32">
        <f t="shared" si="105"/>
        <v>0.45833333333333304</v>
      </c>
      <c r="C491" s="26"/>
      <c r="D491" s="59"/>
      <c r="E491" s="59"/>
      <c r="F491" s="27"/>
      <c r="G491" s="34" t="str">
        <f t="shared" si="103"/>
        <v/>
      </c>
      <c r="H491" s="33"/>
      <c r="I491" s="33"/>
      <c r="J491" s="33"/>
      <c r="K491" s="29"/>
      <c r="L491" s="29"/>
      <c r="M491" s="35" t="str">
        <f t="shared" ca="1" si="104"/>
        <v/>
      </c>
      <c r="N491" s="46"/>
      <c r="O491" s="47"/>
    </row>
    <row r="492" spans="1:15" ht="15" customHeight="1">
      <c r="A492" s="67">
        <v>46253</v>
      </c>
      <c r="B492" s="25">
        <f t="shared" si="105"/>
        <v>0.49999999999999972</v>
      </c>
      <c r="C492" s="26"/>
      <c r="D492" s="59"/>
      <c r="E492" s="59"/>
      <c r="F492" s="27"/>
      <c r="G492" s="28" t="str">
        <f t="shared" si="103"/>
        <v/>
      </c>
      <c r="H492" s="26"/>
      <c r="I492" s="26"/>
      <c r="J492" s="26"/>
      <c r="K492" s="29"/>
      <c r="L492" s="29"/>
      <c r="M492" s="30" t="str">
        <f t="shared" ca="1" si="104"/>
        <v/>
      </c>
      <c r="N492" s="46"/>
      <c r="O492" s="47"/>
    </row>
    <row r="493" spans="1:15" ht="15" customHeight="1">
      <c r="A493" s="68">
        <v>46253</v>
      </c>
      <c r="B493" s="32">
        <f t="shared" si="105"/>
        <v>0.54166666666666641</v>
      </c>
      <c r="C493" s="26"/>
      <c r="D493" s="59"/>
      <c r="E493" s="59"/>
      <c r="F493" s="27"/>
      <c r="G493" s="34" t="str">
        <f t="shared" si="103"/>
        <v/>
      </c>
      <c r="H493" s="33"/>
      <c r="I493" s="33"/>
      <c r="J493" s="33"/>
      <c r="K493" s="29"/>
      <c r="L493" s="29"/>
      <c r="M493" s="35" t="str">
        <f t="shared" ca="1" si="104"/>
        <v/>
      </c>
      <c r="N493" s="46"/>
      <c r="O493" s="47"/>
    </row>
    <row r="494" spans="1:15" ht="15" customHeight="1">
      <c r="A494" s="67">
        <v>46253</v>
      </c>
      <c r="B494" s="25">
        <f t="shared" si="105"/>
        <v>0.58333333333333304</v>
      </c>
      <c r="C494" s="26"/>
      <c r="D494" s="59"/>
      <c r="E494" s="59"/>
      <c r="F494" s="27"/>
      <c r="G494" s="28" t="str">
        <f t="shared" si="103"/>
        <v/>
      </c>
      <c r="H494" s="26"/>
      <c r="I494" s="26"/>
      <c r="J494" s="26"/>
      <c r="K494" s="29"/>
      <c r="L494" s="29"/>
      <c r="M494" s="30" t="str">
        <f t="shared" ca="1" si="104"/>
        <v/>
      </c>
      <c r="N494" s="46"/>
      <c r="O494" s="47"/>
    </row>
    <row r="495" spans="1:15" ht="15" customHeight="1">
      <c r="A495" s="68">
        <v>46253</v>
      </c>
      <c r="B495" s="32">
        <f t="shared" si="105"/>
        <v>0.62499999999999967</v>
      </c>
      <c r="C495" s="26"/>
      <c r="D495" s="59"/>
      <c r="E495" s="59"/>
      <c r="F495" s="27"/>
      <c r="G495" s="34" t="str">
        <f t="shared" si="103"/>
        <v/>
      </c>
      <c r="H495" s="33"/>
      <c r="I495" s="33"/>
      <c r="J495" s="33"/>
      <c r="K495" s="29"/>
      <c r="L495" s="29"/>
      <c r="M495" s="35" t="str">
        <f t="shared" ca="1" si="104"/>
        <v/>
      </c>
      <c r="N495" s="46"/>
      <c r="O495" s="47"/>
    </row>
    <row r="496" spans="1:15" ht="15" customHeight="1">
      <c r="A496" s="67">
        <v>46253</v>
      </c>
      <c r="B496" s="25">
        <f t="shared" si="105"/>
        <v>0.6666666666666663</v>
      </c>
      <c r="C496" s="26"/>
      <c r="D496" s="59"/>
      <c r="E496" s="59"/>
      <c r="F496" s="27"/>
      <c r="G496" s="28" t="str">
        <f t="shared" si="103"/>
        <v/>
      </c>
      <c r="H496" s="26"/>
      <c r="I496" s="26"/>
      <c r="J496" s="26"/>
      <c r="K496" s="29"/>
      <c r="L496" s="29"/>
      <c r="M496" s="30" t="str">
        <f t="shared" ca="1" si="104"/>
        <v/>
      </c>
      <c r="N496" s="46"/>
      <c r="O496" s="47"/>
    </row>
    <row r="497" spans="1:15" ht="15" customHeight="1">
      <c r="A497" s="68">
        <v>46253</v>
      </c>
      <c r="B497" s="32">
        <f t="shared" si="105"/>
        <v>0.70833333333333293</v>
      </c>
      <c r="C497" s="26"/>
      <c r="D497" s="59"/>
      <c r="E497" s="59"/>
      <c r="F497" s="27"/>
      <c r="G497" s="34" t="str">
        <f t="shared" si="103"/>
        <v/>
      </c>
      <c r="H497" s="33"/>
      <c r="I497" s="33"/>
      <c r="J497" s="33"/>
      <c r="K497" s="29"/>
      <c r="L497" s="29"/>
      <c r="M497" s="35" t="str">
        <f t="shared" ca="1" si="104"/>
        <v/>
      </c>
      <c r="N497" s="46"/>
      <c r="O497" s="47"/>
    </row>
    <row r="498" spans="1:15" ht="15" customHeight="1">
      <c r="A498" s="67">
        <v>46253</v>
      </c>
      <c r="B498" s="25">
        <f t="shared" si="105"/>
        <v>0.74999999999999956</v>
      </c>
      <c r="C498" s="26"/>
      <c r="D498" s="59"/>
      <c r="E498" s="59"/>
      <c r="F498" s="27"/>
      <c r="G498" s="28" t="str">
        <f t="shared" si="103"/>
        <v/>
      </c>
      <c r="H498" s="26"/>
      <c r="I498" s="26"/>
      <c r="J498" s="26"/>
      <c r="K498" s="29"/>
      <c r="L498" s="29"/>
      <c r="M498" s="30" t="str">
        <f t="shared" ca="1" si="104"/>
        <v/>
      </c>
      <c r="N498" s="46"/>
      <c r="O498" s="47"/>
    </row>
    <row r="499" spans="1:15" ht="15" customHeight="1">
      <c r="A499" s="68">
        <v>46253</v>
      </c>
      <c r="B499" s="32">
        <f t="shared" si="105"/>
        <v>0.79166666666666619</v>
      </c>
      <c r="C499" s="26"/>
      <c r="D499" s="59"/>
      <c r="E499" s="59"/>
      <c r="F499" s="27"/>
      <c r="G499" s="34" t="str">
        <f t="shared" si="103"/>
        <v/>
      </c>
      <c r="H499" s="33"/>
      <c r="I499" s="33"/>
      <c r="J499" s="33"/>
      <c r="K499" s="29"/>
      <c r="L499" s="29"/>
      <c r="M499" s="35" t="str">
        <f t="shared" ca="1" si="104"/>
        <v/>
      </c>
      <c r="N499" s="46"/>
      <c r="O499" s="47"/>
    </row>
    <row r="500" spans="1:15" ht="15.75" customHeight="1">
      <c r="A500" s="158" t="s">
        <v>243</v>
      </c>
      <c r="B500" s="159"/>
      <c r="C500" s="159"/>
      <c r="D500" s="159"/>
      <c r="E500" s="16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244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6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7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8">B501+TIME(0,60,0)</f>
        <v>0.87499999999999967</v>
      </c>
      <c r="C502" s="33"/>
      <c r="D502" s="62"/>
      <c r="E502" s="62"/>
      <c r="F502" s="27"/>
      <c r="G502" s="28" t="str">
        <f t="shared" si="106"/>
        <v/>
      </c>
      <c r="H502" s="26"/>
      <c r="I502" s="26"/>
      <c r="J502" s="26"/>
      <c r="K502" s="29"/>
      <c r="L502" s="29"/>
      <c r="M502" s="30" t="str">
        <f t="shared" ca="1" si="107"/>
        <v/>
      </c>
      <c r="N502" s="46"/>
      <c r="O502" s="47"/>
    </row>
    <row r="503" spans="1:15" ht="15" customHeight="1">
      <c r="A503" s="68">
        <v>46253</v>
      </c>
      <c r="B503" s="32">
        <f t="shared" si="108"/>
        <v>0.9166666666666663</v>
      </c>
      <c r="C503" s="33"/>
      <c r="D503" s="62"/>
      <c r="E503" s="62"/>
      <c r="F503" s="27"/>
      <c r="G503" s="34" t="str">
        <f t="shared" si="106"/>
        <v/>
      </c>
      <c r="H503" s="33"/>
      <c r="I503" s="33"/>
      <c r="J503" s="33"/>
      <c r="K503" s="29"/>
      <c r="L503" s="29"/>
      <c r="M503" s="35" t="str">
        <f t="shared" ca="1" si="107"/>
        <v/>
      </c>
      <c r="N503" s="46"/>
      <c r="O503" s="47"/>
    </row>
    <row r="504" spans="1:15" ht="15" customHeight="1">
      <c r="A504" s="67">
        <v>46253</v>
      </c>
      <c r="B504" s="25">
        <f t="shared" si="108"/>
        <v>0.95833333333333293</v>
      </c>
      <c r="C504" s="33"/>
      <c r="D504" s="62"/>
      <c r="E504" s="62"/>
      <c r="F504" s="27"/>
      <c r="G504" s="28" t="str">
        <f t="shared" si="106"/>
        <v/>
      </c>
      <c r="H504" s="26"/>
      <c r="I504" s="26"/>
      <c r="J504" s="26"/>
      <c r="K504" s="29"/>
      <c r="L504" s="29"/>
      <c r="M504" s="30" t="str">
        <f t="shared" ca="1" si="107"/>
        <v/>
      </c>
      <c r="N504" s="46"/>
      <c r="O504" s="47"/>
    </row>
    <row r="505" spans="1:15" ht="15" customHeight="1">
      <c r="A505" s="68">
        <v>46253</v>
      </c>
      <c r="B505" s="32">
        <f t="shared" si="108"/>
        <v>0.99999999999999956</v>
      </c>
      <c r="C505" s="33"/>
      <c r="D505" s="62"/>
      <c r="E505" s="62"/>
      <c r="F505" s="27"/>
      <c r="G505" s="34" t="str">
        <f t="shared" si="106"/>
        <v/>
      </c>
      <c r="H505" s="33"/>
      <c r="I505" s="33"/>
      <c r="J505" s="33"/>
      <c r="K505" s="29"/>
      <c r="L505" s="29"/>
      <c r="M505" s="35" t="str">
        <f t="shared" ca="1" si="107"/>
        <v/>
      </c>
      <c r="N505" s="46"/>
      <c r="O505" s="47"/>
    </row>
    <row r="506" spans="1:15" ht="15" customHeight="1">
      <c r="A506" s="67">
        <v>46253</v>
      </c>
      <c r="B506" s="25">
        <f t="shared" si="108"/>
        <v>1.0416666666666663</v>
      </c>
      <c r="C506" s="33"/>
      <c r="D506" s="62"/>
      <c r="E506" s="62"/>
      <c r="F506" s="27"/>
      <c r="G506" s="28" t="str">
        <f t="shared" si="106"/>
        <v/>
      </c>
      <c r="H506" s="26"/>
      <c r="I506" s="26"/>
      <c r="J506" s="26"/>
      <c r="K506" s="29"/>
      <c r="L506" s="29"/>
      <c r="M506" s="30" t="str">
        <f t="shared" ca="1" si="107"/>
        <v/>
      </c>
      <c r="N506" s="46"/>
      <c r="O506" s="47"/>
    </row>
    <row r="507" spans="1:15" ht="15" customHeight="1">
      <c r="A507" s="68">
        <v>46253</v>
      </c>
      <c r="B507" s="32">
        <f t="shared" si="108"/>
        <v>1.083333333333333</v>
      </c>
      <c r="C507" s="33"/>
      <c r="D507" s="62"/>
      <c r="E507" s="62"/>
      <c r="F507" s="27"/>
      <c r="G507" s="34" t="str">
        <f t="shared" si="106"/>
        <v/>
      </c>
      <c r="H507" s="33"/>
      <c r="I507" s="33"/>
      <c r="J507" s="33"/>
      <c r="K507" s="29"/>
      <c r="L507" s="29"/>
      <c r="M507" s="35" t="str">
        <f t="shared" ca="1" si="107"/>
        <v/>
      </c>
      <c r="N507" s="46"/>
      <c r="O507" s="47"/>
    </row>
    <row r="508" spans="1:15" ht="15" customHeight="1">
      <c r="A508" s="67">
        <v>46253</v>
      </c>
      <c r="B508" s="25">
        <f t="shared" si="108"/>
        <v>1.1249999999999998</v>
      </c>
      <c r="C508" s="33"/>
      <c r="D508" s="62"/>
      <c r="E508" s="62"/>
      <c r="F508" s="27"/>
      <c r="G508" s="28" t="str">
        <f t="shared" si="106"/>
        <v/>
      </c>
      <c r="H508" s="26"/>
      <c r="I508" s="26"/>
      <c r="J508" s="26"/>
      <c r="K508" s="29"/>
      <c r="L508" s="29"/>
      <c r="M508" s="30" t="str">
        <f t="shared" ca="1" si="107"/>
        <v/>
      </c>
      <c r="N508" s="46"/>
      <c r="O508" s="47"/>
    </row>
    <row r="509" spans="1:15" ht="15" customHeight="1">
      <c r="A509" s="68">
        <v>46253</v>
      </c>
      <c r="B509" s="32">
        <f t="shared" si="108"/>
        <v>1.1666666666666665</v>
      </c>
      <c r="C509" s="33"/>
      <c r="D509" s="62"/>
      <c r="E509" s="62"/>
      <c r="F509" s="27"/>
      <c r="G509" s="34" t="str">
        <f t="shared" si="106"/>
        <v/>
      </c>
      <c r="H509" s="33"/>
      <c r="I509" s="33"/>
      <c r="J509" s="33"/>
      <c r="K509" s="29"/>
      <c r="L509" s="29"/>
      <c r="M509" s="35" t="str">
        <f t="shared" ca="1" si="107"/>
        <v/>
      </c>
      <c r="N509" s="46"/>
      <c r="O509" s="47"/>
    </row>
    <row r="510" spans="1:15" ht="15" customHeight="1">
      <c r="A510" s="67">
        <v>46253</v>
      </c>
      <c r="B510" s="25">
        <f t="shared" si="108"/>
        <v>1.2083333333333333</v>
      </c>
      <c r="C510" s="33"/>
      <c r="D510" s="62"/>
      <c r="E510" s="62"/>
      <c r="F510" s="27"/>
      <c r="G510" s="28" t="str">
        <f t="shared" si="106"/>
        <v/>
      </c>
      <c r="H510" s="26"/>
      <c r="I510" s="26"/>
      <c r="J510" s="26"/>
      <c r="K510" s="29"/>
      <c r="L510" s="29"/>
      <c r="M510" s="30" t="str">
        <f t="shared" ca="1" si="107"/>
        <v/>
      </c>
      <c r="N510" s="46"/>
      <c r="O510" s="47"/>
    </row>
    <row r="511" spans="1:15" ht="15" customHeight="1">
      <c r="A511" s="68">
        <v>46253</v>
      </c>
      <c r="B511" s="32">
        <f t="shared" si="108"/>
        <v>1.25</v>
      </c>
      <c r="C511" s="33"/>
      <c r="D511" s="62"/>
      <c r="E511" s="62"/>
      <c r="F511" s="27"/>
      <c r="G511" s="34" t="str">
        <f t="shared" si="106"/>
        <v/>
      </c>
      <c r="H511" s="33"/>
      <c r="I511" s="33"/>
      <c r="J511" s="33"/>
      <c r="K511" s="29"/>
      <c r="L511" s="29"/>
      <c r="M511" s="35" t="str">
        <f t="shared" ca="1" si="107"/>
        <v/>
      </c>
      <c r="N511" s="46"/>
      <c r="O511" s="47"/>
    </row>
    <row r="512" spans="1:15" ht="15" customHeight="1">
      <c r="A512" s="67">
        <v>46253</v>
      </c>
      <c r="B512" s="25">
        <f t="shared" si="108"/>
        <v>1.2916666666666667</v>
      </c>
      <c r="C512" s="33"/>
      <c r="D512" s="62"/>
      <c r="E512" s="62"/>
      <c r="F512" s="27"/>
      <c r="G512" s="28" t="str">
        <f t="shared" si="106"/>
        <v/>
      </c>
      <c r="H512" s="26"/>
      <c r="I512" s="26"/>
      <c r="J512" s="26"/>
      <c r="K512" s="29"/>
      <c r="L512" s="29"/>
      <c r="M512" s="30" t="str">
        <f t="shared" ca="1" si="107"/>
        <v/>
      </c>
      <c r="N512" s="46"/>
      <c r="O512" s="47"/>
    </row>
    <row r="513" spans="1:15" ht="15.75" customHeight="1">
      <c r="A513" s="158" t="s">
        <v>246</v>
      </c>
      <c r="B513" s="159"/>
      <c r="C513" s="159"/>
      <c r="D513" s="159"/>
      <c r="E513" s="16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244</v>
      </c>
      <c r="O513" s="39"/>
    </row>
    <row r="514" spans="1:15" ht="18" customHeight="1">
      <c r="A514" s="160" t="s">
        <v>247</v>
      </c>
      <c r="B514" s="161"/>
      <c r="C514" s="161"/>
      <c r="D514" s="161"/>
      <c r="E514" s="170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248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09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0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1">B515+TIME(0,60,0)</f>
        <v>0.37499999999999967</v>
      </c>
      <c r="C516" s="33"/>
      <c r="D516" s="62"/>
      <c r="E516" s="62"/>
      <c r="F516" s="27"/>
      <c r="G516" s="28" t="str">
        <f t="shared" si="109"/>
        <v/>
      </c>
      <c r="H516" s="49"/>
      <c r="I516" s="26"/>
      <c r="J516" s="49"/>
      <c r="K516" s="29"/>
      <c r="L516" s="29"/>
      <c r="M516" s="30" t="str">
        <f t="shared" ca="1" si="110"/>
        <v/>
      </c>
      <c r="N516" s="46"/>
      <c r="O516" s="47"/>
    </row>
    <row r="517" spans="1:15" ht="15" customHeight="1">
      <c r="A517" s="68">
        <v>46254</v>
      </c>
      <c r="B517" s="32">
        <f t="shared" si="111"/>
        <v>0.41666666666666635</v>
      </c>
      <c r="C517" s="33"/>
      <c r="D517" s="62"/>
      <c r="E517" s="62"/>
      <c r="F517" s="27"/>
      <c r="G517" s="34" t="str">
        <f t="shared" si="109"/>
        <v/>
      </c>
      <c r="H517" s="33"/>
      <c r="I517" s="33"/>
      <c r="J517" s="33"/>
      <c r="K517" s="29"/>
      <c r="L517" s="29"/>
      <c r="M517" s="35" t="str">
        <f t="shared" ca="1" si="110"/>
        <v/>
      </c>
      <c r="N517" s="46"/>
      <c r="O517" s="47"/>
    </row>
    <row r="518" spans="1:15" ht="15" customHeight="1">
      <c r="A518" s="67">
        <v>46254</v>
      </c>
      <c r="B518" s="25">
        <f t="shared" si="111"/>
        <v>0.45833333333333304</v>
      </c>
      <c r="C518" s="33"/>
      <c r="D518" s="62"/>
      <c r="E518" s="62"/>
      <c r="F518" s="27"/>
      <c r="G518" s="28" t="str">
        <f t="shared" si="109"/>
        <v/>
      </c>
      <c r="H518" s="33"/>
      <c r="I518" s="26"/>
      <c r="J518" s="26"/>
      <c r="K518" s="29"/>
      <c r="L518" s="29"/>
      <c r="M518" s="30" t="str">
        <f t="shared" ca="1" si="110"/>
        <v/>
      </c>
      <c r="N518" s="46"/>
      <c r="O518" s="47"/>
    </row>
    <row r="519" spans="1:15" ht="15" customHeight="1">
      <c r="A519" s="68">
        <v>46254</v>
      </c>
      <c r="B519" s="32">
        <f t="shared" si="111"/>
        <v>0.49999999999999972</v>
      </c>
      <c r="C519" s="33"/>
      <c r="D519" s="62"/>
      <c r="E519" s="62"/>
      <c r="F519" s="27"/>
      <c r="G519" s="34" t="str">
        <f t="shared" si="109"/>
        <v/>
      </c>
      <c r="H519" s="33"/>
      <c r="I519" s="33"/>
      <c r="J519" s="33"/>
      <c r="K519" s="29"/>
      <c r="L519" s="29"/>
      <c r="M519" s="35" t="str">
        <f t="shared" ca="1" si="110"/>
        <v/>
      </c>
      <c r="N519" s="46"/>
      <c r="O519" s="47"/>
    </row>
    <row r="520" spans="1:15" ht="15" customHeight="1">
      <c r="A520" s="67">
        <v>46254</v>
      </c>
      <c r="B520" s="25">
        <f t="shared" si="111"/>
        <v>0.54166666666666641</v>
      </c>
      <c r="C520" s="33"/>
      <c r="D520" s="62"/>
      <c r="E520" s="62"/>
      <c r="F520" s="27"/>
      <c r="G520" s="28" t="str">
        <f t="shared" si="109"/>
        <v/>
      </c>
      <c r="H520" s="26"/>
      <c r="I520" s="26"/>
      <c r="J520" s="26"/>
      <c r="K520" s="29"/>
      <c r="L520" s="29"/>
      <c r="M520" s="30" t="str">
        <f t="shared" ca="1" si="110"/>
        <v/>
      </c>
      <c r="N520" s="46"/>
      <c r="O520" s="47"/>
    </row>
    <row r="521" spans="1:15" ht="15" customHeight="1">
      <c r="A521" s="68">
        <v>46254</v>
      </c>
      <c r="B521" s="32">
        <f t="shared" si="111"/>
        <v>0.58333333333333304</v>
      </c>
      <c r="C521" s="33"/>
      <c r="D521" s="62"/>
      <c r="E521" s="62"/>
      <c r="F521" s="27"/>
      <c r="G521" s="34" t="str">
        <f t="shared" si="109"/>
        <v/>
      </c>
      <c r="H521" s="33"/>
      <c r="I521" s="33"/>
      <c r="J521" s="33"/>
      <c r="K521" s="29"/>
      <c r="L521" s="29"/>
      <c r="M521" s="35" t="str">
        <f t="shared" ca="1" si="110"/>
        <v/>
      </c>
      <c r="N521" s="46"/>
      <c r="O521" s="47"/>
    </row>
    <row r="522" spans="1:15" ht="15" customHeight="1">
      <c r="A522" s="67">
        <v>46254</v>
      </c>
      <c r="B522" s="25">
        <f t="shared" si="111"/>
        <v>0.62499999999999967</v>
      </c>
      <c r="C522" s="33"/>
      <c r="D522" s="62"/>
      <c r="E522" s="62"/>
      <c r="F522" s="27"/>
      <c r="G522" s="28" t="str">
        <f t="shared" si="109"/>
        <v/>
      </c>
      <c r="H522" s="26"/>
      <c r="I522" s="26"/>
      <c r="J522" s="26"/>
      <c r="K522" s="29"/>
      <c r="L522" s="29"/>
      <c r="M522" s="30" t="str">
        <f t="shared" ca="1" si="110"/>
        <v/>
      </c>
      <c r="N522" s="46"/>
      <c r="O522" s="47"/>
    </row>
    <row r="523" spans="1:15" ht="15" customHeight="1">
      <c r="A523" s="68">
        <v>46254</v>
      </c>
      <c r="B523" s="32">
        <f t="shared" si="111"/>
        <v>0.6666666666666663</v>
      </c>
      <c r="C523" s="33"/>
      <c r="D523" s="62"/>
      <c r="E523" s="62"/>
      <c r="F523" s="27"/>
      <c r="G523" s="34" t="str">
        <f t="shared" si="109"/>
        <v/>
      </c>
      <c r="H523" s="33"/>
      <c r="I523" s="33"/>
      <c r="J523" s="33"/>
      <c r="K523" s="29"/>
      <c r="L523" s="29"/>
      <c r="M523" s="35" t="str">
        <f t="shared" ca="1" si="110"/>
        <v/>
      </c>
      <c r="N523" s="46"/>
      <c r="O523" s="47"/>
    </row>
    <row r="524" spans="1:15" ht="15" customHeight="1">
      <c r="A524" s="67">
        <v>46254</v>
      </c>
      <c r="B524" s="25">
        <f t="shared" si="111"/>
        <v>0.70833333333333293</v>
      </c>
      <c r="C524" s="33"/>
      <c r="D524" s="62"/>
      <c r="E524" s="62"/>
      <c r="F524" s="27"/>
      <c r="G524" s="28" t="str">
        <f t="shared" si="109"/>
        <v/>
      </c>
      <c r="H524" s="26"/>
      <c r="I524" s="26"/>
      <c r="J524" s="26"/>
      <c r="K524" s="29"/>
      <c r="L524" s="29"/>
      <c r="M524" s="30" t="str">
        <f t="shared" ca="1" si="110"/>
        <v/>
      </c>
      <c r="N524" s="46"/>
      <c r="O524" s="47"/>
    </row>
    <row r="525" spans="1:15" ht="15" customHeight="1">
      <c r="A525" s="68">
        <v>46254</v>
      </c>
      <c r="B525" s="32">
        <f t="shared" si="111"/>
        <v>0.74999999999999956</v>
      </c>
      <c r="C525" s="33"/>
      <c r="D525" s="62"/>
      <c r="E525" s="62"/>
      <c r="F525" s="27"/>
      <c r="G525" s="34" t="str">
        <f t="shared" si="109"/>
        <v/>
      </c>
      <c r="H525" s="33"/>
      <c r="I525" s="33"/>
      <c r="J525" s="33"/>
      <c r="K525" s="29"/>
      <c r="L525" s="29"/>
      <c r="M525" s="35" t="str">
        <f t="shared" ca="1" si="110"/>
        <v/>
      </c>
      <c r="N525" s="46"/>
      <c r="O525" s="47"/>
    </row>
    <row r="526" spans="1:15" ht="15" customHeight="1">
      <c r="A526" s="67">
        <v>46254</v>
      </c>
      <c r="B526" s="25">
        <f t="shared" si="111"/>
        <v>0.79166666666666619</v>
      </c>
      <c r="C526" s="33"/>
      <c r="D526" s="62"/>
      <c r="E526" s="62"/>
      <c r="F526" s="27"/>
      <c r="G526" s="28" t="str">
        <f t="shared" si="109"/>
        <v/>
      </c>
      <c r="H526" s="26"/>
      <c r="I526" s="26"/>
      <c r="J526" s="26"/>
      <c r="K526" s="29"/>
      <c r="L526" s="29"/>
      <c r="M526" s="30" t="str">
        <f t="shared" ca="1" si="110"/>
        <v/>
      </c>
      <c r="N526" s="46"/>
      <c r="O526" s="47"/>
    </row>
    <row r="527" spans="1:15" ht="15.75" customHeight="1">
      <c r="A527" s="158" t="s">
        <v>243</v>
      </c>
      <c r="B527" s="159"/>
      <c r="C527" s="159"/>
      <c r="D527" s="159"/>
      <c r="E527" s="16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244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2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3">B528+TIME(0,60,0)</f>
        <v>0.87499999999999967</v>
      </c>
      <c r="C529" s="26"/>
      <c r="D529" s="59"/>
      <c r="E529" s="59"/>
      <c r="F529" s="27"/>
      <c r="G529" s="34" t="str">
        <f t="shared" si="112"/>
        <v/>
      </c>
      <c r="H529" s="33"/>
      <c r="I529" s="33"/>
      <c r="J529" s="33"/>
      <c r="K529" s="29"/>
      <c r="L529" s="29"/>
      <c r="M529" s="35" t="str">
        <f t="shared" ref="M529:M539" ca="1" si="114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3"/>
        <v>0.9166666666666663</v>
      </c>
      <c r="C530" s="26"/>
      <c r="D530" s="59"/>
      <c r="E530" s="59"/>
      <c r="F530" s="27"/>
      <c r="G530" s="28" t="str">
        <f t="shared" si="112"/>
        <v/>
      </c>
      <c r="H530" s="26"/>
      <c r="I530" s="26"/>
      <c r="J530" s="26"/>
      <c r="K530" s="29"/>
      <c r="L530" s="29"/>
      <c r="M530" s="30" t="str">
        <f t="shared" ca="1" si="114"/>
        <v/>
      </c>
      <c r="N530" s="46"/>
      <c r="O530" s="47"/>
    </row>
    <row r="531" spans="1:15" ht="15" customHeight="1">
      <c r="A531" s="68">
        <v>46254</v>
      </c>
      <c r="B531" s="32">
        <f t="shared" si="113"/>
        <v>0.95833333333333293</v>
      </c>
      <c r="C531" s="26"/>
      <c r="D531" s="59"/>
      <c r="E531" s="59"/>
      <c r="F531" s="27"/>
      <c r="G531" s="34" t="str">
        <f t="shared" si="112"/>
        <v/>
      </c>
      <c r="H531" s="33"/>
      <c r="I531" s="33"/>
      <c r="J531" s="33"/>
      <c r="K531" s="29"/>
      <c r="L531" s="29"/>
      <c r="M531" s="35" t="str">
        <f t="shared" ca="1" si="114"/>
        <v/>
      </c>
      <c r="N531" s="46"/>
      <c r="O531" s="47"/>
    </row>
    <row r="532" spans="1:15" ht="15" customHeight="1">
      <c r="A532" s="67">
        <v>46254</v>
      </c>
      <c r="B532" s="25">
        <f t="shared" si="113"/>
        <v>0.99999999999999956</v>
      </c>
      <c r="C532" s="26"/>
      <c r="D532" s="59"/>
      <c r="E532" s="59"/>
      <c r="F532" s="27"/>
      <c r="G532" s="28" t="str">
        <f t="shared" si="112"/>
        <v/>
      </c>
      <c r="H532" s="26"/>
      <c r="I532" s="26"/>
      <c r="J532" s="26"/>
      <c r="K532" s="29"/>
      <c r="L532" s="29"/>
      <c r="M532" s="30" t="str">
        <f t="shared" ca="1" si="114"/>
        <v/>
      </c>
      <c r="N532" s="46"/>
      <c r="O532" s="47"/>
    </row>
    <row r="533" spans="1:15" ht="15" customHeight="1">
      <c r="A533" s="68">
        <v>46254</v>
      </c>
      <c r="B533" s="32">
        <f t="shared" si="113"/>
        <v>1.0416666666666663</v>
      </c>
      <c r="C533" s="26"/>
      <c r="D533" s="59"/>
      <c r="E533" s="59"/>
      <c r="F533" s="27"/>
      <c r="G533" s="34" t="str">
        <f t="shared" si="112"/>
        <v/>
      </c>
      <c r="H533" s="33"/>
      <c r="I533" s="33"/>
      <c r="J533" s="33"/>
      <c r="K533" s="29"/>
      <c r="L533" s="29"/>
      <c r="M533" s="35" t="str">
        <f t="shared" ca="1" si="114"/>
        <v/>
      </c>
      <c r="N533" s="46"/>
      <c r="O533" s="47"/>
    </row>
    <row r="534" spans="1:15" ht="15" customHeight="1">
      <c r="A534" s="67">
        <v>46254</v>
      </c>
      <c r="B534" s="25">
        <f t="shared" si="113"/>
        <v>1.083333333333333</v>
      </c>
      <c r="C534" s="26"/>
      <c r="D534" s="59"/>
      <c r="E534" s="59"/>
      <c r="F534" s="27"/>
      <c r="G534" s="28" t="str">
        <f t="shared" si="112"/>
        <v/>
      </c>
      <c r="H534" s="26"/>
      <c r="I534" s="26"/>
      <c r="J534" s="26"/>
      <c r="K534" s="29"/>
      <c r="L534" s="29"/>
      <c r="M534" s="30" t="str">
        <f t="shared" ca="1" si="114"/>
        <v/>
      </c>
      <c r="N534" s="46"/>
      <c r="O534" s="47"/>
    </row>
    <row r="535" spans="1:15" ht="15" customHeight="1">
      <c r="A535" s="68">
        <v>46254</v>
      </c>
      <c r="B535" s="32">
        <f t="shared" si="113"/>
        <v>1.1249999999999998</v>
      </c>
      <c r="C535" s="26"/>
      <c r="D535" s="59"/>
      <c r="E535" s="59"/>
      <c r="F535" s="27"/>
      <c r="G535" s="34" t="str">
        <f t="shared" si="112"/>
        <v/>
      </c>
      <c r="H535" s="33"/>
      <c r="I535" s="33"/>
      <c r="J535" s="33"/>
      <c r="K535" s="29"/>
      <c r="L535" s="29"/>
      <c r="M535" s="35" t="str">
        <f t="shared" ca="1" si="114"/>
        <v/>
      </c>
      <c r="N535" s="46"/>
      <c r="O535" s="47"/>
    </row>
    <row r="536" spans="1:15" ht="15" customHeight="1">
      <c r="A536" s="67">
        <v>46254</v>
      </c>
      <c r="B536" s="25">
        <f t="shared" si="113"/>
        <v>1.1666666666666665</v>
      </c>
      <c r="C536" s="26"/>
      <c r="D536" s="59"/>
      <c r="E536" s="59"/>
      <c r="F536" s="27"/>
      <c r="G536" s="28" t="str">
        <f t="shared" si="112"/>
        <v/>
      </c>
      <c r="H536" s="26"/>
      <c r="I536" s="26"/>
      <c r="J536" s="26"/>
      <c r="K536" s="29"/>
      <c r="L536" s="29"/>
      <c r="M536" s="30" t="str">
        <f t="shared" ca="1" si="114"/>
        <v/>
      </c>
      <c r="N536" s="46"/>
      <c r="O536" s="47"/>
    </row>
    <row r="537" spans="1:15" ht="15" customHeight="1">
      <c r="A537" s="68">
        <v>46254</v>
      </c>
      <c r="B537" s="32">
        <f t="shared" si="113"/>
        <v>1.2083333333333333</v>
      </c>
      <c r="C537" s="26"/>
      <c r="D537" s="59"/>
      <c r="E537" s="59"/>
      <c r="F537" s="27"/>
      <c r="G537" s="34" t="str">
        <f t="shared" si="112"/>
        <v/>
      </c>
      <c r="H537" s="33"/>
      <c r="I537" s="33"/>
      <c r="J537" s="33"/>
      <c r="K537" s="29"/>
      <c r="L537" s="29"/>
      <c r="M537" s="35" t="str">
        <f t="shared" ca="1" si="114"/>
        <v/>
      </c>
      <c r="N537" s="46"/>
      <c r="O537" s="47"/>
    </row>
    <row r="538" spans="1:15" ht="15" customHeight="1">
      <c r="A538" s="67">
        <v>46254</v>
      </c>
      <c r="B538" s="25">
        <f t="shared" si="113"/>
        <v>1.25</v>
      </c>
      <c r="C538" s="26"/>
      <c r="D538" s="59"/>
      <c r="E538" s="59"/>
      <c r="F538" s="27"/>
      <c r="G538" s="28" t="str">
        <f t="shared" si="112"/>
        <v/>
      </c>
      <c r="H538" s="26"/>
      <c r="I538" s="26"/>
      <c r="J538" s="26"/>
      <c r="K538" s="29"/>
      <c r="L538" s="29"/>
      <c r="M538" s="30" t="str">
        <f t="shared" ca="1" si="114"/>
        <v/>
      </c>
      <c r="N538" s="46"/>
      <c r="O538" s="47"/>
    </row>
    <row r="539" spans="1:15" ht="15" customHeight="1">
      <c r="A539" s="68">
        <v>46254</v>
      </c>
      <c r="B539" s="32">
        <f t="shared" si="113"/>
        <v>1.2916666666666667</v>
      </c>
      <c r="C539" s="26"/>
      <c r="D539" s="59"/>
      <c r="E539" s="59"/>
      <c r="F539" s="27"/>
      <c r="G539" s="34" t="str">
        <f t="shared" si="112"/>
        <v/>
      </c>
      <c r="H539" s="33"/>
      <c r="I539" s="33"/>
      <c r="J539" s="33"/>
      <c r="K539" s="29"/>
      <c r="L539" s="29"/>
      <c r="M539" s="35" t="str">
        <f t="shared" ca="1" si="114"/>
        <v/>
      </c>
      <c r="N539" s="46"/>
      <c r="O539" s="47"/>
    </row>
    <row r="540" spans="1:15" ht="15.75" customHeight="1">
      <c r="A540" s="158" t="s">
        <v>246</v>
      </c>
      <c r="B540" s="159"/>
      <c r="C540" s="159"/>
      <c r="D540" s="159"/>
      <c r="E540" s="16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244</v>
      </c>
      <c r="O540" s="39"/>
    </row>
    <row r="541" spans="1:15" ht="18" customHeight="1">
      <c r="A541" s="160" t="s">
        <v>247</v>
      </c>
      <c r="B541" s="161"/>
      <c r="C541" s="161"/>
      <c r="D541" s="161"/>
      <c r="E541" s="170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248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5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6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7">B542+TIME(0,60,0)</f>
        <v>0.37499999999999967</v>
      </c>
      <c r="C543" s="26"/>
      <c r="D543" s="59"/>
      <c r="E543" s="59"/>
      <c r="F543" s="27"/>
      <c r="G543" s="34" t="str">
        <f t="shared" si="115"/>
        <v/>
      </c>
      <c r="H543" s="33"/>
      <c r="I543" s="33"/>
      <c r="J543" s="33"/>
      <c r="K543" s="29"/>
      <c r="L543" s="29"/>
      <c r="M543" s="35" t="str">
        <f t="shared" ca="1" si="116"/>
        <v/>
      </c>
      <c r="N543" s="46"/>
      <c r="O543" s="47"/>
    </row>
    <row r="544" spans="1:15" ht="15" customHeight="1">
      <c r="A544" s="67">
        <v>46255</v>
      </c>
      <c r="B544" s="25">
        <f t="shared" si="117"/>
        <v>0.41666666666666635</v>
      </c>
      <c r="C544" s="26"/>
      <c r="D544" s="59"/>
      <c r="E544" s="59"/>
      <c r="F544" s="27"/>
      <c r="G544" s="28" t="str">
        <f t="shared" si="115"/>
        <v/>
      </c>
      <c r="H544" s="26"/>
      <c r="I544" s="26"/>
      <c r="J544" s="26"/>
      <c r="K544" s="29"/>
      <c r="L544" s="29"/>
      <c r="M544" s="30" t="str">
        <f t="shared" ca="1" si="116"/>
        <v/>
      </c>
      <c r="N544" s="46"/>
      <c r="O544" s="47"/>
    </row>
    <row r="545" spans="1:15" ht="15" customHeight="1">
      <c r="A545" s="68">
        <v>46255</v>
      </c>
      <c r="B545" s="32">
        <f t="shared" si="117"/>
        <v>0.45833333333333304</v>
      </c>
      <c r="C545" s="26"/>
      <c r="D545" s="59"/>
      <c r="E545" s="59"/>
      <c r="F545" s="27"/>
      <c r="G545" s="34" t="str">
        <f t="shared" si="115"/>
        <v/>
      </c>
      <c r="H545" s="33"/>
      <c r="I545" s="33"/>
      <c r="J545" s="33"/>
      <c r="K545" s="29"/>
      <c r="L545" s="29"/>
      <c r="M545" s="35" t="str">
        <f t="shared" ca="1" si="116"/>
        <v/>
      </c>
      <c r="N545" s="46"/>
      <c r="O545" s="47"/>
    </row>
    <row r="546" spans="1:15" ht="15" customHeight="1">
      <c r="A546" s="67">
        <v>46255</v>
      </c>
      <c r="B546" s="25">
        <f t="shared" si="117"/>
        <v>0.49999999999999972</v>
      </c>
      <c r="C546" s="26"/>
      <c r="D546" s="59"/>
      <c r="E546" s="59"/>
      <c r="F546" s="27"/>
      <c r="G546" s="28" t="str">
        <f t="shared" si="115"/>
        <v/>
      </c>
      <c r="H546" s="26"/>
      <c r="I546" s="26"/>
      <c r="J546" s="26"/>
      <c r="K546" s="29"/>
      <c r="L546" s="29"/>
      <c r="M546" s="30" t="str">
        <f t="shared" ca="1" si="116"/>
        <v/>
      </c>
      <c r="N546" s="46"/>
      <c r="O546" s="47"/>
    </row>
    <row r="547" spans="1:15" ht="15" customHeight="1">
      <c r="A547" s="68">
        <v>46255</v>
      </c>
      <c r="B547" s="32">
        <f t="shared" si="117"/>
        <v>0.54166666666666641</v>
      </c>
      <c r="C547" s="26"/>
      <c r="D547" s="59"/>
      <c r="E547" s="59"/>
      <c r="F547" s="27"/>
      <c r="G547" s="34" t="str">
        <f t="shared" si="115"/>
        <v/>
      </c>
      <c r="H547" s="33"/>
      <c r="I547" s="33"/>
      <c r="J547" s="33"/>
      <c r="K547" s="29"/>
      <c r="L547" s="29"/>
      <c r="M547" s="35" t="str">
        <f t="shared" ca="1" si="116"/>
        <v/>
      </c>
      <c r="N547" s="46"/>
      <c r="O547" s="47"/>
    </row>
    <row r="548" spans="1:15" ht="15" customHeight="1">
      <c r="A548" s="67">
        <v>46255</v>
      </c>
      <c r="B548" s="25">
        <f t="shared" si="117"/>
        <v>0.58333333333333304</v>
      </c>
      <c r="C548" s="26"/>
      <c r="D548" s="59"/>
      <c r="E548" s="59"/>
      <c r="F548" s="27"/>
      <c r="G548" s="28" t="str">
        <f t="shared" si="115"/>
        <v/>
      </c>
      <c r="H548" s="26"/>
      <c r="I548" s="26"/>
      <c r="J548" s="26"/>
      <c r="K548" s="29"/>
      <c r="L548" s="29"/>
      <c r="M548" s="30" t="str">
        <f t="shared" ca="1" si="116"/>
        <v/>
      </c>
      <c r="N548" s="46"/>
      <c r="O548" s="47"/>
    </row>
    <row r="549" spans="1:15" ht="15" customHeight="1">
      <c r="A549" s="68">
        <v>46255</v>
      </c>
      <c r="B549" s="32">
        <f t="shared" si="117"/>
        <v>0.62499999999999967</v>
      </c>
      <c r="C549" s="26"/>
      <c r="D549" s="59"/>
      <c r="E549" s="59"/>
      <c r="F549" s="27"/>
      <c r="G549" s="34" t="str">
        <f t="shared" si="115"/>
        <v/>
      </c>
      <c r="H549" s="33"/>
      <c r="I549" s="33"/>
      <c r="J549" s="33"/>
      <c r="K549" s="29"/>
      <c r="L549" s="29"/>
      <c r="M549" s="35" t="str">
        <f t="shared" ca="1" si="116"/>
        <v/>
      </c>
      <c r="N549" s="46"/>
      <c r="O549" s="47"/>
    </row>
    <row r="550" spans="1:15" ht="15" customHeight="1">
      <c r="A550" s="67">
        <v>46255</v>
      </c>
      <c r="B550" s="25">
        <f t="shared" si="117"/>
        <v>0.6666666666666663</v>
      </c>
      <c r="C550" s="26"/>
      <c r="D550" s="59"/>
      <c r="E550" s="59"/>
      <c r="F550" s="27"/>
      <c r="G550" s="28" t="str">
        <f t="shared" si="115"/>
        <v/>
      </c>
      <c r="H550" s="26"/>
      <c r="I550" s="26"/>
      <c r="J550" s="26"/>
      <c r="K550" s="29"/>
      <c r="L550" s="29"/>
      <c r="M550" s="30" t="str">
        <f t="shared" ca="1" si="116"/>
        <v/>
      </c>
      <c r="N550" s="46"/>
      <c r="O550" s="47"/>
    </row>
    <row r="551" spans="1:15" ht="15" customHeight="1">
      <c r="A551" s="68">
        <v>46255</v>
      </c>
      <c r="B551" s="32">
        <f t="shared" si="117"/>
        <v>0.70833333333333293</v>
      </c>
      <c r="C551" s="26"/>
      <c r="D551" s="59"/>
      <c r="E551" s="59"/>
      <c r="F551" s="27"/>
      <c r="G551" s="34" t="str">
        <f t="shared" si="115"/>
        <v/>
      </c>
      <c r="H551" s="33"/>
      <c r="I551" s="33"/>
      <c r="J551" s="33"/>
      <c r="K551" s="29"/>
      <c r="L551" s="29"/>
      <c r="M551" s="35" t="str">
        <f t="shared" ca="1" si="116"/>
        <v/>
      </c>
      <c r="N551" s="46"/>
      <c r="O551" s="47"/>
    </row>
    <row r="552" spans="1:15" ht="15" customHeight="1">
      <c r="A552" s="67">
        <v>46255</v>
      </c>
      <c r="B552" s="25">
        <f t="shared" si="117"/>
        <v>0.74999999999999956</v>
      </c>
      <c r="C552" s="26"/>
      <c r="D552" s="59"/>
      <c r="E552" s="59"/>
      <c r="F552" s="27"/>
      <c r="G552" s="28" t="str">
        <f t="shared" si="115"/>
        <v/>
      </c>
      <c r="H552" s="26"/>
      <c r="I552" s="26"/>
      <c r="J552" s="26"/>
      <c r="K552" s="29"/>
      <c r="L552" s="29"/>
      <c r="M552" s="30" t="str">
        <f t="shared" ca="1" si="116"/>
        <v/>
      </c>
      <c r="N552" s="46"/>
      <c r="O552" s="47"/>
    </row>
    <row r="553" spans="1:15" ht="15" customHeight="1">
      <c r="A553" s="68">
        <v>46255</v>
      </c>
      <c r="B553" s="32">
        <f t="shared" si="117"/>
        <v>0.79166666666666619</v>
      </c>
      <c r="C553" s="26"/>
      <c r="D553" s="59"/>
      <c r="E553" s="59"/>
      <c r="F553" s="27"/>
      <c r="G553" s="34" t="str">
        <f t="shared" si="115"/>
        <v/>
      </c>
      <c r="H553" s="33"/>
      <c r="I553" s="33"/>
      <c r="J553" s="33"/>
      <c r="K553" s="29"/>
      <c r="L553" s="29"/>
      <c r="M553" s="35" t="str">
        <f t="shared" ca="1" si="116"/>
        <v/>
      </c>
      <c r="N553" s="46"/>
      <c r="O553" s="47"/>
    </row>
    <row r="554" spans="1:15" ht="15.75" customHeight="1">
      <c r="A554" s="158" t="s">
        <v>243</v>
      </c>
      <c r="B554" s="159"/>
      <c r="C554" s="159"/>
      <c r="D554" s="159"/>
      <c r="E554" s="16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244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8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19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0">B555+TIME(0,60,0)</f>
        <v>0.87499999999999967</v>
      </c>
      <c r="C556" s="33"/>
      <c r="D556" s="62"/>
      <c r="E556" s="62"/>
      <c r="F556" s="27"/>
      <c r="G556" s="28" t="str">
        <f t="shared" si="118"/>
        <v/>
      </c>
      <c r="H556" s="26"/>
      <c r="I556" s="26"/>
      <c r="J556" s="26"/>
      <c r="K556" s="29"/>
      <c r="L556" s="29"/>
      <c r="M556" s="30" t="str">
        <f t="shared" ca="1" si="119"/>
        <v/>
      </c>
      <c r="N556" s="46"/>
      <c r="O556" s="47"/>
    </row>
    <row r="557" spans="1:15" ht="15" customHeight="1">
      <c r="A557" s="68">
        <v>46255</v>
      </c>
      <c r="B557" s="32">
        <f t="shared" si="120"/>
        <v>0.9166666666666663</v>
      </c>
      <c r="C557" s="33"/>
      <c r="D557" s="62"/>
      <c r="E557" s="62"/>
      <c r="F557" s="27"/>
      <c r="G557" s="34" t="str">
        <f t="shared" si="118"/>
        <v/>
      </c>
      <c r="H557" s="33"/>
      <c r="I557" s="33"/>
      <c r="J557" s="33"/>
      <c r="K557" s="29"/>
      <c r="L557" s="29"/>
      <c r="M557" s="35" t="str">
        <f t="shared" ca="1" si="119"/>
        <v/>
      </c>
      <c r="N557" s="46"/>
      <c r="O557" s="47"/>
    </row>
    <row r="558" spans="1:15" ht="15" customHeight="1">
      <c r="A558" s="67">
        <v>46255</v>
      </c>
      <c r="B558" s="25">
        <f t="shared" si="120"/>
        <v>0.95833333333333293</v>
      </c>
      <c r="C558" s="33"/>
      <c r="D558" s="62"/>
      <c r="E558" s="62"/>
      <c r="F558" s="27"/>
      <c r="G558" s="28" t="str">
        <f t="shared" si="118"/>
        <v/>
      </c>
      <c r="H558" s="26"/>
      <c r="I558" s="26"/>
      <c r="J558" s="26"/>
      <c r="K558" s="29"/>
      <c r="L558" s="29"/>
      <c r="M558" s="30" t="str">
        <f t="shared" ca="1" si="119"/>
        <v/>
      </c>
      <c r="N558" s="46"/>
      <c r="O558" s="47"/>
    </row>
    <row r="559" spans="1:15" ht="15" customHeight="1">
      <c r="A559" s="68">
        <v>46255</v>
      </c>
      <c r="B559" s="32">
        <f t="shared" si="120"/>
        <v>0.99999999999999956</v>
      </c>
      <c r="C559" s="33"/>
      <c r="D559" s="62"/>
      <c r="E559" s="62"/>
      <c r="F559" s="27"/>
      <c r="G559" s="34" t="str">
        <f t="shared" si="118"/>
        <v/>
      </c>
      <c r="H559" s="33"/>
      <c r="I559" s="33"/>
      <c r="J559" s="33"/>
      <c r="K559" s="29"/>
      <c r="L559" s="29"/>
      <c r="M559" s="35" t="str">
        <f t="shared" ca="1" si="119"/>
        <v/>
      </c>
      <c r="N559" s="46"/>
      <c r="O559" s="47"/>
    </row>
    <row r="560" spans="1:15" ht="15" customHeight="1">
      <c r="A560" s="67">
        <v>46255</v>
      </c>
      <c r="B560" s="25">
        <f t="shared" si="120"/>
        <v>1.0416666666666663</v>
      </c>
      <c r="C560" s="33"/>
      <c r="D560" s="62"/>
      <c r="E560" s="62"/>
      <c r="F560" s="27"/>
      <c r="G560" s="28" t="str">
        <f t="shared" si="118"/>
        <v/>
      </c>
      <c r="H560" s="26"/>
      <c r="I560" s="26"/>
      <c r="J560" s="26"/>
      <c r="K560" s="29"/>
      <c r="L560" s="29"/>
      <c r="M560" s="30" t="str">
        <f t="shared" ca="1" si="119"/>
        <v/>
      </c>
      <c r="N560" s="46"/>
      <c r="O560" s="47"/>
    </row>
    <row r="561" spans="1:15" ht="15" customHeight="1">
      <c r="A561" s="68">
        <v>46255</v>
      </c>
      <c r="B561" s="32">
        <f t="shared" si="120"/>
        <v>1.083333333333333</v>
      </c>
      <c r="C561" s="33"/>
      <c r="D561" s="62"/>
      <c r="E561" s="62"/>
      <c r="F561" s="27"/>
      <c r="G561" s="34" t="str">
        <f t="shared" si="118"/>
        <v/>
      </c>
      <c r="H561" s="33"/>
      <c r="I561" s="33"/>
      <c r="J561" s="33"/>
      <c r="K561" s="29"/>
      <c r="L561" s="29"/>
      <c r="M561" s="35" t="str">
        <f t="shared" ca="1" si="119"/>
        <v/>
      </c>
      <c r="N561" s="46"/>
      <c r="O561" s="47"/>
    </row>
    <row r="562" spans="1:15" ht="15" customHeight="1">
      <c r="A562" s="67">
        <v>46255</v>
      </c>
      <c r="B562" s="25">
        <f t="shared" si="120"/>
        <v>1.1249999999999998</v>
      </c>
      <c r="C562" s="33"/>
      <c r="D562" s="62"/>
      <c r="E562" s="62"/>
      <c r="F562" s="27"/>
      <c r="G562" s="28" t="str">
        <f t="shared" si="118"/>
        <v/>
      </c>
      <c r="H562" s="26"/>
      <c r="I562" s="26"/>
      <c r="J562" s="26"/>
      <c r="K562" s="29"/>
      <c r="L562" s="29"/>
      <c r="M562" s="30" t="str">
        <f t="shared" ca="1" si="119"/>
        <v/>
      </c>
      <c r="N562" s="46"/>
      <c r="O562" s="47"/>
    </row>
    <row r="563" spans="1:15" ht="15" customHeight="1">
      <c r="A563" s="68">
        <v>46255</v>
      </c>
      <c r="B563" s="32">
        <f t="shared" si="120"/>
        <v>1.1666666666666665</v>
      </c>
      <c r="C563" s="33"/>
      <c r="D563" s="62"/>
      <c r="E563" s="62"/>
      <c r="F563" s="27"/>
      <c r="G563" s="34" t="str">
        <f t="shared" si="118"/>
        <v/>
      </c>
      <c r="H563" s="33"/>
      <c r="I563" s="33"/>
      <c r="J563" s="33"/>
      <c r="K563" s="29"/>
      <c r="L563" s="29"/>
      <c r="M563" s="35" t="str">
        <f t="shared" ca="1" si="119"/>
        <v/>
      </c>
      <c r="N563" s="46"/>
      <c r="O563" s="47"/>
    </row>
    <row r="564" spans="1:15" ht="15" customHeight="1">
      <c r="A564" s="67">
        <v>46255</v>
      </c>
      <c r="B564" s="25">
        <f t="shared" si="120"/>
        <v>1.2083333333333333</v>
      </c>
      <c r="C564" s="33"/>
      <c r="D564" s="62"/>
      <c r="E564" s="62"/>
      <c r="F564" s="27"/>
      <c r="G564" s="28" t="str">
        <f t="shared" si="118"/>
        <v/>
      </c>
      <c r="H564" s="26"/>
      <c r="I564" s="26"/>
      <c r="J564" s="26"/>
      <c r="K564" s="29"/>
      <c r="L564" s="29"/>
      <c r="M564" s="30" t="str">
        <f t="shared" ca="1" si="119"/>
        <v/>
      </c>
      <c r="N564" s="46"/>
      <c r="O564" s="47"/>
    </row>
    <row r="565" spans="1:15" ht="15" customHeight="1">
      <c r="A565" s="68">
        <v>46255</v>
      </c>
      <c r="B565" s="32">
        <f t="shared" si="120"/>
        <v>1.25</v>
      </c>
      <c r="C565" s="33"/>
      <c r="D565" s="62"/>
      <c r="E565" s="62"/>
      <c r="F565" s="27"/>
      <c r="G565" s="34" t="str">
        <f t="shared" si="118"/>
        <v/>
      </c>
      <c r="H565" s="33"/>
      <c r="I565" s="33"/>
      <c r="J565" s="33"/>
      <c r="K565" s="29"/>
      <c r="L565" s="29"/>
      <c r="M565" s="35" t="str">
        <f t="shared" ca="1" si="119"/>
        <v/>
      </c>
      <c r="N565" s="46"/>
      <c r="O565" s="47"/>
    </row>
    <row r="566" spans="1:15" ht="15" customHeight="1">
      <c r="A566" s="67">
        <v>46255</v>
      </c>
      <c r="B566" s="25">
        <f t="shared" si="120"/>
        <v>1.2916666666666667</v>
      </c>
      <c r="C566" s="33"/>
      <c r="D566" s="62"/>
      <c r="E566" s="62"/>
      <c r="F566" s="27"/>
      <c r="G566" s="28" t="str">
        <f t="shared" si="118"/>
        <v/>
      </c>
      <c r="H566" s="26"/>
      <c r="I566" s="26"/>
      <c r="J566" s="26"/>
      <c r="K566" s="29"/>
      <c r="L566" s="29"/>
      <c r="M566" s="30" t="str">
        <f t="shared" ca="1" si="119"/>
        <v/>
      </c>
      <c r="N566" s="46"/>
      <c r="O566" s="47"/>
    </row>
    <row r="567" spans="1:15" ht="15.75" customHeight="1">
      <c r="A567" s="158" t="s">
        <v>246</v>
      </c>
      <c r="B567" s="159"/>
      <c r="C567" s="159"/>
      <c r="D567" s="159"/>
      <c r="E567" s="16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244</v>
      </c>
      <c r="O567" s="39"/>
    </row>
    <row r="568" spans="1:15" ht="18" customHeight="1">
      <c r="A568" s="160" t="s">
        <v>247</v>
      </c>
      <c r="B568" s="161"/>
      <c r="C568" s="161"/>
      <c r="D568" s="161"/>
      <c r="E568" s="170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248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1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2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3">B569+TIME(0,60,0)</f>
        <v>0.37499999999999967</v>
      </c>
      <c r="C570" s="33"/>
      <c r="D570" s="62"/>
      <c r="E570" s="62"/>
      <c r="F570" s="27"/>
      <c r="G570" s="34" t="str">
        <f t="shared" si="121"/>
        <v/>
      </c>
      <c r="H570" s="26"/>
      <c r="I570" s="26"/>
      <c r="J570" s="26"/>
      <c r="K570" s="29"/>
      <c r="L570" s="29"/>
      <c r="M570" s="30" t="str">
        <f t="shared" ca="1" si="122"/>
        <v/>
      </c>
      <c r="N570" s="46"/>
      <c r="O570" s="47"/>
    </row>
    <row r="571" spans="1:15" ht="15" customHeight="1">
      <c r="A571" s="68">
        <v>46256</v>
      </c>
      <c r="B571" s="32">
        <f t="shared" si="123"/>
        <v>0.41666666666666635</v>
      </c>
      <c r="C571" s="33"/>
      <c r="D571" s="62"/>
      <c r="E571" s="62"/>
      <c r="F571" s="27"/>
      <c r="G571" s="34" t="str">
        <f t="shared" si="121"/>
        <v/>
      </c>
      <c r="H571" s="33"/>
      <c r="I571" s="33"/>
      <c r="J571" s="33"/>
      <c r="K571" s="29"/>
      <c r="L571" s="29"/>
      <c r="M571" s="35" t="str">
        <f t="shared" ca="1" si="122"/>
        <v/>
      </c>
      <c r="N571" s="46"/>
      <c r="O571" s="47"/>
    </row>
    <row r="572" spans="1:15" ht="15" customHeight="1">
      <c r="A572" s="67">
        <v>46256</v>
      </c>
      <c r="B572" s="25">
        <f t="shared" si="123"/>
        <v>0.45833333333333304</v>
      </c>
      <c r="C572" s="33"/>
      <c r="D572" s="62"/>
      <c r="E572" s="62"/>
      <c r="F572" s="27"/>
      <c r="G572" s="34" t="str">
        <f t="shared" si="121"/>
        <v/>
      </c>
      <c r="H572" s="26"/>
      <c r="I572" s="26"/>
      <c r="J572" s="26"/>
      <c r="K572" s="29"/>
      <c r="L572" s="29"/>
      <c r="M572" s="30" t="str">
        <f t="shared" ca="1" si="122"/>
        <v/>
      </c>
      <c r="N572" s="46"/>
      <c r="O572" s="47"/>
    </row>
    <row r="573" spans="1:15" ht="15" customHeight="1">
      <c r="A573" s="68">
        <v>46256</v>
      </c>
      <c r="B573" s="32">
        <f t="shared" si="123"/>
        <v>0.49999999999999972</v>
      </c>
      <c r="C573" s="33"/>
      <c r="D573" s="62"/>
      <c r="E573" s="62"/>
      <c r="F573" s="27"/>
      <c r="G573" s="34" t="str">
        <f t="shared" si="121"/>
        <v/>
      </c>
      <c r="H573" s="33"/>
      <c r="I573" s="33"/>
      <c r="J573" s="33"/>
      <c r="K573" s="29"/>
      <c r="L573" s="29"/>
      <c r="M573" s="35" t="str">
        <f t="shared" ca="1" si="122"/>
        <v/>
      </c>
      <c r="N573" s="46"/>
      <c r="O573" s="47"/>
    </row>
    <row r="574" spans="1:15" ht="15" customHeight="1">
      <c r="A574" s="67">
        <v>46256</v>
      </c>
      <c r="B574" s="25">
        <f t="shared" si="123"/>
        <v>0.54166666666666641</v>
      </c>
      <c r="C574" s="33"/>
      <c r="D574" s="62"/>
      <c r="E574" s="62"/>
      <c r="F574" s="27"/>
      <c r="G574" s="34" t="str">
        <f t="shared" si="121"/>
        <v/>
      </c>
      <c r="H574" s="26"/>
      <c r="I574" s="26"/>
      <c r="J574" s="26"/>
      <c r="K574" s="29"/>
      <c r="L574" s="29"/>
      <c r="M574" s="30" t="str">
        <f t="shared" ca="1" si="122"/>
        <v/>
      </c>
      <c r="N574" s="46"/>
      <c r="O574" s="47"/>
    </row>
    <row r="575" spans="1:15" ht="15" customHeight="1">
      <c r="A575" s="68">
        <v>46256</v>
      </c>
      <c r="B575" s="32">
        <f t="shared" si="123"/>
        <v>0.58333333333333304</v>
      </c>
      <c r="C575" s="33"/>
      <c r="D575" s="62"/>
      <c r="E575" s="62"/>
      <c r="F575" s="27"/>
      <c r="G575" s="34" t="str">
        <f t="shared" si="121"/>
        <v/>
      </c>
      <c r="H575" s="33"/>
      <c r="I575" s="33"/>
      <c r="J575" s="33"/>
      <c r="K575" s="29"/>
      <c r="L575" s="29"/>
      <c r="M575" s="35" t="str">
        <f t="shared" ca="1" si="122"/>
        <v/>
      </c>
      <c r="N575" s="46"/>
      <c r="O575" s="47"/>
    </row>
    <row r="576" spans="1:15" ht="15" customHeight="1">
      <c r="A576" s="67">
        <v>46256</v>
      </c>
      <c r="B576" s="25">
        <f t="shared" si="123"/>
        <v>0.62499999999999967</v>
      </c>
      <c r="C576" s="33"/>
      <c r="D576" s="62"/>
      <c r="E576" s="62"/>
      <c r="F576" s="55"/>
      <c r="G576" s="34" t="str">
        <f t="shared" si="121"/>
        <v/>
      </c>
      <c r="H576" s="26"/>
      <c r="I576" s="26"/>
      <c r="J576" s="26"/>
      <c r="K576" s="29"/>
      <c r="L576" s="29"/>
      <c r="M576" s="30" t="str">
        <f t="shared" ca="1" si="122"/>
        <v/>
      </c>
      <c r="N576" s="46"/>
      <c r="O576" s="47"/>
    </row>
    <row r="577" spans="1:15" ht="15" customHeight="1">
      <c r="A577" s="68">
        <v>46256</v>
      </c>
      <c r="B577" s="32">
        <f t="shared" si="123"/>
        <v>0.6666666666666663</v>
      </c>
      <c r="C577" s="33"/>
      <c r="D577" s="62"/>
      <c r="E577" s="62"/>
      <c r="F577" s="27"/>
      <c r="G577" s="34" t="str">
        <f t="shared" si="121"/>
        <v/>
      </c>
      <c r="H577" s="33"/>
      <c r="I577" s="33"/>
      <c r="J577" s="33"/>
      <c r="K577" s="29"/>
      <c r="L577" s="29"/>
      <c r="M577" s="35" t="str">
        <f t="shared" ca="1" si="122"/>
        <v/>
      </c>
      <c r="N577" s="46"/>
      <c r="O577" s="47"/>
    </row>
    <row r="578" spans="1:15" ht="15" customHeight="1">
      <c r="A578" s="67">
        <v>46256</v>
      </c>
      <c r="B578" s="25">
        <f t="shared" si="123"/>
        <v>0.70833333333333293</v>
      </c>
      <c r="C578" s="33"/>
      <c r="D578" s="62"/>
      <c r="E578" s="62"/>
      <c r="F578" s="27"/>
      <c r="G578" s="34" t="str">
        <f t="shared" si="121"/>
        <v/>
      </c>
      <c r="H578" s="26"/>
      <c r="I578" s="26"/>
      <c r="J578" s="26"/>
      <c r="K578" s="29"/>
      <c r="L578" s="29"/>
      <c r="M578" s="30" t="str">
        <f t="shared" ca="1" si="122"/>
        <v/>
      </c>
      <c r="N578" s="46"/>
      <c r="O578" s="47"/>
    </row>
    <row r="579" spans="1:15" ht="15" customHeight="1">
      <c r="A579" s="68">
        <v>46256</v>
      </c>
      <c r="B579" s="32">
        <f t="shared" si="123"/>
        <v>0.74999999999999956</v>
      </c>
      <c r="C579" s="33"/>
      <c r="D579" s="62"/>
      <c r="E579" s="62"/>
      <c r="F579" s="27"/>
      <c r="G579" s="34" t="str">
        <f t="shared" si="121"/>
        <v/>
      </c>
      <c r="H579" s="33"/>
      <c r="I579" s="33"/>
      <c r="J579" s="33"/>
      <c r="K579" s="29"/>
      <c r="L579" s="29"/>
      <c r="M579" s="35" t="str">
        <f t="shared" ca="1" si="122"/>
        <v/>
      </c>
      <c r="N579" s="46"/>
      <c r="O579" s="47"/>
    </row>
    <row r="580" spans="1:15" ht="15" customHeight="1">
      <c r="A580" s="67">
        <v>46256</v>
      </c>
      <c r="B580" s="25">
        <f t="shared" si="123"/>
        <v>0.79166666666666619</v>
      </c>
      <c r="C580" s="33"/>
      <c r="D580" s="62"/>
      <c r="E580" s="62"/>
      <c r="F580" s="27"/>
      <c r="G580" s="34" t="str">
        <f t="shared" si="121"/>
        <v/>
      </c>
      <c r="H580" s="26"/>
      <c r="I580" s="26"/>
      <c r="J580" s="26"/>
      <c r="K580" s="29"/>
      <c r="L580" s="29"/>
      <c r="M580" s="30" t="str">
        <f t="shared" ca="1" si="122"/>
        <v/>
      </c>
      <c r="N580" s="46"/>
      <c r="O580" s="47"/>
    </row>
    <row r="581" spans="1:15" ht="15.75" customHeight="1">
      <c r="A581" s="158" t="s">
        <v>243</v>
      </c>
      <c r="B581" s="159"/>
      <c r="C581" s="159"/>
      <c r="D581" s="159"/>
      <c r="E581" s="16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244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4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5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6">B582+TIME(0,60,0)</f>
        <v>0.87499999999999967</v>
      </c>
      <c r="C583" s="26"/>
      <c r="D583" s="59"/>
      <c r="E583" s="59"/>
      <c r="F583" s="27"/>
      <c r="G583" s="34" t="str">
        <f t="shared" si="124"/>
        <v/>
      </c>
      <c r="H583" s="33"/>
      <c r="I583" s="33"/>
      <c r="J583" s="33"/>
      <c r="K583" s="29"/>
      <c r="L583" s="29"/>
      <c r="M583" s="35" t="str">
        <f t="shared" ca="1" si="125"/>
        <v/>
      </c>
      <c r="N583" s="46"/>
      <c r="O583" s="47"/>
    </row>
    <row r="584" spans="1:15" ht="15" customHeight="1">
      <c r="A584" s="67">
        <v>46256</v>
      </c>
      <c r="B584" s="25">
        <f t="shared" si="126"/>
        <v>0.9166666666666663</v>
      </c>
      <c r="C584" s="26"/>
      <c r="D584" s="59"/>
      <c r="E584" s="59"/>
      <c r="F584" s="27"/>
      <c r="G584" s="28" t="str">
        <f t="shared" si="124"/>
        <v/>
      </c>
      <c r="H584" s="26"/>
      <c r="I584" s="26"/>
      <c r="J584" s="26"/>
      <c r="K584" s="29"/>
      <c r="L584" s="29"/>
      <c r="M584" s="30" t="str">
        <f t="shared" ca="1" si="125"/>
        <v/>
      </c>
      <c r="N584" s="46"/>
      <c r="O584" s="47"/>
    </row>
    <row r="585" spans="1:15" ht="15" customHeight="1">
      <c r="A585" s="68">
        <v>46256</v>
      </c>
      <c r="B585" s="32">
        <f t="shared" si="126"/>
        <v>0.95833333333333293</v>
      </c>
      <c r="C585" s="26"/>
      <c r="D585" s="59"/>
      <c r="E585" s="59"/>
      <c r="F585" s="27"/>
      <c r="G585" s="34" t="str">
        <f t="shared" si="124"/>
        <v/>
      </c>
      <c r="H585" s="33"/>
      <c r="I585" s="33"/>
      <c r="J585" s="33"/>
      <c r="K585" s="29"/>
      <c r="L585" s="29"/>
      <c r="M585" s="35" t="str">
        <f t="shared" ca="1" si="125"/>
        <v/>
      </c>
      <c r="N585" s="46"/>
      <c r="O585" s="47"/>
    </row>
    <row r="586" spans="1:15" ht="15" customHeight="1">
      <c r="A586" s="67">
        <v>46256</v>
      </c>
      <c r="B586" s="25">
        <f t="shared" si="126"/>
        <v>0.99999999999999956</v>
      </c>
      <c r="C586" s="26"/>
      <c r="D586" s="59"/>
      <c r="E586" s="59"/>
      <c r="F586" s="27"/>
      <c r="G586" s="28" t="str">
        <f t="shared" si="124"/>
        <v/>
      </c>
      <c r="H586" s="26"/>
      <c r="I586" s="26"/>
      <c r="J586" s="26"/>
      <c r="K586" s="29"/>
      <c r="L586" s="29"/>
      <c r="M586" s="30" t="str">
        <f t="shared" ca="1" si="125"/>
        <v/>
      </c>
      <c r="N586" s="46"/>
      <c r="O586" s="47"/>
    </row>
    <row r="587" spans="1:15" ht="15" customHeight="1">
      <c r="A587" s="68">
        <v>46256</v>
      </c>
      <c r="B587" s="32">
        <f t="shared" si="126"/>
        <v>1.0416666666666663</v>
      </c>
      <c r="C587" s="26"/>
      <c r="D587" s="59"/>
      <c r="E587" s="59"/>
      <c r="F587" s="27"/>
      <c r="G587" s="34" t="str">
        <f t="shared" si="124"/>
        <v/>
      </c>
      <c r="H587" s="33"/>
      <c r="I587" s="33"/>
      <c r="J587" s="33"/>
      <c r="K587" s="29"/>
      <c r="L587" s="29"/>
      <c r="M587" s="35" t="str">
        <f t="shared" ca="1" si="125"/>
        <v/>
      </c>
      <c r="N587" s="46"/>
      <c r="O587" s="47"/>
    </row>
    <row r="588" spans="1:15" ht="15" customHeight="1">
      <c r="A588" s="67">
        <v>46256</v>
      </c>
      <c r="B588" s="25">
        <f t="shared" si="126"/>
        <v>1.083333333333333</v>
      </c>
      <c r="C588" s="26"/>
      <c r="D588" s="59"/>
      <c r="E588" s="59"/>
      <c r="F588" s="27"/>
      <c r="G588" s="28" t="str">
        <f t="shared" si="124"/>
        <v/>
      </c>
      <c r="H588" s="26"/>
      <c r="I588" s="26"/>
      <c r="J588" s="26"/>
      <c r="K588" s="29"/>
      <c r="L588" s="29"/>
      <c r="M588" s="30" t="str">
        <f t="shared" ca="1" si="125"/>
        <v/>
      </c>
      <c r="N588" s="46"/>
      <c r="O588" s="47"/>
    </row>
    <row r="589" spans="1:15" ht="15" customHeight="1">
      <c r="A589" s="68">
        <v>46256</v>
      </c>
      <c r="B589" s="32">
        <f t="shared" si="126"/>
        <v>1.1249999999999998</v>
      </c>
      <c r="C589" s="26"/>
      <c r="D589" s="59"/>
      <c r="E589" s="59"/>
      <c r="F589" s="27"/>
      <c r="G589" s="34" t="str">
        <f t="shared" si="124"/>
        <v/>
      </c>
      <c r="H589" s="33"/>
      <c r="I589" s="33"/>
      <c r="J589" s="33"/>
      <c r="K589" s="29"/>
      <c r="L589" s="29"/>
      <c r="M589" s="35" t="str">
        <f t="shared" ca="1" si="125"/>
        <v/>
      </c>
      <c r="N589" s="46"/>
      <c r="O589" s="47"/>
    </row>
    <row r="590" spans="1:15" ht="15" customHeight="1">
      <c r="A590" s="67">
        <v>46256</v>
      </c>
      <c r="B590" s="25">
        <f t="shared" si="126"/>
        <v>1.1666666666666665</v>
      </c>
      <c r="C590" s="26"/>
      <c r="D590" s="59"/>
      <c r="E590" s="59"/>
      <c r="F590" s="27"/>
      <c r="G590" s="28" t="str">
        <f t="shared" si="124"/>
        <v/>
      </c>
      <c r="H590" s="26"/>
      <c r="I590" s="26"/>
      <c r="J590" s="26"/>
      <c r="K590" s="29"/>
      <c r="L590" s="29"/>
      <c r="M590" s="30" t="str">
        <f t="shared" ca="1" si="125"/>
        <v/>
      </c>
      <c r="N590" s="46"/>
      <c r="O590" s="47"/>
    </row>
    <row r="591" spans="1:15" ht="15" customHeight="1">
      <c r="A591" s="68">
        <v>46256</v>
      </c>
      <c r="B591" s="32">
        <f t="shared" si="126"/>
        <v>1.2083333333333333</v>
      </c>
      <c r="C591" s="26"/>
      <c r="D591" s="59"/>
      <c r="E591" s="59"/>
      <c r="F591" s="27"/>
      <c r="G591" s="34" t="str">
        <f t="shared" si="124"/>
        <v/>
      </c>
      <c r="H591" s="33"/>
      <c r="I591" s="33"/>
      <c r="J591" s="33"/>
      <c r="K591" s="29"/>
      <c r="L591" s="29"/>
      <c r="M591" s="35" t="str">
        <f t="shared" ca="1" si="125"/>
        <v/>
      </c>
      <c r="N591" s="46"/>
      <c r="O591" s="47"/>
    </row>
    <row r="592" spans="1:15" ht="15" customHeight="1">
      <c r="A592" s="67">
        <v>46256</v>
      </c>
      <c r="B592" s="25">
        <f t="shared" si="126"/>
        <v>1.25</v>
      </c>
      <c r="C592" s="26"/>
      <c r="D592" s="59"/>
      <c r="E592" s="59"/>
      <c r="F592" s="27"/>
      <c r="G592" s="28" t="str">
        <f t="shared" si="124"/>
        <v/>
      </c>
      <c r="H592" s="26"/>
      <c r="I592" s="26"/>
      <c r="J592" s="26"/>
      <c r="K592" s="29"/>
      <c r="L592" s="29"/>
      <c r="M592" s="30" t="str">
        <f t="shared" ca="1" si="125"/>
        <v/>
      </c>
      <c r="N592" s="46"/>
      <c r="O592" s="47"/>
    </row>
    <row r="593" spans="1:15" ht="15" customHeight="1">
      <c r="A593" s="68">
        <v>46256</v>
      </c>
      <c r="B593" s="32">
        <f t="shared" si="126"/>
        <v>1.2916666666666667</v>
      </c>
      <c r="C593" s="26"/>
      <c r="D593" s="59"/>
      <c r="E593" s="59"/>
      <c r="F593" s="27"/>
      <c r="G593" s="34" t="str">
        <f t="shared" si="124"/>
        <v/>
      </c>
      <c r="H593" s="33"/>
      <c r="I593" s="33"/>
      <c r="J593" s="33"/>
      <c r="K593" s="29"/>
      <c r="L593" s="29"/>
      <c r="M593" s="35" t="str">
        <f t="shared" ca="1" si="125"/>
        <v/>
      </c>
      <c r="N593" s="46"/>
      <c r="O593" s="47"/>
    </row>
    <row r="594" spans="1:15" ht="15.75" customHeight="1">
      <c r="A594" s="158" t="s">
        <v>246</v>
      </c>
      <c r="B594" s="159"/>
      <c r="C594" s="159"/>
      <c r="D594" s="159"/>
      <c r="E594" s="16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244</v>
      </c>
      <c r="O594" s="39"/>
    </row>
    <row r="595" spans="1:15" ht="18" customHeight="1">
      <c r="A595" s="160" t="s">
        <v>247</v>
      </c>
      <c r="B595" s="161"/>
      <c r="C595" s="161"/>
      <c r="D595" s="161"/>
      <c r="E595" s="170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248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7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8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29">B596+TIME(0,60,0)</f>
        <v>0.37499999999999967</v>
      </c>
      <c r="C597" s="26"/>
      <c r="D597" s="59"/>
      <c r="E597" s="59"/>
      <c r="F597" s="27"/>
      <c r="G597" s="34" t="str">
        <f t="shared" si="127"/>
        <v/>
      </c>
      <c r="H597" s="33"/>
      <c r="I597" s="33"/>
      <c r="J597" s="33"/>
      <c r="K597" s="29"/>
      <c r="L597" s="29"/>
      <c r="M597" s="35" t="str">
        <f t="shared" ca="1" si="128"/>
        <v/>
      </c>
      <c r="N597" s="46"/>
      <c r="O597" s="47"/>
    </row>
    <row r="598" spans="1:15" ht="15" customHeight="1">
      <c r="A598" s="67">
        <v>46257</v>
      </c>
      <c r="B598" s="25">
        <f t="shared" si="129"/>
        <v>0.41666666666666635</v>
      </c>
      <c r="C598" s="26"/>
      <c r="D598" s="59"/>
      <c r="E598" s="59"/>
      <c r="F598" s="27"/>
      <c r="G598" s="28" t="str">
        <f t="shared" si="127"/>
        <v/>
      </c>
      <c r="H598" s="26"/>
      <c r="I598" s="26"/>
      <c r="J598" s="26"/>
      <c r="K598" s="29"/>
      <c r="L598" s="29"/>
      <c r="M598" s="30" t="str">
        <f t="shared" ca="1" si="128"/>
        <v/>
      </c>
      <c r="N598" s="46"/>
      <c r="O598" s="47"/>
    </row>
    <row r="599" spans="1:15" ht="15" customHeight="1">
      <c r="A599" s="68">
        <v>46257</v>
      </c>
      <c r="B599" s="32">
        <f t="shared" si="129"/>
        <v>0.45833333333333304</v>
      </c>
      <c r="C599" s="26"/>
      <c r="D599" s="59"/>
      <c r="E599" s="59"/>
      <c r="F599" s="27"/>
      <c r="G599" s="34" t="str">
        <f t="shared" si="127"/>
        <v/>
      </c>
      <c r="H599" s="33"/>
      <c r="I599" s="33"/>
      <c r="J599" s="33"/>
      <c r="K599" s="29"/>
      <c r="L599" s="29"/>
      <c r="M599" s="35" t="str">
        <f t="shared" ca="1" si="128"/>
        <v/>
      </c>
      <c r="N599" s="46"/>
      <c r="O599" s="47"/>
    </row>
    <row r="600" spans="1:15" ht="15" customHeight="1">
      <c r="A600" s="67">
        <v>46257</v>
      </c>
      <c r="B600" s="25">
        <f t="shared" si="129"/>
        <v>0.49999999999999972</v>
      </c>
      <c r="C600" s="26"/>
      <c r="D600" s="59"/>
      <c r="E600" s="59"/>
      <c r="F600" s="27"/>
      <c r="G600" s="28" t="str">
        <f t="shared" si="127"/>
        <v/>
      </c>
      <c r="H600" s="26"/>
      <c r="I600" s="26"/>
      <c r="J600" s="26"/>
      <c r="K600" s="29"/>
      <c r="L600" s="29"/>
      <c r="M600" s="30" t="str">
        <f t="shared" ca="1" si="128"/>
        <v/>
      </c>
      <c r="N600" s="46"/>
      <c r="O600" s="47"/>
    </row>
    <row r="601" spans="1:15" ht="15" customHeight="1">
      <c r="A601" s="68">
        <v>46257</v>
      </c>
      <c r="B601" s="32">
        <f t="shared" si="129"/>
        <v>0.54166666666666641</v>
      </c>
      <c r="C601" s="26"/>
      <c r="D601" s="59"/>
      <c r="E601" s="59"/>
      <c r="F601" s="27"/>
      <c r="G601" s="34" t="str">
        <f t="shared" si="127"/>
        <v/>
      </c>
      <c r="H601" s="33"/>
      <c r="I601" s="33"/>
      <c r="J601" s="33"/>
      <c r="K601" s="29"/>
      <c r="L601" s="29"/>
      <c r="M601" s="35" t="str">
        <f t="shared" ca="1" si="128"/>
        <v/>
      </c>
      <c r="N601" s="46"/>
      <c r="O601" s="47"/>
    </row>
    <row r="602" spans="1:15" ht="15" customHeight="1">
      <c r="A602" s="67">
        <v>46257</v>
      </c>
      <c r="B602" s="25">
        <f t="shared" si="129"/>
        <v>0.58333333333333304</v>
      </c>
      <c r="C602" s="26"/>
      <c r="D602" s="59"/>
      <c r="E602" s="59"/>
      <c r="F602" s="27"/>
      <c r="G602" s="28" t="str">
        <f t="shared" si="127"/>
        <v/>
      </c>
      <c r="H602" s="26"/>
      <c r="I602" s="26"/>
      <c r="J602" s="26"/>
      <c r="K602" s="29"/>
      <c r="L602" s="29"/>
      <c r="M602" s="30" t="str">
        <f t="shared" ca="1" si="128"/>
        <v/>
      </c>
      <c r="N602" s="46"/>
      <c r="O602" s="47"/>
    </row>
    <row r="603" spans="1:15" ht="15" customHeight="1">
      <c r="A603" s="68">
        <v>46257</v>
      </c>
      <c r="B603" s="32">
        <f t="shared" si="129"/>
        <v>0.62499999999999967</v>
      </c>
      <c r="C603" s="26"/>
      <c r="D603" s="59"/>
      <c r="E603" s="59"/>
      <c r="F603" s="27"/>
      <c r="G603" s="34" t="str">
        <f t="shared" si="127"/>
        <v/>
      </c>
      <c r="H603" s="33"/>
      <c r="I603" s="33"/>
      <c r="J603" s="33"/>
      <c r="K603" s="29"/>
      <c r="L603" s="29"/>
      <c r="M603" s="35" t="str">
        <f t="shared" ca="1" si="128"/>
        <v/>
      </c>
      <c r="N603" s="46"/>
      <c r="O603" s="47"/>
    </row>
    <row r="604" spans="1:15" ht="15" customHeight="1">
      <c r="A604" s="67">
        <v>46257</v>
      </c>
      <c r="B604" s="25">
        <f t="shared" si="129"/>
        <v>0.6666666666666663</v>
      </c>
      <c r="C604" s="26"/>
      <c r="D604" s="59"/>
      <c r="E604" s="59"/>
      <c r="F604" s="27"/>
      <c r="G604" s="28" t="str">
        <f t="shared" si="127"/>
        <v/>
      </c>
      <c r="H604" s="26"/>
      <c r="I604" s="26"/>
      <c r="J604" s="26"/>
      <c r="K604" s="29"/>
      <c r="L604" s="29"/>
      <c r="M604" s="30" t="str">
        <f t="shared" ca="1" si="128"/>
        <v/>
      </c>
      <c r="N604" s="46"/>
      <c r="O604" s="47"/>
    </row>
    <row r="605" spans="1:15" ht="15" customHeight="1">
      <c r="A605" s="68">
        <v>46257</v>
      </c>
      <c r="B605" s="32">
        <f t="shared" si="129"/>
        <v>0.70833333333333293</v>
      </c>
      <c r="C605" s="26"/>
      <c r="D605" s="59"/>
      <c r="E605" s="59"/>
      <c r="F605" s="27"/>
      <c r="G605" s="34" t="str">
        <f t="shared" si="127"/>
        <v/>
      </c>
      <c r="H605" s="33"/>
      <c r="I605" s="33"/>
      <c r="J605" s="33"/>
      <c r="K605" s="29"/>
      <c r="L605" s="29"/>
      <c r="M605" s="35" t="str">
        <f t="shared" ca="1" si="128"/>
        <v/>
      </c>
      <c r="N605" s="46"/>
      <c r="O605" s="47"/>
    </row>
    <row r="606" spans="1:15" ht="15" customHeight="1">
      <c r="A606" s="67">
        <v>46257</v>
      </c>
      <c r="B606" s="25">
        <f t="shared" si="129"/>
        <v>0.74999999999999956</v>
      </c>
      <c r="C606" s="26"/>
      <c r="D606" s="59"/>
      <c r="E606" s="59"/>
      <c r="F606" s="27"/>
      <c r="G606" s="28" t="str">
        <f t="shared" si="127"/>
        <v/>
      </c>
      <c r="H606" s="26"/>
      <c r="I606" s="26"/>
      <c r="J606" s="26"/>
      <c r="K606" s="29"/>
      <c r="L606" s="29"/>
      <c r="M606" s="30" t="str">
        <f t="shared" ca="1" si="128"/>
        <v/>
      </c>
      <c r="N606" s="46"/>
      <c r="O606" s="47"/>
    </row>
    <row r="607" spans="1:15" ht="15" customHeight="1">
      <c r="A607" s="68">
        <v>46257</v>
      </c>
      <c r="B607" s="32">
        <f t="shared" si="129"/>
        <v>0.79166666666666619</v>
      </c>
      <c r="C607" s="26"/>
      <c r="D607" s="59"/>
      <c r="E607" s="59"/>
      <c r="F607" s="27"/>
      <c r="G607" s="34" t="str">
        <f t="shared" si="127"/>
        <v/>
      </c>
      <c r="H607" s="33"/>
      <c r="I607" s="33"/>
      <c r="J607" s="33"/>
      <c r="K607" s="29"/>
      <c r="L607" s="29"/>
      <c r="M607" s="35" t="str">
        <f t="shared" ca="1" si="128"/>
        <v/>
      </c>
      <c r="N607" s="46"/>
      <c r="O607" s="47"/>
    </row>
    <row r="608" spans="1:15" ht="15.75" customHeight="1">
      <c r="A608" s="158" t="s">
        <v>243</v>
      </c>
      <c r="B608" s="159"/>
      <c r="C608" s="159"/>
      <c r="D608" s="159"/>
      <c r="E608" s="16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244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0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1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2">B609+TIME(0,60,0)</f>
        <v>0.87499999999999967</v>
      </c>
      <c r="C610" s="33"/>
      <c r="D610" s="62"/>
      <c r="E610" s="62"/>
      <c r="F610" s="27"/>
      <c r="G610" s="28" t="str">
        <f t="shared" si="130"/>
        <v/>
      </c>
      <c r="H610" s="26"/>
      <c r="I610" s="26"/>
      <c r="J610" s="26"/>
      <c r="K610" s="29"/>
      <c r="L610" s="29"/>
      <c r="M610" s="30" t="str">
        <f t="shared" ca="1" si="131"/>
        <v/>
      </c>
      <c r="N610" s="46"/>
      <c r="O610" s="47"/>
    </row>
    <row r="611" spans="1:15" ht="15" customHeight="1">
      <c r="A611" s="68">
        <v>46257</v>
      </c>
      <c r="B611" s="32">
        <f t="shared" si="132"/>
        <v>0.9166666666666663</v>
      </c>
      <c r="C611" s="33"/>
      <c r="D611" s="62"/>
      <c r="E611" s="62"/>
      <c r="F611" s="27"/>
      <c r="G611" s="34" t="str">
        <f t="shared" si="130"/>
        <v/>
      </c>
      <c r="H611" s="33"/>
      <c r="I611" s="33"/>
      <c r="J611" s="33"/>
      <c r="K611" s="29"/>
      <c r="L611" s="29"/>
      <c r="M611" s="35" t="str">
        <f t="shared" ca="1" si="131"/>
        <v/>
      </c>
      <c r="N611" s="46"/>
      <c r="O611" s="47"/>
    </row>
    <row r="612" spans="1:15" ht="15" customHeight="1">
      <c r="A612" s="67">
        <v>46257</v>
      </c>
      <c r="B612" s="25">
        <f t="shared" si="132"/>
        <v>0.95833333333333293</v>
      </c>
      <c r="C612" s="33"/>
      <c r="D612" s="62"/>
      <c r="E612" s="62"/>
      <c r="F612" s="27"/>
      <c r="G612" s="28" t="str">
        <f t="shared" si="130"/>
        <v/>
      </c>
      <c r="H612" s="26"/>
      <c r="I612" s="26"/>
      <c r="J612" s="26"/>
      <c r="K612" s="29"/>
      <c r="L612" s="29"/>
      <c r="M612" s="30" t="str">
        <f t="shared" ca="1" si="131"/>
        <v/>
      </c>
      <c r="N612" s="46"/>
      <c r="O612" s="47"/>
    </row>
    <row r="613" spans="1:15" ht="15" customHeight="1">
      <c r="A613" s="68">
        <v>46257</v>
      </c>
      <c r="B613" s="32">
        <f t="shared" si="132"/>
        <v>0.99999999999999956</v>
      </c>
      <c r="C613" s="33"/>
      <c r="D613" s="62"/>
      <c r="E613" s="62"/>
      <c r="F613" s="27"/>
      <c r="G613" s="34" t="str">
        <f t="shared" si="130"/>
        <v/>
      </c>
      <c r="H613" s="33"/>
      <c r="I613" s="33"/>
      <c r="J613" s="33"/>
      <c r="K613" s="29"/>
      <c r="L613" s="29"/>
      <c r="M613" s="35" t="str">
        <f t="shared" ca="1" si="131"/>
        <v/>
      </c>
      <c r="N613" s="46"/>
      <c r="O613" s="47"/>
    </row>
    <row r="614" spans="1:15" ht="15" customHeight="1">
      <c r="A614" s="67">
        <v>46257</v>
      </c>
      <c r="B614" s="25">
        <f t="shared" si="132"/>
        <v>1.0416666666666663</v>
      </c>
      <c r="C614" s="33"/>
      <c r="D614" s="62"/>
      <c r="E614" s="62"/>
      <c r="F614" s="27"/>
      <c r="G614" s="28" t="str">
        <f t="shared" si="130"/>
        <v/>
      </c>
      <c r="H614" s="26"/>
      <c r="I614" s="26"/>
      <c r="J614" s="26"/>
      <c r="K614" s="29"/>
      <c r="L614" s="29"/>
      <c r="M614" s="30" t="str">
        <f t="shared" ca="1" si="131"/>
        <v/>
      </c>
      <c r="N614" s="46"/>
      <c r="O614" s="47"/>
    </row>
    <row r="615" spans="1:15" ht="15" customHeight="1">
      <c r="A615" s="68">
        <v>46257</v>
      </c>
      <c r="B615" s="32">
        <f t="shared" si="132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1"/>
        <v/>
      </c>
      <c r="N615" s="46"/>
      <c r="O615" s="47"/>
    </row>
    <row r="616" spans="1:15" ht="15" customHeight="1">
      <c r="A616" s="67">
        <v>46257</v>
      </c>
      <c r="B616" s="25">
        <f t="shared" si="132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1"/>
        <v/>
      </c>
      <c r="N616" s="46"/>
      <c r="O616" s="47"/>
    </row>
    <row r="617" spans="1:15" ht="15" customHeight="1">
      <c r="A617" s="68">
        <v>46257</v>
      </c>
      <c r="B617" s="32">
        <f t="shared" si="132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1"/>
        <v/>
      </c>
      <c r="N617" s="46"/>
      <c r="O617" s="47"/>
    </row>
    <row r="618" spans="1:15" ht="15" customHeight="1">
      <c r="A618" s="67">
        <v>46257</v>
      </c>
      <c r="B618" s="25">
        <f t="shared" si="132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1"/>
        <v/>
      </c>
      <c r="N618" s="46"/>
      <c r="O618" s="47"/>
    </row>
    <row r="619" spans="1:15" ht="15" customHeight="1">
      <c r="A619" s="68">
        <v>46257</v>
      </c>
      <c r="B619" s="32">
        <f t="shared" si="132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1"/>
        <v/>
      </c>
      <c r="N619" s="46"/>
      <c r="O619" s="47"/>
    </row>
    <row r="620" spans="1:15" ht="15" customHeight="1">
      <c r="A620" s="67">
        <v>46257</v>
      </c>
      <c r="B620" s="25">
        <f t="shared" si="132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1"/>
        <v/>
      </c>
      <c r="N620" s="46"/>
      <c r="O620" s="47"/>
    </row>
    <row r="621" spans="1:15" ht="15.75" customHeight="1">
      <c r="A621" s="158" t="s">
        <v>246</v>
      </c>
      <c r="B621" s="159"/>
      <c r="C621" s="159"/>
      <c r="D621" s="159"/>
      <c r="E621" s="16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244</v>
      </c>
      <c r="O621" s="39"/>
    </row>
    <row r="622" spans="1:15" ht="18" customHeight="1">
      <c r="A622" s="160" t="s">
        <v>247</v>
      </c>
      <c r="B622" s="161"/>
      <c r="C622" s="161"/>
      <c r="D622" s="161"/>
      <c r="E622" s="170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248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3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4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5">B623+TIME(0,60,0)</f>
        <v>0.37499999999999967</v>
      </c>
      <c r="C624" s="33"/>
      <c r="D624" s="62"/>
      <c r="E624" s="62"/>
      <c r="F624" s="27"/>
      <c r="G624" s="28" t="str">
        <f t="shared" si="133"/>
        <v/>
      </c>
      <c r="H624" s="26"/>
      <c r="I624" s="26"/>
      <c r="J624" s="26"/>
      <c r="K624" s="29"/>
      <c r="L624" s="29"/>
      <c r="M624" s="30" t="str">
        <f t="shared" ca="1" si="134"/>
        <v/>
      </c>
      <c r="N624" s="46"/>
      <c r="O624" s="47"/>
    </row>
    <row r="625" spans="1:15" ht="15" customHeight="1">
      <c r="A625" s="68">
        <v>46258</v>
      </c>
      <c r="B625" s="32">
        <f t="shared" si="135"/>
        <v>0.41666666666666635</v>
      </c>
      <c r="C625" s="33"/>
      <c r="D625" s="62"/>
      <c r="E625" s="62"/>
      <c r="F625" s="27"/>
      <c r="G625" s="34" t="str">
        <f t="shared" si="133"/>
        <v/>
      </c>
      <c r="H625" s="33"/>
      <c r="I625" s="33"/>
      <c r="J625" s="33"/>
      <c r="K625" s="29"/>
      <c r="L625" s="29"/>
      <c r="M625" s="35" t="str">
        <f t="shared" ca="1" si="134"/>
        <v/>
      </c>
      <c r="N625" s="46"/>
      <c r="O625" s="47"/>
    </row>
    <row r="626" spans="1:15" ht="15" customHeight="1">
      <c r="A626" s="67">
        <v>46258</v>
      </c>
      <c r="B626" s="25">
        <f t="shared" si="135"/>
        <v>0.45833333333333304</v>
      </c>
      <c r="C626" s="33"/>
      <c r="D626" s="62"/>
      <c r="E626" s="62"/>
      <c r="F626" s="27"/>
      <c r="G626" s="28" t="str">
        <f t="shared" si="133"/>
        <v/>
      </c>
      <c r="H626" s="26"/>
      <c r="I626" s="26"/>
      <c r="J626" s="26"/>
      <c r="K626" s="29"/>
      <c r="L626" s="29"/>
      <c r="M626" s="30" t="str">
        <f t="shared" ca="1" si="134"/>
        <v/>
      </c>
      <c r="N626" s="46"/>
      <c r="O626" s="47"/>
    </row>
    <row r="627" spans="1:15" ht="15" customHeight="1">
      <c r="A627" s="68">
        <v>46258</v>
      </c>
      <c r="B627" s="32">
        <f t="shared" si="135"/>
        <v>0.49999999999999972</v>
      </c>
      <c r="C627" s="33"/>
      <c r="D627" s="62"/>
      <c r="E627" s="62"/>
      <c r="F627" s="27"/>
      <c r="G627" s="34" t="str">
        <f t="shared" si="133"/>
        <v/>
      </c>
      <c r="H627" s="33"/>
      <c r="I627" s="33"/>
      <c r="J627" s="33"/>
      <c r="K627" s="29"/>
      <c r="L627" s="29"/>
      <c r="M627" s="35" t="str">
        <f t="shared" ca="1" si="134"/>
        <v/>
      </c>
      <c r="N627" s="46"/>
      <c r="O627" s="47"/>
    </row>
    <row r="628" spans="1:15" ht="15" customHeight="1">
      <c r="A628" s="67">
        <v>46258</v>
      </c>
      <c r="B628" s="25">
        <f t="shared" si="135"/>
        <v>0.54166666666666641</v>
      </c>
      <c r="C628" s="33"/>
      <c r="D628" s="62"/>
      <c r="E628" s="62"/>
      <c r="F628" s="27"/>
      <c r="G628" s="28" t="str">
        <f t="shared" si="133"/>
        <v/>
      </c>
      <c r="H628" s="26"/>
      <c r="I628" s="26"/>
      <c r="J628" s="26"/>
      <c r="K628" s="29"/>
      <c r="L628" s="29"/>
      <c r="M628" s="30" t="str">
        <f t="shared" ca="1" si="134"/>
        <v/>
      </c>
      <c r="N628" s="46"/>
      <c r="O628" s="47"/>
    </row>
    <row r="629" spans="1:15" ht="15" customHeight="1">
      <c r="A629" s="68">
        <v>46258</v>
      </c>
      <c r="B629" s="32">
        <f t="shared" si="135"/>
        <v>0.58333333333333304</v>
      </c>
      <c r="C629" s="33"/>
      <c r="D629" s="62"/>
      <c r="E629" s="62"/>
      <c r="F629" s="27"/>
      <c r="G629" s="34" t="str">
        <f t="shared" si="133"/>
        <v/>
      </c>
      <c r="H629" s="33"/>
      <c r="I629" s="33"/>
      <c r="J629" s="33"/>
      <c r="K629" s="29"/>
      <c r="L629" s="29"/>
      <c r="M629" s="35" t="str">
        <f t="shared" ca="1" si="134"/>
        <v/>
      </c>
      <c r="N629" s="46"/>
      <c r="O629" s="47"/>
    </row>
    <row r="630" spans="1:15" ht="15" customHeight="1">
      <c r="A630" s="67">
        <v>46258</v>
      </c>
      <c r="B630" s="25">
        <f t="shared" si="135"/>
        <v>0.62499999999999967</v>
      </c>
      <c r="C630" s="33"/>
      <c r="D630" s="62"/>
      <c r="E630" s="62"/>
      <c r="F630" s="27"/>
      <c r="G630" s="28" t="str">
        <f t="shared" si="133"/>
        <v/>
      </c>
      <c r="H630" s="26"/>
      <c r="I630" s="26"/>
      <c r="J630" s="26"/>
      <c r="K630" s="29"/>
      <c r="L630" s="29"/>
      <c r="M630" s="30" t="str">
        <f t="shared" ca="1" si="134"/>
        <v/>
      </c>
      <c r="N630" s="46"/>
      <c r="O630" s="47"/>
    </row>
    <row r="631" spans="1:15" ht="15" customHeight="1">
      <c r="A631" s="68">
        <v>46258</v>
      </c>
      <c r="B631" s="32">
        <f t="shared" si="135"/>
        <v>0.6666666666666663</v>
      </c>
      <c r="C631" s="33"/>
      <c r="D631" s="62"/>
      <c r="E631" s="62"/>
      <c r="F631" s="27"/>
      <c r="G631" s="34" t="str">
        <f t="shared" si="133"/>
        <v/>
      </c>
      <c r="H631" s="33"/>
      <c r="I631" s="33"/>
      <c r="J631" s="33"/>
      <c r="K631" s="29"/>
      <c r="L631" s="29"/>
      <c r="M631" s="35" t="str">
        <f t="shared" ca="1" si="134"/>
        <v/>
      </c>
      <c r="N631" s="46"/>
      <c r="O631" s="47"/>
    </row>
    <row r="632" spans="1:15" ht="15" customHeight="1">
      <c r="A632" s="67">
        <v>46258</v>
      </c>
      <c r="B632" s="25">
        <f t="shared" si="135"/>
        <v>0.70833333333333293</v>
      </c>
      <c r="C632" s="33"/>
      <c r="D632" s="62"/>
      <c r="E632" s="62"/>
      <c r="F632" s="27"/>
      <c r="G632" s="28" t="str">
        <f t="shared" si="133"/>
        <v/>
      </c>
      <c r="H632" s="26"/>
      <c r="I632" s="26"/>
      <c r="J632" s="26"/>
      <c r="K632" s="29"/>
      <c r="L632" s="29"/>
      <c r="M632" s="30" t="str">
        <f t="shared" ca="1" si="134"/>
        <v/>
      </c>
      <c r="N632" s="46"/>
      <c r="O632" s="47"/>
    </row>
    <row r="633" spans="1:15" ht="15" customHeight="1">
      <c r="A633" s="68">
        <v>46258</v>
      </c>
      <c r="B633" s="32">
        <f t="shared" si="135"/>
        <v>0.74999999999999956</v>
      </c>
      <c r="C633" s="33"/>
      <c r="D633" s="62"/>
      <c r="E633" s="62"/>
      <c r="F633" s="27"/>
      <c r="G633" s="34" t="str">
        <f t="shared" si="133"/>
        <v/>
      </c>
      <c r="H633" s="33"/>
      <c r="I633" s="33"/>
      <c r="J633" s="33"/>
      <c r="K633" s="29"/>
      <c r="L633" s="29"/>
      <c r="M633" s="35" t="str">
        <f t="shared" ca="1" si="134"/>
        <v/>
      </c>
      <c r="N633" s="46"/>
      <c r="O633" s="47"/>
    </row>
    <row r="634" spans="1:15" ht="15" customHeight="1">
      <c r="A634" s="67">
        <v>46258</v>
      </c>
      <c r="B634" s="25">
        <f t="shared" si="135"/>
        <v>0.79166666666666619</v>
      </c>
      <c r="C634" s="33"/>
      <c r="D634" s="62"/>
      <c r="E634" s="62"/>
      <c r="F634" s="27"/>
      <c r="G634" s="28" t="str">
        <f t="shared" si="133"/>
        <v/>
      </c>
      <c r="H634" s="26"/>
      <c r="I634" s="26"/>
      <c r="J634" s="26"/>
      <c r="K634" s="29"/>
      <c r="L634" s="29"/>
      <c r="M634" s="30" t="str">
        <f t="shared" ca="1" si="134"/>
        <v/>
      </c>
      <c r="N634" s="46"/>
      <c r="O634" s="47"/>
    </row>
    <row r="635" spans="1:15" ht="15.75" customHeight="1">
      <c r="A635" s="158" t="s">
        <v>243</v>
      </c>
      <c r="B635" s="159"/>
      <c r="C635" s="159"/>
      <c r="D635" s="159"/>
      <c r="E635" s="16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244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6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7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8">B636+TIME(0,60,0)</f>
        <v>0.87499999999999967</v>
      </c>
      <c r="C637" s="26"/>
      <c r="D637" s="59"/>
      <c r="E637" s="59"/>
      <c r="F637" s="27"/>
      <c r="G637" s="34" t="str">
        <f t="shared" si="136"/>
        <v/>
      </c>
      <c r="H637" s="33"/>
      <c r="I637" s="33"/>
      <c r="J637" s="33"/>
      <c r="K637" s="29"/>
      <c r="L637" s="29"/>
      <c r="M637" s="35" t="str">
        <f t="shared" ca="1" si="137"/>
        <v/>
      </c>
      <c r="N637" s="46"/>
      <c r="O637" s="47"/>
    </row>
    <row r="638" spans="1:15" ht="15" customHeight="1">
      <c r="A638" s="67">
        <v>46258</v>
      </c>
      <c r="B638" s="25">
        <f t="shared" si="138"/>
        <v>0.9166666666666663</v>
      </c>
      <c r="C638" s="26"/>
      <c r="D638" s="59"/>
      <c r="E638" s="59"/>
      <c r="F638" s="27"/>
      <c r="G638" s="28" t="str">
        <f t="shared" si="136"/>
        <v/>
      </c>
      <c r="H638" s="26"/>
      <c r="I638" s="26"/>
      <c r="J638" s="26"/>
      <c r="K638" s="29"/>
      <c r="L638" s="29"/>
      <c r="M638" s="30" t="str">
        <f t="shared" ca="1" si="137"/>
        <v/>
      </c>
      <c r="N638" s="46"/>
      <c r="O638" s="47"/>
    </row>
    <row r="639" spans="1:15" ht="15" customHeight="1">
      <c r="A639" s="68">
        <v>46258</v>
      </c>
      <c r="B639" s="32">
        <f t="shared" si="138"/>
        <v>0.95833333333333293</v>
      </c>
      <c r="C639" s="26"/>
      <c r="D639" s="59"/>
      <c r="E639" s="59"/>
      <c r="F639" s="27"/>
      <c r="G639" s="34" t="str">
        <f t="shared" si="136"/>
        <v/>
      </c>
      <c r="H639" s="33"/>
      <c r="I639" s="33"/>
      <c r="J639" s="33"/>
      <c r="K639" s="29"/>
      <c r="L639" s="29"/>
      <c r="M639" s="35" t="str">
        <f t="shared" ca="1" si="137"/>
        <v/>
      </c>
      <c r="N639" s="46"/>
      <c r="O639" s="47"/>
    </row>
    <row r="640" spans="1:15" ht="15" customHeight="1">
      <c r="A640" s="67">
        <v>46258</v>
      </c>
      <c r="B640" s="25">
        <f t="shared" si="138"/>
        <v>0.99999999999999956</v>
      </c>
      <c r="C640" s="26"/>
      <c r="D640" s="59"/>
      <c r="E640" s="59"/>
      <c r="F640" s="27"/>
      <c r="G640" s="28" t="str">
        <f t="shared" si="136"/>
        <v/>
      </c>
      <c r="H640" s="26"/>
      <c r="I640" s="26"/>
      <c r="J640" s="26"/>
      <c r="K640" s="29"/>
      <c r="L640" s="29"/>
      <c r="M640" s="30" t="str">
        <f t="shared" ca="1" si="137"/>
        <v/>
      </c>
      <c r="N640" s="46"/>
      <c r="O640" s="47"/>
    </row>
    <row r="641" spans="1:15" ht="15" customHeight="1">
      <c r="A641" s="68">
        <v>46258</v>
      </c>
      <c r="B641" s="32">
        <f t="shared" si="138"/>
        <v>1.0416666666666663</v>
      </c>
      <c r="C641" s="26"/>
      <c r="D641" s="59"/>
      <c r="E641" s="59"/>
      <c r="F641" s="27"/>
      <c r="G641" s="34" t="str">
        <f t="shared" si="136"/>
        <v/>
      </c>
      <c r="H641" s="33"/>
      <c r="I641" s="33"/>
      <c r="J641" s="33"/>
      <c r="K641" s="29"/>
      <c r="L641" s="29"/>
      <c r="M641" s="35" t="str">
        <f t="shared" ca="1" si="137"/>
        <v/>
      </c>
      <c r="N641" s="46"/>
      <c r="O641" s="47"/>
    </row>
    <row r="642" spans="1:15" ht="15" customHeight="1">
      <c r="A642" s="67">
        <v>46258</v>
      </c>
      <c r="B642" s="25">
        <f t="shared" si="138"/>
        <v>1.083333333333333</v>
      </c>
      <c r="C642" s="26"/>
      <c r="D642" s="59"/>
      <c r="E642" s="59"/>
      <c r="F642" s="27"/>
      <c r="G642" s="28" t="str">
        <f t="shared" si="136"/>
        <v/>
      </c>
      <c r="H642" s="26"/>
      <c r="I642" s="26"/>
      <c r="J642" s="26"/>
      <c r="K642" s="29"/>
      <c r="L642" s="29"/>
      <c r="M642" s="30" t="str">
        <f t="shared" ca="1" si="137"/>
        <v/>
      </c>
      <c r="N642" s="46"/>
      <c r="O642" s="47"/>
    </row>
    <row r="643" spans="1:15" ht="15" customHeight="1">
      <c r="A643" s="68">
        <v>46258</v>
      </c>
      <c r="B643" s="32">
        <f t="shared" si="138"/>
        <v>1.1249999999999998</v>
      </c>
      <c r="C643" s="26"/>
      <c r="D643" s="59"/>
      <c r="E643" s="59"/>
      <c r="F643" s="27"/>
      <c r="G643" s="34" t="str">
        <f t="shared" si="136"/>
        <v/>
      </c>
      <c r="H643" s="33"/>
      <c r="I643" s="33"/>
      <c r="J643" s="33"/>
      <c r="K643" s="29"/>
      <c r="L643" s="29"/>
      <c r="M643" s="35" t="str">
        <f t="shared" ca="1" si="137"/>
        <v/>
      </c>
      <c r="N643" s="46"/>
      <c r="O643" s="47"/>
    </row>
    <row r="644" spans="1:15" ht="15" customHeight="1">
      <c r="A644" s="67">
        <v>46258</v>
      </c>
      <c r="B644" s="25">
        <f t="shared" si="138"/>
        <v>1.1666666666666665</v>
      </c>
      <c r="C644" s="26"/>
      <c r="D644" s="59"/>
      <c r="E644" s="59"/>
      <c r="F644" s="27"/>
      <c r="G644" s="28" t="str">
        <f t="shared" si="136"/>
        <v/>
      </c>
      <c r="H644" s="26"/>
      <c r="I644" s="26"/>
      <c r="J644" s="26"/>
      <c r="K644" s="29"/>
      <c r="L644" s="29"/>
      <c r="M644" s="30" t="str">
        <f t="shared" ca="1" si="137"/>
        <v/>
      </c>
      <c r="N644" s="46"/>
      <c r="O644" s="47"/>
    </row>
    <row r="645" spans="1:15" ht="15" customHeight="1">
      <c r="A645" s="68">
        <v>46258</v>
      </c>
      <c r="B645" s="32">
        <f t="shared" si="138"/>
        <v>1.2083333333333333</v>
      </c>
      <c r="C645" s="26"/>
      <c r="D645" s="59"/>
      <c r="E645" s="59"/>
      <c r="F645" s="27"/>
      <c r="G645" s="34" t="str">
        <f t="shared" si="136"/>
        <v/>
      </c>
      <c r="H645" s="33"/>
      <c r="I645" s="33"/>
      <c r="J645" s="33"/>
      <c r="K645" s="29"/>
      <c r="L645" s="29"/>
      <c r="M645" s="35" t="str">
        <f t="shared" ca="1" si="137"/>
        <v/>
      </c>
      <c r="N645" s="46"/>
      <c r="O645" s="47"/>
    </row>
    <row r="646" spans="1:15" ht="15" customHeight="1">
      <c r="A646" s="67">
        <v>46258</v>
      </c>
      <c r="B646" s="25">
        <f t="shared" si="138"/>
        <v>1.25</v>
      </c>
      <c r="C646" s="26"/>
      <c r="D646" s="59"/>
      <c r="E646" s="59"/>
      <c r="F646" s="27"/>
      <c r="G646" s="28" t="str">
        <f t="shared" si="136"/>
        <v/>
      </c>
      <c r="H646" s="26"/>
      <c r="I646" s="26"/>
      <c r="J646" s="26"/>
      <c r="K646" s="29"/>
      <c r="L646" s="29"/>
      <c r="M646" s="30" t="str">
        <f t="shared" ca="1" si="137"/>
        <v/>
      </c>
      <c r="N646" s="46"/>
      <c r="O646" s="47"/>
    </row>
    <row r="647" spans="1:15" ht="15" customHeight="1">
      <c r="A647" s="68">
        <v>46258</v>
      </c>
      <c r="B647" s="32">
        <f t="shared" si="138"/>
        <v>1.2916666666666667</v>
      </c>
      <c r="C647" s="26"/>
      <c r="D647" s="59"/>
      <c r="E647" s="59"/>
      <c r="F647" s="27"/>
      <c r="G647" s="34" t="str">
        <f t="shared" si="136"/>
        <v/>
      </c>
      <c r="H647" s="33"/>
      <c r="I647" s="33"/>
      <c r="J647" s="33"/>
      <c r="K647" s="29"/>
      <c r="L647" s="29"/>
      <c r="M647" s="35" t="str">
        <f t="shared" ca="1" si="137"/>
        <v/>
      </c>
      <c r="N647" s="46"/>
      <c r="O647" s="47"/>
    </row>
    <row r="648" spans="1:15" ht="15.75" customHeight="1">
      <c r="A648" s="158" t="s">
        <v>246</v>
      </c>
      <c r="B648" s="159"/>
      <c r="C648" s="159"/>
      <c r="D648" s="159"/>
      <c r="E648" s="16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244</v>
      </c>
      <c r="O648" s="39"/>
    </row>
    <row r="649" spans="1:15" ht="18" customHeight="1">
      <c r="A649" s="160" t="s">
        <v>247</v>
      </c>
      <c r="B649" s="161"/>
      <c r="C649" s="161"/>
      <c r="D649" s="161"/>
      <c r="E649" s="170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248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39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0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1">B650+TIME(0,60,0)</f>
        <v>0.37499999999999967</v>
      </c>
      <c r="C651" s="26"/>
      <c r="D651" s="59"/>
      <c r="E651" s="59"/>
      <c r="F651" s="27"/>
      <c r="G651" s="34" t="str">
        <f t="shared" si="139"/>
        <v/>
      </c>
      <c r="H651" s="33"/>
      <c r="I651" s="33"/>
      <c r="J651" s="33"/>
      <c r="K651" s="29"/>
      <c r="L651" s="29"/>
      <c r="M651" s="35" t="str">
        <f t="shared" ca="1" si="140"/>
        <v/>
      </c>
      <c r="N651" s="46"/>
      <c r="O651" s="47"/>
    </row>
    <row r="652" spans="1:15" ht="15" customHeight="1">
      <c r="A652" s="67">
        <v>46259</v>
      </c>
      <c r="B652" s="25">
        <f t="shared" si="141"/>
        <v>0.41666666666666635</v>
      </c>
      <c r="C652" s="26"/>
      <c r="D652" s="59"/>
      <c r="E652" s="59"/>
      <c r="F652" s="27"/>
      <c r="G652" s="34" t="str">
        <f t="shared" si="139"/>
        <v/>
      </c>
      <c r="H652" s="26"/>
      <c r="I652" s="26"/>
      <c r="J652" s="26"/>
      <c r="K652" s="29"/>
      <c r="L652" s="29"/>
      <c r="M652" s="30" t="str">
        <f t="shared" ca="1" si="140"/>
        <v/>
      </c>
      <c r="N652" s="46"/>
      <c r="O652" s="47"/>
    </row>
    <row r="653" spans="1:15" ht="15" customHeight="1">
      <c r="A653" s="68">
        <v>46259</v>
      </c>
      <c r="B653" s="32">
        <f t="shared" si="141"/>
        <v>0.45833333333333304</v>
      </c>
      <c r="C653" s="26"/>
      <c r="D653" s="59"/>
      <c r="E653" s="59"/>
      <c r="F653" s="27"/>
      <c r="G653" s="34" t="str">
        <f t="shared" si="139"/>
        <v/>
      </c>
      <c r="H653" s="33"/>
      <c r="I653" s="33"/>
      <c r="J653" s="33"/>
      <c r="K653" s="29"/>
      <c r="L653" s="29"/>
      <c r="M653" s="35" t="str">
        <f t="shared" ca="1" si="140"/>
        <v/>
      </c>
      <c r="N653" s="46"/>
      <c r="O653" s="47"/>
    </row>
    <row r="654" spans="1:15" ht="15" customHeight="1">
      <c r="A654" s="67">
        <v>46259</v>
      </c>
      <c r="B654" s="25">
        <f t="shared" si="141"/>
        <v>0.49999999999999972</v>
      </c>
      <c r="C654" s="26"/>
      <c r="D654" s="59"/>
      <c r="E654" s="59"/>
      <c r="F654" s="27"/>
      <c r="G654" s="28" t="str">
        <f t="shared" si="139"/>
        <v/>
      </c>
      <c r="H654" s="26"/>
      <c r="I654" s="26"/>
      <c r="J654" s="26"/>
      <c r="K654" s="29"/>
      <c r="L654" s="29"/>
      <c r="M654" s="30" t="str">
        <f t="shared" ca="1" si="140"/>
        <v/>
      </c>
      <c r="N654" s="46"/>
      <c r="O654" s="47"/>
    </row>
    <row r="655" spans="1:15" ht="15" customHeight="1">
      <c r="A655" s="68">
        <v>46259</v>
      </c>
      <c r="B655" s="32">
        <f t="shared" si="141"/>
        <v>0.54166666666666641</v>
      </c>
      <c r="C655" s="26"/>
      <c r="D655" s="59"/>
      <c r="E655" s="59"/>
      <c r="F655" s="27"/>
      <c r="G655" s="34" t="str">
        <f t="shared" si="139"/>
        <v/>
      </c>
      <c r="H655" s="33"/>
      <c r="I655" s="33"/>
      <c r="J655" s="33"/>
      <c r="K655" s="29"/>
      <c r="L655" s="29"/>
      <c r="M655" s="35" t="str">
        <f t="shared" ca="1" si="140"/>
        <v/>
      </c>
      <c r="N655" s="46"/>
      <c r="O655" s="47"/>
    </row>
    <row r="656" spans="1:15" ht="15" customHeight="1">
      <c r="A656" s="67">
        <v>46259</v>
      </c>
      <c r="B656" s="25">
        <f t="shared" si="141"/>
        <v>0.58333333333333304</v>
      </c>
      <c r="C656" s="26"/>
      <c r="D656" s="59"/>
      <c r="E656" s="59"/>
      <c r="F656" s="27"/>
      <c r="G656" s="28" t="str">
        <f t="shared" si="139"/>
        <v/>
      </c>
      <c r="H656" s="26"/>
      <c r="I656" s="26"/>
      <c r="J656" s="26"/>
      <c r="K656" s="29"/>
      <c r="L656" s="29"/>
      <c r="M656" s="30" t="str">
        <f t="shared" ca="1" si="140"/>
        <v/>
      </c>
      <c r="N656" s="46"/>
      <c r="O656" s="47"/>
    </row>
    <row r="657" spans="1:15" ht="15" customHeight="1">
      <c r="A657" s="68">
        <v>46259</v>
      </c>
      <c r="B657" s="32">
        <f t="shared" si="141"/>
        <v>0.62499999999999967</v>
      </c>
      <c r="C657" s="26"/>
      <c r="D657" s="59"/>
      <c r="E657" s="59"/>
      <c r="F657" s="27"/>
      <c r="G657" s="34" t="str">
        <f t="shared" si="139"/>
        <v/>
      </c>
      <c r="H657" s="33"/>
      <c r="I657" s="33"/>
      <c r="J657" s="33"/>
      <c r="K657" s="29"/>
      <c r="L657" s="29"/>
      <c r="M657" s="35" t="str">
        <f t="shared" ca="1" si="140"/>
        <v/>
      </c>
      <c r="N657" s="46"/>
      <c r="O657" s="47"/>
    </row>
    <row r="658" spans="1:15" ht="15" customHeight="1">
      <c r="A658" s="67">
        <v>46259</v>
      </c>
      <c r="B658" s="25">
        <f t="shared" si="141"/>
        <v>0.6666666666666663</v>
      </c>
      <c r="C658" s="26"/>
      <c r="D658" s="59"/>
      <c r="E658" s="59"/>
      <c r="F658" s="27"/>
      <c r="G658" s="28" t="str">
        <f t="shared" si="139"/>
        <v/>
      </c>
      <c r="H658" s="26"/>
      <c r="I658" s="26"/>
      <c r="J658" s="26"/>
      <c r="K658" s="29"/>
      <c r="L658" s="29"/>
      <c r="M658" s="30" t="str">
        <f t="shared" ca="1" si="140"/>
        <v/>
      </c>
      <c r="N658" s="46"/>
      <c r="O658" s="47"/>
    </row>
    <row r="659" spans="1:15" ht="15" customHeight="1">
      <c r="A659" s="68">
        <v>46259</v>
      </c>
      <c r="B659" s="32">
        <f t="shared" si="141"/>
        <v>0.70833333333333293</v>
      </c>
      <c r="C659" s="26"/>
      <c r="D659" s="59"/>
      <c r="E659" s="59"/>
      <c r="F659" s="27"/>
      <c r="G659" s="34" t="str">
        <f t="shared" si="139"/>
        <v/>
      </c>
      <c r="H659" s="33"/>
      <c r="I659" s="33"/>
      <c r="J659" s="33"/>
      <c r="K659" s="29"/>
      <c r="L659" s="29"/>
      <c r="M659" s="35" t="str">
        <f t="shared" ca="1" si="140"/>
        <v/>
      </c>
      <c r="N659" s="46"/>
      <c r="O659" s="47"/>
    </row>
    <row r="660" spans="1:15" ht="15" customHeight="1">
      <c r="A660" s="67">
        <v>46259</v>
      </c>
      <c r="B660" s="25">
        <f t="shared" si="141"/>
        <v>0.74999999999999956</v>
      </c>
      <c r="C660" s="26"/>
      <c r="D660" s="59"/>
      <c r="E660" s="59"/>
      <c r="F660" s="27"/>
      <c r="G660" s="28" t="str">
        <f t="shared" si="139"/>
        <v/>
      </c>
      <c r="H660" s="26"/>
      <c r="I660" s="26"/>
      <c r="J660" s="26"/>
      <c r="K660" s="29"/>
      <c r="L660" s="29"/>
      <c r="M660" s="30" t="str">
        <f t="shared" ca="1" si="140"/>
        <v/>
      </c>
      <c r="N660" s="46"/>
      <c r="O660" s="47"/>
    </row>
    <row r="661" spans="1:15" ht="15" customHeight="1">
      <c r="A661" s="68">
        <v>46259</v>
      </c>
      <c r="B661" s="32">
        <f t="shared" si="141"/>
        <v>0.79166666666666619</v>
      </c>
      <c r="C661" s="26"/>
      <c r="D661" s="59"/>
      <c r="E661" s="59"/>
      <c r="F661" s="27"/>
      <c r="G661" s="34" t="str">
        <f t="shared" si="139"/>
        <v/>
      </c>
      <c r="H661" s="33"/>
      <c r="I661" s="33"/>
      <c r="J661" s="33"/>
      <c r="K661" s="29"/>
      <c r="L661" s="29"/>
      <c r="M661" s="35" t="str">
        <f t="shared" ca="1" si="140"/>
        <v/>
      </c>
      <c r="N661" s="46"/>
      <c r="O661" s="47"/>
    </row>
    <row r="662" spans="1:15" ht="15.75" customHeight="1">
      <c r="A662" s="158" t="s">
        <v>243</v>
      </c>
      <c r="B662" s="159"/>
      <c r="C662" s="159"/>
      <c r="D662" s="159"/>
      <c r="E662" s="16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244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2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3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4">B663+TIME(0,60,0)</f>
        <v>0.87499999999999967</v>
      </c>
      <c r="C664" s="33"/>
      <c r="D664" s="62"/>
      <c r="E664" s="62"/>
      <c r="F664" s="27"/>
      <c r="G664" s="28" t="str">
        <f t="shared" si="142"/>
        <v/>
      </c>
      <c r="H664" s="26"/>
      <c r="I664" s="26"/>
      <c r="J664" s="26"/>
      <c r="K664" s="29"/>
      <c r="L664" s="29"/>
      <c r="M664" s="30" t="str">
        <f t="shared" ca="1" si="143"/>
        <v/>
      </c>
      <c r="N664" s="46"/>
      <c r="O664" s="47"/>
    </row>
    <row r="665" spans="1:15" ht="15" customHeight="1">
      <c r="A665" s="68">
        <v>46259</v>
      </c>
      <c r="B665" s="32">
        <f t="shared" si="144"/>
        <v>0.9166666666666663</v>
      </c>
      <c r="C665" s="33"/>
      <c r="D665" s="62"/>
      <c r="E665" s="62"/>
      <c r="F665" s="27"/>
      <c r="G665" s="34" t="str">
        <f t="shared" si="142"/>
        <v/>
      </c>
      <c r="H665" s="33"/>
      <c r="I665" s="33"/>
      <c r="J665" s="33"/>
      <c r="K665" s="29"/>
      <c r="L665" s="29"/>
      <c r="M665" s="35" t="str">
        <f t="shared" ca="1" si="143"/>
        <v/>
      </c>
      <c r="N665" s="46"/>
      <c r="O665" s="47"/>
    </row>
    <row r="666" spans="1:15" ht="15" customHeight="1">
      <c r="A666" s="67">
        <v>46259</v>
      </c>
      <c r="B666" s="25">
        <f t="shared" si="144"/>
        <v>0.95833333333333293</v>
      </c>
      <c r="C666" s="33"/>
      <c r="D666" s="62"/>
      <c r="E666" s="62"/>
      <c r="F666" s="27"/>
      <c r="G666" s="28" t="str">
        <f t="shared" si="142"/>
        <v/>
      </c>
      <c r="H666" s="26"/>
      <c r="I666" s="26"/>
      <c r="J666" s="26"/>
      <c r="K666" s="29"/>
      <c r="L666" s="29"/>
      <c r="M666" s="30" t="str">
        <f t="shared" ca="1" si="143"/>
        <v/>
      </c>
      <c r="N666" s="46"/>
      <c r="O666" s="47"/>
    </row>
    <row r="667" spans="1:15" ht="15" customHeight="1">
      <c r="A667" s="68">
        <v>46259</v>
      </c>
      <c r="B667" s="32">
        <f t="shared" si="144"/>
        <v>0.99999999999999956</v>
      </c>
      <c r="C667" s="33"/>
      <c r="D667" s="62"/>
      <c r="E667" s="62"/>
      <c r="F667" s="27"/>
      <c r="G667" s="34" t="str">
        <f t="shared" si="142"/>
        <v/>
      </c>
      <c r="H667" s="33"/>
      <c r="I667" s="33"/>
      <c r="J667" s="33"/>
      <c r="K667" s="29"/>
      <c r="L667" s="29"/>
      <c r="M667" s="35" t="str">
        <f t="shared" ca="1" si="143"/>
        <v/>
      </c>
      <c r="N667" s="46"/>
      <c r="O667" s="47"/>
    </row>
    <row r="668" spans="1:15" ht="15" customHeight="1">
      <c r="A668" s="67">
        <v>46259</v>
      </c>
      <c r="B668" s="25">
        <f t="shared" si="144"/>
        <v>1.0416666666666663</v>
      </c>
      <c r="C668" s="33"/>
      <c r="D668" s="62"/>
      <c r="E668" s="62"/>
      <c r="F668" s="27"/>
      <c r="G668" s="28" t="str">
        <f t="shared" si="142"/>
        <v/>
      </c>
      <c r="H668" s="26"/>
      <c r="I668" s="26"/>
      <c r="J668" s="26"/>
      <c r="K668" s="29"/>
      <c r="L668" s="29"/>
      <c r="M668" s="30" t="str">
        <f t="shared" ca="1" si="143"/>
        <v/>
      </c>
      <c r="N668" s="46"/>
      <c r="O668" s="47"/>
    </row>
    <row r="669" spans="1:15" ht="15" customHeight="1">
      <c r="A669" s="68">
        <v>46259</v>
      </c>
      <c r="B669" s="32">
        <f t="shared" si="144"/>
        <v>1.083333333333333</v>
      </c>
      <c r="C669" s="33"/>
      <c r="D669" s="62"/>
      <c r="E669" s="62"/>
      <c r="F669" s="27"/>
      <c r="G669" s="34" t="str">
        <f t="shared" si="142"/>
        <v/>
      </c>
      <c r="H669" s="33"/>
      <c r="I669" s="33"/>
      <c r="J669" s="33"/>
      <c r="K669" s="29"/>
      <c r="L669" s="29"/>
      <c r="M669" s="35" t="str">
        <f t="shared" ca="1" si="143"/>
        <v/>
      </c>
      <c r="N669" s="46"/>
      <c r="O669" s="47"/>
    </row>
    <row r="670" spans="1:15" ht="15" customHeight="1">
      <c r="A670" s="67">
        <v>46259</v>
      </c>
      <c r="B670" s="25">
        <f t="shared" si="144"/>
        <v>1.1249999999999998</v>
      </c>
      <c r="C670" s="33"/>
      <c r="D670" s="62"/>
      <c r="E670" s="62"/>
      <c r="F670" s="27"/>
      <c r="G670" s="28" t="str">
        <f t="shared" si="142"/>
        <v/>
      </c>
      <c r="H670" s="26"/>
      <c r="I670" s="26"/>
      <c r="J670" s="26"/>
      <c r="K670" s="29"/>
      <c r="L670" s="29"/>
      <c r="M670" s="30" t="str">
        <f t="shared" ca="1" si="143"/>
        <v/>
      </c>
      <c r="N670" s="46"/>
      <c r="O670" s="47"/>
    </row>
    <row r="671" spans="1:15" ht="15" customHeight="1">
      <c r="A671" s="68">
        <v>46259</v>
      </c>
      <c r="B671" s="32">
        <f t="shared" si="144"/>
        <v>1.1666666666666665</v>
      </c>
      <c r="C671" s="33"/>
      <c r="D671" s="62"/>
      <c r="E671" s="62"/>
      <c r="F671" s="27"/>
      <c r="G671" s="34" t="str">
        <f t="shared" si="142"/>
        <v/>
      </c>
      <c r="H671" s="33"/>
      <c r="I671" s="33"/>
      <c r="J671" s="33"/>
      <c r="K671" s="29"/>
      <c r="L671" s="29"/>
      <c r="M671" s="35" t="str">
        <f t="shared" ca="1" si="143"/>
        <v/>
      </c>
      <c r="N671" s="46"/>
      <c r="O671" s="47"/>
    </row>
    <row r="672" spans="1:15" ht="15" customHeight="1">
      <c r="A672" s="67">
        <v>46259</v>
      </c>
      <c r="B672" s="25">
        <f t="shared" si="144"/>
        <v>1.2083333333333333</v>
      </c>
      <c r="C672" s="33"/>
      <c r="D672" s="62"/>
      <c r="E672" s="62"/>
      <c r="F672" s="27"/>
      <c r="G672" s="28" t="str">
        <f t="shared" si="142"/>
        <v/>
      </c>
      <c r="H672" s="26"/>
      <c r="I672" s="26"/>
      <c r="J672" s="26"/>
      <c r="K672" s="29"/>
      <c r="L672" s="29"/>
      <c r="M672" s="30" t="str">
        <f t="shared" ca="1" si="143"/>
        <v/>
      </c>
      <c r="N672" s="46"/>
      <c r="O672" s="47"/>
    </row>
    <row r="673" spans="1:15" ht="15" customHeight="1">
      <c r="A673" s="68">
        <v>46259</v>
      </c>
      <c r="B673" s="32">
        <f t="shared" si="144"/>
        <v>1.25</v>
      </c>
      <c r="C673" s="33"/>
      <c r="D673" s="62"/>
      <c r="E673" s="62"/>
      <c r="F673" s="27"/>
      <c r="G673" s="34" t="str">
        <f t="shared" si="142"/>
        <v/>
      </c>
      <c r="H673" s="33"/>
      <c r="I673" s="33"/>
      <c r="J673" s="33"/>
      <c r="K673" s="29"/>
      <c r="L673" s="29"/>
      <c r="M673" s="35" t="str">
        <f t="shared" ca="1" si="143"/>
        <v/>
      </c>
      <c r="N673" s="46"/>
      <c r="O673" s="47"/>
    </row>
    <row r="674" spans="1:15" ht="15" customHeight="1">
      <c r="A674" s="67">
        <v>46259</v>
      </c>
      <c r="B674" s="25">
        <f t="shared" si="144"/>
        <v>1.2916666666666667</v>
      </c>
      <c r="C674" s="26"/>
      <c r="D674" s="59"/>
      <c r="E674" s="59"/>
      <c r="F674" s="27"/>
      <c r="G674" s="28" t="str">
        <f t="shared" si="142"/>
        <v/>
      </c>
      <c r="H674" s="26"/>
      <c r="I674" s="26"/>
      <c r="J674" s="26"/>
      <c r="K674" s="29"/>
      <c r="L674" s="29"/>
      <c r="M674" s="30" t="str">
        <f t="shared" ca="1" si="143"/>
        <v/>
      </c>
      <c r="N674" s="46"/>
      <c r="O674" s="47"/>
    </row>
    <row r="675" spans="1:15" ht="15.75" customHeight="1">
      <c r="A675" s="158" t="s">
        <v>246</v>
      </c>
      <c r="B675" s="159"/>
      <c r="C675" s="159"/>
      <c r="D675" s="159"/>
      <c r="E675" s="16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244</v>
      </c>
      <c r="O675" s="39"/>
    </row>
    <row r="676" spans="1:15" ht="18" customHeight="1">
      <c r="A676" s="160" t="s">
        <v>247</v>
      </c>
      <c r="B676" s="161"/>
      <c r="C676" s="161"/>
      <c r="D676" s="161"/>
      <c r="E676" s="170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248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5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6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7">B677+TIME(0,60,0)</f>
        <v>0.37499999999999967</v>
      </c>
      <c r="C678" s="33"/>
      <c r="D678" s="62"/>
      <c r="E678" s="62"/>
      <c r="F678" s="27"/>
      <c r="G678" s="28" t="str">
        <f t="shared" si="145"/>
        <v/>
      </c>
      <c r="H678" s="26"/>
      <c r="I678" s="26"/>
      <c r="J678" s="26"/>
      <c r="K678" s="29"/>
      <c r="L678" s="29"/>
      <c r="M678" s="30" t="str">
        <f t="shared" ca="1" si="146"/>
        <v/>
      </c>
      <c r="N678" s="46"/>
      <c r="O678" s="47"/>
    </row>
    <row r="679" spans="1:15" ht="15" customHeight="1">
      <c r="A679" s="68">
        <v>46260</v>
      </c>
      <c r="B679" s="32">
        <f t="shared" si="147"/>
        <v>0.41666666666666635</v>
      </c>
      <c r="C679" s="33"/>
      <c r="D679" s="62"/>
      <c r="E679" s="62"/>
      <c r="F679" s="27"/>
      <c r="G679" s="34" t="str">
        <f t="shared" si="145"/>
        <v/>
      </c>
      <c r="H679" s="33"/>
      <c r="I679" s="33"/>
      <c r="J679" s="33"/>
      <c r="K679" s="29"/>
      <c r="L679" s="29"/>
      <c r="M679" s="35" t="str">
        <f t="shared" ca="1" si="146"/>
        <v/>
      </c>
      <c r="N679" s="46"/>
      <c r="O679" s="47"/>
    </row>
    <row r="680" spans="1:15" ht="15" customHeight="1">
      <c r="A680" s="67">
        <v>46260</v>
      </c>
      <c r="B680" s="25">
        <f t="shared" si="147"/>
        <v>0.45833333333333304</v>
      </c>
      <c r="C680" s="33"/>
      <c r="D680" s="62"/>
      <c r="E680" s="62"/>
      <c r="F680" s="27"/>
      <c r="G680" s="28" t="str">
        <f t="shared" si="145"/>
        <v/>
      </c>
      <c r="H680" s="26"/>
      <c r="I680" s="26"/>
      <c r="J680" s="26"/>
      <c r="K680" s="29"/>
      <c r="L680" s="29"/>
      <c r="M680" s="30" t="str">
        <f t="shared" ca="1" si="146"/>
        <v/>
      </c>
      <c r="N680" s="46"/>
      <c r="O680" s="47"/>
    </row>
    <row r="681" spans="1:15" ht="15" customHeight="1">
      <c r="A681" s="68">
        <v>46260</v>
      </c>
      <c r="B681" s="32">
        <f t="shared" si="147"/>
        <v>0.49999999999999972</v>
      </c>
      <c r="C681" s="33"/>
      <c r="D681" s="62"/>
      <c r="E681" s="62"/>
      <c r="F681" s="27"/>
      <c r="G681" s="34" t="str">
        <f t="shared" si="145"/>
        <v/>
      </c>
      <c r="H681" s="33"/>
      <c r="I681" s="33"/>
      <c r="J681" s="33"/>
      <c r="K681" s="29"/>
      <c r="L681" s="29"/>
      <c r="M681" s="35" t="str">
        <f t="shared" ca="1" si="146"/>
        <v/>
      </c>
      <c r="N681" s="46"/>
      <c r="O681" s="47"/>
    </row>
    <row r="682" spans="1:15" ht="15" customHeight="1">
      <c r="A682" s="67">
        <v>46260</v>
      </c>
      <c r="B682" s="25">
        <f t="shared" si="147"/>
        <v>0.54166666666666641</v>
      </c>
      <c r="C682" s="33"/>
      <c r="D682" s="62"/>
      <c r="E682" s="62"/>
      <c r="F682" s="27"/>
      <c r="G682" s="28" t="str">
        <f t="shared" si="145"/>
        <v/>
      </c>
      <c r="H682" s="26"/>
      <c r="I682" s="26"/>
      <c r="J682" s="26"/>
      <c r="K682" s="29"/>
      <c r="L682" s="29"/>
      <c r="M682" s="30" t="str">
        <f t="shared" ca="1" si="146"/>
        <v/>
      </c>
      <c r="N682" s="46"/>
      <c r="O682" s="47"/>
    </row>
    <row r="683" spans="1:15" ht="15" customHeight="1">
      <c r="A683" s="68">
        <v>46260</v>
      </c>
      <c r="B683" s="32">
        <f t="shared" si="147"/>
        <v>0.58333333333333304</v>
      </c>
      <c r="C683" s="33"/>
      <c r="D683" s="62"/>
      <c r="E683" s="62"/>
      <c r="F683" s="27"/>
      <c r="G683" s="34" t="str">
        <f t="shared" si="145"/>
        <v/>
      </c>
      <c r="H683" s="33"/>
      <c r="I683" s="33"/>
      <c r="J683" s="33"/>
      <c r="K683" s="29"/>
      <c r="L683" s="29"/>
      <c r="M683" s="35" t="str">
        <f t="shared" ca="1" si="146"/>
        <v/>
      </c>
      <c r="N683" s="46"/>
      <c r="O683" s="47"/>
    </row>
    <row r="684" spans="1:15" ht="15" customHeight="1">
      <c r="A684" s="67">
        <v>46260</v>
      </c>
      <c r="B684" s="25">
        <f t="shared" si="147"/>
        <v>0.62499999999999967</v>
      </c>
      <c r="C684" s="33"/>
      <c r="D684" s="62"/>
      <c r="E684" s="62"/>
      <c r="F684" s="27"/>
      <c r="G684" s="28" t="str">
        <f t="shared" si="145"/>
        <v/>
      </c>
      <c r="H684" s="26"/>
      <c r="I684" s="26"/>
      <c r="J684" s="26"/>
      <c r="K684" s="29"/>
      <c r="L684" s="29"/>
      <c r="M684" s="30" t="str">
        <f t="shared" ca="1" si="146"/>
        <v/>
      </c>
      <c r="N684" s="46"/>
      <c r="O684" s="47"/>
    </row>
    <row r="685" spans="1:15" ht="15" customHeight="1">
      <c r="A685" s="68">
        <v>46260</v>
      </c>
      <c r="B685" s="32">
        <f t="shared" si="147"/>
        <v>0.6666666666666663</v>
      </c>
      <c r="C685" s="33"/>
      <c r="D685" s="62"/>
      <c r="E685" s="62"/>
      <c r="F685" s="27"/>
      <c r="G685" s="34" t="str">
        <f t="shared" si="145"/>
        <v/>
      </c>
      <c r="H685" s="33"/>
      <c r="I685" s="33"/>
      <c r="J685" s="33"/>
      <c r="K685" s="29"/>
      <c r="L685" s="29"/>
      <c r="M685" s="35" t="str">
        <f t="shared" ca="1" si="146"/>
        <v/>
      </c>
      <c r="N685" s="46"/>
      <c r="O685" s="47"/>
    </row>
    <row r="686" spans="1:15" ht="15" customHeight="1">
      <c r="A686" s="67">
        <v>46260</v>
      </c>
      <c r="B686" s="25">
        <f t="shared" si="147"/>
        <v>0.70833333333333293</v>
      </c>
      <c r="C686" s="33"/>
      <c r="D686" s="62"/>
      <c r="E686" s="62"/>
      <c r="F686" s="27"/>
      <c r="G686" s="28" t="str">
        <f t="shared" si="145"/>
        <v/>
      </c>
      <c r="H686" s="26"/>
      <c r="I686" s="26"/>
      <c r="J686" s="26"/>
      <c r="K686" s="29"/>
      <c r="L686" s="29"/>
      <c r="M686" s="30" t="str">
        <f t="shared" ca="1" si="146"/>
        <v/>
      </c>
      <c r="N686" s="46"/>
      <c r="O686" s="47"/>
    </row>
    <row r="687" spans="1:15" ht="15" customHeight="1">
      <c r="A687" s="68">
        <v>46260</v>
      </c>
      <c r="B687" s="32">
        <f t="shared" si="147"/>
        <v>0.74999999999999956</v>
      </c>
      <c r="C687" s="33"/>
      <c r="D687" s="62"/>
      <c r="E687" s="62"/>
      <c r="F687" s="27"/>
      <c r="G687" s="34" t="str">
        <f t="shared" si="145"/>
        <v/>
      </c>
      <c r="H687" s="33"/>
      <c r="I687" s="33"/>
      <c r="J687" s="33"/>
      <c r="K687" s="29"/>
      <c r="L687" s="29"/>
      <c r="M687" s="35" t="str">
        <f t="shared" ca="1" si="146"/>
        <v/>
      </c>
      <c r="N687" s="46"/>
      <c r="O687" s="47"/>
    </row>
    <row r="688" spans="1:15" ht="15" customHeight="1">
      <c r="A688" s="67">
        <v>46260</v>
      </c>
      <c r="B688" s="25">
        <f t="shared" si="147"/>
        <v>0.79166666666666619</v>
      </c>
      <c r="C688" s="33"/>
      <c r="D688" s="62"/>
      <c r="E688" s="62"/>
      <c r="F688" s="27"/>
      <c r="G688" s="28" t="str">
        <f t="shared" si="145"/>
        <v/>
      </c>
      <c r="H688" s="26"/>
      <c r="I688" s="26"/>
      <c r="J688" s="26"/>
      <c r="K688" s="29"/>
      <c r="L688" s="29"/>
      <c r="M688" s="30" t="str">
        <f t="shared" ca="1" si="146"/>
        <v/>
      </c>
      <c r="N688" s="46"/>
      <c r="O688" s="47"/>
    </row>
    <row r="689" spans="1:15" ht="15.75" customHeight="1">
      <c r="A689" s="158" t="s">
        <v>243</v>
      </c>
      <c r="B689" s="159"/>
      <c r="C689" s="159"/>
      <c r="D689" s="159"/>
      <c r="E689" s="16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244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8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49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0">B690+TIME(0,60,0)</f>
        <v>0.87499999999999967</v>
      </c>
      <c r="C691" s="26"/>
      <c r="D691" s="59"/>
      <c r="E691" s="59"/>
      <c r="F691" s="27"/>
      <c r="G691" s="34" t="str">
        <f t="shared" si="148"/>
        <v/>
      </c>
      <c r="H691" s="33"/>
      <c r="I691" s="33"/>
      <c r="J691" s="33"/>
      <c r="K691" s="29"/>
      <c r="L691" s="29"/>
      <c r="M691" s="35" t="str">
        <f t="shared" ca="1" si="149"/>
        <v/>
      </c>
      <c r="N691" s="46"/>
      <c r="O691" s="47"/>
    </row>
    <row r="692" spans="1:15" ht="15" customHeight="1">
      <c r="A692" s="67">
        <v>46260</v>
      </c>
      <c r="B692" s="25">
        <f t="shared" si="150"/>
        <v>0.9166666666666663</v>
      </c>
      <c r="C692" s="26"/>
      <c r="D692" s="59"/>
      <c r="E692" s="59"/>
      <c r="F692" s="27"/>
      <c r="G692" s="28" t="str">
        <f t="shared" si="148"/>
        <v/>
      </c>
      <c r="H692" s="26"/>
      <c r="I692" s="26"/>
      <c r="J692" s="26"/>
      <c r="K692" s="29"/>
      <c r="L692" s="29"/>
      <c r="M692" s="30" t="str">
        <f t="shared" ca="1" si="149"/>
        <v/>
      </c>
      <c r="N692" s="46"/>
      <c r="O692" s="47"/>
    </row>
    <row r="693" spans="1:15" ht="15" customHeight="1">
      <c r="A693" s="68">
        <v>46260</v>
      </c>
      <c r="B693" s="32">
        <f t="shared" si="150"/>
        <v>0.95833333333333293</v>
      </c>
      <c r="C693" s="26"/>
      <c r="D693" s="59"/>
      <c r="E693" s="59"/>
      <c r="F693" s="27"/>
      <c r="G693" s="34" t="str">
        <f t="shared" si="148"/>
        <v/>
      </c>
      <c r="H693" s="33"/>
      <c r="I693" s="33"/>
      <c r="J693" s="33"/>
      <c r="K693" s="29"/>
      <c r="L693" s="29"/>
      <c r="M693" s="35" t="str">
        <f t="shared" ca="1" si="149"/>
        <v/>
      </c>
      <c r="N693" s="46"/>
      <c r="O693" s="47"/>
    </row>
    <row r="694" spans="1:15" ht="15" customHeight="1">
      <c r="A694" s="67">
        <v>46260</v>
      </c>
      <c r="B694" s="25">
        <f t="shared" si="150"/>
        <v>0.99999999999999956</v>
      </c>
      <c r="C694" s="26"/>
      <c r="D694" s="59"/>
      <c r="E694" s="59"/>
      <c r="F694" s="27"/>
      <c r="G694" s="28" t="str">
        <f t="shared" si="148"/>
        <v/>
      </c>
      <c r="H694" s="26"/>
      <c r="I694" s="26"/>
      <c r="J694" s="26"/>
      <c r="K694" s="29"/>
      <c r="L694" s="29"/>
      <c r="M694" s="30" t="str">
        <f t="shared" ca="1" si="149"/>
        <v/>
      </c>
      <c r="N694" s="46"/>
      <c r="O694" s="47"/>
    </row>
    <row r="695" spans="1:15" ht="15" customHeight="1">
      <c r="A695" s="68">
        <v>46260</v>
      </c>
      <c r="B695" s="32">
        <f t="shared" si="150"/>
        <v>1.0416666666666663</v>
      </c>
      <c r="C695" s="26"/>
      <c r="D695" s="59"/>
      <c r="E695" s="59"/>
      <c r="F695" s="27"/>
      <c r="G695" s="34" t="str">
        <f t="shared" si="148"/>
        <v/>
      </c>
      <c r="H695" s="33"/>
      <c r="I695" s="33"/>
      <c r="J695" s="33"/>
      <c r="K695" s="29"/>
      <c r="L695" s="29"/>
      <c r="M695" s="35" t="str">
        <f t="shared" ca="1" si="149"/>
        <v/>
      </c>
      <c r="N695" s="46"/>
      <c r="O695" s="47"/>
    </row>
    <row r="696" spans="1:15" ht="15" customHeight="1">
      <c r="A696" s="67">
        <v>46260</v>
      </c>
      <c r="B696" s="25">
        <f t="shared" si="150"/>
        <v>1.083333333333333</v>
      </c>
      <c r="C696" s="26"/>
      <c r="D696" s="59"/>
      <c r="E696" s="59"/>
      <c r="F696" s="27"/>
      <c r="G696" s="28" t="str">
        <f t="shared" si="148"/>
        <v/>
      </c>
      <c r="H696" s="26"/>
      <c r="I696" s="26"/>
      <c r="J696" s="26"/>
      <c r="K696" s="29"/>
      <c r="L696" s="29"/>
      <c r="M696" s="30" t="str">
        <f t="shared" ca="1" si="149"/>
        <v/>
      </c>
      <c r="N696" s="46"/>
      <c r="O696" s="47"/>
    </row>
    <row r="697" spans="1:15" ht="15" customHeight="1">
      <c r="A697" s="68">
        <v>46260</v>
      </c>
      <c r="B697" s="32">
        <f t="shared" si="150"/>
        <v>1.1249999999999998</v>
      </c>
      <c r="C697" s="26"/>
      <c r="D697" s="59"/>
      <c r="E697" s="59"/>
      <c r="F697" s="27"/>
      <c r="G697" s="34" t="str">
        <f t="shared" si="148"/>
        <v/>
      </c>
      <c r="H697" s="33"/>
      <c r="I697" s="33"/>
      <c r="J697" s="33"/>
      <c r="K697" s="29"/>
      <c r="L697" s="29"/>
      <c r="M697" s="35" t="str">
        <f t="shared" ca="1" si="149"/>
        <v/>
      </c>
      <c r="N697" s="46"/>
      <c r="O697" s="47"/>
    </row>
    <row r="698" spans="1:15" ht="15" customHeight="1">
      <c r="A698" s="67">
        <v>46260</v>
      </c>
      <c r="B698" s="25">
        <f t="shared" si="150"/>
        <v>1.1666666666666665</v>
      </c>
      <c r="C698" s="26"/>
      <c r="D698" s="59"/>
      <c r="E698" s="59"/>
      <c r="F698" s="27"/>
      <c r="G698" s="28" t="str">
        <f t="shared" si="148"/>
        <v/>
      </c>
      <c r="H698" s="26"/>
      <c r="I698" s="26"/>
      <c r="J698" s="26"/>
      <c r="K698" s="29"/>
      <c r="L698" s="29"/>
      <c r="M698" s="30" t="str">
        <f t="shared" ca="1" si="149"/>
        <v/>
      </c>
      <c r="N698" s="46"/>
      <c r="O698" s="47"/>
    </row>
    <row r="699" spans="1:15" ht="15" customHeight="1">
      <c r="A699" s="68">
        <v>46260</v>
      </c>
      <c r="B699" s="32">
        <f t="shared" si="150"/>
        <v>1.2083333333333333</v>
      </c>
      <c r="C699" s="26"/>
      <c r="D699" s="59"/>
      <c r="E699" s="59"/>
      <c r="F699" s="27"/>
      <c r="G699" s="34" t="str">
        <f t="shared" si="148"/>
        <v/>
      </c>
      <c r="H699" s="33"/>
      <c r="I699" s="33"/>
      <c r="J699" s="33"/>
      <c r="K699" s="29"/>
      <c r="L699" s="29"/>
      <c r="M699" s="35" t="str">
        <f t="shared" ca="1" si="149"/>
        <v/>
      </c>
      <c r="N699" s="46"/>
      <c r="O699" s="47"/>
    </row>
    <row r="700" spans="1:15" ht="15" customHeight="1">
      <c r="A700" s="67">
        <v>46260</v>
      </c>
      <c r="B700" s="25">
        <f t="shared" si="150"/>
        <v>1.25</v>
      </c>
      <c r="C700" s="26"/>
      <c r="D700" s="59"/>
      <c r="E700" s="59"/>
      <c r="F700" s="27"/>
      <c r="G700" s="28" t="str">
        <f t="shared" si="148"/>
        <v/>
      </c>
      <c r="H700" s="26"/>
      <c r="I700" s="26"/>
      <c r="J700" s="26"/>
      <c r="K700" s="29"/>
      <c r="L700" s="29"/>
      <c r="M700" s="30" t="str">
        <f t="shared" ca="1" si="149"/>
        <v/>
      </c>
      <c r="N700" s="46"/>
      <c r="O700" s="47"/>
    </row>
    <row r="701" spans="1:15" ht="15" customHeight="1">
      <c r="A701" s="68">
        <v>46260</v>
      </c>
      <c r="B701" s="32">
        <f t="shared" si="150"/>
        <v>1.2916666666666667</v>
      </c>
      <c r="C701" s="26"/>
      <c r="D701" s="59"/>
      <c r="E701" s="59"/>
      <c r="F701" s="27"/>
      <c r="G701" s="34" t="str">
        <f t="shared" si="148"/>
        <v/>
      </c>
      <c r="H701" s="33"/>
      <c r="I701" s="33"/>
      <c r="J701" s="33"/>
      <c r="K701" s="29"/>
      <c r="L701" s="29"/>
      <c r="M701" s="35" t="str">
        <f t="shared" ca="1" si="149"/>
        <v/>
      </c>
      <c r="N701" s="46"/>
      <c r="O701" s="47"/>
    </row>
    <row r="702" spans="1:15" ht="15.75" customHeight="1">
      <c r="A702" s="158" t="s">
        <v>246</v>
      </c>
      <c r="B702" s="159"/>
      <c r="C702" s="159"/>
      <c r="D702" s="159"/>
      <c r="E702" s="16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244</v>
      </c>
      <c r="O702" s="39"/>
    </row>
    <row r="703" spans="1:15" ht="18" customHeight="1">
      <c r="A703" s="160" t="s">
        <v>247</v>
      </c>
      <c r="B703" s="161"/>
      <c r="C703" s="161"/>
      <c r="D703" s="161"/>
      <c r="E703" s="170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248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1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2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3">B704+TIME(0,60,0)</f>
        <v>0.37499999999999967</v>
      </c>
      <c r="C705" s="26"/>
      <c r="D705" s="59"/>
      <c r="E705" s="59"/>
      <c r="F705" s="27"/>
      <c r="G705" s="34" t="str">
        <f t="shared" si="151"/>
        <v/>
      </c>
      <c r="H705" s="33"/>
      <c r="I705" s="33"/>
      <c r="J705" s="33"/>
      <c r="K705" s="29"/>
      <c r="L705" s="29"/>
      <c r="M705" s="35" t="str">
        <f t="shared" ca="1" si="152"/>
        <v/>
      </c>
      <c r="N705" s="46"/>
      <c r="O705" s="47"/>
    </row>
    <row r="706" spans="1:15" ht="15" customHeight="1">
      <c r="A706" s="67">
        <v>46261</v>
      </c>
      <c r="B706" s="25">
        <f t="shared" si="153"/>
        <v>0.41666666666666635</v>
      </c>
      <c r="C706" s="26"/>
      <c r="D706" s="59"/>
      <c r="E706" s="59"/>
      <c r="F706" s="27"/>
      <c r="G706" s="28" t="str">
        <f t="shared" si="151"/>
        <v/>
      </c>
      <c r="H706" s="26"/>
      <c r="I706" s="26"/>
      <c r="J706" s="26"/>
      <c r="K706" s="29"/>
      <c r="L706" s="29"/>
      <c r="M706" s="30" t="str">
        <f t="shared" ca="1" si="152"/>
        <v/>
      </c>
      <c r="N706" s="46"/>
      <c r="O706" s="47"/>
    </row>
    <row r="707" spans="1:15" ht="15" customHeight="1">
      <c r="A707" s="68">
        <v>46261</v>
      </c>
      <c r="B707" s="32">
        <f t="shared" si="153"/>
        <v>0.45833333333333304</v>
      </c>
      <c r="C707" s="26"/>
      <c r="D707" s="59"/>
      <c r="E707" s="59"/>
      <c r="F707" s="27"/>
      <c r="G707" s="34" t="str">
        <f t="shared" si="151"/>
        <v/>
      </c>
      <c r="H707" s="33"/>
      <c r="I707" s="33"/>
      <c r="J707" s="33"/>
      <c r="K707" s="29"/>
      <c r="L707" s="29"/>
      <c r="M707" s="35" t="str">
        <f t="shared" ca="1" si="152"/>
        <v/>
      </c>
      <c r="N707" s="46"/>
      <c r="O707" s="47"/>
    </row>
    <row r="708" spans="1:15" ht="15" customHeight="1">
      <c r="A708" s="67">
        <v>46261</v>
      </c>
      <c r="B708" s="25">
        <f t="shared" si="153"/>
        <v>0.49999999999999972</v>
      </c>
      <c r="C708" s="26"/>
      <c r="D708" s="59"/>
      <c r="E708" s="59"/>
      <c r="F708" s="27"/>
      <c r="G708" s="28" t="str">
        <f t="shared" si="151"/>
        <v/>
      </c>
      <c r="H708" s="26"/>
      <c r="I708" s="26"/>
      <c r="J708" s="26"/>
      <c r="K708" s="29"/>
      <c r="L708" s="29"/>
      <c r="M708" s="30" t="str">
        <f t="shared" ca="1" si="152"/>
        <v/>
      </c>
      <c r="N708" s="46"/>
      <c r="O708" s="47"/>
    </row>
    <row r="709" spans="1:15" ht="15" customHeight="1">
      <c r="A709" s="68">
        <v>46261</v>
      </c>
      <c r="B709" s="32">
        <f t="shared" si="153"/>
        <v>0.54166666666666641</v>
      </c>
      <c r="C709" s="26"/>
      <c r="D709" s="59"/>
      <c r="E709" s="59"/>
      <c r="F709" s="27"/>
      <c r="G709" s="34" t="str">
        <f t="shared" si="151"/>
        <v/>
      </c>
      <c r="H709" s="33"/>
      <c r="I709" s="33"/>
      <c r="J709" s="33"/>
      <c r="K709" s="29"/>
      <c r="L709" s="29"/>
      <c r="M709" s="35" t="str">
        <f t="shared" ca="1" si="152"/>
        <v/>
      </c>
      <c r="N709" s="46"/>
      <c r="O709" s="47"/>
    </row>
    <row r="710" spans="1:15" ht="15" customHeight="1">
      <c r="A710" s="67">
        <v>46261</v>
      </c>
      <c r="B710" s="25">
        <f t="shared" si="153"/>
        <v>0.58333333333333304</v>
      </c>
      <c r="C710" s="26"/>
      <c r="D710" s="59"/>
      <c r="E710" s="59"/>
      <c r="F710" s="27"/>
      <c r="G710" s="28" t="str">
        <f t="shared" si="151"/>
        <v/>
      </c>
      <c r="H710" s="26"/>
      <c r="I710" s="26"/>
      <c r="J710" s="26"/>
      <c r="K710" s="29"/>
      <c r="L710" s="29"/>
      <c r="M710" s="30" t="str">
        <f t="shared" ca="1" si="152"/>
        <v/>
      </c>
      <c r="N710" s="46"/>
      <c r="O710" s="47"/>
    </row>
    <row r="711" spans="1:15" ht="15" customHeight="1">
      <c r="A711" s="68">
        <v>46261</v>
      </c>
      <c r="B711" s="32">
        <f t="shared" si="153"/>
        <v>0.62499999999999967</v>
      </c>
      <c r="C711" s="26"/>
      <c r="D711" s="59"/>
      <c r="E711" s="59"/>
      <c r="F711" s="27"/>
      <c r="G711" s="34" t="str">
        <f t="shared" si="151"/>
        <v/>
      </c>
      <c r="H711" s="33"/>
      <c r="I711" s="33"/>
      <c r="J711" s="33"/>
      <c r="K711" s="29"/>
      <c r="L711" s="29"/>
      <c r="M711" s="35" t="str">
        <f t="shared" ca="1" si="152"/>
        <v/>
      </c>
      <c r="N711" s="46"/>
      <c r="O711" s="47"/>
    </row>
    <row r="712" spans="1:15" ht="15" customHeight="1">
      <c r="A712" s="67">
        <v>46261</v>
      </c>
      <c r="B712" s="25">
        <f t="shared" si="153"/>
        <v>0.6666666666666663</v>
      </c>
      <c r="C712" s="26"/>
      <c r="D712" s="59"/>
      <c r="E712" s="59"/>
      <c r="F712" s="27"/>
      <c r="G712" s="28" t="str">
        <f t="shared" si="151"/>
        <v/>
      </c>
      <c r="H712" s="26"/>
      <c r="I712" s="26"/>
      <c r="J712" s="26"/>
      <c r="K712" s="29"/>
      <c r="L712" s="29"/>
      <c r="M712" s="30" t="str">
        <f t="shared" ca="1" si="152"/>
        <v/>
      </c>
      <c r="N712" s="46"/>
      <c r="O712" s="47"/>
    </row>
    <row r="713" spans="1:15" ht="15" customHeight="1">
      <c r="A713" s="68">
        <v>46261</v>
      </c>
      <c r="B713" s="32">
        <f t="shared" si="153"/>
        <v>0.70833333333333293</v>
      </c>
      <c r="C713" s="26"/>
      <c r="D713" s="59"/>
      <c r="E713" s="59"/>
      <c r="F713" s="27"/>
      <c r="G713" s="34" t="str">
        <f t="shared" si="151"/>
        <v/>
      </c>
      <c r="H713" s="33"/>
      <c r="I713" s="33"/>
      <c r="J713" s="33"/>
      <c r="K713" s="29"/>
      <c r="L713" s="29"/>
      <c r="M713" s="35" t="str">
        <f t="shared" ca="1" si="152"/>
        <v/>
      </c>
      <c r="N713" s="46"/>
      <c r="O713" s="47"/>
    </row>
    <row r="714" spans="1:15" ht="15" customHeight="1">
      <c r="A714" s="67">
        <v>46261</v>
      </c>
      <c r="B714" s="25">
        <f t="shared" si="153"/>
        <v>0.74999999999999956</v>
      </c>
      <c r="C714" s="26"/>
      <c r="D714" s="59"/>
      <c r="E714" s="59"/>
      <c r="F714" s="27"/>
      <c r="G714" s="28" t="str">
        <f t="shared" si="151"/>
        <v/>
      </c>
      <c r="H714" s="26"/>
      <c r="I714" s="26"/>
      <c r="J714" s="26"/>
      <c r="K714" s="29"/>
      <c r="L714" s="29"/>
      <c r="M714" s="30" t="str">
        <f t="shared" ca="1" si="152"/>
        <v/>
      </c>
      <c r="N714" s="46"/>
      <c r="O714" s="47"/>
    </row>
    <row r="715" spans="1:15" ht="15" customHeight="1">
      <c r="A715" s="68">
        <v>46261</v>
      </c>
      <c r="B715" s="32">
        <f t="shared" si="153"/>
        <v>0.79166666666666619</v>
      </c>
      <c r="C715" s="26"/>
      <c r="D715" s="59"/>
      <c r="E715" s="59"/>
      <c r="F715" s="27"/>
      <c r="G715" s="34" t="str">
        <f t="shared" si="151"/>
        <v/>
      </c>
      <c r="H715" s="33"/>
      <c r="I715" s="33"/>
      <c r="J715" s="33"/>
      <c r="K715" s="29"/>
      <c r="L715" s="29"/>
      <c r="M715" s="35" t="str">
        <f t="shared" ca="1" si="152"/>
        <v/>
      </c>
      <c r="N715" s="46"/>
      <c r="O715" s="47"/>
    </row>
    <row r="716" spans="1:15" ht="15.75" customHeight="1">
      <c r="A716" s="158" t="s">
        <v>243</v>
      </c>
      <c r="B716" s="159"/>
      <c r="C716" s="159"/>
      <c r="D716" s="159"/>
      <c r="E716" s="16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244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4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5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6">B717+TIME(0,60,0)</f>
        <v>0.87499999999999967</v>
      </c>
      <c r="C718" s="26"/>
      <c r="D718" s="59"/>
      <c r="E718" s="59"/>
      <c r="F718" s="27"/>
      <c r="G718" s="28" t="str">
        <f t="shared" si="154"/>
        <v/>
      </c>
      <c r="H718" s="26"/>
      <c r="I718" s="26"/>
      <c r="J718" s="26"/>
      <c r="K718" s="29"/>
      <c r="L718" s="29"/>
      <c r="M718" s="30" t="str">
        <f t="shared" ca="1" si="155"/>
        <v/>
      </c>
      <c r="N718" s="46"/>
      <c r="O718" s="47"/>
    </row>
    <row r="719" spans="1:15" ht="15" customHeight="1">
      <c r="A719" s="68">
        <v>46261</v>
      </c>
      <c r="B719" s="32">
        <f t="shared" si="156"/>
        <v>0.9166666666666663</v>
      </c>
      <c r="C719" s="33"/>
      <c r="D719" s="62"/>
      <c r="E719" s="62"/>
      <c r="F719" s="27"/>
      <c r="G719" s="34" t="str">
        <f t="shared" si="154"/>
        <v/>
      </c>
      <c r="H719" s="33"/>
      <c r="I719" s="33"/>
      <c r="J719" s="33"/>
      <c r="K719" s="29"/>
      <c r="L719" s="29"/>
      <c r="M719" s="35" t="str">
        <f t="shared" ca="1" si="155"/>
        <v/>
      </c>
      <c r="N719" s="46"/>
      <c r="O719" s="47"/>
    </row>
    <row r="720" spans="1:15" ht="15" customHeight="1">
      <c r="A720" s="67">
        <v>46261</v>
      </c>
      <c r="B720" s="25">
        <f t="shared" si="156"/>
        <v>0.95833333333333293</v>
      </c>
      <c r="C720" s="26"/>
      <c r="D720" s="59"/>
      <c r="E720" s="59"/>
      <c r="F720" s="27"/>
      <c r="G720" s="28" t="str">
        <f t="shared" si="154"/>
        <v/>
      </c>
      <c r="H720" s="26"/>
      <c r="I720" s="26"/>
      <c r="J720" s="26"/>
      <c r="K720" s="29"/>
      <c r="L720" s="29"/>
      <c r="M720" s="30" t="str">
        <f t="shared" ca="1" si="155"/>
        <v/>
      </c>
      <c r="N720" s="46"/>
      <c r="O720" s="47"/>
    </row>
    <row r="721" spans="1:15" ht="15" customHeight="1">
      <c r="A721" s="68">
        <v>46261</v>
      </c>
      <c r="B721" s="32">
        <f t="shared" si="156"/>
        <v>0.99999999999999956</v>
      </c>
      <c r="C721" s="33"/>
      <c r="D721" s="62"/>
      <c r="E721" s="62"/>
      <c r="F721" s="27"/>
      <c r="G721" s="34" t="str">
        <f t="shared" si="154"/>
        <v/>
      </c>
      <c r="H721" s="33"/>
      <c r="I721" s="33"/>
      <c r="J721" s="33"/>
      <c r="K721" s="29"/>
      <c r="L721" s="29"/>
      <c r="M721" s="35" t="str">
        <f t="shared" ca="1" si="155"/>
        <v/>
      </c>
      <c r="N721" s="46"/>
      <c r="O721" s="47"/>
    </row>
    <row r="722" spans="1:15" ht="15" customHeight="1">
      <c r="A722" s="67">
        <v>46261</v>
      </c>
      <c r="B722" s="25">
        <f t="shared" si="156"/>
        <v>1.0416666666666663</v>
      </c>
      <c r="C722" s="26"/>
      <c r="D722" s="59"/>
      <c r="E722" s="59"/>
      <c r="F722" s="27"/>
      <c r="G722" s="28" t="str">
        <f t="shared" si="154"/>
        <v/>
      </c>
      <c r="H722" s="26"/>
      <c r="I722" s="26"/>
      <c r="J722" s="26"/>
      <c r="K722" s="29"/>
      <c r="L722" s="29"/>
      <c r="M722" s="30" t="str">
        <f t="shared" ca="1" si="155"/>
        <v/>
      </c>
      <c r="N722" s="46"/>
      <c r="O722" s="47"/>
    </row>
    <row r="723" spans="1:15" ht="15" customHeight="1">
      <c r="A723" s="68">
        <v>46261</v>
      </c>
      <c r="B723" s="32">
        <f t="shared" si="156"/>
        <v>1.083333333333333</v>
      </c>
      <c r="C723" s="33"/>
      <c r="D723" s="62"/>
      <c r="E723" s="62"/>
      <c r="F723" s="27"/>
      <c r="G723" s="34" t="str">
        <f t="shared" si="154"/>
        <v/>
      </c>
      <c r="H723" s="33"/>
      <c r="I723" s="33"/>
      <c r="J723" s="33"/>
      <c r="K723" s="29"/>
      <c r="L723" s="29"/>
      <c r="M723" s="35" t="str">
        <f t="shared" ca="1" si="155"/>
        <v/>
      </c>
      <c r="N723" s="46"/>
      <c r="O723" s="47"/>
    </row>
    <row r="724" spans="1:15" ht="15" customHeight="1">
      <c r="A724" s="67">
        <v>46261</v>
      </c>
      <c r="B724" s="25">
        <f t="shared" si="156"/>
        <v>1.1249999999999998</v>
      </c>
      <c r="C724" s="26"/>
      <c r="D724" s="59"/>
      <c r="E724" s="59"/>
      <c r="F724" s="27"/>
      <c r="G724" s="28" t="str">
        <f t="shared" si="154"/>
        <v/>
      </c>
      <c r="H724" s="26"/>
      <c r="I724" s="26"/>
      <c r="J724" s="26"/>
      <c r="K724" s="29"/>
      <c r="L724" s="29"/>
      <c r="M724" s="30" t="str">
        <f t="shared" ca="1" si="155"/>
        <v/>
      </c>
      <c r="N724" s="46"/>
      <c r="O724" s="47"/>
    </row>
    <row r="725" spans="1:15" ht="15" customHeight="1">
      <c r="A725" s="68">
        <v>46261</v>
      </c>
      <c r="B725" s="32">
        <f t="shared" si="156"/>
        <v>1.1666666666666665</v>
      </c>
      <c r="C725" s="33"/>
      <c r="D725" s="62"/>
      <c r="E725" s="62"/>
      <c r="F725" s="27"/>
      <c r="G725" s="34" t="str">
        <f t="shared" si="154"/>
        <v/>
      </c>
      <c r="H725" s="33"/>
      <c r="I725" s="33"/>
      <c r="J725" s="33"/>
      <c r="K725" s="29"/>
      <c r="L725" s="29"/>
      <c r="M725" s="35" t="str">
        <f t="shared" ca="1" si="155"/>
        <v/>
      </c>
      <c r="N725" s="46"/>
      <c r="O725" s="47"/>
    </row>
    <row r="726" spans="1:15" ht="15" customHeight="1">
      <c r="A726" s="67">
        <v>46261</v>
      </c>
      <c r="B726" s="25">
        <f t="shared" si="156"/>
        <v>1.2083333333333333</v>
      </c>
      <c r="C726" s="26"/>
      <c r="D726" s="59"/>
      <c r="E726" s="59"/>
      <c r="F726" s="27"/>
      <c r="G726" s="28" t="str">
        <f t="shared" si="154"/>
        <v/>
      </c>
      <c r="H726" s="26"/>
      <c r="I726" s="26"/>
      <c r="J726" s="26"/>
      <c r="K726" s="29"/>
      <c r="L726" s="29"/>
      <c r="M726" s="30" t="str">
        <f t="shared" ca="1" si="155"/>
        <v/>
      </c>
      <c r="N726" s="46"/>
      <c r="O726" s="47"/>
    </row>
    <row r="727" spans="1:15" ht="15" customHeight="1">
      <c r="A727" s="68">
        <v>46261</v>
      </c>
      <c r="B727" s="32">
        <f t="shared" si="156"/>
        <v>1.25</v>
      </c>
      <c r="C727" s="33"/>
      <c r="D727" s="62"/>
      <c r="E727" s="62"/>
      <c r="F727" s="27"/>
      <c r="G727" s="34" t="str">
        <f t="shared" si="154"/>
        <v/>
      </c>
      <c r="H727" s="33"/>
      <c r="I727" s="33"/>
      <c r="J727" s="33"/>
      <c r="K727" s="29"/>
      <c r="L727" s="29"/>
      <c r="M727" s="35" t="str">
        <f t="shared" ca="1" si="155"/>
        <v/>
      </c>
      <c r="N727" s="46"/>
      <c r="O727" s="47"/>
    </row>
    <row r="728" spans="1:15" ht="15" customHeight="1">
      <c r="A728" s="67">
        <v>46261</v>
      </c>
      <c r="B728" s="25">
        <f t="shared" si="156"/>
        <v>1.2916666666666667</v>
      </c>
      <c r="C728" s="26"/>
      <c r="D728" s="59"/>
      <c r="E728" s="59"/>
      <c r="F728" s="27"/>
      <c r="G728" s="28" t="str">
        <f t="shared" si="154"/>
        <v/>
      </c>
      <c r="H728" s="26"/>
      <c r="I728" s="26"/>
      <c r="J728" s="26"/>
      <c r="K728" s="29"/>
      <c r="L728" s="29"/>
      <c r="M728" s="30" t="str">
        <f t="shared" ca="1" si="155"/>
        <v/>
      </c>
      <c r="N728" s="46"/>
      <c r="O728" s="47"/>
    </row>
    <row r="729" spans="1:15" ht="15.75" customHeight="1">
      <c r="A729" s="158" t="s">
        <v>246</v>
      </c>
      <c r="B729" s="159"/>
      <c r="C729" s="159"/>
      <c r="D729" s="159"/>
      <c r="E729" s="16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244</v>
      </c>
      <c r="O729" s="39"/>
    </row>
    <row r="730" spans="1:15" ht="18" customHeight="1">
      <c r="A730" s="160" t="s">
        <v>247</v>
      </c>
      <c r="B730" s="161"/>
      <c r="C730" s="161"/>
      <c r="D730" s="161"/>
      <c r="E730" s="170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248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7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8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59">B731+TIME(0,60,0)</f>
        <v>0.37499999999999967</v>
      </c>
      <c r="C732" s="26"/>
      <c r="D732" s="59"/>
      <c r="E732" s="59"/>
      <c r="F732" s="27"/>
      <c r="G732" s="28" t="str">
        <f t="shared" si="157"/>
        <v/>
      </c>
      <c r="H732" s="26"/>
      <c r="I732" s="26"/>
      <c r="J732" s="26"/>
      <c r="K732" s="29"/>
      <c r="L732" s="29"/>
      <c r="M732" s="30" t="str">
        <f t="shared" ca="1" si="158"/>
        <v/>
      </c>
      <c r="N732" s="46"/>
      <c r="O732" s="47"/>
    </row>
    <row r="733" spans="1:15" ht="15" customHeight="1">
      <c r="A733" s="68">
        <v>46262</v>
      </c>
      <c r="B733" s="32">
        <f t="shared" si="159"/>
        <v>0.41666666666666635</v>
      </c>
      <c r="C733" s="33"/>
      <c r="D733" s="62"/>
      <c r="E733" s="62"/>
      <c r="F733" s="27"/>
      <c r="G733" s="34" t="str">
        <f t="shared" si="157"/>
        <v/>
      </c>
      <c r="H733" s="33"/>
      <c r="I733" s="33"/>
      <c r="J733" s="33"/>
      <c r="K733" s="29"/>
      <c r="L733" s="29"/>
      <c r="M733" s="35" t="str">
        <f t="shared" ca="1" si="158"/>
        <v/>
      </c>
      <c r="N733" s="46"/>
      <c r="O733" s="47"/>
    </row>
    <row r="734" spans="1:15" ht="15" customHeight="1">
      <c r="A734" s="67">
        <v>46262</v>
      </c>
      <c r="B734" s="25">
        <f t="shared" si="159"/>
        <v>0.45833333333333304</v>
      </c>
      <c r="C734" s="26"/>
      <c r="D734" s="59"/>
      <c r="E734" s="59"/>
      <c r="F734" s="27"/>
      <c r="G734" s="28" t="str">
        <f t="shared" si="157"/>
        <v/>
      </c>
      <c r="H734" s="26"/>
      <c r="I734" s="26"/>
      <c r="J734" s="26"/>
      <c r="K734" s="29"/>
      <c r="L734" s="29"/>
      <c r="M734" s="30" t="str">
        <f t="shared" ca="1" si="158"/>
        <v/>
      </c>
      <c r="N734" s="46"/>
      <c r="O734" s="47"/>
    </row>
    <row r="735" spans="1:15" ht="15" customHeight="1">
      <c r="A735" s="68">
        <v>46262</v>
      </c>
      <c r="B735" s="32">
        <f t="shared" si="159"/>
        <v>0.49999999999999972</v>
      </c>
      <c r="C735" s="33"/>
      <c r="D735" s="62"/>
      <c r="E735" s="62"/>
      <c r="F735" s="27"/>
      <c r="G735" s="34" t="str">
        <f t="shared" si="157"/>
        <v/>
      </c>
      <c r="H735" s="33"/>
      <c r="I735" s="33"/>
      <c r="J735" s="33"/>
      <c r="K735" s="29"/>
      <c r="L735" s="29"/>
      <c r="M735" s="35" t="str">
        <f t="shared" ca="1" si="158"/>
        <v/>
      </c>
      <c r="N735" s="46"/>
      <c r="O735" s="47"/>
    </row>
    <row r="736" spans="1:15" ht="15" customHeight="1">
      <c r="A736" s="67">
        <v>46262</v>
      </c>
      <c r="B736" s="25">
        <f t="shared" si="159"/>
        <v>0.54166666666666641</v>
      </c>
      <c r="C736" s="26"/>
      <c r="D736" s="59"/>
      <c r="E736" s="59"/>
      <c r="F736" s="27"/>
      <c r="G736" s="28" t="str">
        <f t="shared" si="157"/>
        <v/>
      </c>
      <c r="H736" s="26"/>
      <c r="I736" s="26"/>
      <c r="J736" s="26"/>
      <c r="K736" s="29"/>
      <c r="L736" s="29"/>
      <c r="M736" s="30" t="str">
        <f t="shared" ca="1" si="158"/>
        <v/>
      </c>
      <c r="N736" s="46"/>
      <c r="O736" s="47"/>
    </row>
    <row r="737" spans="1:15" ht="15" customHeight="1">
      <c r="A737" s="68">
        <v>46262</v>
      </c>
      <c r="B737" s="32">
        <f t="shared" si="159"/>
        <v>0.58333333333333304</v>
      </c>
      <c r="C737" s="33"/>
      <c r="D737" s="62"/>
      <c r="E737" s="62"/>
      <c r="F737" s="27"/>
      <c r="G737" s="34" t="str">
        <f t="shared" si="157"/>
        <v/>
      </c>
      <c r="H737" s="33"/>
      <c r="I737" s="33"/>
      <c r="J737" s="33"/>
      <c r="K737" s="29"/>
      <c r="L737" s="29"/>
      <c r="M737" s="35" t="str">
        <f t="shared" ca="1" si="158"/>
        <v/>
      </c>
      <c r="N737" s="46"/>
      <c r="O737" s="47"/>
    </row>
    <row r="738" spans="1:15" ht="15" customHeight="1">
      <c r="A738" s="67">
        <v>46262</v>
      </c>
      <c r="B738" s="25">
        <f t="shared" si="159"/>
        <v>0.62499999999999967</v>
      </c>
      <c r="C738" s="26"/>
      <c r="D738" s="59"/>
      <c r="E738" s="59"/>
      <c r="F738" s="27"/>
      <c r="G738" s="28" t="str">
        <f t="shared" si="157"/>
        <v/>
      </c>
      <c r="H738" s="26"/>
      <c r="I738" s="26"/>
      <c r="J738" s="26"/>
      <c r="K738" s="29"/>
      <c r="L738" s="29"/>
      <c r="M738" s="30" t="str">
        <f t="shared" ca="1" si="158"/>
        <v/>
      </c>
      <c r="N738" s="46"/>
      <c r="O738" s="47"/>
    </row>
    <row r="739" spans="1:15" ht="15" customHeight="1">
      <c r="A739" s="68">
        <v>46262</v>
      </c>
      <c r="B739" s="32">
        <f t="shared" si="159"/>
        <v>0.6666666666666663</v>
      </c>
      <c r="C739" s="33"/>
      <c r="D739" s="62"/>
      <c r="E739" s="62"/>
      <c r="F739" s="27"/>
      <c r="G739" s="34" t="str">
        <f t="shared" si="157"/>
        <v/>
      </c>
      <c r="H739" s="33"/>
      <c r="I739" s="33"/>
      <c r="J739" s="33"/>
      <c r="K739" s="29"/>
      <c r="L739" s="29"/>
      <c r="M739" s="35" t="str">
        <f t="shared" ca="1" si="158"/>
        <v/>
      </c>
      <c r="N739" s="46"/>
      <c r="O739" s="47"/>
    </row>
    <row r="740" spans="1:15" ht="15" customHeight="1">
      <c r="A740" s="67">
        <v>46262</v>
      </c>
      <c r="B740" s="25">
        <f t="shared" si="159"/>
        <v>0.70833333333333293</v>
      </c>
      <c r="C740" s="26"/>
      <c r="D740" s="59"/>
      <c r="E740" s="59"/>
      <c r="F740" s="27"/>
      <c r="G740" s="28" t="str">
        <f t="shared" si="157"/>
        <v/>
      </c>
      <c r="H740" s="26"/>
      <c r="I740" s="26"/>
      <c r="J740" s="26"/>
      <c r="K740" s="29"/>
      <c r="L740" s="29"/>
      <c r="M740" s="30" t="str">
        <f t="shared" ca="1" si="158"/>
        <v/>
      </c>
      <c r="N740" s="46"/>
      <c r="O740" s="47"/>
    </row>
    <row r="741" spans="1:15" ht="15" customHeight="1">
      <c r="A741" s="68">
        <v>46262</v>
      </c>
      <c r="B741" s="32">
        <f t="shared" si="159"/>
        <v>0.74999999999999956</v>
      </c>
      <c r="C741" s="33"/>
      <c r="D741" s="62"/>
      <c r="E741" s="62"/>
      <c r="F741" s="27"/>
      <c r="G741" s="34" t="str">
        <f t="shared" si="157"/>
        <v/>
      </c>
      <c r="H741" s="33"/>
      <c r="I741" s="33"/>
      <c r="J741" s="33"/>
      <c r="K741" s="29"/>
      <c r="L741" s="29"/>
      <c r="M741" s="35" t="str">
        <f t="shared" ca="1" si="158"/>
        <v/>
      </c>
      <c r="N741" s="46"/>
      <c r="O741" s="47"/>
    </row>
    <row r="742" spans="1:15" ht="15" customHeight="1">
      <c r="A742" s="67">
        <v>46262</v>
      </c>
      <c r="B742" s="25">
        <f t="shared" si="159"/>
        <v>0.79166666666666619</v>
      </c>
      <c r="C742" s="26"/>
      <c r="D742" s="59"/>
      <c r="E742" s="59"/>
      <c r="F742" s="27"/>
      <c r="G742" s="28" t="str">
        <f t="shared" si="157"/>
        <v/>
      </c>
      <c r="H742" s="26"/>
      <c r="I742" s="26"/>
      <c r="J742" s="26"/>
      <c r="K742" s="29"/>
      <c r="L742" s="29"/>
      <c r="M742" s="30" t="str">
        <f t="shared" ca="1" si="158"/>
        <v/>
      </c>
      <c r="N742" s="46"/>
      <c r="O742" s="47"/>
    </row>
    <row r="743" spans="1:15" ht="15.75" customHeight="1">
      <c r="A743" s="158" t="s">
        <v>243</v>
      </c>
      <c r="B743" s="159"/>
      <c r="C743" s="159"/>
      <c r="D743" s="159"/>
      <c r="E743" s="16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244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0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1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2">B744+TIME(0,60,0)</f>
        <v>0.87499999999999967</v>
      </c>
      <c r="C745" s="33"/>
      <c r="D745" s="62"/>
      <c r="E745" s="62"/>
      <c r="F745" s="27"/>
      <c r="G745" s="34" t="str">
        <f t="shared" si="160"/>
        <v/>
      </c>
      <c r="H745" s="33"/>
      <c r="I745" s="33"/>
      <c r="J745" s="33"/>
      <c r="K745" s="29"/>
      <c r="L745" s="29"/>
      <c r="M745" s="35" t="str">
        <f t="shared" ca="1" si="161"/>
        <v/>
      </c>
      <c r="N745" s="46"/>
      <c r="O745" s="47"/>
    </row>
    <row r="746" spans="1:15" ht="15" customHeight="1">
      <c r="A746" s="67">
        <v>46262</v>
      </c>
      <c r="B746" s="25">
        <f t="shared" si="162"/>
        <v>0.9166666666666663</v>
      </c>
      <c r="C746" s="26"/>
      <c r="D746" s="59"/>
      <c r="E746" s="59"/>
      <c r="F746" s="27"/>
      <c r="G746" s="28" t="str">
        <f t="shared" si="160"/>
        <v/>
      </c>
      <c r="H746" s="26"/>
      <c r="I746" s="26"/>
      <c r="J746" s="26"/>
      <c r="K746" s="29"/>
      <c r="L746" s="29"/>
      <c r="M746" s="30" t="str">
        <f t="shared" ca="1" si="161"/>
        <v/>
      </c>
      <c r="N746" s="46"/>
      <c r="O746" s="47"/>
    </row>
    <row r="747" spans="1:15" ht="15" customHeight="1">
      <c r="A747" s="68">
        <v>46262</v>
      </c>
      <c r="B747" s="32">
        <f t="shared" si="162"/>
        <v>0.95833333333333293</v>
      </c>
      <c r="C747" s="33"/>
      <c r="D747" s="62"/>
      <c r="E747" s="62"/>
      <c r="F747" s="27"/>
      <c r="G747" s="34" t="str">
        <f t="shared" si="160"/>
        <v/>
      </c>
      <c r="H747" s="33"/>
      <c r="I747" s="33"/>
      <c r="J747" s="33"/>
      <c r="K747" s="29"/>
      <c r="L747" s="29"/>
      <c r="M747" s="35" t="str">
        <f t="shared" ca="1" si="161"/>
        <v/>
      </c>
      <c r="N747" s="46"/>
      <c r="O747" s="47"/>
    </row>
    <row r="748" spans="1:15" ht="15" customHeight="1">
      <c r="A748" s="67">
        <v>46262</v>
      </c>
      <c r="B748" s="25">
        <f t="shared" si="162"/>
        <v>0.99999999999999956</v>
      </c>
      <c r="C748" s="26"/>
      <c r="D748" s="59"/>
      <c r="E748" s="59"/>
      <c r="F748" s="27"/>
      <c r="G748" s="28" t="str">
        <f t="shared" si="160"/>
        <v/>
      </c>
      <c r="H748" s="26"/>
      <c r="I748" s="26"/>
      <c r="J748" s="26"/>
      <c r="K748" s="29"/>
      <c r="L748" s="29"/>
      <c r="M748" s="30" t="str">
        <f t="shared" ca="1" si="161"/>
        <v/>
      </c>
      <c r="N748" s="46"/>
      <c r="O748" s="47"/>
    </row>
    <row r="749" spans="1:15" ht="15" customHeight="1">
      <c r="A749" s="68">
        <v>46262</v>
      </c>
      <c r="B749" s="32">
        <f t="shared" si="162"/>
        <v>1.0416666666666663</v>
      </c>
      <c r="C749" s="33"/>
      <c r="D749" s="62"/>
      <c r="E749" s="62"/>
      <c r="F749" s="27"/>
      <c r="G749" s="34" t="str">
        <f t="shared" si="160"/>
        <v/>
      </c>
      <c r="H749" s="33"/>
      <c r="I749" s="33"/>
      <c r="J749" s="33"/>
      <c r="K749" s="29"/>
      <c r="L749" s="29"/>
      <c r="M749" s="35" t="str">
        <f t="shared" ca="1" si="161"/>
        <v/>
      </c>
      <c r="N749" s="46"/>
      <c r="O749" s="47"/>
    </row>
    <row r="750" spans="1:15" ht="15" customHeight="1">
      <c r="A750" s="67">
        <v>46262</v>
      </c>
      <c r="B750" s="25">
        <f t="shared" si="162"/>
        <v>1.083333333333333</v>
      </c>
      <c r="C750" s="26"/>
      <c r="D750" s="59"/>
      <c r="E750" s="59"/>
      <c r="F750" s="27"/>
      <c r="G750" s="28" t="str">
        <f t="shared" si="160"/>
        <v/>
      </c>
      <c r="H750" s="26"/>
      <c r="I750" s="26"/>
      <c r="J750" s="26"/>
      <c r="K750" s="29"/>
      <c r="L750" s="29"/>
      <c r="M750" s="30" t="str">
        <f t="shared" ca="1" si="161"/>
        <v/>
      </c>
      <c r="N750" s="46"/>
      <c r="O750" s="47"/>
    </row>
    <row r="751" spans="1:15" ht="15" customHeight="1">
      <c r="A751" s="68">
        <v>46262</v>
      </c>
      <c r="B751" s="32">
        <f t="shared" si="162"/>
        <v>1.1249999999999998</v>
      </c>
      <c r="C751" s="33"/>
      <c r="D751" s="62"/>
      <c r="E751" s="62"/>
      <c r="F751" s="27"/>
      <c r="G751" s="34" t="str">
        <f t="shared" si="160"/>
        <v/>
      </c>
      <c r="H751" s="33"/>
      <c r="I751" s="33"/>
      <c r="J751" s="33"/>
      <c r="K751" s="29"/>
      <c r="L751" s="29"/>
      <c r="M751" s="35" t="str">
        <f t="shared" ca="1" si="161"/>
        <v/>
      </c>
      <c r="N751" s="46"/>
      <c r="O751" s="47"/>
    </row>
    <row r="752" spans="1:15" ht="15" customHeight="1">
      <c r="A752" s="67">
        <v>46262</v>
      </c>
      <c r="B752" s="25">
        <f t="shared" si="162"/>
        <v>1.1666666666666665</v>
      </c>
      <c r="C752" s="26"/>
      <c r="D752" s="59"/>
      <c r="E752" s="59"/>
      <c r="F752" s="27"/>
      <c r="G752" s="28" t="str">
        <f t="shared" si="160"/>
        <v/>
      </c>
      <c r="H752" s="26"/>
      <c r="I752" s="26"/>
      <c r="J752" s="26"/>
      <c r="K752" s="29"/>
      <c r="L752" s="29"/>
      <c r="M752" s="30" t="str">
        <f t="shared" ca="1" si="161"/>
        <v/>
      </c>
      <c r="N752" s="46"/>
      <c r="O752" s="47"/>
    </row>
    <row r="753" spans="1:15" ht="15" customHeight="1">
      <c r="A753" s="68">
        <v>46262</v>
      </c>
      <c r="B753" s="32">
        <f t="shared" si="162"/>
        <v>1.2083333333333333</v>
      </c>
      <c r="C753" s="33"/>
      <c r="D753" s="62"/>
      <c r="E753" s="62"/>
      <c r="F753" s="27"/>
      <c r="G753" s="34" t="str">
        <f t="shared" si="160"/>
        <v/>
      </c>
      <c r="H753" s="33"/>
      <c r="I753" s="33"/>
      <c r="J753" s="33"/>
      <c r="K753" s="29"/>
      <c r="L753" s="29"/>
      <c r="M753" s="35" t="str">
        <f t="shared" ca="1" si="161"/>
        <v/>
      </c>
      <c r="N753" s="46"/>
      <c r="O753" s="47"/>
    </row>
    <row r="754" spans="1:15" ht="15" customHeight="1">
      <c r="A754" s="67">
        <v>46262</v>
      </c>
      <c r="B754" s="25">
        <f t="shared" si="162"/>
        <v>1.25</v>
      </c>
      <c r="C754" s="26"/>
      <c r="D754" s="59"/>
      <c r="E754" s="59"/>
      <c r="F754" s="27"/>
      <c r="G754" s="28" t="str">
        <f t="shared" si="160"/>
        <v/>
      </c>
      <c r="H754" s="26"/>
      <c r="I754" s="26"/>
      <c r="J754" s="26"/>
      <c r="K754" s="29"/>
      <c r="L754" s="29"/>
      <c r="M754" s="30" t="str">
        <f t="shared" ca="1" si="161"/>
        <v/>
      </c>
      <c r="N754" s="46"/>
      <c r="O754" s="47"/>
    </row>
    <row r="755" spans="1:15" ht="15" customHeight="1">
      <c r="A755" s="68">
        <v>46262</v>
      </c>
      <c r="B755" s="32">
        <f t="shared" si="162"/>
        <v>1.2916666666666667</v>
      </c>
      <c r="C755" s="33"/>
      <c r="D755" s="62"/>
      <c r="E755" s="62"/>
      <c r="F755" s="27"/>
      <c r="G755" s="34" t="str">
        <f t="shared" si="160"/>
        <v/>
      </c>
      <c r="H755" s="33"/>
      <c r="I755" s="33"/>
      <c r="J755" s="33"/>
      <c r="K755" s="29"/>
      <c r="L755" s="29"/>
      <c r="M755" s="35" t="str">
        <f t="shared" ca="1" si="161"/>
        <v/>
      </c>
      <c r="N755" s="46"/>
      <c r="O755" s="47"/>
    </row>
    <row r="756" spans="1:15" ht="15.75" customHeight="1">
      <c r="A756" s="158" t="s">
        <v>246</v>
      </c>
      <c r="B756" s="159"/>
      <c r="C756" s="159"/>
      <c r="D756" s="159"/>
      <c r="E756" s="16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244</v>
      </c>
      <c r="O756" s="39"/>
    </row>
    <row r="757" spans="1:15" ht="18" customHeight="1">
      <c r="A757" s="160" t="s">
        <v>247</v>
      </c>
      <c r="B757" s="161"/>
      <c r="C757" s="161"/>
      <c r="D757" s="161"/>
      <c r="E757" s="170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248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3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4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5">B758+TIME(0,60,0)</f>
        <v>0.37499999999999967</v>
      </c>
      <c r="C759" s="33"/>
      <c r="D759" s="62"/>
      <c r="E759" s="62"/>
      <c r="F759" s="27"/>
      <c r="G759" s="34" t="str">
        <f t="shared" si="163"/>
        <v/>
      </c>
      <c r="H759" s="33"/>
      <c r="I759" s="33"/>
      <c r="J759" s="33"/>
      <c r="K759" s="29"/>
      <c r="L759" s="29"/>
      <c r="M759" s="35" t="str">
        <f t="shared" ca="1" si="164"/>
        <v/>
      </c>
      <c r="N759" s="46"/>
      <c r="O759" s="47"/>
    </row>
    <row r="760" spans="1:15" ht="15" customHeight="1">
      <c r="A760" s="67">
        <v>46263</v>
      </c>
      <c r="B760" s="25">
        <f t="shared" si="165"/>
        <v>0.41666666666666635</v>
      </c>
      <c r="C760" s="26"/>
      <c r="D760" s="59"/>
      <c r="E760" s="59"/>
      <c r="F760" s="27"/>
      <c r="G760" s="28" t="str">
        <f t="shared" si="163"/>
        <v/>
      </c>
      <c r="H760" s="26"/>
      <c r="I760" s="26"/>
      <c r="J760" s="26"/>
      <c r="K760" s="29"/>
      <c r="L760" s="29"/>
      <c r="M760" s="30" t="str">
        <f t="shared" ca="1" si="164"/>
        <v/>
      </c>
      <c r="N760" s="46"/>
      <c r="O760" s="47"/>
    </row>
    <row r="761" spans="1:15" ht="15" customHeight="1">
      <c r="A761" s="68">
        <v>46263</v>
      </c>
      <c r="B761" s="32">
        <f t="shared" si="165"/>
        <v>0.45833333333333304</v>
      </c>
      <c r="C761" s="33"/>
      <c r="D761" s="62"/>
      <c r="E761" s="62"/>
      <c r="F761" s="27"/>
      <c r="G761" s="34" t="str">
        <f t="shared" si="163"/>
        <v/>
      </c>
      <c r="H761" s="33"/>
      <c r="I761" s="33"/>
      <c r="J761" s="33"/>
      <c r="K761" s="29"/>
      <c r="L761" s="29"/>
      <c r="M761" s="35" t="str">
        <f t="shared" ca="1" si="164"/>
        <v/>
      </c>
      <c r="N761" s="46"/>
      <c r="O761" s="47"/>
    </row>
    <row r="762" spans="1:15" ht="15" customHeight="1">
      <c r="A762" s="67">
        <v>46263</v>
      </c>
      <c r="B762" s="25">
        <f t="shared" si="165"/>
        <v>0.49999999999999972</v>
      </c>
      <c r="C762" s="26"/>
      <c r="D762" s="59"/>
      <c r="E762" s="59"/>
      <c r="F762" s="27"/>
      <c r="G762" s="28" t="str">
        <f t="shared" si="163"/>
        <v/>
      </c>
      <c r="H762" s="26"/>
      <c r="I762" s="26"/>
      <c r="J762" s="26"/>
      <c r="K762" s="29"/>
      <c r="L762" s="29"/>
      <c r="M762" s="30" t="str">
        <f t="shared" ca="1" si="164"/>
        <v/>
      </c>
      <c r="N762" s="46"/>
      <c r="O762" s="47"/>
    </row>
    <row r="763" spans="1:15" ht="15" customHeight="1">
      <c r="A763" s="68">
        <v>46263</v>
      </c>
      <c r="B763" s="32">
        <f t="shared" si="165"/>
        <v>0.54166666666666641</v>
      </c>
      <c r="C763" s="33"/>
      <c r="D763" s="62"/>
      <c r="E763" s="62"/>
      <c r="F763" s="27"/>
      <c r="G763" s="34" t="str">
        <f t="shared" si="163"/>
        <v/>
      </c>
      <c r="H763" s="33"/>
      <c r="I763" s="33"/>
      <c r="J763" s="33"/>
      <c r="K763" s="29"/>
      <c r="L763" s="29"/>
      <c r="M763" s="35" t="str">
        <f t="shared" ca="1" si="164"/>
        <v/>
      </c>
      <c r="N763" s="46"/>
      <c r="O763" s="47"/>
    </row>
    <row r="764" spans="1:15" ht="15" customHeight="1">
      <c r="A764" s="67">
        <v>46263</v>
      </c>
      <c r="B764" s="25">
        <f t="shared" si="165"/>
        <v>0.58333333333333304</v>
      </c>
      <c r="C764" s="26"/>
      <c r="D764" s="59"/>
      <c r="E764" s="59"/>
      <c r="F764" s="27"/>
      <c r="G764" s="28" t="str">
        <f t="shared" si="163"/>
        <v/>
      </c>
      <c r="H764" s="26"/>
      <c r="I764" s="26"/>
      <c r="J764" s="26"/>
      <c r="K764" s="29"/>
      <c r="L764" s="29"/>
      <c r="M764" s="30" t="str">
        <f t="shared" ca="1" si="164"/>
        <v/>
      </c>
      <c r="N764" s="46"/>
      <c r="O764" s="47"/>
    </row>
    <row r="765" spans="1:15" ht="15" customHeight="1">
      <c r="A765" s="68">
        <v>46263</v>
      </c>
      <c r="B765" s="32">
        <f t="shared" si="165"/>
        <v>0.62499999999999967</v>
      </c>
      <c r="C765" s="33"/>
      <c r="D765" s="62"/>
      <c r="E765" s="62"/>
      <c r="F765" s="27"/>
      <c r="G765" s="34" t="str">
        <f t="shared" si="163"/>
        <v/>
      </c>
      <c r="H765" s="33"/>
      <c r="I765" s="33"/>
      <c r="J765" s="33"/>
      <c r="K765" s="29"/>
      <c r="L765" s="29"/>
      <c r="M765" s="35" t="str">
        <f t="shared" ca="1" si="164"/>
        <v/>
      </c>
      <c r="N765" s="46"/>
      <c r="O765" s="47"/>
    </row>
    <row r="766" spans="1:15" ht="15" customHeight="1">
      <c r="A766" s="67">
        <v>46263</v>
      </c>
      <c r="B766" s="25">
        <f t="shared" si="165"/>
        <v>0.6666666666666663</v>
      </c>
      <c r="C766" s="26"/>
      <c r="D766" s="59"/>
      <c r="E766" s="59"/>
      <c r="F766" s="27"/>
      <c r="G766" s="28" t="str">
        <f t="shared" si="163"/>
        <v/>
      </c>
      <c r="H766" s="26"/>
      <c r="I766" s="26"/>
      <c r="J766" s="26"/>
      <c r="K766" s="29"/>
      <c r="L766" s="29"/>
      <c r="M766" s="30" t="str">
        <f t="shared" ca="1" si="164"/>
        <v/>
      </c>
      <c r="N766" s="46"/>
      <c r="O766" s="47"/>
    </row>
    <row r="767" spans="1:15" ht="15" customHeight="1">
      <c r="A767" s="68">
        <v>46263</v>
      </c>
      <c r="B767" s="32">
        <f t="shared" si="165"/>
        <v>0.70833333333333293</v>
      </c>
      <c r="C767" s="33"/>
      <c r="D767" s="62"/>
      <c r="E767" s="62"/>
      <c r="F767" s="27"/>
      <c r="G767" s="34" t="str">
        <f t="shared" si="163"/>
        <v/>
      </c>
      <c r="H767" s="33"/>
      <c r="I767" s="33"/>
      <c r="J767" s="33"/>
      <c r="K767" s="29"/>
      <c r="L767" s="29"/>
      <c r="M767" s="35" t="str">
        <f t="shared" ca="1" si="164"/>
        <v/>
      </c>
      <c r="N767" s="46"/>
      <c r="O767" s="47"/>
    </row>
    <row r="768" spans="1:15" ht="15" customHeight="1">
      <c r="A768" s="67">
        <v>46263</v>
      </c>
      <c r="B768" s="25">
        <f t="shared" si="165"/>
        <v>0.74999999999999956</v>
      </c>
      <c r="C768" s="26"/>
      <c r="D768" s="59"/>
      <c r="E768" s="59"/>
      <c r="F768" s="27"/>
      <c r="G768" s="28" t="str">
        <f t="shared" si="163"/>
        <v/>
      </c>
      <c r="H768" s="26"/>
      <c r="I768" s="26"/>
      <c r="J768" s="26"/>
      <c r="K768" s="29"/>
      <c r="L768" s="29"/>
      <c r="M768" s="30" t="str">
        <f t="shared" ca="1" si="164"/>
        <v/>
      </c>
      <c r="N768" s="46"/>
      <c r="O768" s="47"/>
    </row>
    <row r="769" spans="1:15" ht="15" customHeight="1">
      <c r="A769" s="68">
        <v>46263</v>
      </c>
      <c r="B769" s="32">
        <f t="shared" si="165"/>
        <v>0.79166666666666619</v>
      </c>
      <c r="C769" s="33"/>
      <c r="D769" s="62"/>
      <c r="E769" s="62"/>
      <c r="F769" s="27"/>
      <c r="G769" s="34" t="str">
        <f t="shared" si="163"/>
        <v/>
      </c>
      <c r="H769" s="33"/>
      <c r="I769" s="33"/>
      <c r="J769" s="33"/>
      <c r="K769" s="29"/>
      <c r="L769" s="29"/>
      <c r="M769" s="35" t="str">
        <f t="shared" ca="1" si="164"/>
        <v/>
      </c>
      <c r="N769" s="46"/>
      <c r="O769" s="47"/>
    </row>
    <row r="770" spans="1:15" ht="15.75" customHeight="1">
      <c r="A770" s="158" t="s">
        <v>243</v>
      </c>
      <c r="B770" s="159"/>
      <c r="C770" s="159"/>
      <c r="D770" s="159"/>
      <c r="E770" s="16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244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6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7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8">B771+TIME(0,60,0)</f>
        <v>0.87499999999999967</v>
      </c>
      <c r="C772" s="26"/>
      <c r="D772" s="59"/>
      <c r="E772" s="59"/>
      <c r="F772" s="27"/>
      <c r="G772" s="28" t="str">
        <f t="shared" si="166"/>
        <v/>
      </c>
      <c r="H772" s="26"/>
      <c r="I772" s="26"/>
      <c r="J772" s="26"/>
      <c r="K772" s="29"/>
      <c r="L772" s="29"/>
      <c r="M772" s="30" t="str">
        <f t="shared" ca="1" si="167"/>
        <v/>
      </c>
      <c r="N772" s="46"/>
      <c r="O772" s="47"/>
    </row>
    <row r="773" spans="1:15" ht="15" customHeight="1">
      <c r="A773" s="68">
        <v>46263</v>
      </c>
      <c r="B773" s="32">
        <f t="shared" si="168"/>
        <v>0.9166666666666663</v>
      </c>
      <c r="C773" s="33"/>
      <c r="D773" s="62"/>
      <c r="E773" s="62"/>
      <c r="F773" s="27"/>
      <c r="G773" s="34" t="str">
        <f t="shared" si="166"/>
        <v/>
      </c>
      <c r="H773" s="33"/>
      <c r="I773" s="33"/>
      <c r="J773" s="33"/>
      <c r="K773" s="29"/>
      <c r="L773" s="29"/>
      <c r="M773" s="35" t="str">
        <f t="shared" ca="1" si="167"/>
        <v/>
      </c>
      <c r="N773" s="46"/>
      <c r="O773" s="47"/>
    </row>
    <row r="774" spans="1:15" ht="15" customHeight="1">
      <c r="A774" s="67">
        <v>46263</v>
      </c>
      <c r="B774" s="25">
        <f t="shared" si="168"/>
        <v>0.95833333333333293</v>
      </c>
      <c r="C774" s="26"/>
      <c r="D774" s="59"/>
      <c r="E774" s="59"/>
      <c r="F774" s="27"/>
      <c r="G774" s="28" t="str">
        <f t="shared" si="166"/>
        <v/>
      </c>
      <c r="H774" s="26"/>
      <c r="I774" s="26"/>
      <c r="J774" s="26"/>
      <c r="K774" s="29"/>
      <c r="L774" s="29"/>
      <c r="M774" s="30" t="str">
        <f t="shared" ca="1" si="167"/>
        <v/>
      </c>
      <c r="N774" s="46"/>
      <c r="O774" s="47"/>
    </row>
    <row r="775" spans="1:15" ht="15" customHeight="1">
      <c r="A775" s="68">
        <v>46263</v>
      </c>
      <c r="B775" s="32">
        <f t="shared" si="168"/>
        <v>0.99999999999999956</v>
      </c>
      <c r="C775" s="33"/>
      <c r="D775" s="62"/>
      <c r="E775" s="62"/>
      <c r="F775" s="27"/>
      <c r="G775" s="34" t="str">
        <f t="shared" si="166"/>
        <v/>
      </c>
      <c r="H775" s="33"/>
      <c r="I775" s="33"/>
      <c r="J775" s="33"/>
      <c r="K775" s="29"/>
      <c r="L775" s="29"/>
      <c r="M775" s="35" t="str">
        <f t="shared" ca="1" si="167"/>
        <v/>
      </c>
      <c r="N775" s="46"/>
      <c r="O775" s="47"/>
    </row>
    <row r="776" spans="1:15" ht="15" customHeight="1">
      <c r="A776" s="67">
        <v>46263</v>
      </c>
      <c r="B776" s="25">
        <f t="shared" si="168"/>
        <v>1.0416666666666663</v>
      </c>
      <c r="C776" s="26"/>
      <c r="D776" s="59"/>
      <c r="E776" s="59"/>
      <c r="F776" s="27"/>
      <c r="G776" s="28" t="str">
        <f t="shared" si="166"/>
        <v/>
      </c>
      <c r="H776" s="26"/>
      <c r="I776" s="26"/>
      <c r="J776" s="26"/>
      <c r="K776" s="29"/>
      <c r="L776" s="29"/>
      <c r="M776" s="30" t="str">
        <f t="shared" ca="1" si="167"/>
        <v/>
      </c>
      <c r="N776" s="46"/>
      <c r="O776" s="47"/>
    </row>
    <row r="777" spans="1:15" ht="15" customHeight="1">
      <c r="A777" s="68">
        <v>46263</v>
      </c>
      <c r="B777" s="32">
        <f t="shared" si="168"/>
        <v>1.083333333333333</v>
      </c>
      <c r="C777" s="33"/>
      <c r="D777" s="62"/>
      <c r="E777" s="62"/>
      <c r="F777" s="27"/>
      <c r="G777" s="34" t="str">
        <f t="shared" si="166"/>
        <v/>
      </c>
      <c r="H777" s="33"/>
      <c r="I777" s="33"/>
      <c r="J777" s="33"/>
      <c r="K777" s="29"/>
      <c r="L777" s="29"/>
      <c r="M777" s="35" t="str">
        <f t="shared" ca="1" si="167"/>
        <v/>
      </c>
      <c r="N777" s="46"/>
      <c r="O777" s="47"/>
    </row>
    <row r="778" spans="1:15" ht="15" customHeight="1">
      <c r="A778" s="67">
        <v>46263</v>
      </c>
      <c r="B778" s="25">
        <f t="shared" si="168"/>
        <v>1.1249999999999998</v>
      </c>
      <c r="C778" s="26"/>
      <c r="D778" s="59"/>
      <c r="E778" s="59"/>
      <c r="F778" s="27"/>
      <c r="G778" s="28" t="str">
        <f t="shared" si="166"/>
        <v/>
      </c>
      <c r="H778" s="26"/>
      <c r="I778" s="26"/>
      <c r="J778" s="26"/>
      <c r="K778" s="29"/>
      <c r="L778" s="29"/>
      <c r="M778" s="30" t="str">
        <f t="shared" ca="1" si="167"/>
        <v/>
      </c>
      <c r="N778" s="46"/>
      <c r="O778" s="47"/>
    </row>
    <row r="779" spans="1:15" ht="15" customHeight="1">
      <c r="A779" s="68">
        <v>46263</v>
      </c>
      <c r="B779" s="32">
        <f t="shared" si="168"/>
        <v>1.1666666666666665</v>
      </c>
      <c r="C779" s="33"/>
      <c r="D779" s="62"/>
      <c r="E779" s="62"/>
      <c r="F779" s="27"/>
      <c r="G779" s="34" t="str">
        <f t="shared" si="166"/>
        <v/>
      </c>
      <c r="H779" s="33"/>
      <c r="I779" s="33"/>
      <c r="J779" s="33"/>
      <c r="K779" s="29"/>
      <c r="L779" s="29"/>
      <c r="M779" s="35" t="str">
        <f t="shared" ca="1" si="167"/>
        <v/>
      </c>
      <c r="N779" s="46"/>
      <c r="O779" s="47"/>
    </row>
    <row r="780" spans="1:15" ht="15" customHeight="1">
      <c r="A780" s="67">
        <v>46263</v>
      </c>
      <c r="B780" s="25">
        <f t="shared" si="168"/>
        <v>1.2083333333333333</v>
      </c>
      <c r="C780" s="26"/>
      <c r="D780" s="59"/>
      <c r="E780" s="59"/>
      <c r="F780" s="27"/>
      <c r="G780" s="28" t="str">
        <f t="shared" si="166"/>
        <v/>
      </c>
      <c r="H780" s="26"/>
      <c r="I780" s="26"/>
      <c r="J780" s="26"/>
      <c r="K780" s="29"/>
      <c r="L780" s="29"/>
      <c r="M780" s="30" t="str">
        <f t="shared" ca="1" si="167"/>
        <v/>
      </c>
      <c r="N780" s="46"/>
      <c r="O780" s="47"/>
    </row>
    <row r="781" spans="1:15" ht="15" customHeight="1">
      <c r="A781" s="68">
        <v>46263</v>
      </c>
      <c r="B781" s="32">
        <f t="shared" si="168"/>
        <v>1.25</v>
      </c>
      <c r="C781" s="33"/>
      <c r="D781" s="62"/>
      <c r="E781" s="62"/>
      <c r="F781" s="27"/>
      <c r="G781" s="34" t="str">
        <f t="shared" si="166"/>
        <v/>
      </c>
      <c r="H781" s="33"/>
      <c r="I781" s="33"/>
      <c r="J781" s="33"/>
      <c r="K781" s="29"/>
      <c r="L781" s="29"/>
      <c r="M781" s="35" t="str">
        <f t="shared" ca="1" si="167"/>
        <v/>
      </c>
      <c r="N781" s="46"/>
      <c r="O781" s="47"/>
    </row>
    <row r="782" spans="1:15" ht="15" customHeight="1">
      <c r="A782" s="67">
        <v>46263</v>
      </c>
      <c r="B782" s="25">
        <f t="shared" si="168"/>
        <v>1.2916666666666667</v>
      </c>
      <c r="C782" s="26"/>
      <c r="D782" s="59"/>
      <c r="E782" s="59"/>
      <c r="F782" s="27"/>
      <c r="G782" s="28" t="str">
        <f t="shared" si="166"/>
        <v/>
      </c>
      <c r="H782" s="26"/>
      <c r="I782" s="26"/>
      <c r="J782" s="26"/>
      <c r="K782" s="29"/>
      <c r="L782" s="29"/>
      <c r="M782" s="30" t="str">
        <f t="shared" ca="1" si="167"/>
        <v/>
      </c>
      <c r="N782" s="46"/>
      <c r="O782" s="47"/>
    </row>
    <row r="783" spans="1:15" ht="15.75" customHeight="1">
      <c r="A783" s="158" t="s">
        <v>246</v>
      </c>
      <c r="B783" s="159"/>
      <c r="C783" s="159"/>
      <c r="D783" s="159"/>
      <c r="E783" s="16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244</v>
      </c>
      <c r="O783" s="39"/>
    </row>
    <row r="784" spans="1:15" ht="18" customHeight="1">
      <c r="A784" s="160" t="s">
        <v>247</v>
      </c>
      <c r="B784" s="161"/>
      <c r="C784" s="161"/>
      <c r="D784" s="161"/>
      <c r="E784" s="170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248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69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0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69"/>
        <v/>
      </c>
      <c r="N786" s="46"/>
      <c r="O786" s="47"/>
    </row>
    <row r="787" spans="1:15" ht="15" customHeight="1">
      <c r="A787" s="68">
        <v>46264</v>
      </c>
      <c r="B787" s="32">
        <f t="shared" si="170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69"/>
        <v/>
      </c>
      <c r="N787" s="46"/>
      <c r="O787" s="47"/>
    </row>
    <row r="788" spans="1:15" ht="15" customHeight="1">
      <c r="A788" s="67">
        <v>46264</v>
      </c>
      <c r="B788" s="25">
        <f t="shared" si="170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69"/>
        <v/>
      </c>
      <c r="N788" s="46"/>
      <c r="O788" s="47"/>
    </row>
    <row r="789" spans="1:15" ht="15" customHeight="1">
      <c r="A789" s="68">
        <v>46264</v>
      </c>
      <c r="B789" s="32">
        <f t="shared" si="170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69"/>
        <v/>
      </c>
      <c r="N789" s="46"/>
      <c r="O789" s="47"/>
    </row>
    <row r="790" spans="1:15" ht="15" customHeight="1">
      <c r="A790" s="67">
        <v>46264</v>
      </c>
      <c r="B790" s="25">
        <f t="shared" si="170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69"/>
        <v/>
      </c>
      <c r="N790" s="46"/>
      <c r="O790" s="47"/>
    </row>
    <row r="791" spans="1:15" ht="15" customHeight="1">
      <c r="A791" s="68">
        <v>46264</v>
      </c>
      <c r="B791" s="32">
        <f t="shared" si="170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69"/>
        <v/>
      </c>
      <c r="N791" s="46"/>
      <c r="O791" s="47"/>
    </row>
    <row r="792" spans="1:15" ht="15" customHeight="1">
      <c r="A792" s="67">
        <v>46264</v>
      </c>
      <c r="B792" s="25">
        <f t="shared" si="170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69"/>
        <v/>
      </c>
      <c r="N792" s="46"/>
      <c r="O792" s="47"/>
    </row>
    <row r="793" spans="1:15" ht="15" customHeight="1">
      <c r="A793" s="68">
        <v>46264</v>
      </c>
      <c r="B793" s="32">
        <f t="shared" si="170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69"/>
        <v/>
      </c>
      <c r="N793" s="46"/>
      <c r="O793" s="47"/>
    </row>
    <row r="794" spans="1:15" ht="15" customHeight="1">
      <c r="A794" s="67">
        <v>46264</v>
      </c>
      <c r="B794" s="25">
        <f t="shared" si="170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69"/>
        <v/>
      </c>
      <c r="N794" s="46"/>
      <c r="O794" s="47"/>
    </row>
    <row r="795" spans="1:15" ht="15" customHeight="1">
      <c r="A795" s="68">
        <v>46264</v>
      </c>
      <c r="B795" s="32">
        <f t="shared" si="170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69"/>
        <v/>
      </c>
      <c r="N795" s="46"/>
      <c r="O795" s="47"/>
    </row>
    <row r="796" spans="1:15" ht="15" customHeight="1">
      <c r="A796" s="67">
        <v>46264</v>
      </c>
      <c r="B796" s="25">
        <f t="shared" si="170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69"/>
        <v/>
      </c>
      <c r="N796" s="46"/>
      <c r="O796" s="47"/>
    </row>
    <row r="797" spans="1:15" ht="15.75" customHeight="1">
      <c r="A797" s="158" t="s">
        <v>243</v>
      </c>
      <c r="B797" s="159"/>
      <c r="C797" s="159"/>
      <c r="D797" s="159"/>
      <c r="E797" s="16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244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1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2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1"/>
        <v/>
      </c>
      <c r="N799" s="46"/>
      <c r="O799" s="47"/>
    </row>
    <row r="800" spans="1:15" ht="15" customHeight="1">
      <c r="A800" s="67">
        <v>46264</v>
      </c>
      <c r="B800" s="25">
        <f t="shared" si="172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1"/>
        <v/>
      </c>
      <c r="N800" s="46"/>
      <c r="O800" s="47"/>
    </row>
    <row r="801" spans="1:15" ht="15" customHeight="1">
      <c r="A801" s="68">
        <v>46264</v>
      </c>
      <c r="B801" s="32">
        <f t="shared" si="172"/>
        <v>0.95833333333333293</v>
      </c>
      <c r="C801" s="33"/>
      <c r="D801" s="62"/>
      <c r="E801" s="62"/>
      <c r="F801" s="27"/>
      <c r="G801" s="34" t="str">
        <f t="shared" ref="G801:G809" si="173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1"/>
        <v/>
      </c>
      <c r="N801" s="46"/>
      <c r="O801" s="47"/>
    </row>
    <row r="802" spans="1:15" ht="15" customHeight="1">
      <c r="A802" s="67">
        <v>46264</v>
      </c>
      <c r="B802" s="25">
        <f t="shared" si="172"/>
        <v>0.99999999999999956</v>
      </c>
      <c r="C802" s="26"/>
      <c r="D802" s="59"/>
      <c r="E802" s="59"/>
      <c r="F802" s="27"/>
      <c r="G802" s="28" t="str">
        <f t="shared" si="173"/>
        <v/>
      </c>
      <c r="H802" s="26"/>
      <c r="I802" s="26"/>
      <c r="J802" s="26"/>
      <c r="K802" s="29"/>
      <c r="L802" s="29"/>
      <c r="M802" s="30" t="str">
        <f t="shared" ca="1" si="171"/>
        <v/>
      </c>
      <c r="N802" s="46"/>
      <c r="O802" s="47"/>
    </row>
    <row r="803" spans="1:15" ht="15" customHeight="1">
      <c r="A803" s="68">
        <v>46264</v>
      </c>
      <c r="B803" s="32">
        <f t="shared" si="172"/>
        <v>1.0416666666666663</v>
      </c>
      <c r="C803" s="33"/>
      <c r="D803" s="62"/>
      <c r="E803" s="62"/>
      <c r="F803" s="27"/>
      <c r="G803" s="34" t="str">
        <f t="shared" si="173"/>
        <v/>
      </c>
      <c r="H803" s="33"/>
      <c r="I803" s="33"/>
      <c r="J803" s="33"/>
      <c r="K803" s="29"/>
      <c r="L803" s="29"/>
      <c r="M803" s="35" t="str">
        <f t="shared" ca="1" si="171"/>
        <v/>
      </c>
      <c r="N803" s="46"/>
      <c r="O803" s="47"/>
    </row>
    <row r="804" spans="1:15" ht="15" customHeight="1">
      <c r="A804" s="67">
        <v>46264</v>
      </c>
      <c r="B804" s="25">
        <f t="shared" si="172"/>
        <v>1.083333333333333</v>
      </c>
      <c r="C804" s="26"/>
      <c r="D804" s="59"/>
      <c r="E804" s="59"/>
      <c r="F804" s="27"/>
      <c r="G804" s="28" t="str">
        <f t="shared" si="173"/>
        <v/>
      </c>
      <c r="H804" s="26"/>
      <c r="I804" s="26"/>
      <c r="J804" s="26"/>
      <c r="K804" s="29"/>
      <c r="L804" s="29"/>
      <c r="M804" s="30" t="str">
        <f t="shared" ca="1" si="171"/>
        <v/>
      </c>
      <c r="N804" s="46"/>
      <c r="O804" s="47"/>
    </row>
    <row r="805" spans="1:15" ht="15" customHeight="1">
      <c r="A805" s="68">
        <v>46264</v>
      </c>
      <c r="B805" s="32">
        <f t="shared" si="172"/>
        <v>1.1249999999999998</v>
      </c>
      <c r="C805" s="33"/>
      <c r="D805" s="62"/>
      <c r="E805" s="62"/>
      <c r="F805" s="27"/>
      <c r="G805" s="34" t="str">
        <f t="shared" si="173"/>
        <v/>
      </c>
      <c r="H805" s="33"/>
      <c r="I805" s="33"/>
      <c r="J805" s="33"/>
      <c r="K805" s="29"/>
      <c r="L805" s="29"/>
      <c r="M805" s="35" t="str">
        <f t="shared" ca="1" si="171"/>
        <v/>
      </c>
      <c r="N805" s="46"/>
      <c r="O805" s="47"/>
    </row>
    <row r="806" spans="1:15" ht="15" customHeight="1">
      <c r="A806" s="67">
        <v>46264</v>
      </c>
      <c r="B806" s="25">
        <f t="shared" si="172"/>
        <v>1.1666666666666665</v>
      </c>
      <c r="C806" s="26"/>
      <c r="D806" s="59"/>
      <c r="E806" s="59"/>
      <c r="F806" s="27"/>
      <c r="G806" s="28" t="str">
        <f t="shared" si="173"/>
        <v/>
      </c>
      <c r="H806" s="26"/>
      <c r="I806" s="26"/>
      <c r="J806" s="26"/>
      <c r="K806" s="29"/>
      <c r="L806" s="29"/>
      <c r="M806" s="30" t="str">
        <f t="shared" ca="1" si="171"/>
        <v/>
      </c>
      <c r="N806" s="46"/>
      <c r="O806" s="47"/>
    </row>
    <row r="807" spans="1:15" ht="15" customHeight="1">
      <c r="A807" s="68">
        <v>46264</v>
      </c>
      <c r="B807" s="32">
        <f t="shared" si="172"/>
        <v>1.2083333333333333</v>
      </c>
      <c r="C807" s="33"/>
      <c r="D807" s="62"/>
      <c r="E807" s="62"/>
      <c r="F807" s="27"/>
      <c r="G807" s="34" t="str">
        <f t="shared" si="173"/>
        <v/>
      </c>
      <c r="H807" s="33"/>
      <c r="I807" s="33"/>
      <c r="J807" s="33"/>
      <c r="K807" s="29"/>
      <c r="L807" s="29"/>
      <c r="M807" s="35" t="str">
        <f t="shared" ca="1" si="171"/>
        <v/>
      </c>
      <c r="N807" s="46"/>
      <c r="O807" s="47"/>
    </row>
    <row r="808" spans="1:15" ht="15" customHeight="1">
      <c r="A808" s="67">
        <v>46264</v>
      </c>
      <c r="B808" s="25">
        <f t="shared" si="172"/>
        <v>1.25</v>
      </c>
      <c r="C808" s="26"/>
      <c r="D808" s="59"/>
      <c r="E808" s="59"/>
      <c r="F808" s="27"/>
      <c r="G808" s="28" t="str">
        <f t="shared" si="173"/>
        <v/>
      </c>
      <c r="H808" s="26"/>
      <c r="I808" s="26"/>
      <c r="J808" s="26"/>
      <c r="K808" s="29"/>
      <c r="L808" s="29"/>
      <c r="M808" s="30" t="str">
        <f t="shared" ca="1" si="171"/>
        <v/>
      </c>
      <c r="N808" s="46"/>
      <c r="O808" s="47"/>
    </row>
    <row r="809" spans="1:15" ht="15" customHeight="1">
      <c r="A809" s="68">
        <v>46264</v>
      </c>
      <c r="B809" s="32">
        <f t="shared" si="172"/>
        <v>1.2916666666666667</v>
      </c>
      <c r="C809" s="33"/>
      <c r="D809" s="62"/>
      <c r="E809" s="62"/>
      <c r="F809" s="27"/>
      <c r="G809" s="34" t="str">
        <f t="shared" si="173"/>
        <v/>
      </c>
      <c r="H809" s="33"/>
      <c r="I809" s="33"/>
      <c r="J809" s="33"/>
      <c r="K809" s="29"/>
      <c r="L809" s="29"/>
      <c r="M809" s="35" t="str">
        <f t="shared" ca="1" si="171"/>
        <v/>
      </c>
      <c r="N809" s="46"/>
      <c r="O809" s="47"/>
    </row>
    <row r="810" spans="1:15" ht="15.75" customHeight="1">
      <c r="A810" s="158" t="s">
        <v>246</v>
      </c>
      <c r="B810" s="159"/>
      <c r="C810" s="159"/>
      <c r="D810" s="159"/>
      <c r="E810" s="16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244</v>
      </c>
      <c r="O810" s="39"/>
    </row>
    <row r="811" spans="1:15" ht="18" customHeight="1">
      <c r="A811" s="174" t="s">
        <v>247</v>
      </c>
      <c r="B811" s="175"/>
      <c r="C811" s="175"/>
      <c r="D811" s="175"/>
      <c r="E811" s="176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248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4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5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6">B812+TIME(0,60,0)</f>
        <v>0.37499999999999967</v>
      </c>
      <c r="C813" s="26"/>
      <c r="D813" s="59"/>
      <c r="E813" s="59"/>
      <c r="F813" s="27"/>
      <c r="G813" s="34" t="str">
        <f t="shared" si="174"/>
        <v/>
      </c>
      <c r="H813" s="26"/>
      <c r="I813" s="26"/>
      <c r="J813" s="26"/>
      <c r="K813" s="29"/>
      <c r="L813" s="29"/>
      <c r="M813" s="30" t="str">
        <f t="shared" ca="1" si="175"/>
        <v/>
      </c>
      <c r="N813" s="27"/>
      <c r="O813" s="31"/>
    </row>
    <row r="814" spans="1:15" ht="15" customHeight="1">
      <c r="A814" s="67">
        <v>46265</v>
      </c>
      <c r="B814" s="25">
        <f t="shared" si="176"/>
        <v>0.41666666666666635</v>
      </c>
      <c r="C814" s="26"/>
      <c r="D814" s="59"/>
      <c r="E814" s="59"/>
      <c r="F814" s="27"/>
      <c r="G814" s="28" t="str">
        <f t="shared" si="174"/>
        <v/>
      </c>
      <c r="H814" s="33"/>
      <c r="I814" s="33"/>
      <c r="J814" s="33"/>
      <c r="K814" s="29"/>
      <c r="L814" s="29"/>
      <c r="M814" s="35" t="str">
        <f t="shared" ca="1" si="175"/>
        <v/>
      </c>
      <c r="N814" s="27"/>
      <c r="O814" s="31"/>
    </row>
    <row r="815" spans="1:15" ht="15" customHeight="1">
      <c r="A815" s="68">
        <v>46265</v>
      </c>
      <c r="B815" s="32">
        <f t="shared" si="176"/>
        <v>0.45833333333333304</v>
      </c>
      <c r="C815" s="26"/>
      <c r="D815" s="59"/>
      <c r="E815" s="59"/>
      <c r="F815" s="27"/>
      <c r="G815" s="34" t="str">
        <f t="shared" si="174"/>
        <v/>
      </c>
      <c r="H815" s="26"/>
      <c r="I815" s="26"/>
      <c r="J815" s="26"/>
      <c r="K815" s="29"/>
      <c r="L815" s="29"/>
      <c r="M815" s="30" t="str">
        <f t="shared" ca="1" si="175"/>
        <v/>
      </c>
      <c r="N815" s="27"/>
      <c r="O815" s="31"/>
    </row>
    <row r="816" spans="1:15" ht="15" customHeight="1">
      <c r="A816" s="67">
        <v>46265</v>
      </c>
      <c r="B816" s="25">
        <f t="shared" si="176"/>
        <v>0.49999999999999972</v>
      </c>
      <c r="C816" s="26"/>
      <c r="D816" s="59"/>
      <c r="E816" s="59"/>
      <c r="F816" s="27"/>
      <c r="G816" s="28" t="str">
        <f t="shared" si="174"/>
        <v/>
      </c>
      <c r="H816" s="33"/>
      <c r="I816" s="33"/>
      <c r="J816" s="33"/>
      <c r="K816" s="29"/>
      <c r="L816" s="29"/>
      <c r="M816" s="35" t="str">
        <f t="shared" ca="1" si="175"/>
        <v/>
      </c>
      <c r="N816" s="27"/>
      <c r="O816" s="31"/>
    </row>
    <row r="817" spans="1:15" ht="15" customHeight="1">
      <c r="A817" s="68">
        <v>46265</v>
      </c>
      <c r="B817" s="32">
        <f t="shared" si="176"/>
        <v>0.54166666666666641</v>
      </c>
      <c r="C817" s="26"/>
      <c r="D817" s="59"/>
      <c r="E817" s="59"/>
      <c r="F817" s="27"/>
      <c r="G817" s="34" t="str">
        <f t="shared" si="174"/>
        <v/>
      </c>
      <c r="H817" s="26"/>
      <c r="I817" s="26"/>
      <c r="J817" s="26"/>
      <c r="K817" s="29"/>
      <c r="L817" s="29"/>
      <c r="M817" s="30" t="str">
        <f t="shared" ca="1" si="175"/>
        <v/>
      </c>
      <c r="N817" s="27"/>
      <c r="O817" s="31"/>
    </row>
    <row r="818" spans="1:15" ht="15" customHeight="1">
      <c r="A818" s="67">
        <v>46265</v>
      </c>
      <c r="B818" s="25">
        <f t="shared" si="176"/>
        <v>0.58333333333333304</v>
      </c>
      <c r="C818" s="26"/>
      <c r="D818" s="59"/>
      <c r="E818" s="59"/>
      <c r="F818" s="27"/>
      <c r="G818" s="28" t="str">
        <f t="shared" si="174"/>
        <v/>
      </c>
      <c r="H818" s="33"/>
      <c r="I818" s="33"/>
      <c r="J818" s="33"/>
      <c r="K818" s="29"/>
      <c r="L818" s="29"/>
      <c r="M818" s="35" t="str">
        <f t="shared" ca="1" si="175"/>
        <v/>
      </c>
      <c r="N818" s="27"/>
      <c r="O818" s="31"/>
    </row>
    <row r="819" spans="1:15" ht="15" customHeight="1">
      <c r="A819" s="68">
        <v>46265</v>
      </c>
      <c r="B819" s="32">
        <f t="shared" si="176"/>
        <v>0.62499999999999967</v>
      </c>
      <c r="C819" s="26"/>
      <c r="D819" s="59"/>
      <c r="E819" s="59"/>
      <c r="F819" s="27"/>
      <c r="G819" s="34" t="str">
        <f t="shared" si="174"/>
        <v/>
      </c>
      <c r="H819" s="26"/>
      <c r="I819" s="26"/>
      <c r="J819" s="26"/>
      <c r="K819" s="29"/>
      <c r="L819" s="29"/>
      <c r="M819" s="30" t="str">
        <f t="shared" ca="1" si="175"/>
        <v/>
      </c>
      <c r="N819" s="27"/>
      <c r="O819" s="31"/>
    </row>
    <row r="820" spans="1:15" ht="15" customHeight="1">
      <c r="A820" s="67">
        <v>46265</v>
      </c>
      <c r="B820" s="25">
        <f t="shared" si="176"/>
        <v>0.6666666666666663</v>
      </c>
      <c r="C820" s="26"/>
      <c r="D820" s="59"/>
      <c r="E820" s="59"/>
      <c r="F820" s="27"/>
      <c r="G820" s="28" t="str">
        <f t="shared" si="174"/>
        <v/>
      </c>
      <c r="H820" s="33"/>
      <c r="I820" s="33"/>
      <c r="J820" s="33"/>
      <c r="K820" s="29"/>
      <c r="L820" s="29"/>
      <c r="M820" s="35" t="str">
        <f t="shared" ca="1" si="175"/>
        <v/>
      </c>
      <c r="N820" s="27"/>
      <c r="O820" s="31"/>
    </row>
    <row r="821" spans="1:15" ht="15" customHeight="1">
      <c r="A821" s="68">
        <v>46265</v>
      </c>
      <c r="B821" s="32">
        <f t="shared" si="176"/>
        <v>0.70833333333333293</v>
      </c>
      <c r="C821" s="26"/>
      <c r="D821" s="59"/>
      <c r="E821" s="59"/>
      <c r="F821" s="27"/>
      <c r="G821" s="34" t="str">
        <f t="shared" si="174"/>
        <v/>
      </c>
      <c r="H821" s="26"/>
      <c r="I821" s="26"/>
      <c r="J821" s="26"/>
      <c r="K821" s="29"/>
      <c r="L821" s="29"/>
      <c r="M821" s="30" t="str">
        <f t="shared" ca="1" si="175"/>
        <v/>
      </c>
      <c r="N821" s="27"/>
      <c r="O821" s="31"/>
    </row>
    <row r="822" spans="1:15" ht="15" customHeight="1">
      <c r="A822" s="67">
        <v>46265</v>
      </c>
      <c r="B822" s="25">
        <f t="shared" si="176"/>
        <v>0.74999999999999956</v>
      </c>
      <c r="C822" s="26"/>
      <c r="D822" s="59"/>
      <c r="E822" s="59"/>
      <c r="F822" s="27"/>
      <c r="G822" s="28" t="str">
        <f t="shared" si="174"/>
        <v/>
      </c>
      <c r="H822" s="33"/>
      <c r="I822" s="33"/>
      <c r="J822" s="33"/>
      <c r="K822" s="29"/>
      <c r="L822" s="29"/>
      <c r="M822" s="35" t="str">
        <f t="shared" ca="1" si="175"/>
        <v/>
      </c>
      <c r="N822" s="27"/>
      <c r="O822" s="31"/>
    </row>
    <row r="823" spans="1:15" ht="15" customHeight="1">
      <c r="A823" s="68">
        <v>46265</v>
      </c>
      <c r="B823" s="32">
        <f t="shared" si="176"/>
        <v>0.79166666666666619</v>
      </c>
      <c r="C823" s="26"/>
      <c r="D823" s="59"/>
      <c r="E823" s="59"/>
      <c r="F823" s="27"/>
      <c r="G823" s="34" t="str">
        <f t="shared" si="174"/>
        <v/>
      </c>
      <c r="H823" s="26"/>
      <c r="I823" s="26"/>
      <c r="J823" s="26"/>
      <c r="K823" s="29"/>
      <c r="L823" s="29"/>
      <c r="M823" s="30" t="str">
        <f t="shared" ca="1" si="175"/>
        <v/>
      </c>
      <c r="N823" s="27"/>
      <c r="O823" s="31"/>
    </row>
    <row r="824" spans="1:15" ht="15.75" customHeight="1">
      <c r="A824" s="158" t="s">
        <v>243</v>
      </c>
      <c r="B824" s="159"/>
      <c r="C824" s="159"/>
      <c r="D824" s="159"/>
      <c r="E824" s="169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244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7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8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79">B825+TIME(0,60,0)</f>
        <v>0.87499999999999967</v>
      </c>
      <c r="C826" s="33"/>
      <c r="D826" s="62"/>
      <c r="E826" s="62"/>
      <c r="F826" s="27"/>
      <c r="G826" s="28" t="str">
        <f t="shared" si="177"/>
        <v/>
      </c>
      <c r="H826" s="33"/>
      <c r="I826" s="33"/>
      <c r="J826" s="33"/>
      <c r="K826" s="29"/>
      <c r="L826" s="29"/>
      <c r="M826" s="35" t="str">
        <f t="shared" ca="1" si="178"/>
        <v/>
      </c>
      <c r="N826" s="27"/>
      <c r="O826" s="31"/>
    </row>
    <row r="827" spans="1:15" ht="15" customHeight="1">
      <c r="A827" s="68">
        <v>46265</v>
      </c>
      <c r="B827" s="32">
        <f t="shared" si="179"/>
        <v>0.9166666666666663</v>
      </c>
      <c r="C827" s="33"/>
      <c r="D827" s="62"/>
      <c r="E827" s="62"/>
      <c r="F827" s="27"/>
      <c r="G827" s="34" t="str">
        <f t="shared" si="177"/>
        <v/>
      </c>
      <c r="H827" s="26"/>
      <c r="I827" s="26"/>
      <c r="J827" s="26"/>
      <c r="K827" s="29"/>
      <c r="L827" s="29"/>
      <c r="M827" s="30" t="str">
        <f t="shared" ca="1" si="178"/>
        <v/>
      </c>
      <c r="N827" s="27"/>
      <c r="O827" s="31"/>
    </row>
    <row r="828" spans="1:15" ht="15" customHeight="1">
      <c r="A828" s="67">
        <v>46265</v>
      </c>
      <c r="B828" s="25">
        <f t="shared" si="179"/>
        <v>0.95833333333333293</v>
      </c>
      <c r="C828" s="33"/>
      <c r="D828" s="62"/>
      <c r="E828" s="62"/>
      <c r="F828" s="27"/>
      <c r="G828" s="28" t="str">
        <f t="shared" si="177"/>
        <v/>
      </c>
      <c r="H828" s="33"/>
      <c r="I828" s="33"/>
      <c r="J828" s="33"/>
      <c r="K828" s="29"/>
      <c r="L828" s="29"/>
      <c r="M828" s="35" t="str">
        <f t="shared" ca="1" si="178"/>
        <v/>
      </c>
      <c r="N828" s="27"/>
      <c r="O828" s="31"/>
    </row>
    <row r="829" spans="1:15" ht="15" customHeight="1">
      <c r="A829" s="68">
        <v>46265</v>
      </c>
      <c r="B829" s="32">
        <f t="shared" si="179"/>
        <v>0.99999999999999956</v>
      </c>
      <c r="C829" s="33"/>
      <c r="D829" s="62"/>
      <c r="E829" s="62"/>
      <c r="F829" s="27"/>
      <c r="G829" s="34" t="str">
        <f t="shared" si="177"/>
        <v/>
      </c>
      <c r="H829" s="26"/>
      <c r="I829" s="26"/>
      <c r="J829" s="26"/>
      <c r="K829" s="29"/>
      <c r="L829" s="29"/>
      <c r="M829" s="30" t="str">
        <f t="shared" ca="1" si="178"/>
        <v/>
      </c>
      <c r="N829" s="27"/>
      <c r="O829" s="31"/>
    </row>
    <row r="830" spans="1:15" ht="15" customHeight="1">
      <c r="A830" s="67">
        <v>46265</v>
      </c>
      <c r="B830" s="25">
        <f t="shared" si="179"/>
        <v>1.0416666666666663</v>
      </c>
      <c r="C830" s="33"/>
      <c r="D830" s="62"/>
      <c r="E830" s="62"/>
      <c r="F830" s="27"/>
      <c r="G830" s="28" t="str">
        <f t="shared" si="177"/>
        <v/>
      </c>
      <c r="H830" s="33"/>
      <c r="I830" s="33"/>
      <c r="J830" s="33"/>
      <c r="K830" s="29"/>
      <c r="L830" s="29"/>
      <c r="M830" s="35" t="str">
        <f t="shared" ca="1" si="178"/>
        <v/>
      </c>
      <c r="N830" s="27"/>
      <c r="O830" s="31"/>
    </row>
    <row r="831" spans="1:15" ht="15" customHeight="1">
      <c r="A831" s="68">
        <v>46265</v>
      </c>
      <c r="B831" s="32">
        <f t="shared" si="179"/>
        <v>1.083333333333333</v>
      </c>
      <c r="C831" s="33"/>
      <c r="D831" s="62"/>
      <c r="E831" s="62"/>
      <c r="F831" s="27"/>
      <c r="G831" s="34" t="str">
        <f t="shared" si="177"/>
        <v/>
      </c>
      <c r="H831" s="26"/>
      <c r="I831" s="26"/>
      <c r="J831" s="26"/>
      <c r="K831" s="29"/>
      <c r="L831" s="29"/>
      <c r="M831" s="30" t="str">
        <f t="shared" ca="1" si="178"/>
        <v/>
      </c>
      <c r="N831" s="27"/>
      <c r="O831" s="31"/>
    </row>
    <row r="832" spans="1:15" ht="15" customHeight="1">
      <c r="A832" s="67">
        <v>46265</v>
      </c>
      <c r="B832" s="25">
        <f t="shared" si="179"/>
        <v>1.1249999999999998</v>
      </c>
      <c r="C832" s="33"/>
      <c r="D832" s="62"/>
      <c r="E832" s="62"/>
      <c r="F832" s="27"/>
      <c r="G832" s="28" t="str">
        <f t="shared" si="177"/>
        <v/>
      </c>
      <c r="H832" s="33"/>
      <c r="I832" s="33"/>
      <c r="J832" s="33"/>
      <c r="K832" s="29"/>
      <c r="L832" s="29"/>
      <c r="M832" s="35" t="str">
        <f t="shared" ca="1" si="178"/>
        <v/>
      </c>
      <c r="N832" s="27"/>
      <c r="O832" s="31"/>
    </row>
    <row r="833" spans="1:15" ht="15" customHeight="1">
      <c r="A833" s="68">
        <v>46265</v>
      </c>
      <c r="B833" s="32">
        <f t="shared" si="179"/>
        <v>1.1666666666666665</v>
      </c>
      <c r="C833" s="33"/>
      <c r="D833" s="62"/>
      <c r="E833" s="62"/>
      <c r="F833" s="27"/>
      <c r="G833" s="34" t="str">
        <f t="shared" si="177"/>
        <v/>
      </c>
      <c r="H833" s="26"/>
      <c r="I833" s="26"/>
      <c r="J833" s="26"/>
      <c r="K833" s="29"/>
      <c r="L833" s="29"/>
      <c r="M833" s="30" t="str">
        <f t="shared" ca="1" si="178"/>
        <v/>
      </c>
      <c r="N833" s="27"/>
      <c r="O833" s="31"/>
    </row>
    <row r="834" spans="1:15" ht="15" customHeight="1">
      <c r="A834" s="67">
        <v>46265</v>
      </c>
      <c r="B834" s="25">
        <f t="shared" si="179"/>
        <v>1.2083333333333333</v>
      </c>
      <c r="C834" s="33"/>
      <c r="D834" s="62"/>
      <c r="E834" s="62"/>
      <c r="F834" s="27"/>
      <c r="G834" s="28" t="str">
        <f t="shared" si="177"/>
        <v/>
      </c>
      <c r="H834" s="33"/>
      <c r="I834" s="33"/>
      <c r="J834" s="33"/>
      <c r="K834" s="29"/>
      <c r="L834" s="29"/>
      <c r="M834" s="35" t="str">
        <f t="shared" ca="1" si="178"/>
        <v/>
      </c>
      <c r="N834" s="27"/>
      <c r="O834" s="31"/>
    </row>
    <row r="835" spans="1:15" ht="15" customHeight="1">
      <c r="A835" s="68">
        <v>46265</v>
      </c>
      <c r="B835" s="32">
        <f t="shared" si="179"/>
        <v>1.25</v>
      </c>
      <c r="C835" s="33"/>
      <c r="D835" s="62"/>
      <c r="E835" s="62"/>
      <c r="F835" s="27"/>
      <c r="G835" s="34" t="str">
        <f t="shared" si="177"/>
        <v/>
      </c>
      <c r="H835" s="26"/>
      <c r="I835" s="26"/>
      <c r="J835" s="26"/>
      <c r="K835" s="29"/>
      <c r="L835" s="29"/>
      <c r="M835" s="30" t="str">
        <f t="shared" ca="1" si="178"/>
        <v/>
      </c>
      <c r="N835" s="27"/>
      <c r="O835" s="31"/>
    </row>
    <row r="836" spans="1:15" ht="15" customHeight="1">
      <c r="A836" s="67">
        <v>46265</v>
      </c>
      <c r="B836" s="25">
        <f t="shared" si="179"/>
        <v>1.2916666666666667</v>
      </c>
      <c r="C836" s="33"/>
      <c r="D836" s="62"/>
      <c r="E836" s="62"/>
      <c r="F836" s="27"/>
      <c r="G836" s="28" t="str">
        <f t="shared" si="177"/>
        <v/>
      </c>
      <c r="H836" s="33"/>
      <c r="I836" s="33"/>
      <c r="J836" s="33"/>
      <c r="K836" s="29"/>
      <c r="L836" s="29"/>
      <c r="M836" s="35" t="str">
        <f t="shared" ca="1" si="178"/>
        <v/>
      </c>
      <c r="N836" s="27"/>
      <c r="O836" s="31"/>
    </row>
    <row r="837" spans="1:15" ht="15.75" customHeight="1">
      <c r="A837" s="158" t="s">
        <v>246</v>
      </c>
      <c r="B837" s="159"/>
      <c r="C837" s="159"/>
      <c r="D837" s="159"/>
      <c r="E837" s="169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244</v>
      </c>
      <c r="O837" s="39"/>
    </row>
    <row r="838" spans="1:15" ht="18" customHeight="1">
      <c r="A838" s="160" t="s">
        <v>247</v>
      </c>
      <c r="B838" s="161"/>
      <c r="C838" s="161"/>
      <c r="D838" s="161"/>
      <c r="E838" s="170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248</v>
      </c>
      <c r="O838" s="43">
        <f>IFERROR(O824+O837,"")</f>
        <v>0</v>
      </c>
    </row>
  </sheetData>
  <mergeCells count="93"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</mergeCells>
  <phoneticPr fontId="17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310 E312:E381 E383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Cadastro!$L$4:$L$40</xm:f>
          </x14:formula1>
          <x14:formula2>
            <xm:f>0</xm:f>
          </x14:formula2>
          <xm:sqref>I2:I900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1DD985A6-9B80-4565-B578-4F0DA75EDAB7}">
          <x14:formula1>
            <xm:f>Cadastro!$C$4:$C$7</xm:f>
          </x14:formula1>
          <xm:sqref>D2:D310 D312:D838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tabSelected="1" zoomScale="80" zoomScaleNormal="80" zoomScaleSheetLayoutView="70" workbookViewId="0">
      <pane ySplit="1" topLeftCell="A375" activePane="bottomLeft" state="frozen"/>
      <selection pane="bottomLeft" activeCell="N394" sqref="N394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9" width="16.28515625" style="20" hidden="1" customWidth="1"/>
    <col min="10" max="10" width="13.85546875" style="20" hidden="1" customWidth="1"/>
    <col min="11" max="11" width="14" style="20" customWidth="1"/>
    <col min="12" max="12" width="31.28515625" style="20" customWidth="1"/>
    <col min="13" max="13" width="29.28515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7109375" customWidth="1"/>
    <col min="20" max="20" width="14.7109375" hidden="1" customWidth="1"/>
  </cols>
  <sheetData>
    <row r="1" spans="1:20" ht="37.5" customHeight="1">
      <c r="A1" s="66" t="s">
        <v>11</v>
      </c>
      <c r="B1" s="23" t="s">
        <v>232</v>
      </c>
      <c r="C1" s="23" t="s">
        <v>17</v>
      </c>
      <c r="D1" s="22" t="s">
        <v>18</v>
      </c>
      <c r="E1" s="22" t="s">
        <v>233</v>
      </c>
      <c r="F1" s="133" t="s">
        <v>19</v>
      </c>
      <c r="G1" s="23" t="s">
        <v>234</v>
      </c>
      <c r="H1" s="133" t="s">
        <v>269</v>
      </c>
      <c r="I1" s="133" t="s">
        <v>20</v>
      </c>
      <c r="J1" s="133" t="s">
        <v>270</v>
      </c>
      <c r="K1" s="23" t="s">
        <v>235</v>
      </c>
      <c r="L1" s="23" t="s">
        <v>21</v>
      </c>
      <c r="M1" s="23" t="s">
        <v>22</v>
      </c>
      <c r="N1" s="23" t="s">
        <v>236</v>
      </c>
      <c r="O1" s="23" t="s">
        <v>237</v>
      </c>
      <c r="P1" s="23" t="s">
        <v>238</v>
      </c>
      <c r="Q1" s="24" t="s">
        <v>239</v>
      </c>
      <c r="R1" s="23" t="s">
        <v>240</v>
      </c>
      <c r="S1" s="23" t="s">
        <v>241</v>
      </c>
      <c r="T1" s="23" t="s">
        <v>270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258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167</v>
      </c>
      <c r="N2" s="26" t="s">
        <v>34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271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258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27</v>
      </c>
      <c r="M3" s="33"/>
      <c r="N3" s="33" t="s">
        <v>81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258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27</v>
      </c>
      <c r="M4" s="26" t="s">
        <v>38</v>
      </c>
      <c r="N4" s="26" t="s">
        <v>35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258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25</v>
      </c>
      <c r="M5" s="33" t="s">
        <v>46</v>
      </c>
      <c r="N5" s="33" t="s">
        <v>137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272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258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23</v>
      </c>
      <c r="M6" s="26"/>
      <c r="N6" s="26" t="s">
        <v>65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273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258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27</v>
      </c>
      <c r="M7" s="33"/>
      <c r="N7" s="33" t="s">
        <v>138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258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27</v>
      </c>
      <c r="M8" s="26"/>
      <c r="N8" s="26" t="s">
        <v>138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258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258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258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258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258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58" t="s">
        <v>243</v>
      </c>
      <c r="B14" s="159"/>
      <c r="C14" s="159"/>
      <c r="D14" s="159"/>
      <c r="E14" s="159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244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258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26</v>
      </c>
      <c r="M15" s="33" t="s">
        <v>38</v>
      </c>
      <c r="N15" s="33" t="s">
        <v>34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109" t="s">
        <v>258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26</v>
      </c>
      <c r="M16" s="26" t="s">
        <v>46</v>
      </c>
      <c r="N16" s="26" t="s">
        <v>34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109" t="s">
        <v>258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24</v>
      </c>
      <c r="M17" s="33" t="s">
        <v>142</v>
      </c>
      <c r="N17" s="33" t="s">
        <v>56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109" t="s">
        <v>258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27</v>
      </c>
      <c r="M18" s="26" t="s">
        <v>165</v>
      </c>
      <c r="N18" s="26" t="s">
        <v>81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109" t="s">
        <v>258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24</v>
      </c>
      <c r="M19" s="33" t="s">
        <v>142</v>
      </c>
      <c r="N19" s="33" t="s">
        <v>56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274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109" t="s">
        <v>258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27</v>
      </c>
      <c r="M20" s="26" t="s">
        <v>38</v>
      </c>
      <c r="N20" s="26" t="s">
        <v>43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275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109" t="s">
        <v>258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26</v>
      </c>
      <c r="M21" s="33" t="s">
        <v>46</v>
      </c>
      <c r="N21" s="33" t="s">
        <v>34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109" t="s">
        <v>258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26</v>
      </c>
      <c r="M22" s="26" t="s">
        <v>38</v>
      </c>
      <c r="N22" s="26" t="s">
        <v>34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109" t="s">
        <v>258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26</v>
      </c>
      <c r="M23" s="33" t="s">
        <v>38</v>
      </c>
      <c r="N23" s="33" t="s">
        <v>57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109" t="s">
        <v>258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109" t="s">
        <v>258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109" t="s">
        <v>258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58" t="s">
        <v>246</v>
      </c>
      <c r="B27" s="159"/>
      <c r="C27" s="159"/>
      <c r="D27" s="159"/>
      <c r="E27" s="159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244</v>
      </c>
      <c r="S27" s="45">
        <v>549860</v>
      </c>
      <c r="T27" s="122"/>
    </row>
    <row r="28" spans="1:20" ht="18" customHeight="1">
      <c r="A28" s="160" t="s">
        <v>247</v>
      </c>
      <c r="B28" s="161"/>
      <c r="C28" s="161"/>
      <c r="D28" s="161"/>
      <c r="E28" s="161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248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258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27</v>
      </c>
      <c r="M29" s="33" t="s">
        <v>165</v>
      </c>
      <c r="N29" s="33" t="s">
        <v>81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258</v>
      </c>
      <c r="F30" s="134"/>
      <c r="G30" s="105">
        <v>3</v>
      </c>
      <c r="H30" s="134"/>
      <c r="I30" s="135"/>
      <c r="J30" s="136"/>
      <c r="K30" s="34"/>
      <c r="L30" s="26" t="s">
        <v>26</v>
      </c>
      <c r="M30" s="26" t="s">
        <v>46</v>
      </c>
      <c r="N30" s="26" t="s">
        <v>34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258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26</v>
      </c>
      <c r="M31" s="33" t="s">
        <v>46</v>
      </c>
      <c r="N31" s="33" t="s">
        <v>57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258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258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258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258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258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258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258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258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258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58" t="s">
        <v>243</v>
      </c>
      <c r="B41" s="159"/>
      <c r="C41" s="159"/>
      <c r="D41" s="159"/>
      <c r="E41" s="159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244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258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27</v>
      </c>
      <c r="M42" s="26" t="s">
        <v>46</v>
      </c>
      <c r="N42" s="26" t="s">
        <v>58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36</v>
      </c>
      <c r="D43" s="62" t="s">
        <v>29</v>
      </c>
      <c r="E43" s="109" t="s">
        <v>258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27</v>
      </c>
      <c r="M43" s="33" t="s">
        <v>46</v>
      </c>
      <c r="N43" s="33" t="s">
        <v>58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36</v>
      </c>
      <c r="D44" s="62" t="s">
        <v>29</v>
      </c>
      <c r="E44" s="109" t="s">
        <v>258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27</v>
      </c>
      <c r="M44" s="26" t="s">
        <v>38</v>
      </c>
      <c r="N44" s="26" t="s">
        <v>58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36</v>
      </c>
      <c r="D45" s="62" t="s">
        <v>29</v>
      </c>
      <c r="E45" s="109" t="s">
        <v>258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167</v>
      </c>
      <c r="N45" s="33" t="s">
        <v>58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36</v>
      </c>
      <c r="D46" s="62" t="s">
        <v>29</v>
      </c>
      <c r="E46" s="109" t="s">
        <v>258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27</v>
      </c>
      <c r="M46" s="26" t="s">
        <v>46</v>
      </c>
      <c r="N46" s="26" t="s">
        <v>58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36</v>
      </c>
      <c r="D47" s="62" t="s">
        <v>29</v>
      </c>
      <c r="E47" s="109" t="s">
        <v>258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27</v>
      </c>
      <c r="M47" s="33" t="s">
        <v>167</v>
      </c>
      <c r="N47" s="33" t="s">
        <v>58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36</v>
      </c>
      <c r="D48" s="62" t="s">
        <v>29</v>
      </c>
      <c r="E48" s="109" t="s">
        <v>258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27</v>
      </c>
      <c r="M48" s="26" t="s">
        <v>46</v>
      </c>
      <c r="N48" s="26" t="s">
        <v>58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276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36</v>
      </c>
      <c r="D49" s="62" t="s">
        <v>29</v>
      </c>
      <c r="E49" s="109" t="s">
        <v>258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26</v>
      </c>
      <c r="M49" s="33" t="s">
        <v>46</v>
      </c>
      <c r="N49" s="33" t="s">
        <v>34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277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36</v>
      </c>
      <c r="D50" s="62" t="s">
        <v>29</v>
      </c>
      <c r="E50" s="109" t="s">
        <v>258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26</v>
      </c>
      <c r="M50" s="26" t="s">
        <v>46</v>
      </c>
      <c r="N50" s="26" t="s">
        <v>42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36</v>
      </c>
      <c r="D51" s="62" t="s">
        <v>29</v>
      </c>
      <c r="E51" s="109" t="s">
        <v>258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46</v>
      </c>
      <c r="N51" s="33" t="s">
        <v>58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36</v>
      </c>
      <c r="D52" s="62" t="s">
        <v>29</v>
      </c>
      <c r="E52" s="109" t="s">
        <v>258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25</v>
      </c>
      <c r="M52" s="26" t="s">
        <v>46</v>
      </c>
      <c r="N52" s="26" t="s">
        <v>137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278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36</v>
      </c>
      <c r="D53" s="62" t="s">
        <v>29</v>
      </c>
      <c r="E53" s="109" t="s">
        <v>258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25</v>
      </c>
      <c r="M53" s="33"/>
      <c r="N53" s="33" t="s">
        <v>137</v>
      </c>
      <c r="O53" s="29">
        <v>0.12152777777777778</v>
      </c>
      <c r="P53" s="29"/>
      <c r="Q53" s="30">
        <f t="shared" ca="1" si="11"/>
        <v>0.79340972221689299</v>
      </c>
      <c r="R53" s="46" t="s">
        <v>279</v>
      </c>
      <c r="S53" s="31"/>
    </row>
    <row r="54" spans="1:20" ht="15.75" customHeight="1" thickBot="1">
      <c r="A54" s="158" t="s">
        <v>246</v>
      </c>
      <c r="B54" s="159"/>
      <c r="C54" s="159"/>
      <c r="D54" s="159"/>
      <c r="E54" s="159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0.93229861110578183</v>
      </c>
      <c r="R54" s="36" t="s">
        <v>244</v>
      </c>
      <c r="S54" s="75">
        <v>352430</v>
      </c>
      <c r="T54" s="117"/>
    </row>
    <row r="55" spans="1:20" ht="18" customHeight="1">
      <c r="A55" s="160" t="s">
        <v>247</v>
      </c>
      <c r="B55" s="161"/>
      <c r="C55" s="161"/>
      <c r="D55" s="161"/>
      <c r="E55" s="161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1.0170208333280042</v>
      </c>
      <c r="R55" s="40" t="s">
        <v>248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258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26</v>
      </c>
      <c r="M56" s="26" t="s">
        <v>38</v>
      </c>
      <c r="N56" s="26" t="s">
        <v>34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258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27</v>
      </c>
      <c r="M57" s="33" t="s">
        <v>130</v>
      </c>
      <c r="N57" s="50" t="s">
        <v>121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258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27</v>
      </c>
      <c r="M58" s="49" t="s">
        <v>130</v>
      </c>
      <c r="N58" s="26" t="s">
        <v>121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258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27</v>
      </c>
      <c r="M59" s="33" t="s">
        <v>130</v>
      </c>
      <c r="N59" s="33" t="s">
        <v>121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258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27</v>
      </c>
      <c r="M60" s="26" t="s">
        <v>130</v>
      </c>
      <c r="N60" s="26" t="s">
        <v>121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258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27</v>
      </c>
      <c r="M61" s="33" t="s">
        <v>130</v>
      </c>
      <c r="N61" s="33" t="s">
        <v>121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258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27</v>
      </c>
      <c r="M62" s="26" t="s">
        <v>130</v>
      </c>
      <c r="N62" s="26" t="s">
        <v>121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258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26</v>
      </c>
      <c r="M63" s="33" t="s">
        <v>46</v>
      </c>
      <c r="N63" s="33" t="s">
        <v>34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271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258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258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258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258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58" t="s">
        <v>243</v>
      </c>
      <c r="B68" s="159"/>
      <c r="C68" s="159"/>
      <c r="D68" s="159"/>
      <c r="E68" s="159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244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258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27</v>
      </c>
      <c r="M69" s="33" t="s">
        <v>156</v>
      </c>
      <c r="N69" s="26" t="s">
        <v>193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36</v>
      </c>
      <c r="D70" s="62" t="s">
        <v>45</v>
      </c>
      <c r="E70" s="109" t="s">
        <v>258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24</v>
      </c>
      <c r="M70" s="26" t="s">
        <v>142</v>
      </c>
      <c r="N70" s="26" t="s">
        <v>56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36</v>
      </c>
      <c r="D71" s="62" t="s">
        <v>45</v>
      </c>
      <c r="E71" s="109" t="s">
        <v>258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27</v>
      </c>
      <c r="M71" s="33" t="s">
        <v>165</v>
      </c>
      <c r="N71" s="33" t="s">
        <v>81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36</v>
      </c>
      <c r="D72" s="62" t="s">
        <v>45</v>
      </c>
      <c r="E72" s="109" t="s">
        <v>258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27</v>
      </c>
      <c r="M72" s="26" t="s">
        <v>165</v>
      </c>
      <c r="N72" s="26" t="s">
        <v>81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36</v>
      </c>
      <c r="D73" s="62" t="s">
        <v>45</v>
      </c>
      <c r="E73" s="109" t="s">
        <v>258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26</v>
      </c>
      <c r="M73" s="33" t="s">
        <v>38</v>
      </c>
      <c r="N73" s="33" t="s">
        <v>34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36</v>
      </c>
      <c r="D74" s="62" t="s">
        <v>45</v>
      </c>
      <c r="E74" s="109" t="s">
        <v>258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27</v>
      </c>
      <c r="M74" s="26" t="s">
        <v>165</v>
      </c>
      <c r="N74" s="26" t="s">
        <v>81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36</v>
      </c>
      <c r="D75" s="62" t="s">
        <v>45</v>
      </c>
      <c r="E75" s="109" t="s">
        <v>258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26</v>
      </c>
      <c r="M75" s="33" t="s">
        <v>46</v>
      </c>
      <c r="N75" s="33" t="s">
        <v>34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36</v>
      </c>
      <c r="D76" s="62" t="s">
        <v>45</v>
      </c>
      <c r="E76" s="109" t="s">
        <v>258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27</v>
      </c>
      <c r="M76" s="26" t="s">
        <v>38</v>
      </c>
      <c r="N76" s="26" t="s">
        <v>208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280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36</v>
      </c>
      <c r="D77" s="62" t="s">
        <v>45</v>
      </c>
      <c r="E77" s="109" t="s">
        <v>258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36</v>
      </c>
      <c r="D78" s="62" t="s">
        <v>45</v>
      </c>
      <c r="E78" s="109" t="s">
        <v>258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36</v>
      </c>
      <c r="D79" s="62" t="s">
        <v>37</v>
      </c>
      <c r="E79" s="109" t="s">
        <v>258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36</v>
      </c>
      <c r="D80" s="62" t="s">
        <v>37</v>
      </c>
      <c r="E80" s="109" t="s">
        <v>258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58" t="s">
        <v>246</v>
      </c>
      <c r="B81" s="159"/>
      <c r="C81" s="159"/>
      <c r="D81" s="159"/>
      <c r="E81" s="159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244</v>
      </c>
      <c r="S81" s="54">
        <v>634210</v>
      </c>
      <c r="T81" s="118"/>
    </row>
    <row r="82" spans="1:20" ht="18" customHeight="1">
      <c r="A82" s="160" t="s">
        <v>247</v>
      </c>
      <c r="B82" s="161"/>
      <c r="C82" s="161"/>
      <c r="D82" s="161"/>
      <c r="E82" s="161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248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20" t="s">
        <v>37</v>
      </c>
      <c r="E83" s="108" t="s">
        <v>258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25</v>
      </c>
      <c r="M83" s="33" t="s">
        <v>145</v>
      </c>
      <c r="N83" s="33" t="s">
        <v>218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258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26</v>
      </c>
      <c r="M84" s="26" t="s">
        <v>46</v>
      </c>
      <c r="N84" s="26" t="s">
        <v>34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258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27</v>
      </c>
      <c r="M85" s="33" t="s">
        <v>46</v>
      </c>
      <c r="N85" s="33" t="s">
        <v>43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258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27</v>
      </c>
      <c r="M86" s="26" t="s">
        <v>46</v>
      </c>
      <c r="N86" s="26" t="s">
        <v>43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258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25</v>
      </c>
      <c r="M87" s="33" t="s">
        <v>145</v>
      </c>
      <c r="N87" s="33" t="s">
        <v>125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258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258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258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258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258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258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258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58" t="s">
        <v>243</v>
      </c>
      <c r="B95" s="159"/>
      <c r="C95" s="159"/>
      <c r="D95" s="159"/>
      <c r="E95" s="159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244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258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25</v>
      </c>
      <c r="M96" s="26" t="s">
        <v>148</v>
      </c>
      <c r="N96" s="26" t="s">
        <v>125</v>
      </c>
      <c r="O96" s="29">
        <v>0.79166666666666663</v>
      </c>
      <c r="P96" s="29" t="s">
        <v>281</v>
      </c>
      <c r="Q96" s="30" t="str">
        <f t="shared" ref="Q96:Q107" ca="1" si="22">IFERROR(IF(O96="","",IF(P96="",MOD(NOW()-O96,1),IF(P96&gt;=O96,P96-O96,P96+1-O96))),"")</f>
        <v/>
      </c>
      <c r="R96" s="46" t="s">
        <v>282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258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26</v>
      </c>
      <c r="M97" s="33" t="s">
        <v>38</v>
      </c>
      <c r="N97" s="33" t="s">
        <v>57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245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258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24</v>
      </c>
      <c r="M98" s="26" t="s">
        <v>38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283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258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27</v>
      </c>
      <c r="M99" s="33" t="s">
        <v>46</v>
      </c>
      <c r="N99" s="33" t="s">
        <v>191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284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258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26</v>
      </c>
      <c r="M100" s="26" t="s">
        <v>38</v>
      </c>
      <c r="N100" s="26" t="s">
        <v>57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245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258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27</v>
      </c>
      <c r="M101" s="33" t="s">
        <v>46</v>
      </c>
      <c r="N101" s="33" t="s">
        <v>43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258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258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258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258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258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258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58" t="s">
        <v>246</v>
      </c>
      <c r="B108" s="159"/>
      <c r="C108" s="159"/>
      <c r="D108" s="159"/>
      <c r="E108" s="159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244</v>
      </c>
      <c r="S108" s="54">
        <v>456830</v>
      </c>
      <c r="T108" s="118"/>
    </row>
    <row r="109" spans="1:20" ht="18" customHeight="1">
      <c r="A109" s="160" t="s">
        <v>247</v>
      </c>
      <c r="B109" s="161"/>
      <c r="C109" s="161"/>
      <c r="D109" s="161"/>
      <c r="E109" s="161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248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258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25</v>
      </c>
      <c r="M110" s="26" t="s">
        <v>38</v>
      </c>
      <c r="N110" s="26" t="s">
        <v>164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258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27</v>
      </c>
      <c r="M111" s="33" t="s">
        <v>46</v>
      </c>
      <c r="N111" s="33" t="s">
        <v>43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285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258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25</v>
      </c>
      <c r="M112" s="26" t="s">
        <v>46</v>
      </c>
      <c r="N112" s="26" t="s">
        <v>164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258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27</v>
      </c>
      <c r="M113" s="33" t="s">
        <v>46</v>
      </c>
      <c r="N113" s="33" t="s">
        <v>43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258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258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258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258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258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258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258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258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58" t="s">
        <v>243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244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258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26</v>
      </c>
      <c r="M123" s="33" t="s">
        <v>167</v>
      </c>
      <c r="N123" s="33" t="s">
        <v>34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258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38</v>
      </c>
      <c r="N124" s="26" t="s">
        <v>164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258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24</v>
      </c>
      <c r="M125" s="33" t="s">
        <v>142</v>
      </c>
      <c r="N125" s="33" t="s">
        <v>56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258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142</v>
      </c>
      <c r="N126" s="26" t="s">
        <v>56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258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27</v>
      </c>
      <c r="M127" s="33" t="s">
        <v>130</v>
      </c>
      <c r="N127" s="33" t="s">
        <v>121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258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26</v>
      </c>
      <c r="M128" s="26" t="s">
        <v>46</v>
      </c>
      <c r="N128" s="26" t="s">
        <v>34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258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26</v>
      </c>
      <c r="M129" s="33" t="s">
        <v>38</v>
      </c>
      <c r="N129" s="33" t="s">
        <v>34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258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258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258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258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258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58" t="s">
        <v>246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244</v>
      </c>
      <c r="S135" s="54">
        <v>756720</v>
      </c>
      <c r="T135" s="118"/>
    </row>
    <row r="136" spans="1:20" ht="18" customHeight="1">
      <c r="A136" s="160" t="s">
        <v>247</v>
      </c>
      <c r="B136" s="161"/>
      <c r="C136" s="161"/>
      <c r="D136" s="161"/>
      <c r="E136" s="161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248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258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28</v>
      </c>
      <c r="D138" s="62" t="s">
        <v>37</v>
      </c>
      <c r="E138" s="109" t="s">
        <v>258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27</v>
      </c>
      <c r="M138" s="26" t="s">
        <v>46</v>
      </c>
      <c r="N138" s="26" t="s">
        <v>58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28</v>
      </c>
      <c r="D139" s="62" t="s">
        <v>45</v>
      </c>
      <c r="E139" s="109" t="s">
        <v>258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27</v>
      </c>
      <c r="M139" s="33" t="s">
        <v>46</v>
      </c>
      <c r="N139" s="33" t="s">
        <v>63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286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28</v>
      </c>
      <c r="D140" s="62" t="s">
        <v>45</v>
      </c>
      <c r="E140" s="109" t="s">
        <v>258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27</v>
      </c>
      <c r="M140" s="26" t="s">
        <v>46</v>
      </c>
      <c r="N140" s="26" t="s">
        <v>43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28</v>
      </c>
      <c r="D141" s="62" t="s">
        <v>45</v>
      </c>
      <c r="E141" s="109" t="s">
        <v>258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27</v>
      </c>
      <c r="M141" s="33" t="s">
        <v>46</v>
      </c>
      <c r="N141" s="33" t="s">
        <v>43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287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28</v>
      </c>
      <c r="D142" s="62" t="s">
        <v>45</v>
      </c>
      <c r="E142" s="109" t="s">
        <v>258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25</v>
      </c>
      <c r="M142" s="26"/>
      <c r="N142" s="26" t="s">
        <v>125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28</v>
      </c>
      <c r="D143" s="62" t="s">
        <v>45</v>
      </c>
      <c r="E143" s="109" t="s">
        <v>258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27</v>
      </c>
      <c r="M143" s="33" t="s">
        <v>38</v>
      </c>
      <c r="N143" s="33" t="s">
        <v>43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28</v>
      </c>
      <c r="D144" s="62" t="s">
        <v>45</v>
      </c>
      <c r="E144" s="109" t="s">
        <v>258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23</v>
      </c>
      <c r="M144" s="26" t="s">
        <v>167</v>
      </c>
      <c r="N144" s="26" t="s">
        <v>117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28</v>
      </c>
      <c r="D145" s="62" t="s">
        <v>45</v>
      </c>
      <c r="E145" s="109" t="s">
        <v>258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288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28</v>
      </c>
      <c r="D146" s="62" t="s">
        <v>45</v>
      </c>
      <c r="E146" s="109" t="s">
        <v>258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28</v>
      </c>
      <c r="D147" s="62" t="s">
        <v>45</v>
      </c>
      <c r="E147" s="109" t="s">
        <v>258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28</v>
      </c>
      <c r="D148" s="62" t="s">
        <v>45</v>
      </c>
      <c r="E148" s="109" t="s">
        <v>258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58" t="s">
        <v>243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244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258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27</v>
      </c>
      <c r="M150" s="26" t="s">
        <v>145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258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24</v>
      </c>
      <c r="M151" s="33" t="s">
        <v>127</v>
      </c>
      <c r="N151" s="33" t="s">
        <v>94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289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258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26</v>
      </c>
      <c r="M152" s="26" t="s">
        <v>46</v>
      </c>
      <c r="N152" s="26" t="s">
        <v>34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258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25</v>
      </c>
      <c r="M153" s="33" t="s">
        <v>46</v>
      </c>
      <c r="N153" s="33" t="s">
        <v>41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258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258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258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258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258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258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258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258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58" t="s">
        <v>246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244</v>
      </c>
      <c r="S162" s="54">
        <v>501750</v>
      </c>
      <c r="T162" s="118"/>
    </row>
    <row r="163" spans="1:20" ht="18" customHeight="1">
      <c r="A163" s="160" t="s">
        <v>247</v>
      </c>
      <c r="B163" s="161"/>
      <c r="C163" s="161"/>
      <c r="D163" s="161"/>
      <c r="E163" s="161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248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258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25</v>
      </c>
      <c r="M164" s="26" t="s">
        <v>46</v>
      </c>
      <c r="N164" s="26" t="s">
        <v>41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9" t="s">
        <v>258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26</v>
      </c>
      <c r="M165" s="33" t="s">
        <v>38</v>
      </c>
      <c r="N165" s="33" t="s">
        <v>34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9" t="s">
        <v>258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27</v>
      </c>
      <c r="M166" s="26" t="s">
        <v>38</v>
      </c>
      <c r="N166" s="26" t="s">
        <v>43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9" t="s">
        <v>258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27</v>
      </c>
      <c r="M167" s="33" t="s">
        <v>165</v>
      </c>
      <c r="N167" s="33" t="s">
        <v>81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9" t="s">
        <v>258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165</v>
      </c>
      <c r="N168" s="26" t="s">
        <v>81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9" t="s">
        <v>258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9" t="s">
        <v>258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9" t="s">
        <v>258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9" t="s">
        <v>258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9" t="s">
        <v>258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9" t="s">
        <v>258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9" t="s">
        <v>258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58" t="s">
        <v>243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244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258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38</v>
      </c>
      <c r="N177" s="33" t="s">
        <v>34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124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8" t="s">
        <v>258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27</v>
      </c>
      <c r="M178" s="26" t="s">
        <v>156</v>
      </c>
      <c r="N178" s="26" t="s">
        <v>141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258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27</v>
      </c>
      <c r="M179" s="33" t="s">
        <v>130</v>
      </c>
      <c r="N179" s="33" t="s">
        <v>121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8" t="s">
        <v>258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27</v>
      </c>
      <c r="M180" s="26" t="s">
        <v>156</v>
      </c>
      <c r="N180" s="26" t="s">
        <v>141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258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27</v>
      </c>
      <c r="M181" s="33"/>
      <c r="N181" s="33" t="s">
        <v>81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290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8" t="s">
        <v>258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27</v>
      </c>
      <c r="M182" s="26"/>
      <c r="N182" s="26" t="s">
        <v>81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287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258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27</v>
      </c>
      <c r="M183" s="33"/>
      <c r="N183" s="33" t="s">
        <v>81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291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8" t="s">
        <v>258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258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8" t="s">
        <v>258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258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8" t="s">
        <v>258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58" t="s">
        <v>246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244</v>
      </c>
      <c r="S189" s="45">
        <v>362530</v>
      </c>
      <c r="T189" s="122"/>
    </row>
    <row r="190" spans="1:20" ht="18" customHeight="1">
      <c r="A190" s="160" t="s">
        <v>247</v>
      </c>
      <c r="B190" s="161"/>
      <c r="C190" s="161"/>
      <c r="D190" s="161"/>
      <c r="E190" s="161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248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258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27</v>
      </c>
      <c r="M191" s="33" t="s">
        <v>156</v>
      </c>
      <c r="N191" s="33" t="s">
        <v>190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292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258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27</v>
      </c>
      <c r="M192" s="26" t="s">
        <v>156</v>
      </c>
      <c r="N192" s="26" t="s">
        <v>190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258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27</v>
      </c>
      <c r="M193" s="33" t="s">
        <v>156</v>
      </c>
      <c r="N193" s="26" t="s">
        <v>190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258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27</v>
      </c>
      <c r="M194" s="26" t="s">
        <v>46</v>
      </c>
      <c r="N194" s="26" t="s">
        <v>43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258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27</v>
      </c>
      <c r="M195" s="33" t="s">
        <v>46</v>
      </c>
      <c r="N195" s="33" t="s">
        <v>43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285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258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25</v>
      </c>
      <c r="M196" s="26" t="s">
        <v>46</v>
      </c>
      <c r="N196" s="26" t="s">
        <v>174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258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27</v>
      </c>
      <c r="M197" s="33" t="s">
        <v>130</v>
      </c>
      <c r="N197" s="33" t="s">
        <v>121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258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27</v>
      </c>
      <c r="M198" s="26" t="s">
        <v>130</v>
      </c>
      <c r="N198" s="33" t="s">
        <v>121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258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258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258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258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58" t="s">
        <v>243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244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258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27</v>
      </c>
      <c r="M204" s="26"/>
      <c r="N204" s="26" t="s">
        <v>81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258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26</v>
      </c>
      <c r="M205" s="33" t="s">
        <v>167</v>
      </c>
      <c r="N205" s="33" t="s">
        <v>34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258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26</v>
      </c>
      <c r="M206" s="26" t="s">
        <v>167</v>
      </c>
      <c r="N206" s="26" t="s">
        <v>34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258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258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258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258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258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258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258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258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258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58" t="s">
        <v>246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244</v>
      </c>
      <c r="S216" s="45">
        <v>609740</v>
      </c>
      <c r="T216" s="122"/>
    </row>
    <row r="217" spans="1:20" ht="18" customHeight="1">
      <c r="A217" s="160" t="s">
        <v>247</v>
      </c>
      <c r="B217" s="161"/>
      <c r="C217" s="161"/>
      <c r="D217" s="161"/>
      <c r="E217" s="161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248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258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25</v>
      </c>
      <c r="M218" s="26" t="s">
        <v>38</v>
      </c>
      <c r="N218" s="33" t="s">
        <v>179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280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258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26</v>
      </c>
      <c r="M219" s="33" t="s">
        <v>38</v>
      </c>
      <c r="N219" s="33" t="s">
        <v>42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258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26</v>
      </c>
      <c r="M220" s="26" t="s">
        <v>38</v>
      </c>
      <c r="N220" s="26" t="s">
        <v>57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245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258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26</v>
      </c>
      <c r="M221" s="33" t="s">
        <v>38</v>
      </c>
      <c r="N221" s="33" t="s">
        <v>85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293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242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26</v>
      </c>
      <c r="M222" s="26" t="s">
        <v>46</v>
      </c>
      <c r="N222" s="26" t="s">
        <v>34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258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25</v>
      </c>
      <c r="M223" s="33" t="s">
        <v>142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294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258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25</v>
      </c>
      <c r="M224" s="26" t="s">
        <v>142</v>
      </c>
      <c r="N224" s="26" t="s">
        <v>68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295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258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258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258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258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258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71" t="s">
        <v>243</v>
      </c>
      <c r="B230" s="172"/>
      <c r="C230" s="172"/>
      <c r="D230" s="172"/>
      <c r="E230" s="172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244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258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27</v>
      </c>
      <c r="M231" s="33" t="s">
        <v>46</v>
      </c>
      <c r="N231" s="33" t="s">
        <v>43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245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242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26</v>
      </c>
      <c r="M232" s="26" t="s">
        <v>167</v>
      </c>
      <c r="N232" s="26" t="s">
        <v>34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258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27</v>
      </c>
      <c r="M233" s="33" t="s">
        <v>46</v>
      </c>
      <c r="N233" s="33" t="s">
        <v>43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242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26</v>
      </c>
      <c r="M234" s="26" t="s">
        <v>167</v>
      </c>
      <c r="N234" s="26" t="s">
        <v>34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242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242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242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242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242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242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242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242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58" t="s">
        <v>246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244</v>
      </c>
      <c r="S243" s="45">
        <v>825930</v>
      </c>
      <c r="T243" s="122"/>
    </row>
    <row r="244" spans="1:20" ht="18" customHeight="1">
      <c r="A244" s="160" t="s">
        <v>247</v>
      </c>
      <c r="B244" s="161"/>
      <c r="C244" s="161"/>
      <c r="D244" s="161"/>
      <c r="E244" s="161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248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242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25</v>
      </c>
      <c r="M245" s="33" t="s">
        <v>38</v>
      </c>
      <c r="N245" s="33" t="s">
        <v>174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242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26</v>
      </c>
      <c r="M246" s="26" t="s">
        <v>46</v>
      </c>
      <c r="N246" s="33" t="s">
        <v>34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242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26</v>
      </c>
      <c r="M247" s="33" t="s">
        <v>46</v>
      </c>
      <c r="N247" s="33" t="s">
        <v>34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242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26</v>
      </c>
      <c r="M248" s="26" t="s">
        <v>38</v>
      </c>
      <c r="N248" s="26" t="s">
        <v>34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258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258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258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258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258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258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258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258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58" t="s">
        <v>243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244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37</v>
      </c>
      <c r="E258" s="62" t="s">
        <v>258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37</v>
      </c>
      <c r="E259" s="62" t="s">
        <v>258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37</v>
      </c>
      <c r="E260" s="62" t="s">
        <v>258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37</v>
      </c>
      <c r="E261" s="62" t="s">
        <v>258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37</v>
      </c>
      <c r="E262" s="62" t="s">
        <v>258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37</v>
      </c>
      <c r="E263" s="62" t="s">
        <v>258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37</v>
      </c>
      <c r="E264" s="62" t="s">
        <v>258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37</v>
      </c>
      <c r="E265" s="62" t="s">
        <v>258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37</v>
      </c>
      <c r="E266" s="62" t="s">
        <v>258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37</v>
      </c>
      <c r="E267" s="62" t="s">
        <v>258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37</v>
      </c>
      <c r="E268" s="62" t="s">
        <v>258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37</v>
      </c>
      <c r="E269" s="62" t="s">
        <v>258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58" t="s">
        <v>246</v>
      </c>
      <c r="B270" s="159"/>
      <c r="C270" s="159"/>
      <c r="D270" s="159"/>
      <c r="E270" s="159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244</v>
      </c>
      <c r="S270" s="45">
        <v>732130</v>
      </c>
      <c r="T270" s="122"/>
    </row>
    <row r="271" spans="1:20" ht="18" customHeight="1">
      <c r="A271" s="160" t="s">
        <v>247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248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258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258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258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258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258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258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45</v>
      </c>
      <c r="E278" s="59" t="s">
        <v>258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45</v>
      </c>
      <c r="E279" s="59" t="s">
        <v>258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45</v>
      </c>
      <c r="E280" s="59" t="s">
        <v>258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45</v>
      </c>
      <c r="E281" s="59" t="s">
        <v>258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45</v>
      </c>
      <c r="E282" s="59" t="s">
        <v>242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45</v>
      </c>
      <c r="E283" s="59" t="s">
        <v>258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58" t="s">
        <v>243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244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44</v>
      </c>
      <c r="D285" s="62" t="s">
        <v>53</v>
      </c>
      <c r="E285" s="62" t="s">
        <v>242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44</v>
      </c>
      <c r="D286" s="62" t="s">
        <v>53</v>
      </c>
      <c r="E286" s="62" t="s">
        <v>242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44</v>
      </c>
      <c r="D287" s="62" t="s">
        <v>37</v>
      </c>
      <c r="E287" s="62" t="s">
        <v>258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44</v>
      </c>
      <c r="D288" s="62" t="s">
        <v>37</v>
      </c>
      <c r="E288" s="62" t="s">
        <v>258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44</v>
      </c>
      <c r="D289" s="62" t="s">
        <v>37</v>
      </c>
      <c r="E289" s="62" t="s">
        <v>242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44</v>
      </c>
      <c r="D290" s="62" t="s">
        <v>37</v>
      </c>
      <c r="E290" s="62" t="s">
        <v>242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44</v>
      </c>
      <c r="D291" s="62" t="s">
        <v>37</v>
      </c>
      <c r="E291" s="62" t="s">
        <v>242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44</v>
      </c>
      <c r="D292" s="62" t="s">
        <v>37</v>
      </c>
      <c r="E292" s="62" t="s">
        <v>242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44</v>
      </c>
      <c r="D293" s="62" t="s">
        <v>37</v>
      </c>
      <c r="E293" s="62" t="s">
        <v>242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44</v>
      </c>
      <c r="D294" s="62" t="s">
        <v>37</v>
      </c>
      <c r="E294" s="62" t="s">
        <v>242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44</v>
      </c>
      <c r="D295" s="62" t="s">
        <v>37</v>
      </c>
      <c r="E295" s="62" t="s">
        <v>242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44</v>
      </c>
      <c r="D296" s="62" t="s">
        <v>37</v>
      </c>
      <c r="E296" s="62" t="s">
        <v>242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58" t="s">
        <v>246</v>
      </c>
      <c r="B297" s="159"/>
      <c r="C297" s="159"/>
      <c r="D297" s="159"/>
      <c r="E297" s="159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244</v>
      </c>
      <c r="S297" s="45">
        <v>990260</v>
      </c>
      <c r="T297" s="122"/>
    </row>
    <row r="298" spans="1:20" ht="18" customHeight="1">
      <c r="A298" s="160" t="s">
        <v>247</v>
      </c>
      <c r="B298" s="161"/>
      <c r="C298" s="161"/>
      <c r="D298" s="161"/>
      <c r="E298" s="161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248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258</v>
      </c>
      <c r="F299" s="140">
        <f>IFERROR(IF($D299="","",VLOOKUP($D299,Cadastro!$C$4:$E$7,3,FALSE)),"")</f>
        <v>0.24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>
        <f t="shared" ref="J299:J310" si="66">IFERROR(IF($H299="","",$H299*$F299*$I299),"")</f>
        <v>5.7888255621301763</v>
      </c>
      <c r="K299" s="34">
        <f t="shared" ref="K299:K310" si="67">IF(G299="","",IF(E299="PC 17",G299*4.2,IF(E299="PC 19",G299*5,IF(E299="CB",G299*24,""))))</f>
        <v>37.800000000000004</v>
      </c>
      <c r="L299" s="33" t="s">
        <v>24</v>
      </c>
      <c r="M299" s="33" t="s">
        <v>142</v>
      </c>
      <c r="N299" s="33" t="s">
        <v>56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62" t="s">
        <v>258</v>
      </c>
      <c r="F300" s="134">
        <f>IFERROR(IF($D300="","",VLOOKUP($D300,Cadastro!$C$4:$E$7,3,FALSE)),"")</f>
        <v>0.24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>
        <f t="shared" si="66"/>
        <v>12.864056804733726</v>
      </c>
      <c r="K300" s="28">
        <f t="shared" si="67"/>
        <v>84</v>
      </c>
      <c r="L300" s="26" t="s">
        <v>26</v>
      </c>
      <c r="M300" s="26" t="s">
        <v>46</v>
      </c>
      <c r="N300" s="26" t="s">
        <v>85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62" t="s">
        <v>258</v>
      </c>
      <c r="F301" s="134">
        <f>IFERROR(IF($D301="","",VLOOKUP($D301,Cadastro!$C$4:$E$7,3,FALSE)),"")</f>
        <v>0.24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>
        <f t="shared" si="66"/>
        <v>12.864056804733726</v>
      </c>
      <c r="K301" s="34">
        <f t="shared" si="67"/>
        <v>84</v>
      </c>
      <c r="L301" s="33" t="s">
        <v>26</v>
      </c>
      <c r="M301" s="33" t="s">
        <v>38</v>
      </c>
      <c r="N301" s="33" t="s">
        <v>34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62" t="s">
        <v>258</v>
      </c>
      <c r="F302" s="134">
        <f>IFERROR(IF($D302="","",VLOOKUP($D302,Cadastro!$C$4:$E$7,3,FALSE)),"")</f>
        <v>0.24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>
        <f t="shared" si="66"/>
        <v>10.934448284023668</v>
      </c>
      <c r="K302" s="28">
        <f t="shared" si="67"/>
        <v>71.400000000000006</v>
      </c>
      <c r="L302" s="26" t="s">
        <v>27</v>
      </c>
      <c r="M302" s="26" t="s">
        <v>38</v>
      </c>
      <c r="N302" s="26" t="s">
        <v>43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62" t="s">
        <v>258</v>
      </c>
      <c r="F303" s="134">
        <f>IFERROR(IF($D303="","",VLOOKUP($D303,Cadastro!$C$4:$E$7,3,FALSE)),"")</f>
        <v>0.24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>
        <f t="shared" si="66"/>
        <v>9.6480426035502944</v>
      </c>
      <c r="K303" s="34">
        <f t="shared" si="67"/>
        <v>63</v>
      </c>
      <c r="L303" s="33" t="s">
        <v>26</v>
      </c>
      <c r="M303" s="33" t="s">
        <v>46</v>
      </c>
      <c r="N303" s="33" t="s">
        <v>34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62" t="s">
        <v>258</v>
      </c>
      <c r="F304" s="134">
        <f>IFERROR(IF($D304="","",VLOOKUP($D304,Cadastro!$C$4:$E$7,3,FALSE)),"")</f>
        <v>0.24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>
        <f t="shared" si="66"/>
        <v>10.291245443786982</v>
      </c>
      <c r="K304" s="28">
        <f t="shared" si="67"/>
        <v>67.2</v>
      </c>
      <c r="L304" s="26" t="s">
        <v>24</v>
      </c>
      <c r="M304" s="26"/>
      <c r="N304" s="26" t="s">
        <v>32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62" t="s">
        <v>258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62" t="s">
        <v>258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62" t="s">
        <v>258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62" t="s">
        <v>258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62" t="s">
        <v>258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62" t="s">
        <v>258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58" t="s">
        <v>243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129.92697372781066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244</v>
      </c>
      <c r="S311" s="149">
        <v>754870</v>
      </c>
      <c r="T311" s="122">
        <f>IFERROR(J311,"")</f>
        <v>129.92697372781066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62" t="s">
        <v>37</v>
      </c>
      <c r="E312" s="62" t="s">
        <v>258</v>
      </c>
      <c r="F312" s="140">
        <f>IFERROR(IF($D312="","",VLOOKUP($D312,Cadastro!$C$4:$E$7,3,FALSE)),"")</f>
        <v>0.24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>
        <f>IFERROR(IF($H312="","",$H312*$F312*$I312),"")</f>
        <v>13.671994285714284</v>
      </c>
      <c r="K312" s="28">
        <f t="shared" ref="K312:K323" si="70">IF(G312="","",IF(E312="PC 17",G312*4.2,IF(E312="PC 19",G312*5,IF(E312="CB",G312*24,""))))</f>
        <v>92.4</v>
      </c>
      <c r="L312" s="26" t="s">
        <v>26</v>
      </c>
      <c r="M312" s="26" t="s">
        <v>167</v>
      </c>
      <c r="N312" s="26" t="s">
        <v>34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28</v>
      </c>
      <c r="D313" s="62" t="s">
        <v>37</v>
      </c>
      <c r="E313" s="62" t="s">
        <v>258</v>
      </c>
      <c r="F313" s="134">
        <f>IFERROR(IF($D313="","",VLOOKUP($D313,Cadastro!$C$4:$E$7,3,FALSE)),"")</f>
        <v>0.24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>
        <f t="shared" ref="J312:J323" si="73">IFERROR(IF($H313="","",$H313*$F313*$I313),"")</f>
        <v>8.0789057142857139</v>
      </c>
      <c r="K313" s="34">
        <f t="shared" si="70"/>
        <v>54.6</v>
      </c>
      <c r="L313" s="33" t="s">
        <v>27</v>
      </c>
      <c r="M313" s="33" t="s">
        <v>46</v>
      </c>
      <c r="N313" s="33" t="s">
        <v>43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28</v>
      </c>
      <c r="D314" s="62" t="s">
        <v>37</v>
      </c>
      <c r="E314" s="62" t="s">
        <v>258</v>
      </c>
      <c r="F314" s="134">
        <f>IFERROR(IF($D314="","",VLOOKUP($D314,Cadastro!$C$4:$E$7,3,FALSE)),"")</f>
        <v>0.24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>
        <f t="shared" si="73"/>
        <v>9.94326857142857</v>
      </c>
      <c r="K314" s="28">
        <f t="shared" si="70"/>
        <v>67.2</v>
      </c>
      <c r="L314" s="26" t="s">
        <v>25</v>
      </c>
      <c r="M314" s="26" t="s">
        <v>46</v>
      </c>
      <c r="N314" s="26" t="s">
        <v>164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28</v>
      </c>
      <c r="D315" s="62" t="s">
        <v>37</v>
      </c>
      <c r="E315" s="62" t="s">
        <v>258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>
        <f t="shared" si="73"/>
        <v>3.728725714285714</v>
      </c>
      <c r="K315" s="34">
        <f t="shared" si="70"/>
        <v>25.200000000000003</v>
      </c>
      <c r="L315" s="33" t="s">
        <v>27</v>
      </c>
      <c r="M315" s="33" t="s">
        <v>46</v>
      </c>
      <c r="N315" s="33" t="s">
        <v>43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28</v>
      </c>
      <c r="D316" s="62" t="s">
        <v>37</v>
      </c>
      <c r="E316" s="62" t="s">
        <v>258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>
        <f t="shared" si="73"/>
        <v>12.429085714285714</v>
      </c>
      <c r="K316" s="28">
        <f t="shared" si="70"/>
        <v>84</v>
      </c>
      <c r="L316" s="26" t="s">
        <v>26</v>
      </c>
      <c r="M316" s="26" t="s">
        <v>167</v>
      </c>
      <c r="N316" s="26" t="s">
        <v>34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28</v>
      </c>
      <c r="D317" s="62" t="s">
        <v>37</v>
      </c>
      <c r="E317" s="62" t="s">
        <v>258</v>
      </c>
      <c r="F317" s="134">
        <f>IFERROR(IF($D317="","",VLOOKUP($D317,Cadastro!$C$4:$E$7,3,FALSE)),"")</f>
        <v>0.24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>
        <f t="shared" si="73"/>
        <v>11.18617714285714</v>
      </c>
      <c r="K317" s="34">
        <f t="shared" si="70"/>
        <v>75.600000000000009</v>
      </c>
      <c r="L317" s="33" t="s">
        <v>25</v>
      </c>
      <c r="M317" s="33" t="s">
        <v>145</v>
      </c>
      <c r="N317" s="33" t="s">
        <v>107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28</v>
      </c>
      <c r="D318" s="62" t="s">
        <v>37</v>
      </c>
      <c r="E318" s="62" t="s">
        <v>258</v>
      </c>
      <c r="F318" s="134">
        <f>IFERROR(IF($D318="","",VLOOKUP($D318,Cadastro!$C$4:$E$7,3,FALSE)),"")</f>
        <v>0.24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>
        <f t="shared" si="73"/>
        <v>9.94326857142857</v>
      </c>
      <c r="K318" s="28">
        <f t="shared" si="70"/>
        <v>67.2</v>
      </c>
      <c r="L318" s="26" t="s">
        <v>24</v>
      </c>
      <c r="M318" s="26"/>
      <c r="N318" s="26" t="s">
        <v>32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28</v>
      </c>
      <c r="D319" s="62" t="s">
        <v>37</v>
      </c>
      <c r="E319" s="62" t="s">
        <v>258</v>
      </c>
      <c r="F319" s="134">
        <f>IFERROR(IF($D319="","",VLOOKUP($D319,Cadastro!$C$4:$E$7,3,FALSE)),"")</f>
        <v>0.24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>
        <f t="shared" si="73"/>
        <v>9.3218142857142841</v>
      </c>
      <c r="K319" s="34">
        <f t="shared" si="70"/>
        <v>63</v>
      </c>
      <c r="L319" s="33" t="s">
        <v>24</v>
      </c>
      <c r="M319" s="33" t="s">
        <v>38</v>
      </c>
      <c r="N319" s="33" t="s">
        <v>56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28</v>
      </c>
      <c r="D320" s="62" t="s">
        <v>37</v>
      </c>
      <c r="E320" s="62" t="s">
        <v>258</v>
      </c>
      <c r="F320" s="134">
        <f>IFERROR(IF($D320="","",VLOOKUP($D320,Cadastro!$C$4:$E$7,3,FALSE)),"")</f>
        <v>0.24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>
        <f t="shared" si="73"/>
        <v>9.94326857142857</v>
      </c>
      <c r="K320" s="28">
        <f t="shared" si="70"/>
        <v>67.2</v>
      </c>
      <c r="L320" s="26" t="s">
        <v>24</v>
      </c>
      <c r="M320" s="26" t="s">
        <v>142</v>
      </c>
      <c r="N320" s="26" t="s">
        <v>56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28</v>
      </c>
      <c r="D321" s="62" t="s">
        <v>37</v>
      </c>
      <c r="E321" s="62" t="s">
        <v>258</v>
      </c>
      <c r="F321" s="134">
        <f>IFERROR(IF($D321="","",VLOOKUP($D321,Cadastro!$C$4:$E$7,3,FALSE)),"")</f>
        <v>0.24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>
        <f t="shared" si="73"/>
        <v>7.457451428571428</v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28</v>
      </c>
      <c r="D322" s="62" t="s">
        <v>37</v>
      </c>
      <c r="E322" s="62" t="s">
        <v>258</v>
      </c>
      <c r="F322" s="134">
        <f>IFERROR(IF($D322="","",VLOOKUP($D322,Cadastro!$C$4:$E$7,3,FALSE)),"")</f>
        <v>0.24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>
        <f t="shared" si="73"/>
        <v>6.2145428571428569</v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28</v>
      </c>
      <c r="D323" s="62" t="s">
        <v>37</v>
      </c>
      <c r="E323" s="62" t="s">
        <v>258</v>
      </c>
      <c r="F323" s="137">
        <f>IFERROR(IF($D323="","",VLOOKUP($D323,Cadastro!$C$4:$E$7,3,FALSE)),"")</f>
        <v>0.24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>
        <f t="shared" si="73"/>
        <v>2.4858171428571425</v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58" t="s">
        <v>246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104.40432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244</v>
      </c>
      <c r="S324" s="149">
        <v>725030</v>
      </c>
      <c r="T324" s="122">
        <f>IFERROR(J324,"")</f>
        <v>104.40432</v>
      </c>
    </row>
    <row r="325" spans="1:20" ht="18" customHeight="1">
      <c r="A325" s="160" t="s">
        <v>247</v>
      </c>
      <c r="B325" s="161"/>
      <c r="C325" s="161"/>
      <c r="D325" s="161"/>
      <c r="E325" s="161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234.33129372781065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248</v>
      </c>
      <c r="S325" s="143">
        <f>IFERROR(S311+S324,"")</f>
        <v>1479900</v>
      </c>
      <c r="T325" s="144">
        <f>IFERROR(J325,"")</f>
        <v>234.33129372781065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242</v>
      </c>
      <c r="F326" s="140">
        <f>IFERROR(IF($D326="","",VLOOKUP($D326,Cadastro!$C$4:$E$7,3,FALSE)),"")</f>
        <v>0.35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4.2429081081081073</v>
      </c>
      <c r="K326" s="28">
        <f t="shared" ref="K326:K337" si="75">IF(G326="","",IF(E326="PC 17",G326*4.2,IF(E326="PC 19",G326*5,IF(E326="CB",G326*24,""))))</f>
        <v>20</v>
      </c>
      <c r="L326" s="26" t="s">
        <v>25</v>
      </c>
      <c r="M326" s="26" t="s">
        <v>46</v>
      </c>
      <c r="N326" s="26" t="s">
        <v>137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296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36</v>
      </c>
      <c r="D327" s="59" t="s">
        <v>29</v>
      </c>
      <c r="E327" s="108" t="s">
        <v>242</v>
      </c>
      <c r="F327" s="134">
        <f>IFERROR(IF($D327="","",VLOOKUP($D327,Cadastro!$C$4:$E$7,3,FALSE)),"")</f>
        <v>0.35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26</v>
      </c>
      <c r="M327" s="33" t="s">
        <v>46</v>
      </c>
      <c r="N327" s="33" t="s">
        <v>34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36</v>
      </c>
      <c r="D328" s="59" t="s">
        <v>29</v>
      </c>
      <c r="E328" s="108" t="s">
        <v>242</v>
      </c>
      <c r="F328" s="134">
        <f>IFERROR(IF($D328="","",VLOOKUP($D328,Cadastro!$C$4:$E$7,3,FALSE)),"")</f>
        <v>0.35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4.2429081081081073</v>
      </c>
      <c r="K328" s="28">
        <f t="shared" si="75"/>
        <v>20</v>
      </c>
      <c r="L328" s="26" t="s">
        <v>25</v>
      </c>
      <c r="M328" s="26" t="s">
        <v>145</v>
      </c>
      <c r="N328" s="26" t="s">
        <v>137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297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36</v>
      </c>
      <c r="D329" s="59" t="s">
        <v>29</v>
      </c>
      <c r="E329" s="108" t="s">
        <v>242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11.667997297297298</v>
      </c>
      <c r="K329" s="34">
        <f t="shared" si="75"/>
        <v>55</v>
      </c>
      <c r="L329" s="33" t="s">
        <v>25</v>
      </c>
      <c r="M329" s="33" t="s">
        <v>145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298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36</v>
      </c>
      <c r="D330" s="59" t="s">
        <v>29</v>
      </c>
      <c r="E330" s="108" t="s">
        <v>242</v>
      </c>
      <c r="F330" s="134">
        <f>IFERROR(IF($D330="","",VLOOKUP($D330,Cadastro!$C$4:$E$7,3,FALSE)),"")</f>
        <v>0.35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3.1821810810810809</v>
      </c>
      <c r="K330" s="28">
        <f t="shared" si="75"/>
        <v>15</v>
      </c>
      <c r="L330" s="26" t="s">
        <v>27</v>
      </c>
      <c r="M330" s="26" t="s">
        <v>133</v>
      </c>
      <c r="N330" s="26" t="s">
        <v>121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36</v>
      </c>
      <c r="D331" s="59" t="s">
        <v>29</v>
      </c>
      <c r="E331" s="108" t="s">
        <v>242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25</v>
      </c>
      <c r="M331" s="33" t="s">
        <v>145</v>
      </c>
      <c r="N331" s="33" t="s">
        <v>68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299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36</v>
      </c>
      <c r="D332" s="59" t="s">
        <v>29</v>
      </c>
      <c r="E332" s="108" t="s">
        <v>258</v>
      </c>
      <c r="F332" s="134">
        <f>IFERROR(IF($D332="","",VLOOKUP($D332,Cadastro!$C$4:$E$7,3,FALSE)),"")</f>
        <v>0.35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9.5465432432432404</v>
      </c>
      <c r="K332" s="28">
        <f t="shared" si="75"/>
        <v>37.800000000000004</v>
      </c>
      <c r="L332" s="26" t="s">
        <v>25</v>
      </c>
      <c r="M332" s="26" t="s">
        <v>46</v>
      </c>
      <c r="N332" s="26" t="s">
        <v>179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300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36</v>
      </c>
      <c r="D333" s="59" t="s">
        <v>29</v>
      </c>
      <c r="E333" s="108" t="s">
        <v>258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36</v>
      </c>
      <c r="D334" s="59" t="s">
        <v>29</v>
      </c>
      <c r="E334" s="108" t="s">
        <v>258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36</v>
      </c>
      <c r="D335" s="59" t="s">
        <v>29</v>
      </c>
      <c r="E335" s="108" t="s">
        <v>258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36</v>
      </c>
      <c r="D336" s="59" t="s">
        <v>29</v>
      </c>
      <c r="E336" s="108" t="s">
        <v>258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36</v>
      </c>
      <c r="D337" s="59" t="s">
        <v>29</v>
      </c>
      <c r="E337" s="108" t="s">
        <v>258</v>
      </c>
      <c r="F337" s="137">
        <f>IFERROR(IF($D337="","",VLOOKUP($D337,Cadastro!$C$4:$E$7,3,FALSE)),"")</f>
        <v>0.35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6.3643621621621618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58" t="s">
        <v>243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39.246899999999989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244</v>
      </c>
      <c r="S338" s="45">
        <v>186890</v>
      </c>
      <c r="T338" s="122">
        <f>IFERROR(J338,"")</f>
        <v>39.246899999999989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258</v>
      </c>
      <c r="F339" s="140">
        <f>IFERROR(IF($D339="","",VLOOKUP($D339,Cadastro!$C$4:$E$7,3,FALSE)),"")</f>
        <v>0.35</v>
      </c>
      <c r="G339" s="105">
        <v>6</v>
      </c>
      <c r="H339" s="140">
        <f>IFERROR(IF($G339="","",$G339*$S$351/$G$351/Cadastro!$E$33),"")</f>
        <v>24.843139534883722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5.2170593023255813</v>
      </c>
      <c r="K339" s="34">
        <f t="shared" ref="K339:K350" si="79">IF(G339="","",IF(E339="PC 17",G339*4.2,IF(E339="PC 19",G339*5,IF(E339="CB",G339*24,""))))</f>
        <v>25.200000000000003</v>
      </c>
      <c r="L339" s="33" t="s">
        <v>26</v>
      </c>
      <c r="M339" s="33" t="s">
        <v>46</v>
      </c>
      <c r="N339" s="33" t="s">
        <v>42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258</v>
      </c>
      <c r="F340" s="134">
        <f>IFERROR(IF($D340="","",VLOOKUP($D340,Cadastro!$C$4:$E$7,3,FALSE)),"")</f>
        <v>0.35</v>
      </c>
      <c r="G340" s="105">
        <v>15</v>
      </c>
      <c r="H340" s="134">
        <f>IFERROR(IF($G340="","",$G340*$S$351/$G$351/Cadastro!$E$33),"")</f>
        <v>62.107848837209303</v>
      </c>
      <c r="I340" s="135">
        <f>IFERROR(IF($D340="","",VLOOKUP($D340,Cadastro!$C$4:$G$7,5,FALSE)),"")</f>
        <v>0.6</v>
      </c>
      <c r="J340" s="136">
        <f t="shared" si="78"/>
        <v>13.042648255813953</v>
      </c>
      <c r="K340" s="28">
        <f t="shared" si="79"/>
        <v>63</v>
      </c>
      <c r="L340" s="26" t="s">
        <v>26</v>
      </c>
      <c r="M340" s="26" t="s">
        <v>46</v>
      </c>
      <c r="N340" s="26" t="s">
        <v>85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258</v>
      </c>
      <c r="F341" s="134">
        <f>IFERROR(IF($D341="","",VLOOKUP($D341,Cadastro!$C$4:$E$7,3,FALSE)),"")</f>
        <v>0.35</v>
      </c>
      <c r="G341" s="105">
        <v>18</v>
      </c>
      <c r="H341" s="134">
        <f>IFERROR(IF($G341="","",$G341*$S$351/$G$351/Cadastro!$E$33),"")</f>
        <v>74.529418604651156</v>
      </c>
      <c r="I341" s="135">
        <f>IFERROR(IF($D341="","",VLOOKUP($D341,Cadastro!$C$4:$G$7,5,FALSE)),"")</f>
        <v>0.6</v>
      </c>
      <c r="J341" s="136">
        <f t="shared" si="78"/>
        <v>15.651177906976741</v>
      </c>
      <c r="K341" s="34">
        <f t="shared" si="79"/>
        <v>75.600000000000009</v>
      </c>
      <c r="L341" s="33" t="s">
        <v>27</v>
      </c>
      <c r="M341" s="33" t="s">
        <v>38</v>
      </c>
      <c r="N341" s="33" t="s">
        <v>43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292</v>
      </c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258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49.686279069767444</v>
      </c>
      <c r="I342" s="135">
        <f>IFERROR(IF($D342="","",VLOOKUP($D342,Cadastro!$C$4:$G$7,5,FALSE)),"")</f>
        <v>0.6</v>
      </c>
      <c r="J342" s="136">
        <f t="shared" si="78"/>
        <v>10.434118604651163</v>
      </c>
      <c r="K342" s="28">
        <f t="shared" si="79"/>
        <v>50.400000000000006</v>
      </c>
      <c r="L342" s="26" t="s">
        <v>25</v>
      </c>
      <c r="M342" s="26" t="s">
        <v>46</v>
      </c>
      <c r="N342" s="26" t="s">
        <v>174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258</v>
      </c>
      <c r="F343" s="134">
        <f>IFERROR(IF($D343="","",VLOOKUP($D343,Cadastro!$C$4:$E$7,3,FALSE)),"")</f>
        <v>0.35</v>
      </c>
      <c r="G343" s="105">
        <v>21</v>
      </c>
      <c r="H343" s="134">
        <f>IFERROR(IF($G343="","",$G343*$S$351/$G$351/Cadastro!$E$33),"")</f>
        <v>86.950988372093022</v>
      </c>
      <c r="I343" s="135">
        <f>IFERROR(IF($D343="","",VLOOKUP($D343,Cadastro!$C$4:$G$7,5,FALSE)),"")</f>
        <v>0.6</v>
      </c>
      <c r="J343" s="136">
        <f t="shared" si="78"/>
        <v>18.259707558139532</v>
      </c>
      <c r="K343" s="34">
        <f t="shared" si="79"/>
        <v>88.2</v>
      </c>
      <c r="L343" s="33" t="s">
        <v>27</v>
      </c>
      <c r="M343" s="33" t="s">
        <v>46</v>
      </c>
      <c r="N343" s="33" t="s">
        <v>204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287</v>
      </c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258</v>
      </c>
      <c r="F344" s="134">
        <f>IFERROR(IF($D344="","",VLOOKUP($D344,Cadastro!$C$4:$E$7,3,FALSE)),"")</f>
        <v>0.35</v>
      </c>
      <c r="G344" s="105">
        <v>21</v>
      </c>
      <c r="H344" s="134">
        <f>IFERROR(IF($G344="","",$G344*$S$351/$G$351/Cadastro!$E$33),"")</f>
        <v>86.950988372093022</v>
      </c>
      <c r="I344" s="135">
        <f>IFERROR(IF($D344="","",VLOOKUP($D344,Cadastro!$C$4:$G$7,5,FALSE)),"")</f>
        <v>0.6</v>
      </c>
      <c r="J344" s="136">
        <f t="shared" si="78"/>
        <v>18.259707558139532</v>
      </c>
      <c r="K344" s="28">
        <f t="shared" si="79"/>
        <v>88.2</v>
      </c>
      <c r="L344" s="26" t="s">
        <v>25</v>
      </c>
      <c r="M344" s="26" t="s">
        <v>38</v>
      </c>
      <c r="N344" s="26" t="s">
        <v>164</v>
      </c>
      <c r="O344" s="29">
        <v>0.10902777777777778</v>
      </c>
      <c r="P344" s="29">
        <v>0.13263888888888889</v>
      </c>
      <c r="Q344" s="30">
        <f t="shared" ca="1" si="80"/>
        <v>2.361111111111111E-2</v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258</v>
      </c>
      <c r="F345" s="134">
        <f>IFERROR(IF($D345="","",VLOOKUP($D345,Cadastro!$C$4:$E$7,3,FALSE)),"")</f>
        <v>0.35</v>
      </c>
      <c r="G345" s="105">
        <v>13</v>
      </c>
      <c r="H345" s="134">
        <f>IFERROR(IF($G345="","",$G345*$S$351/$G$351/Cadastro!$E$33),"")</f>
        <v>53.826802325581397</v>
      </c>
      <c r="I345" s="135">
        <f>IFERROR(IF($D345="","",VLOOKUP($D345,Cadastro!$C$4:$G$7,5,FALSE)),"")</f>
        <v>0.6</v>
      </c>
      <c r="J345" s="136">
        <f t="shared" si="78"/>
        <v>11.303628488372091</v>
      </c>
      <c r="K345" s="34">
        <f t="shared" si="79"/>
        <v>54.6</v>
      </c>
      <c r="L345" s="33" t="s">
        <v>25</v>
      </c>
      <c r="M345" s="33" t="s">
        <v>46</v>
      </c>
      <c r="N345" s="33" t="s">
        <v>164</v>
      </c>
      <c r="O345" s="29">
        <v>0.14305555555555555</v>
      </c>
      <c r="P345" s="29">
        <v>0.16319444444444445</v>
      </c>
      <c r="Q345" s="35">
        <f t="shared" ca="1" si="80"/>
        <v>2.0138888888888901E-2</v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258</v>
      </c>
      <c r="F346" s="134">
        <f>IFERROR(IF($D346="","",VLOOKUP($D346,Cadastro!$C$4:$E$7,3,FALSE)),"")</f>
        <v>0.35</v>
      </c>
      <c r="G346" s="105">
        <v>12</v>
      </c>
      <c r="H346" s="134">
        <f>IFERROR(IF($G346="","",$G346*$S$351/$G$351/Cadastro!$E$33),"")</f>
        <v>49.686279069767444</v>
      </c>
      <c r="I346" s="135">
        <f>IFERROR(IF($D346="","",VLOOKUP($D346,Cadastro!$C$4:$G$7,5,FALSE)),"")</f>
        <v>0.6</v>
      </c>
      <c r="J346" s="136">
        <f t="shared" si="78"/>
        <v>10.434118604651163</v>
      </c>
      <c r="K346" s="28">
        <f t="shared" si="79"/>
        <v>50.400000000000006</v>
      </c>
      <c r="L346" s="26" t="s">
        <v>24</v>
      </c>
      <c r="M346" s="26" t="s">
        <v>142</v>
      </c>
      <c r="N346" s="26" t="s">
        <v>56</v>
      </c>
      <c r="O346" s="29">
        <v>0.21180555555555555</v>
      </c>
      <c r="P346" s="29">
        <v>0.21805555555555556</v>
      </c>
      <c r="Q346" s="30">
        <f t="shared" ca="1" si="80"/>
        <v>6.2500000000000056E-3</v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258</v>
      </c>
      <c r="F347" s="134">
        <f>IFERROR(IF($D347="","",VLOOKUP($D347,Cadastro!$C$4:$E$7,3,FALSE)),"")</f>
        <v>0.35</v>
      </c>
      <c r="G347" s="105">
        <v>7</v>
      </c>
      <c r="H347" s="134">
        <f>IFERROR(IF($G347="","",$G347*$S$351/$G$351/Cadastro!$E$33),"")</f>
        <v>28.983662790697675</v>
      </c>
      <c r="I347" s="135">
        <f>IFERROR(IF($D347="","",VLOOKUP($D347,Cadastro!$C$4:$G$7,5,FALSE)),"")</f>
        <v>0.6</v>
      </c>
      <c r="J347" s="136">
        <f t="shared" si="78"/>
        <v>6.0865691860465114</v>
      </c>
      <c r="K347" s="34">
        <f t="shared" si="79"/>
        <v>29.400000000000002</v>
      </c>
      <c r="L347" s="33" t="s">
        <v>24</v>
      </c>
      <c r="M347" s="33" t="s">
        <v>142</v>
      </c>
      <c r="N347" s="33" t="s">
        <v>56</v>
      </c>
      <c r="O347" s="29">
        <v>0.22500000000000001</v>
      </c>
      <c r="P347" s="29">
        <v>0.22916666666666666</v>
      </c>
      <c r="Q347" s="35">
        <f t="shared" ca="1" si="80"/>
        <v>4.1666666666666519E-3</v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258</v>
      </c>
      <c r="F348" s="134">
        <f>IFERROR(IF($D348="","",VLOOKUP($D348,Cadastro!$C$4:$E$7,3,FALSE)),"")</f>
        <v>0.35</v>
      </c>
      <c r="G348" s="105">
        <v>19</v>
      </c>
      <c r="H348" s="134">
        <f>IFERROR(IF($G348="","",$G348*$S$351/$G$351/Cadastro!$E$33),"")</f>
        <v>78.669941860465116</v>
      </c>
      <c r="I348" s="135">
        <f>IFERROR(IF($D348="","",VLOOKUP($D348,Cadastro!$C$4:$G$7,5,FALSE)),"")</f>
        <v>0.6</v>
      </c>
      <c r="J348" s="136">
        <f t="shared" si="78"/>
        <v>16.520687790697675</v>
      </c>
      <c r="K348" s="28">
        <f t="shared" si="79"/>
        <v>79.8</v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258</v>
      </c>
      <c r="F349" s="134">
        <f>IFERROR(IF($D349="","",VLOOKUP($D349,Cadastro!$C$4:$E$7,3,FALSE)),"")</f>
        <v>0.35</v>
      </c>
      <c r="G349" s="105">
        <v>16</v>
      </c>
      <c r="H349" s="134">
        <f>IFERROR(IF($G349="","",$G349*$S$351/$G$351/Cadastro!$E$33),"")</f>
        <v>66.248372093023249</v>
      </c>
      <c r="I349" s="135">
        <f>IFERROR(IF($D349="","",VLOOKUP($D349,Cadastro!$C$4:$G$7,5,FALSE)),"")</f>
        <v>0.6</v>
      </c>
      <c r="J349" s="136">
        <f t="shared" si="78"/>
        <v>13.912158139534881</v>
      </c>
      <c r="K349" s="34">
        <f t="shared" si="79"/>
        <v>67.2</v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258</v>
      </c>
      <c r="F350" s="137">
        <f>IFERROR(IF($D350="","",VLOOKUP($D350,Cadastro!$C$4:$E$7,3,FALSE)),"")</f>
        <v>0.35</v>
      </c>
      <c r="G350" s="105">
        <v>12</v>
      </c>
      <c r="H350" s="137">
        <f>IFERROR(IF($G350="","",$G350*$S$351/$G$351/Cadastro!$E$33),"")</f>
        <v>49.686279069767444</v>
      </c>
      <c r="I350" s="138">
        <f>IFERROR(IF($D350="","",VLOOKUP($D350,Cadastro!$C$4:$G$7,5,FALSE)),"")</f>
        <v>0.6</v>
      </c>
      <c r="J350" s="139">
        <f t="shared" si="78"/>
        <v>10.434118604651163</v>
      </c>
      <c r="K350" s="28">
        <f t="shared" si="79"/>
        <v>50.400000000000006</v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58" t="s">
        <v>246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172</v>
      </c>
      <c r="H351" s="111">
        <f>IFERROR(SUM(H339:H350),"")</f>
        <v>712.17</v>
      </c>
      <c r="I351" s="115"/>
      <c r="J351" s="124">
        <f>IFERROR(SUM(J339:J350),"")</f>
        <v>149.5557</v>
      </c>
      <c r="K351" s="36">
        <f>SUM(K339:K350)</f>
        <v>722.4</v>
      </c>
      <c r="L351" s="37"/>
      <c r="M351" s="37"/>
      <c r="N351" s="37"/>
      <c r="O351" s="37"/>
      <c r="P351" s="37"/>
      <c r="Q351" s="38">
        <f ca="1">IFERROR(SUM(Q339:Q350),"")</f>
        <v>0.13194444444444459</v>
      </c>
      <c r="R351" s="36" t="s">
        <v>244</v>
      </c>
      <c r="S351" s="45">
        <v>712170</v>
      </c>
      <c r="T351" s="122">
        <f>IFERROR(J351,"")</f>
        <v>149.5557</v>
      </c>
    </row>
    <row r="352" spans="1:20" ht="18" customHeight="1">
      <c r="A352" s="160" t="s">
        <v>247</v>
      </c>
      <c r="B352" s="161"/>
      <c r="C352" s="161"/>
      <c r="D352" s="161"/>
      <c r="E352" s="161">
        <f>E338+E351</f>
        <v>0</v>
      </c>
      <c r="F352" s="112"/>
      <c r="G352" s="91">
        <f>G338+G351</f>
        <v>209</v>
      </c>
      <c r="H352" s="112">
        <f>IFERROR(H338+H351,"")</f>
        <v>899.06</v>
      </c>
      <c r="I352" s="116"/>
      <c r="J352" s="125">
        <f>IFERROR(J338+J351,"")</f>
        <v>188.80259999999998</v>
      </c>
      <c r="K352" s="40">
        <f>K338+K351</f>
        <v>895.4</v>
      </c>
      <c r="L352" s="41"/>
      <c r="M352" s="41"/>
      <c r="N352" s="41"/>
      <c r="O352" s="41"/>
      <c r="P352" s="41"/>
      <c r="Q352" s="42">
        <f ca="1">IFERROR(Q338+Q351,"")</f>
        <v>0.47430555555555559</v>
      </c>
      <c r="R352" s="40" t="s">
        <v>248</v>
      </c>
      <c r="S352" s="143">
        <f>IFERROR(S338+S351,"")</f>
        <v>899060</v>
      </c>
      <c r="T352" s="144">
        <f>IFERROR(J352,"")</f>
        <v>188.80259999999998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258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0</v>
      </c>
      <c r="K353" s="34">
        <f t="shared" ref="K353:K364" si="83">IF(G353="","",IF(E353="PC 17",G353*4.2,IF(E353="PC 19",G353*5,IF(E353="CB",G353*24,""))))</f>
        <v>0</v>
      </c>
      <c r="L353" s="33" t="s">
        <v>27</v>
      </c>
      <c r="M353" s="33" t="s">
        <v>46</v>
      </c>
      <c r="N353" s="33" t="s">
        <v>63</v>
      </c>
      <c r="O353" s="29">
        <v>0.29166666666666669</v>
      </c>
      <c r="P353" s="29">
        <v>0.30694444444444446</v>
      </c>
      <c r="Q353" s="35">
        <f t="shared" ref="Q353:Q364" ca="1" si="84">IFERROR(IF(O353="","",IF(P353="",MOD(NOW()-O353,1),IF(P353&gt;=O353,P353-O353,P353+1-O353))),"")</f>
        <v>1.5277777777777779E-2</v>
      </c>
      <c r="R353" s="46" t="s">
        <v>280</v>
      </c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258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57.617592592592594</v>
      </c>
      <c r="I354" s="135">
        <f>IFERROR(IF($D354="","",VLOOKUP($D354,Cadastro!$C$4:$G$7,5,FALSE)),"")</f>
        <v>0.6</v>
      </c>
      <c r="J354" s="136">
        <f t="shared" si="82"/>
        <v>12.099694444444443</v>
      </c>
      <c r="K354" s="28">
        <f t="shared" si="83"/>
        <v>42</v>
      </c>
      <c r="L354" s="26" t="s">
        <v>26</v>
      </c>
      <c r="M354" s="26" t="s">
        <v>38</v>
      </c>
      <c r="N354" s="26" t="s">
        <v>34</v>
      </c>
      <c r="O354" s="29">
        <v>0.30694444444444446</v>
      </c>
      <c r="P354" s="29">
        <v>0.31874999999999998</v>
      </c>
      <c r="Q354" s="30">
        <f t="shared" ca="1" si="84"/>
        <v>1.1805555555555514E-2</v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258</v>
      </c>
      <c r="F355" s="134">
        <f>IFERROR(IF($D355="","",VLOOKUP($D355,Cadastro!$C$4:$E$7,3,FALSE)),"")</f>
        <v>0.35</v>
      </c>
      <c r="G355" s="105">
        <v>12</v>
      </c>
      <c r="H355" s="134">
        <f>IFERROR(IF($G355="","",$G355*$S$365/$G$365/Cadastro!$E$33),"")</f>
        <v>69.141111111111115</v>
      </c>
      <c r="I355" s="135">
        <f>IFERROR(IF($D355="","",VLOOKUP($D355,Cadastro!$C$4:$G$7,5,FALSE)),"")</f>
        <v>0.6</v>
      </c>
      <c r="J355" s="136">
        <f t="shared" si="82"/>
        <v>14.519633333333333</v>
      </c>
      <c r="K355" s="34">
        <f t="shared" si="83"/>
        <v>50.400000000000006</v>
      </c>
      <c r="L355" s="33" t="s">
        <v>26</v>
      </c>
      <c r="M355" s="33" t="s">
        <v>38</v>
      </c>
      <c r="N355" s="33" t="s">
        <v>85</v>
      </c>
      <c r="O355" s="29">
        <v>0.4826388888888889</v>
      </c>
      <c r="P355" s="29">
        <v>0.50486111111111109</v>
      </c>
      <c r="Q355" s="35">
        <f t="shared" ca="1" si="84"/>
        <v>2.2222222222222199E-2</v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258</v>
      </c>
      <c r="F356" s="134">
        <f>IFERROR(IF($D356="","",VLOOKUP($D356,Cadastro!$C$4:$E$7,3,FALSE)),"")</f>
        <v>0.35</v>
      </c>
      <c r="G356" s="105">
        <v>19</v>
      </c>
      <c r="H356" s="134">
        <f>IFERROR(IF($G356="","",$G356*$S$365/$G$365/Cadastro!$E$33),"")</f>
        <v>109.47342592592592</v>
      </c>
      <c r="I356" s="135">
        <f>IFERROR(IF($D356="","",VLOOKUP($D356,Cadastro!$C$4:$G$7,5,FALSE)),"")</f>
        <v>0.6</v>
      </c>
      <c r="J356" s="136">
        <f t="shared" si="82"/>
        <v>22.98941944444444</v>
      </c>
      <c r="K356" s="28">
        <f t="shared" si="83"/>
        <v>79.8</v>
      </c>
      <c r="L356" s="26" t="s">
        <v>27</v>
      </c>
      <c r="M356" s="26" t="s">
        <v>133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4"/>
        <v>1.1805555555555514E-2</v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258</v>
      </c>
      <c r="F357" s="134">
        <f>IFERROR(IF($D357="","",VLOOKUP($D357,Cadastro!$C$4:$E$7,3,FALSE)),"")</f>
        <v>0.35</v>
      </c>
      <c r="G357" s="105">
        <v>14</v>
      </c>
      <c r="H357" s="134">
        <f>IFERROR(IF($G357="","",$G357*$S$365/$G$365/Cadastro!$E$33),"")</f>
        <v>80.66462962962963</v>
      </c>
      <c r="I357" s="135">
        <f>IFERROR(IF($D357="","",VLOOKUP($D357,Cadastro!$C$4:$G$7,5,FALSE)),"")</f>
        <v>0.6</v>
      </c>
      <c r="J357" s="136">
        <f t="shared" si="82"/>
        <v>16.939572222222221</v>
      </c>
      <c r="K357" s="34">
        <f t="shared" si="83"/>
        <v>58.800000000000004</v>
      </c>
      <c r="L357" s="33" t="s">
        <v>26</v>
      </c>
      <c r="M357" s="33" t="s">
        <v>167</v>
      </c>
      <c r="N357" s="33" t="s">
        <v>34</v>
      </c>
      <c r="O357" s="29">
        <v>0.71875</v>
      </c>
      <c r="P357" s="29">
        <v>0.74097222222222225</v>
      </c>
      <c r="Q357" s="35">
        <f t="shared" ca="1" si="84"/>
        <v>2.2222222222222254E-2</v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258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86.426388888888894</v>
      </c>
      <c r="I358" s="135">
        <f>IFERROR(IF($D358="","",VLOOKUP($D358,Cadastro!$C$4:$G$7,5,FALSE)),"")</f>
        <v>0.6</v>
      </c>
      <c r="J358" s="136">
        <f t="shared" si="82"/>
        <v>18.149541666666664</v>
      </c>
      <c r="K358" s="28">
        <f t="shared" si="83"/>
        <v>63</v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258</v>
      </c>
      <c r="F359" s="134">
        <f>IFERROR(IF($D359="","",VLOOKUP($D359,Cadastro!$C$4:$E$7,3,FALSE)),"")</f>
        <v>0.35</v>
      </c>
      <c r="G359" s="105">
        <v>5</v>
      </c>
      <c r="H359" s="134">
        <f>IFERROR(IF($G359="","",$G359*$S$365/$G$365/Cadastro!$E$33),"")</f>
        <v>28.808796296296297</v>
      </c>
      <c r="I359" s="135">
        <f>IFERROR(IF($D359="","",VLOOKUP($D359,Cadastro!$C$4:$G$7,5,FALSE)),"")</f>
        <v>0.6</v>
      </c>
      <c r="J359" s="136">
        <f t="shared" si="82"/>
        <v>6.0498472222222217</v>
      </c>
      <c r="K359" s="34">
        <f t="shared" si="83"/>
        <v>21</v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258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74.902870370370366</v>
      </c>
      <c r="I360" s="135">
        <f>IFERROR(IF($D360="","",VLOOKUP($D360,Cadastro!$C$4:$G$7,5,FALSE)),"")</f>
        <v>0.6</v>
      </c>
      <c r="J360" s="136">
        <f t="shared" si="82"/>
        <v>15.729602777777774</v>
      </c>
      <c r="K360" s="28">
        <f t="shared" si="83"/>
        <v>54.6</v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258</v>
      </c>
      <c r="F361" s="134">
        <f>IFERROR(IF($D361="","",VLOOKUP($D361,Cadastro!$C$4:$E$7,3,FALSE)),"")</f>
        <v>0.35</v>
      </c>
      <c r="G361" s="105">
        <v>15</v>
      </c>
      <c r="H361" s="134">
        <f>IFERROR(IF($G361="","",$G361*$S$365/$G$365/Cadastro!$E$33),"")</f>
        <v>86.426388888888894</v>
      </c>
      <c r="I361" s="135">
        <f>IFERROR(IF($D361="","",VLOOKUP($D361,Cadastro!$C$4:$G$7,5,FALSE)),"")</f>
        <v>0.6</v>
      </c>
      <c r="J361" s="136">
        <f t="shared" si="82"/>
        <v>18.149541666666664</v>
      </c>
      <c r="K361" s="34">
        <f t="shared" si="83"/>
        <v>63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258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28.808796296296297</v>
      </c>
      <c r="I362" s="135">
        <f>IFERROR(IF($D362="","",VLOOKUP($D362,Cadastro!$C$4:$G$7,5,FALSE)),"")</f>
        <v>0.6</v>
      </c>
      <c r="J362" s="136">
        <f t="shared" si="82"/>
        <v>6.0498472222222217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258</v>
      </c>
      <c r="F363" s="134">
        <f>IFERROR(IF($D363="","",VLOOKUP($D363,Cadastro!$C$4:$E$7,3,FALSE)),"")</f>
        <v>0.35</v>
      </c>
      <c r="G363" s="105">
        <v>0</v>
      </c>
      <c r="H363" s="134">
        <f>IFERROR(IF($G363="","",$G363*$S$365/$G$365/Cadastro!$E$33),"")</f>
        <v>0</v>
      </c>
      <c r="I363" s="135">
        <f>IFERROR(IF($D363="","",VLOOKUP($D363,Cadastro!$C$4:$G$7,5,FALSE)),"")</f>
        <v>0.6</v>
      </c>
      <c r="J363" s="136">
        <f t="shared" si="82"/>
        <v>0</v>
      </c>
      <c r="K363" s="34">
        <f t="shared" si="83"/>
        <v>0</v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258</v>
      </c>
      <c r="F364" s="137">
        <f>IFERROR(IF($D364="","",VLOOKUP($D364,Cadastro!$C$4:$E$7,3,FALSE)),"")</f>
        <v>0.35</v>
      </c>
      <c r="G364" s="105">
        <v>0</v>
      </c>
      <c r="H364" s="137">
        <f>IFERROR(IF($G364="","",$G364*$S$365/$G$365/Cadastro!$E$33),"")</f>
        <v>0</v>
      </c>
      <c r="I364" s="138">
        <f>IFERROR(IF($D364="","",VLOOKUP($D364,Cadastro!$C$4:$G$7,5,FALSE)),"")</f>
        <v>0.6</v>
      </c>
      <c r="J364" s="139">
        <f t="shared" si="82"/>
        <v>0</v>
      </c>
      <c r="K364" s="28">
        <f t="shared" si="83"/>
        <v>0</v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58" t="s">
        <v>243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108</v>
      </c>
      <c r="H365" s="110">
        <f>IFERROR(SUM(H353:H364),"")</f>
        <v>622.2700000000001</v>
      </c>
      <c r="I365" s="114"/>
      <c r="J365" s="123">
        <f>IFERROR(SUM(J353:J364),"")</f>
        <v>130.67669999999998</v>
      </c>
      <c r="K365" s="36">
        <f>SUM(K353:K364)</f>
        <v>453.6</v>
      </c>
      <c r="L365" s="37"/>
      <c r="M365" s="37"/>
      <c r="N365" s="37"/>
      <c r="O365" s="37"/>
      <c r="P365" s="37"/>
      <c r="Q365" s="38">
        <f ca="1">IFERROR(SUM(Q353:Q364),"")</f>
        <v>8.3333333333333259E-2</v>
      </c>
      <c r="R365" s="36" t="s">
        <v>244</v>
      </c>
      <c r="S365" s="45">
        <v>622270</v>
      </c>
      <c r="T365" s="122">
        <f>IFERROR(J365,"")</f>
        <v>130.67669999999998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258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4.5812499999999998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0.96206249999999982</v>
      </c>
      <c r="K366" s="28">
        <f t="shared" ref="K366:K377" si="87">IF(G366="","",IF(E366="PC 17",G366*4.2,IF(E366="PC 19",G366*5,IF(E366="CB",G366*24,""))))</f>
        <v>4.2</v>
      </c>
      <c r="L366" s="26" t="s">
        <v>25</v>
      </c>
      <c r="M366" s="26" t="s">
        <v>142</v>
      </c>
      <c r="N366" s="26" t="s">
        <v>125</v>
      </c>
      <c r="O366" s="29">
        <v>0.79166666666666663</v>
      </c>
      <c r="P366" s="29">
        <v>0.8354166666666667</v>
      </c>
      <c r="Q366" s="30">
        <f t="shared" ref="Q366:Q377" ca="1" si="88">IFERROR(IF(O366="","",IF(P366="",MOD(NOW()-O366,1),IF(P366&gt;=O366,P366-O366,P366+1-O366))),"")</f>
        <v>4.3750000000000067E-2</v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258</v>
      </c>
      <c r="F367" s="134">
        <f>IFERROR(IF($D367="","",VLOOKUP($D367,Cadastro!$C$4:$E$7,3,FALSE)),"")</f>
        <v>0.35</v>
      </c>
      <c r="G367" s="105">
        <v>15</v>
      </c>
      <c r="H367" s="134">
        <f>IFERROR(IF($G367="","",$G367*$S$378/$G$378/Cadastro!$E$33),"")</f>
        <v>68.71875</v>
      </c>
      <c r="I367" s="135">
        <f>IFERROR(IF($D367="","",VLOOKUP($D367,Cadastro!$C$4:$G$7,5,FALSE)),"")</f>
        <v>0.6</v>
      </c>
      <c r="J367" s="136">
        <f t="shared" si="86"/>
        <v>14.430937499999999</v>
      </c>
      <c r="K367" s="34">
        <f t="shared" si="87"/>
        <v>63</v>
      </c>
      <c r="L367" s="33" t="s">
        <v>27</v>
      </c>
      <c r="M367" s="33" t="s">
        <v>145</v>
      </c>
      <c r="N367" s="33" t="s">
        <v>81</v>
      </c>
      <c r="O367" s="29">
        <v>0.88194444444444442</v>
      </c>
      <c r="P367" s="29">
        <v>0.8930555555555556</v>
      </c>
      <c r="Q367" s="35">
        <f t="shared" ca="1" si="88"/>
        <v>1.1111111111111183E-2</v>
      </c>
      <c r="R367" s="46" t="s">
        <v>301</v>
      </c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258</v>
      </c>
      <c r="F368" s="134">
        <f>IFERROR(IF($D368="","",VLOOKUP($D368,Cadastro!$C$4:$E$7,3,FALSE)),"")</f>
        <v>0.35</v>
      </c>
      <c r="G368" s="105">
        <v>14</v>
      </c>
      <c r="H368" s="134">
        <f>IFERROR(IF($G368="","",$G368*$S$378/$G$378/Cadastro!$E$33),"")</f>
        <v>64.137500000000003</v>
      </c>
      <c r="I368" s="135">
        <f>IFERROR(IF($D368="","",VLOOKUP($D368,Cadastro!$C$4:$G$7,5,FALSE)),"")</f>
        <v>0.6</v>
      </c>
      <c r="J368" s="136">
        <f t="shared" si="86"/>
        <v>13.468875000000001</v>
      </c>
      <c r="K368" s="28">
        <f t="shared" si="87"/>
        <v>58.800000000000004</v>
      </c>
      <c r="L368" s="26" t="s">
        <v>26</v>
      </c>
      <c r="M368" s="26" t="s">
        <v>167</v>
      </c>
      <c r="N368" s="26" t="s">
        <v>34</v>
      </c>
      <c r="O368" s="29">
        <v>2.7777777777777776E-2</v>
      </c>
      <c r="P368" s="29">
        <v>4.8611111111111112E-2</v>
      </c>
      <c r="Q368" s="30">
        <f t="shared" ca="1" si="88"/>
        <v>2.0833333333333336E-2</v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258</v>
      </c>
      <c r="F369" s="134">
        <f>IFERROR(IF($D369="","",VLOOKUP($D369,Cadastro!$C$4:$E$7,3,FALSE)),"")</f>
        <v>0.35</v>
      </c>
      <c r="G369" s="105">
        <v>21</v>
      </c>
      <c r="H369" s="134">
        <f>IFERROR(IF($G369="","",$G369*$S$378/$G$378/Cadastro!$E$33),"")</f>
        <v>96.206249999999997</v>
      </c>
      <c r="I369" s="135">
        <f>IFERROR(IF($D369="","",VLOOKUP($D369,Cadastro!$C$4:$G$7,5,FALSE)),"")</f>
        <v>0.6</v>
      </c>
      <c r="J369" s="136">
        <f t="shared" si="86"/>
        <v>20.203312499999999</v>
      </c>
      <c r="K369" s="34">
        <f t="shared" si="87"/>
        <v>88.2</v>
      </c>
      <c r="L369" s="33" t="s">
        <v>27</v>
      </c>
      <c r="M369" s="33"/>
      <c r="N369" s="33" t="s">
        <v>69</v>
      </c>
      <c r="O369" s="29">
        <v>0.1076388888888889</v>
      </c>
      <c r="P369" s="29">
        <v>0.1111111111111111</v>
      </c>
      <c r="Q369" s="35">
        <f t="shared" ca="1" si="88"/>
        <v>3.4722222222222099E-3</v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258</v>
      </c>
      <c r="F370" s="134">
        <f>IFERROR(IF($D370="","",VLOOKUP($D370,Cadastro!$C$4:$E$7,3,FALSE)),"")</f>
        <v>0.35</v>
      </c>
      <c r="G370" s="105">
        <v>17</v>
      </c>
      <c r="H370" s="134">
        <f>IFERROR(IF($G370="","",$G370*$S$378/$G$378/Cadastro!$E$33),"")</f>
        <v>77.881249999999994</v>
      </c>
      <c r="I370" s="135">
        <f>IFERROR(IF($D370="","",VLOOKUP($D370,Cadastro!$C$4:$G$7,5,FALSE)),"")</f>
        <v>0.6</v>
      </c>
      <c r="J370" s="136">
        <f t="shared" si="86"/>
        <v>16.355062499999995</v>
      </c>
      <c r="K370" s="28">
        <f t="shared" si="87"/>
        <v>71.400000000000006</v>
      </c>
      <c r="L370" s="26" t="s">
        <v>26</v>
      </c>
      <c r="M370" s="26" t="s">
        <v>167</v>
      </c>
      <c r="N370" s="26" t="s">
        <v>34</v>
      </c>
      <c r="O370" s="29">
        <v>0.18055555555555555</v>
      </c>
      <c r="P370" s="29">
        <v>0.18958333333333333</v>
      </c>
      <c r="Q370" s="30">
        <f t="shared" ca="1" si="88"/>
        <v>9.0277777777777735E-3</v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258</v>
      </c>
      <c r="F371" s="134">
        <f>IFERROR(IF($D371="","",VLOOKUP($D371,Cadastro!$C$4:$E$7,3,FALSE)),"")</f>
        <v>0.35</v>
      </c>
      <c r="G371" s="105">
        <v>15</v>
      </c>
      <c r="H371" s="134">
        <f>IFERROR(IF($G371="","",$G371*$S$378/$G$378/Cadastro!$E$33),"")</f>
        <v>68.71875</v>
      </c>
      <c r="I371" s="135">
        <f>IFERROR(IF($D371="","",VLOOKUP($D371,Cadastro!$C$4:$G$7,5,FALSE)),"")</f>
        <v>0.6</v>
      </c>
      <c r="J371" s="136">
        <f t="shared" si="86"/>
        <v>14.430937499999999</v>
      </c>
      <c r="K371" s="34">
        <f t="shared" si="87"/>
        <v>63</v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258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64.137500000000003</v>
      </c>
      <c r="I372" s="135">
        <f>IFERROR(IF($D372="","",VLOOKUP($D372,Cadastro!$C$4:$G$7,5,FALSE)),"")</f>
        <v>0.6</v>
      </c>
      <c r="J372" s="136">
        <f t="shared" si="86"/>
        <v>13.468875000000001</v>
      </c>
      <c r="K372" s="28">
        <f t="shared" si="87"/>
        <v>58.800000000000004</v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258</v>
      </c>
      <c r="F373" s="134">
        <f>IFERROR(IF($D373="","",VLOOKUP($D373,Cadastro!$C$4:$E$7,3,FALSE)),"")</f>
        <v>0.35</v>
      </c>
      <c r="G373" s="105">
        <v>20</v>
      </c>
      <c r="H373" s="134">
        <f>IFERROR(IF($G373="","",$G373*$S$378/$G$378/Cadastro!$E$33),"")</f>
        <v>91.625</v>
      </c>
      <c r="I373" s="135">
        <f>IFERROR(IF($D373="","",VLOOKUP($D373,Cadastro!$C$4:$G$7,5,FALSE)),"")</f>
        <v>0.6</v>
      </c>
      <c r="J373" s="136">
        <f t="shared" si="86"/>
        <v>19.241250000000001</v>
      </c>
      <c r="K373" s="34">
        <f t="shared" si="87"/>
        <v>84</v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258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96.206249999999997</v>
      </c>
      <c r="I374" s="135">
        <f>IFERROR(IF($D374="","",VLOOKUP($D374,Cadastro!$C$4:$G$7,5,FALSE)),"")</f>
        <v>0.6</v>
      </c>
      <c r="J374" s="136">
        <f t="shared" si="86"/>
        <v>20.203312499999999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258</v>
      </c>
      <c r="F375" s="134">
        <f>IFERROR(IF($D375="","",VLOOKUP($D375,Cadastro!$C$4:$E$7,3,FALSE)),"")</f>
        <v>0.35</v>
      </c>
      <c r="G375" s="105">
        <v>10</v>
      </c>
      <c r="H375" s="134">
        <f>IFERROR(IF($G375="","",$G375*$S$378/$G$378/Cadastro!$E$33),"")</f>
        <v>45.8125</v>
      </c>
      <c r="I375" s="135">
        <f>IFERROR(IF($D375="","",VLOOKUP($D375,Cadastro!$C$4:$G$7,5,FALSE)),"")</f>
        <v>0.6</v>
      </c>
      <c r="J375" s="136">
        <f t="shared" si="86"/>
        <v>9.6206250000000004</v>
      </c>
      <c r="K375" s="34">
        <f t="shared" si="87"/>
        <v>42</v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258</v>
      </c>
      <c r="F376" s="134">
        <f>IFERROR(IF($D376="","",VLOOKUP($D376,Cadastro!$C$4:$E$7,3,FALSE)),"")</f>
        <v>0.35</v>
      </c>
      <c r="G376" s="105">
        <v>18</v>
      </c>
      <c r="H376" s="134">
        <f>IFERROR(IF($G376="","",$G376*$S$378/$G$378/Cadastro!$E$33),"")</f>
        <v>82.462500000000006</v>
      </c>
      <c r="I376" s="135">
        <f>IFERROR(IF($D376="","",VLOOKUP($D376,Cadastro!$C$4:$G$7,5,FALSE)),"")</f>
        <v>0.6</v>
      </c>
      <c r="J376" s="136">
        <f t="shared" si="86"/>
        <v>17.317125000000001</v>
      </c>
      <c r="K376" s="28">
        <f t="shared" si="87"/>
        <v>75.600000000000009</v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258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45.8125</v>
      </c>
      <c r="I377" s="138">
        <f>IFERROR(IF($D377="","",VLOOKUP($D377,Cadastro!$C$4:$G$7,5,FALSE)),"")</f>
        <v>0.6</v>
      </c>
      <c r="J377" s="139">
        <f t="shared" si="86"/>
        <v>9.6206250000000004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58" t="s">
        <v>246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176</v>
      </c>
      <c r="H378" s="111">
        <f>IFERROR(SUM(H366:H377),"")</f>
        <v>806.29999999999984</v>
      </c>
      <c r="I378" s="115"/>
      <c r="J378" s="124">
        <f>IFERROR(SUM(J366:J377),"")</f>
        <v>169.32299999999998</v>
      </c>
      <c r="K378" s="36">
        <f>SUM(K366:K377)</f>
        <v>739.2</v>
      </c>
      <c r="L378" s="37"/>
      <c r="M378" s="37"/>
      <c r="N378" s="37"/>
      <c r="O378" s="37"/>
      <c r="P378" s="37"/>
      <c r="Q378" s="38">
        <f ca="1">IFERROR(SUM(Q366:Q377),"")</f>
        <v>8.8194444444444575E-2</v>
      </c>
      <c r="R378" s="36" t="s">
        <v>244</v>
      </c>
      <c r="S378" s="45">
        <v>806300</v>
      </c>
      <c r="T378" s="122">
        <f>IFERROR(J378,"")</f>
        <v>169.32299999999998</v>
      </c>
    </row>
    <row r="379" spans="1:20" ht="18" customHeight="1">
      <c r="A379" s="160" t="s">
        <v>247</v>
      </c>
      <c r="B379" s="161"/>
      <c r="C379" s="161"/>
      <c r="D379" s="161"/>
      <c r="E379" s="161">
        <f>E365+E378</f>
        <v>0</v>
      </c>
      <c r="F379" s="112"/>
      <c r="G379" s="91">
        <f>G365+G378</f>
        <v>284</v>
      </c>
      <c r="H379" s="112">
        <f>IFERROR(H365+H378,"")</f>
        <v>1428.57</v>
      </c>
      <c r="I379" s="116"/>
      <c r="J379" s="125">
        <f>IFERROR(J365+J378,"")</f>
        <v>299.99969999999996</v>
      </c>
      <c r="K379" s="40">
        <f>K365+K378</f>
        <v>1192.8000000000002</v>
      </c>
      <c r="L379" s="41"/>
      <c r="M379" s="41"/>
      <c r="N379" s="41"/>
      <c r="O379" s="41"/>
      <c r="P379" s="41"/>
      <c r="Q379" s="42">
        <f ca="1">IFERROR(Q365+Q378,"")</f>
        <v>0.17152777777777783</v>
      </c>
      <c r="R379" s="40" t="s">
        <v>248</v>
      </c>
      <c r="S379" s="143">
        <f>IFERROR(S365+S378,"")</f>
        <v>1428570</v>
      </c>
      <c r="T379" s="144">
        <f>IFERROR(J379,"")</f>
        <v>299.99969999999996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37</v>
      </c>
      <c r="E380" s="108" t="s">
        <v>258</v>
      </c>
      <c r="F380" s="140">
        <f>IFERROR(IF($D380="","",VLOOKUP($D380,Cadastro!$C$4:$E$7,3,FALSE)),"")</f>
        <v>0.24</v>
      </c>
      <c r="G380" s="105">
        <v>17</v>
      </c>
      <c r="H380" s="140">
        <f>IFERROR(IF($G380="","",$G380*$S$392/$G$392/Cadastro!$E$33),"")</f>
        <v>84.008674698795176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12.097249156626503</v>
      </c>
      <c r="K380" s="28">
        <f t="shared" ref="K380:K391" si="91">IF(G380="","",IF(E380="PC 17",G380*4.2,IF(E380="PC 19",G380*5,IF(E380="CB",G380*24,""))))</f>
        <v>71.400000000000006</v>
      </c>
      <c r="L380" s="26" t="s">
        <v>27</v>
      </c>
      <c r="M380" s="26"/>
      <c r="N380" s="26" t="s">
        <v>81</v>
      </c>
      <c r="O380" s="29">
        <v>0.33819444444444446</v>
      </c>
      <c r="P380" s="29">
        <v>0.34513888888888888</v>
      </c>
      <c r="Q380" s="30">
        <f t="shared" ref="Q380:Q391" ca="1" si="92">IFERROR(IF(O380="","",IF(P380="",MOD(NOW()-O380,1),IF(P380&gt;=O380,P380-O380,P380+1-O380))),"")</f>
        <v>6.9444444444444198E-3</v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37</v>
      </c>
      <c r="E381" s="108" t="s">
        <v>258</v>
      </c>
      <c r="F381" s="134">
        <f>IFERROR(IF($D381="","",VLOOKUP($D381,Cadastro!$C$4:$E$7,3,FALSE)),"")</f>
        <v>0.24</v>
      </c>
      <c r="G381" s="105">
        <v>12</v>
      </c>
      <c r="H381" s="134">
        <f>IFERROR(IF($G381="","",$G381*$S$392/$G$392/Cadastro!$E$33),"")</f>
        <v>59.300240963855423</v>
      </c>
      <c r="I381" s="135">
        <f>IFERROR(IF($D381="","",VLOOKUP($D381,Cadastro!$C$4:$G$7,5,FALSE)),"")</f>
        <v>0.6</v>
      </c>
      <c r="J381" s="136">
        <f t="shared" si="90"/>
        <v>8.5392346987951804</v>
      </c>
      <c r="K381" s="34">
        <f t="shared" si="91"/>
        <v>50.400000000000006</v>
      </c>
      <c r="L381" s="33" t="s">
        <v>27</v>
      </c>
      <c r="M381" s="33" t="s">
        <v>46</v>
      </c>
      <c r="N381" s="33" t="s">
        <v>43</v>
      </c>
      <c r="O381" s="29">
        <v>0.35555555555555557</v>
      </c>
      <c r="P381" s="29">
        <v>0.36249999999999999</v>
      </c>
      <c r="Q381" s="35">
        <f t="shared" ca="1" si="92"/>
        <v>6.9444444444444198E-3</v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258</v>
      </c>
      <c r="F382" s="134">
        <f>IFERROR(IF($D382="","",VLOOKUP($D382,Cadastro!$C$4:$E$7,3,FALSE)),"")</f>
        <v>0.35</v>
      </c>
      <c r="G382" s="105">
        <v>18</v>
      </c>
      <c r="H382" s="134">
        <f>IFERROR(IF($G382="","",$G382*$S$392/$G$392/Cadastro!$E$33),"")</f>
        <v>88.95036144578313</v>
      </c>
      <c r="I382" s="135">
        <f>IFERROR(IF($D382="","",VLOOKUP($D382,Cadastro!$C$4:$G$7,5,FALSE)),"")</f>
        <v>0.6</v>
      </c>
      <c r="J382" s="136">
        <f t="shared" si="90"/>
        <v>18.679575903614456</v>
      </c>
      <c r="K382" s="28">
        <f t="shared" si="91"/>
        <v>75.600000000000009</v>
      </c>
      <c r="L382" s="26" t="s">
        <v>27</v>
      </c>
      <c r="M382" s="26"/>
      <c r="N382" s="33" t="s">
        <v>81</v>
      </c>
      <c r="O382" s="29">
        <v>0.39374999999999999</v>
      </c>
      <c r="P382" s="29">
        <v>0.39861111111111114</v>
      </c>
      <c r="Q382" s="30">
        <f t="shared" ca="1" si="92"/>
        <v>4.8611111111111494E-3</v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258</v>
      </c>
      <c r="F383" s="134">
        <f>IFERROR(IF($D383="","",VLOOKUP($D383,Cadastro!$C$4:$E$7,3,FALSE)),"")</f>
        <v>0.35</v>
      </c>
      <c r="G383" s="105">
        <v>12</v>
      </c>
      <c r="H383" s="134">
        <f>IFERROR(IF($G383="","",$G383*$S$392/$G$392/Cadastro!$E$33),"")</f>
        <v>59.300240963855423</v>
      </c>
      <c r="I383" s="135">
        <f>IFERROR(IF($D383="","",VLOOKUP($D383,Cadastro!$C$4:$G$7,5,FALSE)),"")</f>
        <v>0.6</v>
      </c>
      <c r="J383" s="136">
        <f t="shared" si="90"/>
        <v>12.453050602409638</v>
      </c>
      <c r="K383" s="34">
        <f t="shared" si="91"/>
        <v>50.400000000000006</v>
      </c>
      <c r="L383" s="33" t="s">
        <v>26</v>
      </c>
      <c r="M383" s="33" t="s">
        <v>167</v>
      </c>
      <c r="N383" s="33" t="s">
        <v>34</v>
      </c>
      <c r="O383" s="29">
        <v>0.47708333333333336</v>
      </c>
      <c r="P383" s="29">
        <v>0.49583333333333335</v>
      </c>
      <c r="Q383" s="35">
        <f t="shared" ca="1" si="92"/>
        <v>1.8749999999999989E-2</v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258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49.416867469879513</v>
      </c>
      <c r="I384" s="135">
        <f>IFERROR(IF($D384="","",VLOOKUP($D384,Cadastro!$C$4:$G$7,5,FALSE)),"")</f>
        <v>0.6</v>
      </c>
      <c r="J384" s="136">
        <f t="shared" si="90"/>
        <v>10.377542168674696</v>
      </c>
      <c r="K384" s="28">
        <f t="shared" si="91"/>
        <v>42</v>
      </c>
      <c r="L384" s="26" t="s">
        <v>24</v>
      </c>
      <c r="M384" s="26"/>
      <c r="N384" s="26" t="s">
        <v>32</v>
      </c>
      <c r="O384" s="29">
        <v>0.48333333333333334</v>
      </c>
      <c r="P384" s="29">
        <v>0.49166666666666664</v>
      </c>
      <c r="Q384" s="30">
        <f t="shared" ca="1" si="92"/>
        <v>8.3333333333333037E-3</v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258</v>
      </c>
      <c r="F385" s="134">
        <f>IFERROR(IF($D385="","",VLOOKUP($D385,Cadastro!$C$4:$E$7,3,FALSE)),"")</f>
        <v>0.35</v>
      </c>
      <c r="G385" s="105">
        <v>16</v>
      </c>
      <c r="H385" s="134">
        <f>IFERROR(IF($G385="","",$G385*$S$392/$G$392/Cadastro!$E$33),"")</f>
        <v>79.066987951807221</v>
      </c>
      <c r="I385" s="135">
        <f>IFERROR(IF($D385="","",VLOOKUP($D385,Cadastro!$C$4:$G$7,5,FALSE)),"")</f>
        <v>0.6</v>
      </c>
      <c r="J385" s="136">
        <f t="shared" si="90"/>
        <v>16.604067469879514</v>
      </c>
      <c r="K385" s="34">
        <f t="shared" si="91"/>
        <v>67.2</v>
      </c>
      <c r="L385" s="33" t="s">
        <v>23</v>
      </c>
      <c r="M385" s="33" t="s">
        <v>150</v>
      </c>
      <c r="N385" s="33" t="s">
        <v>65</v>
      </c>
      <c r="O385" s="29">
        <v>0.58333333333333337</v>
      </c>
      <c r="P385" s="29">
        <v>0.60972222222222228</v>
      </c>
      <c r="Q385" s="35">
        <f t="shared" ca="1" si="92"/>
        <v>2.6388888888888906E-2</v>
      </c>
      <c r="R385" s="46" t="s">
        <v>302</v>
      </c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258</v>
      </c>
      <c r="F386" s="134">
        <f>IFERROR(IF($D386="","",VLOOKUP($D386,Cadastro!$C$4:$E$7,3,FALSE)),"")</f>
        <v>0.35</v>
      </c>
      <c r="G386" s="105">
        <v>15</v>
      </c>
      <c r="H386" s="134">
        <f>IFERROR(IF($G386="","",$G386*$S$392/$G$392/Cadastro!$E$33),"")</f>
        <v>74.12530120481928</v>
      </c>
      <c r="I386" s="135">
        <f>IFERROR(IF($D386="","",VLOOKUP($D386,Cadastro!$C$4:$G$7,5,FALSE)),"")</f>
        <v>0.6</v>
      </c>
      <c r="J386" s="136">
        <f t="shared" si="90"/>
        <v>15.566313253012046</v>
      </c>
      <c r="K386" s="28">
        <f t="shared" si="91"/>
        <v>63</v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258</v>
      </c>
      <c r="F387" s="134">
        <f>IFERROR(IF($D387="","",VLOOKUP($D387,Cadastro!$C$4:$E$7,3,FALSE)),"")</f>
        <v>0.35</v>
      </c>
      <c r="G387" s="105">
        <v>8</v>
      </c>
      <c r="H387" s="134">
        <f>IFERROR(IF($G387="","",$G387*$S$392/$G$392/Cadastro!$E$33),"")</f>
        <v>39.53349397590361</v>
      </c>
      <c r="I387" s="135">
        <f>IFERROR(IF($D387="","",VLOOKUP($D387,Cadastro!$C$4:$G$7,5,FALSE)),"")</f>
        <v>0.6</v>
      </c>
      <c r="J387" s="136">
        <f t="shared" si="90"/>
        <v>8.3020337349397568</v>
      </c>
      <c r="K387" s="34">
        <f t="shared" si="91"/>
        <v>33.6</v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258</v>
      </c>
      <c r="F388" s="134">
        <f>IFERROR(IF($D388="","",VLOOKUP($D388,Cadastro!$C$4:$E$7,3,FALSE)),"")</f>
        <v>0.35</v>
      </c>
      <c r="G388" s="105">
        <v>17</v>
      </c>
      <c r="H388" s="134">
        <f>IFERROR(IF($G388="","",$G388*$S$392/$G$392/Cadastro!$E$33),"")</f>
        <v>84.008674698795176</v>
      </c>
      <c r="I388" s="135">
        <f>IFERROR(IF($D388="","",VLOOKUP($D388,Cadastro!$C$4:$G$7,5,FALSE)),"")</f>
        <v>0.6</v>
      </c>
      <c r="J388" s="136">
        <f t="shared" si="90"/>
        <v>17.641821686746983</v>
      </c>
      <c r="K388" s="28">
        <f t="shared" si="91"/>
        <v>71.400000000000006</v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258</v>
      </c>
      <c r="F389" s="134">
        <f>IFERROR(IF($D389="","",VLOOKUP($D389,Cadastro!$C$4:$E$7,3,FALSE)),"")</f>
        <v>0.35</v>
      </c>
      <c r="G389" s="105">
        <v>15</v>
      </c>
      <c r="H389" s="134">
        <f>IFERROR(IF($G389="","",$G389*$S$392/$G$392/Cadastro!$E$33),"")</f>
        <v>74.12530120481928</v>
      </c>
      <c r="I389" s="135">
        <f>IFERROR(IF($D389="","",VLOOKUP($D389,Cadastro!$C$4:$G$7,5,FALSE)),"")</f>
        <v>0.6</v>
      </c>
      <c r="J389" s="136">
        <f t="shared" si="90"/>
        <v>15.566313253012046</v>
      </c>
      <c r="K389" s="34">
        <f t="shared" si="91"/>
        <v>63</v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258</v>
      </c>
      <c r="F390" s="134">
        <f>IFERROR(IF($D390="","",VLOOKUP($D390,Cadastro!$C$4:$E$7,3,FALSE)),"")</f>
        <v>0.35</v>
      </c>
      <c r="G390" s="105">
        <v>11</v>
      </c>
      <c r="H390" s="134">
        <f>IFERROR(IF($G390="","",$G390*$S$392/$G$392/Cadastro!$E$33),"")</f>
        <v>54.358554216867475</v>
      </c>
      <c r="I390" s="135">
        <f>IFERROR(IF($D390="","",VLOOKUP($D390,Cadastro!$C$4:$G$7,5,FALSE)),"")</f>
        <v>0.6</v>
      </c>
      <c r="J390" s="136">
        <f t="shared" si="90"/>
        <v>11.415296385542169</v>
      </c>
      <c r="K390" s="28">
        <f t="shared" si="91"/>
        <v>46.2</v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258</v>
      </c>
      <c r="F391" s="137">
        <f>IFERROR(IF($D391="","",VLOOKUP($D391,Cadastro!$C$4:$E$7,3,FALSE)),"")</f>
        <v>0.35</v>
      </c>
      <c r="G391" s="105">
        <v>15</v>
      </c>
      <c r="H391" s="137">
        <f>IFERROR(IF($G391="","",$G391*$S$392/$G$392/Cadastro!$E$33),"")</f>
        <v>74.12530120481928</v>
      </c>
      <c r="I391" s="138">
        <f>IFERROR(IF($D391="","",VLOOKUP($D391,Cadastro!$C$4:$G$7,5,FALSE)),"")</f>
        <v>0.6</v>
      </c>
      <c r="J391" s="139">
        <f t="shared" si="90"/>
        <v>15.566313253012046</v>
      </c>
      <c r="K391" s="34">
        <f t="shared" si="91"/>
        <v>63</v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58" t="s">
        <v>243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166</v>
      </c>
      <c r="H392" s="110">
        <f>IFERROR(SUM(H380:H391),"")</f>
        <v>820.31999999999994</v>
      </c>
      <c r="I392" s="114"/>
      <c r="J392" s="123">
        <f>IFERROR(SUM(J380:J391),"")</f>
        <v>162.80881156626504</v>
      </c>
      <c r="K392" s="36">
        <f>SUM(K380:K391)</f>
        <v>697.20000000000016</v>
      </c>
      <c r="L392" s="37"/>
      <c r="M392" s="37"/>
      <c r="N392" s="37"/>
      <c r="O392" s="37"/>
      <c r="P392" s="37"/>
      <c r="Q392" s="38">
        <f ca="1">IFERROR(SUM(Q380:Q391),"")</f>
        <v>7.2222222222222188E-2</v>
      </c>
      <c r="R392" s="36" t="s">
        <v>244</v>
      </c>
      <c r="S392" s="45">
        <v>820320</v>
      </c>
      <c r="T392" s="122">
        <f>IFERROR(J392,"")</f>
        <v>162.80881156626504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258</v>
      </c>
      <c r="F393" s="140">
        <f>IFERROR(IF($D393="","",VLOOKUP($D393,Cadastro!$C$4:$E$7,3,FALSE)),"")</f>
        <v>0.35</v>
      </c>
      <c r="G393" s="105">
        <v>20</v>
      </c>
      <c r="H393" s="140">
        <f>IFERROR(IF($G393="","",$G393*$S$405/$G$405/Cadastro!$E$33),"")</f>
        <v>0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0</v>
      </c>
      <c r="K393" s="34">
        <f t="shared" ref="K393:K404" si="95">IF(G393="","",IF(E393="PC 17",G393*4.2,IF(E393="PC 19",G393*5,IF(E393="CB",G393*24,""))))</f>
        <v>84</v>
      </c>
      <c r="L393" s="33" t="s">
        <v>25</v>
      </c>
      <c r="M393" s="33" t="s">
        <v>38</v>
      </c>
      <c r="N393" s="33" t="s">
        <v>164</v>
      </c>
      <c r="O393" s="29">
        <v>0.87152777777777779</v>
      </c>
      <c r="P393" s="29">
        <v>0.89583333333333337</v>
      </c>
      <c r="Q393" s="35">
        <f t="shared" ref="Q393:Q404" ca="1" si="96">IFERROR(IF(O393="","",IF(P393="",MOD(NOW()-O393,1),IF(P393&gt;=O393,P393-O393,P393+1-O393))),"")</f>
        <v>2.430555555555558E-2</v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258</v>
      </c>
      <c r="F394" s="134">
        <f>IFERROR(IF($D394="","",VLOOKUP($D394,Cadastro!$C$4:$E$7,3,FALSE)),"")</f>
        <v>0.35</v>
      </c>
      <c r="G394" s="105">
        <v>22</v>
      </c>
      <c r="H394" s="134">
        <f>IFERROR(IF($G394="","",$G394*$S$405/$G$405/Cadastro!$E$33),"")</f>
        <v>0</v>
      </c>
      <c r="I394" s="135">
        <f>IFERROR(IF($D394="","",VLOOKUP($D394,Cadastro!$C$4:$G$7,5,FALSE)),"")</f>
        <v>0.6</v>
      </c>
      <c r="J394" s="136">
        <f t="shared" si="94"/>
        <v>0</v>
      </c>
      <c r="K394" s="28">
        <f t="shared" si="95"/>
        <v>92.4</v>
      </c>
      <c r="L394" s="26" t="s">
        <v>26</v>
      </c>
      <c r="M394" s="26" t="s">
        <v>167</v>
      </c>
      <c r="N394" s="26" t="s">
        <v>34</v>
      </c>
      <c r="O394" s="29">
        <v>0.79166666666666663</v>
      </c>
      <c r="P394" s="29">
        <v>0.80555555555555558</v>
      </c>
      <c r="Q394" s="30">
        <f t="shared" ca="1" si="96"/>
        <v>1.3888888888888951E-2</v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258</v>
      </c>
      <c r="F395" s="134">
        <f>IFERROR(IF($D395="","",VLOOKUP($D395,Cadastro!$C$4:$E$7,3,FALSE)),"")</f>
        <v>0.35</v>
      </c>
      <c r="G395" s="105"/>
      <c r="H395" s="134" t="str">
        <f>IFERROR(IF($G395="","",$G395*$S$405/$G$405/Cadastro!$E$33),"")</f>
        <v/>
      </c>
      <c r="I395" s="135">
        <f>IFERROR(IF($D395="","",VLOOKUP($D395,Cadastro!$C$4:$G$7,5,FALSE)),"")</f>
        <v>0.6</v>
      </c>
      <c r="J395" s="136" t="str">
        <f t="shared" si="94"/>
        <v/>
      </c>
      <c r="K395" s="34" t="str">
        <f t="shared" si="95"/>
        <v/>
      </c>
      <c r="L395" s="33"/>
      <c r="M395" s="33"/>
      <c r="N395" s="33"/>
      <c r="O395" s="29"/>
      <c r="P395" s="29"/>
      <c r="Q395" s="35" t="str">
        <f t="shared" ca="1" si="96"/>
        <v/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258</v>
      </c>
      <c r="F396" s="134">
        <f>IFERROR(IF($D396="","",VLOOKUP($D396,Cadastro!$C$4:$E$7,3,FALSE)),"")</f>
        <v>0.35</v>
      </c>
      <c r="G396" s="105"/>
      <c r="H396" s="134" t="str">
        <f>IFERROR(IF($G396="","",$G396*$S$405/$G$405/Cadastro!$E$33),"")</f>
        <v/>
      </c>
      <c r="I396" s="135">
        <f>IFERROR(IF($D396="","",VLOOKUP($D396,Cadastro!$C$4:$G$7,5,FALSE)),"")</f>
        <v>0.6</v>
      </c>
      <c r="J396" s="136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46"/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258</v>
      </c>
      <c r="F397" s="134">
        <f>IFERROR(IF($D397="","",VLOOKUP($D397,Cadastro!$C$4:$E$7,3,FALSE)),"")</f>
        <v>0.35</v>
      </c>
      <c r="G397" s="105"/>
      <c r="H397" s="134" t="str">
        <f>IFERROR(IF($G397="","",$G397*$S$405/$G$405/Cadastro!$E$33),"")</f>
        <v/>
      </c>
      <c r="I397" s="135">
        <f>IFERROR(IF($D397="","",VLOOKUP($D397,Cadastro!$C$4:$G$7,5,FALSE)),"")</f>
        <v>0.6</v>
      </c>
      <c r="J397" s="136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258</v>
      </c>
      <c r="F398" s="134">
        <f>IFERROR(IF($D398="","",VLOOKUP($D398,Cadastro!$C$4:$E$7,3,FALSE)),"")</f>
        <v>0.35</v>
      </c>
      <c r="G398" s="105"/>
      <c r="H398" s="134" t="str">
        <f>IFERROR(IF($G398="","",$G398*$S$405/$G$405/Cadastro!$E$33),"")</f>
        <v/>
      </c>
      <c r="I398" s="135">
        <f>IFERROR(IF($D398="","",VLOOKUP($D398,Cadastro!$C$4:$G$7,5,FALSE)),"")</f>
        <v>0.6</v>
      </c>
      <c r="J398" s="136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258</v>
      </c>
      <c r="F399" s="134">
        <f>IFERROR(IF($D399="","",VLOOKUP($D399,Cadastro!$C$4:$E$7,3,FALSE)),"")</f>
        <v>0.35</v>
      </c>
      <c r="G399" s="105"/>
      <c r="H399" s="134" t="str">
        <f>IFERROR(IF($G399="","",$G399*$S$405/$G$405/Cadastro!$E$33),"")</f>
        <v/>
      </c>
      <c r="I399" s="135">
        <f>IFERROR(IF($D399="","",VLOOKUP($D399,Cadastro!$C$4:$G$7,5,FALSE)),"")</f>
        <v>0.6</v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258</v>
      </c>
      <c r="F400" s="134">
        <f>IFERROR(IF($D400="","",VLOOKUP($D400,Cadastro!$C$4:$E$7,3,FALSE)),"")</f>
        <v>0.35</v>
      </c>
      <c r="G400" s="105"/>
      <c r="H400" s="134" t="str">
        <f>IFERROR(IF($G400="","",$G400*$S$405/$G$405/Cadastro!$E$33),"")</f>
        <v/>
      </c>
      <c r="I400" s="135">
        <f>IFERROR(IF($D400="","",VLOOKUP($D400,Cadastro!$C$4:$G$7,5,FALSE)),"")</f>
        <v>0.6</v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258</v>
      </c>
      <c r="F401" s="134">
        <f>IFERROR(IF($D401="","",VLOOKUP($D401,Cadastro!$C$4:$E$7,3,FALSE)),"")</f>
        <v>0.35</v>
      </c>
      <c r="G401" s="105"/>
      <c r="H401" s="134" t="str">
        <f>IFERROR(IF($G401="","",$G401*$S$405/$G$405/Cadastro!$E$33),"")</f>
        <v/>
      </c>
      <c r="I401" s="135">
        <f>IFERROR(IF($D401="","",VLOOKUP($D401,Cadastro!$C$4:$G$7,5,FALSE)),"")</f>
        <v>0.6</v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29</v>
      </c>
      <c r="E402" s="109" t="s">
        <v>258</v>
      </c>
      <c r="F402" s="134">
        <f>IFERROR(IF($D402="","",VLOOKUP($D402,Cadastro!$C$4:$E$7,3,FALSE)),"")</f>
        <v>0.35</v>
      </c>
      <c r="G402" s="105"/>
      <c r="H402" s="134" t="str">
        <f>IFERROR(IF($G402="","",$G402*$S$405/$G$405/Cadastro!$E$33),"")</f>
        <v/>
      </c>
      <c r="I402" s="135">
        <f>IFERROR(IF($D402="","",VLOOKUP($D402,Cadastro!$C$4:$G$7,5,FALSE)),"")</f>
        <v>0.6</v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29</v>
      </c>
      <c r="E403" s="109" t="s">
        <v>258</v>
      </c>
      <c r="F403" s="134">
        <f>IFERROR(IF($D403="","",VLOOKUP($D403,Cadastro!$C$4:$E$7,3,FALSE)),"")</f>
        <v>0.35</v>
      </c>
      <c r="G403" s="105"/>
      <c r="H403" s="134" t="str">
        <f>IFERROR(IF($G403="","",$G403*$S$405/$G$405/Cadastro!$E$33),"")</f>
        <v/>
      </c>
      <c r="I403" s="135">
        <f>IFERROR(IF($D403="","",VLOOKUP($D403,Cadastro!$C$4:$G$7,5,FALSE)),"")</f>
        <v>0.6</v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29</v>
      </c>
      <c r="E404" s="109" t="s">
        <v>258</v>
      </c>
      <c r="F404" s="137">
        <f>IFERROR(IF($D404="","",VLOOKUP($D404,Cadastro!$C$4:$E$7,3,FALSE)),"")</f>
        <v>0.35</v>
      </c>
      <c r="G404" s="105"/>
      <c r="H404" s="137" t="str">
        <f>IFERROR(IF($G404="","",$G404*$S$405/$G$405/Cadastro!$E$33),"")</f>
        <v/>
      </c>
      <c r="I404" s="138">
        <f>IFERROR(IF($D404="","",VLOOKUP($D404,Cadastro!$C$4:$G$7,5,FALSE)),"")</f>
        <v>0.6</v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58" t="s">
        <v>246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42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176.4</v>
      </c>
      <c r="L405" s="37"/>
      <c r="M405" s="37"/>
      <c r="N405" s="37"/>
      <c r="O405" s="37"/>
      <c r="P405" s="37"/>
      <c r="Q405" s="38">
        <f ca="1">IFERROR(SUM(Q393:Q404),"")</f>
        <v>3.8194444444444531E-2</v>
      </c>
      <c r="R405" s="36" t="s">
        <v>244</v>
      </c>
      <c r="S405" s="45"/>
      <c r="T405" s="122">
        <f>IFERROR(J405,"")</f>
        <v>0</v>
      </c>
    </row>
    <row r="406" spans="1:20" ht="18" customHeight="1">
      <c r="A406" s="160" t="s">
        <v>247</v>
      </c>
      <c r="B406" s="161"/>
      <c r="C406" s="161"/>
      <c r="D406" s="161"/>
      <c r="E406" s="161">
        <f>E392+E405</f>
        <v>0</v>
      </c>
      <c r="F406" s="112"/>
      <c r="G406" s="91">
        <f>G392+G405</f>
        <v>208</v>
      </c>
      <c r="H406" s="112">
        <f>IFERROR(H392+H405,"")</f>
        <v>820.31999999999994</v>
      </c>
      <c r="I406" s="116"/>
      <c r="J406" s="125">
        <f>IFERROR(J392+J405,"")</f>
        <v>162.80881156626504</v>
      </c>
      <c r="K406" s="40">
        <f>K392+K405</f>
        <v>873.60000000000014</v>
      </c>
      <c r="L406" s="41"/>
      <c r="M406" s="41"/>
      <c r="N406" s="41"/>
      <c r="O406" s="41"/>
      <c r="P406" s="41"/>
      <c r="Q406" s="42">
        <f ca="1">IFERROR(Q392+Q405,"")</f>
        <v>0.11041666666666672</v>
      </c>
      <c r="R406" s="40" t="s">
        <v>248</v>
      </c>
      <c r="S406" s="143">
        <f>IFERROR(S392+S405,"")</f>
        <v>820320</v>
      </c>
      <c r="T406" s="144">
        <f>IFERROR(J406,"")</f>
        <v>162.80881156626504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26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34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34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58" t="s">
        <v>243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244</v>
      </c>
      <c r="S419" s="45"/>
      <c r="T419" s="122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46"/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246</v>
      </c>
      <c r="B432" s="79"/>
      <c r="C432" s="79"/>
      <c r="D432" s="79"/>
      <c r="E432" s="79"/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244</v>
      </c>
      <c r="S432" s="45"/>
      <c r="T432" s="122">
        <f>IFERROR(J432,"")</f>
        <v>0</v>
      </c>
    </row>
    <row r="433" spans="1:20" ht="18" customHeight="1">
      <c r="A433" s="83" t="s">
        <v>247</v>
      </c>
      <c r="B433" s="82"/>
      <c r="C433" s="82"/>
      <c r="D433" s="82"/>
      <c r="E433" s="82"/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248</v>
      </c>
      <c r="S433" s="143">
        <f>IFERROR(S419+S432,"")</f>
        <v>0</v>
      </c>
      <c r="T433" s="144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46"/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58" t="s">
        <v>243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244</v>
      </c>
      <c r="S446" s="45"/>
      <c r="T446" s="122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 t="shared" si="111"/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 t="str">
        <f t="shared" si="111"/>
        <v/>
      </c>
      <c r="L451" s="33"/>
      <c r="M451" s="33"/>
      <c r="N451" s="33"/>
      <c r="O451" s="29"/>
      <c r="P451" s="29"/>
      <c r="Q451" s="35" t="str">
        <f t="shared" ca="1" si="112"/>
        <v/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46"/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46"/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58" t="s">
        <v>246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244</v>
      </c>
      <c r="S459" s="45"/>
      <c r="T459" s="122">
        <f>IFERROR(J459,"")</f>
        <v>0</v>
      </c>
    </row>
    <row r="460" spans="1:20" ht="18" customHeight="1">
      <c r="A460" s="160" t="s">
        <v>247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248</v>
      </c>
      <c r="S460" s="143">
        <f>IFERROR(S446+S459,"")</f>
        <v>0</v>
      </c>
      <c r="T460" s="144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46"/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58" t="s">
        <v>243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244</v>
      </c>
      <c r="S473" s="45"/>
      <c r="T473" s="122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58" t="s">
        <v>246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244</v>
      </c>
      <c r="S486" s="45"/>
      <c r="T486" s="122">
        <f>IFERROR(J486,"")</f>
        <v>0</v>
      </c>
    </row>
    <row r="487" spans="1:20" ht="18" customHeight="1">
      <c r="A487" s="160" t="s">
        <v>247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248</v>
      </c>
      <c r="S487" s="143">
        <f>IFERROR(S473+S486,"")</f>
        <v>0</v>
      </c>
      <c r="T487" s="144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58" t="s">
        <v>243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244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246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244</v>
      </c>
      <c r="S513" s="45"/>
      <c r="T513" s="122">
        <f>IFERROR(J513,"")</f>
        <v>0</v>
      </c>
    </row>
    <row r="514" spans="1:20" ht="18" customHeight="1">
      <c r="A514" s="83" t="s">
        <v>247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248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58" t="s">
        <v>243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244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58" t="s">
        <v>246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244</v>
      </c>
      <c r="S540" s="45"/>
      <c r="T540" s="122">
        <f>IFERROR(J540,"")</f>
        <v>0</v>
      </c>
    </row>
    <row r="541" spans="1:20" ht="18" customHeight="1">
      <c r="A541" s="160" t="s">
        <v>247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248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58" t="s">
        <v>243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244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58" t="s">
        <v>246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244</v>
      </c>
      <c r="S567" s="45"/>
      <c r="T567" s="122">
        <f>IFERROR(J567,"")</f>
        <v>0</v>
      </c>
    </row>
    <row r="568" spans="1:20" ht="18" customHeight="1">
      <c r="A568" s="160" t="s">
        <v>247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248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58" t="s">
        <v>243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244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58" t="s">
        <v>246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244</v>
      </c>
      <c r="S594" s="45"/>
      <c r="T594" s="122">
        <f>IFERROR(J594,"")</f>
        <v>0</v>
      </c>
    </row>
    <row r="595" spans="1:20" ht="18" customHeight="1">
      <c r="A595" s="160" t="s">
        <v>247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248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58" t="s">
        <v>243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244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58" t="s">
        <v>246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244</v>
      </c>
      <c r="S621" s="45"/>
      <c r="T621" s="122">
        <f>IFERROR(J621,"")</f>
        <v>0</v>
      </c>
    </row>
    <row r="622" spans="1:20" ht="18" customHeight="1">
      <c r="A622" s="160" t="s">
        <v>247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248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58" t="s">
        <v>243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244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58" t="s">
        <v>246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244</v>
      </c>
      <c r="S648" s="45"/>
      <c r="T648" s="122">
        <f>IFERROR(J648,"")</f>
        <v>0</v>
      </c>
    </row>
    <row r="649" spans="1:20" ht="18" customHeight="1">
      <c r="A649" s="160" t="s">
        <v>247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248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58" t="s">
        <v>243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244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58" t="s">
        <v>246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244</v>
      </c>
      <c r="S675" s="45"/>
      <c r="T675" s="122">
        <f>IFERROR(J675,"")</f>
        <v>0</v>
      </c>
    </row>
    <row r="676" spans="1:20" ht="18" customHeight="1">
      <c r="A676" s="160" t="s">
        <v>247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248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58" t="s">
        <v>243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244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58" t="s">
        <v>246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244</v>
      </c>
      <c r="S702" s="45"/>
      <c r="T702" s="122">
        <f>IFERROR(J702,"")</f>
        <v>0</v>
      </c>
    </row>
    <row r="703" spans="1:20" ht="18" customHeight="1">
      <c r="A703" s="160" t="s">
        <v>247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248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58" t="s">
        <v>243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244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58" t="s">
        <v>246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244</v>
      </c>
      <c r="S729" s="45"/>
      <c r="T729" s="122">
        <f>IFERROR(J729,"")</f>
        <v>0</v>
      </c>
    </row>
    <row r="730" spans="1:20" ht="18" customHeight="1">
      <c r="A730" s="160" t="s">
        <v>247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248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58" t="s">
        <v>243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244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58" t="s">
        <v>246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244</v>
      </c>
      <c r="S756" s="39"/>
      <c r="T756" s="119">
        <f>IFERROR(J756,"")</f>
        <v>0</v>
      </c>
    </row>
    <row r="757" spans="1:20" ht="18" customHeight="1">
      <c r="A757" s="160" t="s">
        <v>247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248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58" t="s">
        <v>243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244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58" t="s">
        <v>246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244</v>
      </c>
      <c r="S783" s="39"/>
      <c r="T783" s="119">
        <f>IFERROR(J783,"")</f>
        <v>0</v>
      </c>
    </row>
    <row r="784" spans="1:20" ht="18" customHeight="1">
      <c r="A784" s="160" t="s">
        <v>247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248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58" t="s">
        <v>243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244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58" t="s">
        <v>246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244</v>
      </c>
      <c r="S810" s="39"/>
      <c r="T810" s="119">
        <f>IFERROR(J810,"")</f>
        <v>0</v>
      </c>
    </row>
    <row r="811" spans="1:20" ht="18" customHeight="1">
      <c r="A811" s="160" t="s">
        <v>247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248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58" t="s">
        <v>243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244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58" t="s">
        <v>246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244</v>
      </c>
      <c r="S837" s="75"/>
      <c r="T837" s="117">
        <f>IFERROR(J837,"")</f>
        <v>0</v>
      </c>
    </row>
    <row r="838" spans="1:20" ht="18" customHeight="1">
      <c r="A838" s="160" t="s">
        <v>247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248</v>
      </c>
      <c r="S838" s="13">
        <f>IFERROR(S824+S837,"")</f>
        <v>0</v>
      </c>
      <c r="T838" s="97">
        <f>IFERROR(J838,"")</f>
        <v>0</v>
      </c>
    </row>
  </sheetData>
  <sheetProtection algorithmName="SHA-512" hashValue="zbs9plIZO6EiPtTW7n0EqTmQU041f0rxb2y6n8rm+4+jdyLB/NN4IL/5yH5aj3yDbuCjGt/aSCEZqru5kmSYJw==" saltValue="uiud2b9tEPsDKK7CeIPPqA==" spinCount="100000" sheet="1" objects="1" scenarios="1"/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phoneticPr fontId="17" type="noConversion"/>
  <dataValidations xWindow="371" yWindow="556" count="4">
    <dataValidation type="list" allowBlank="1" showErrorMessage="1" errorTitle="Valor inválido" error="Selecione PC 17 ou PC 19 da lista." sqref="E2:F13 E15:F26 E515:F838 E434:F512 E29:F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zoomScale="80" zoomScaleNormal="80" workbookViewId="0">
      <pane ySplit="1" topLeftCell="A369" activePane="bottomLeft" state="frozen"/>
      <selection pane="bottomLeft" activeCell="P394" sqref="P394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10" width="13.85546875" style="20" hidden="1" customWidth="1"/>
    <col min="11" max="11" width="14" style="20" customWidth="1"/>
    <col min="12" max="12" width="32.71093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7109375" hidden="1" customWidth="1"/>
  </cols>
  <sheetData>
    <row r="1" spans="1:20" ht="37.5" customHeight="1">
      <c r="A1" s="66" t="s">
        <v>11</v>
      </c>
      <c r="B1" s="23" t="s">
        <v>232</v>
      </c>
      <c r="C1" s="23" t="s">
        <v>17</v>
      </c>
      <c r="D1" s="22" t="s">
        <v>18</v>
      </c>
      <c r="E1" s="22" t="s">
        <v>233</v>
      </c>
      <c r="F1" s="133" t="s">
        <v>19</v>
      </c>
      <c r="G1" s="23" t="s">
        <v>234</v>
      </c>
      <c r="H1" s="133" t="s">
        <v>269</v>
      </c>
      <c r="I1" s="133" t="s">
        <v>20</v>
      </c>
      <c r="J1" s="133" t="s">
        <v>270</v>
      </c>
      <c r="K1" s="23" t="s">
        <v>235</v>
      </c>
      <c r="L1" s="23" t="s">
        <v>21</v>
      </c>
      <c r="M1" s="23" t="s">
        <v>22</v>
      </c>
      <c r="N1" s="23" t="s">
        <v>236</v>
      </c>
      <c r="O1" s="23" t="s">
        <v>237</v>
      </c>
      <c r="P1" s="23" t="s">
        <v>238</v>
      </c>
      <c r="Q1" s="24" t="s">
        <v>239</v>
      </c>
      <c r="R1" s="23" t="s">
        <v>240</v>
      </c>
      <c r="S1" s="23" t="s">
        <v>241</v>
      </c>
      <c r="T1" s="23" t="s">
        <v>270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258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27</v>
      </c>
      <c r="M2" s="26"/>
      <c r="N2" s="26" t="s">
        <v>81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258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26</v>
      </c>
      <c r="M3" s="33" t="s">
        <v>54</v>
      </c>
      <c r="N3" s="33" t="s">
        <v>34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258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258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258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258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258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52</v>
      </c>
      <c r="D9" s="59" t="s">
        <v>45</v>
      </c>
      <c r="E9" s="108" t="s">
        <v>258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258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258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258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258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58" t="s">
        <v>243</v>
      </c>
      <c r="B14" s="159"/>
      <c r="C14" s="159"/>
      <c r="D14" s="159"/>
      <c r="E14" s="159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244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258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26</v>
      </c>
      <c r="M15" s="33" t="s">
        <v>54</v>
      </c>
      <c r="N15" s="33" t="s">
        <v>62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303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36</v>
      </c>
      <c r="D16" s="62" t="s">
        <v>45</v>
      </c>
      <c r="E16" s="109" t="s">
        <v>258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24</v>
      </c>
      <c r="M16" s="26" t="s">
        <v>142</v>
      </c>
      <c r="N16" s="26" t="s">
        <v>56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36</v>
      </c>
      <c r="D17" s="62" t="s">
        <v>45</v>
      </c>
      <c r="E17" s="109" t="s">
        <v>258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27</v>
      </c>
      <c r="M17" s="33" t="s">
        <v>165</v>
      </c>
      <c r="N17" s="33" t="s">
        <v>81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36</v>
      </c>
      <c r="D18" s="62" t="s">
        <v>45</v>
      </c>
      <c r="E18" s="109" t="s">
        <v>258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24</v>
      </c>
      <c r="M18" s="26" t="s">
        <v>142</v>
      </c>
      <c r="N18" s="26" t="s">
        <v>56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274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36</v>
      </c>
      <c r="D19" s="62" t="s">
        <v>45</v>
      </c>
      <c r="E19" s="109" t="s">
        <v>258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27</v>
      </c>
      <c r="M19" s="33"/>
      <c r="N19" s="33" t="s">
        <v>169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304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36</v>
      </c>
      <c r="D20" s="62" t="s">
        <v>45</v>
      </c>
      <c r="E20" s="109" t="s">
        <v>258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36</v>
      </c>
      <c r="D21" s="62" t="s">
        <v>45</v>
      </c>
      <c r="E21" s="109" t="s">
        <v>258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36</v>
      </c>
      <c r="D22" s="62" t="s">
        <v>45</v>
      </c>
      <c r="E22" s="109" t="s">
        <v>258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36</v>
      </c>
      <c r="D23" s="62" t="s">
        <v>45</v>
      </c>
      <c r="E23" s="109" t="s">
        <v>258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36</v>
      </c>
      <c r="D24" s="62" t="s">
        <v>45</v>
      </c>
      <c r="E24" s="109" t="s">
        <v>258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36</v>
      </c>
      <c r="D25" s="62" t="s">
        <v>53</v>
      </c>
      <c r="E25" s="109" t="s">
        <v>258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36</v>
      </c>
      <c r="D26" s="62" t="s">
        <v>53</v>
      </c>
      <c r="E26" s="109" t="s">
        <v>258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58" t="s">
        <v>246</v>
      </c>
      <c r="B27" s="159"/>
      <c r="C27" s="159"/>
      <c r="D27" s="159"/>
      <c r="E27" s="159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244</v>
      </c>
      <c r="S27" s="39">
        <v>358000</v>
      </c>
      <c r="T27" s="119">
        <f>IFERROR(J27,"")</f>
        <v>0</v>
      </c>
    </row>
    <row r="28" spans="1:20" ht="18" customHeight="1">
      <c r="A28" s="160" t="s">
        <v>247</v>
      </c>
      <c r="B28" s="161"/>
      <c r="C28" s="161"/>
      <c r="D28" s="161"/>
      <c r="E28" s="161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248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258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26</v>
      </c>
      <c r="M29" s="33" t="s">
        <v>54</v>
      </c>
      <c r="N29" s="33" t="s">
        <v>34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258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258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258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258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258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258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258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258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258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258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258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58" t="s">
        <v>243</v>
      </c>
      <c r="B41" s="159"/>
      <c r="C41" s="159"/>
      <c r="D41" s="159"/>
      <c r="E41" s="159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244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258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27</v>
      </c>
      <c r="M42" s="26" t="s">
        <v>54</v>
      </c>
      <c r="N42" s="26" t="s">
        <v>175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280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258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27</v>
      </c>
      <c r="M43" s="33" t="s">
        <v>54</v>
      </c>
      <c r="N43" s="33" t="s">
        <v>63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303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258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27</v>
      </c>
      <c r="M44" s="26" t="s">
        <v>54</v>
      </c>
      <c r="N44" s="26" t="s">
        <v>58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258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27</v>
      </c>
      <c r="M45" s="33" t="s">
        <v>54</v>
      </c>
      <c r="N45" s="33" t="s">
        <v>58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258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27</v>
      </c>
      <c r="M46" s="26" t="s">
        <v>54</v>
      </c>
      <c r="N46" s="26" t="s">
        <v>58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258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27</v>
      </c>
      <c r="M47" s="33" t="s">
        <v>54</v>
      </c>
      <c r="N47" s="33" t="s">
        <v>58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258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27</v>
      </c>
      <c r="M48" s="26" t="s">
        <v>54</v>
      </c>
      <c r="N48" s="26" t="s">
        <v>58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258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27</v>
      </c>
      <c r="M49" s="33" t="s">
        <v>54</v>
      </c>
      <c r="N49" s="33" t="s">
        <v>58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258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26</v>
      </c>
      <c r="M50" s="26" t="s">
        <v>54</v>
      </c>
      <c r="N50" s="26" t="s">
        <v>34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303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258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165</v>
      </c>
      <c r="N51" s="33" t="s">
        <v>81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258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23</v>
      </c>
      <c r="M52" s="26" t="s">
        <v>54</v>
      </c>
      <c r="N52" s="26" t="s">
        <v>39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258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27</v>
      </c>
      <c r="M53" s="33" t="s">
        <v>54</v>
      </c>
      <c r="N53" s="33" t="s">
        <v>141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58" t="s">
        <v>246</v>
      </c>
      <c r="B54" s="159"/>
      <c r="C54" s="159"/>
      <c r="D54" s="159"/>
      <c r="E54" s="159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244</v>
      </c>
      <c r="S54" s="39">
        <v>279980</v>
      </c>
      <c r="T54" s="119">
        <f>IFERROR(J54,"")</f>
        <v>0</v>
      </c>
    </row>
    <row r="55" spans="1:20" ht="18" customHeight="1">
      <c r="A55" s="160" t="s">
        <v>247</v>
      </c>
      <c r="B55" s="161"/>
      <c r="C55" s="161"/>
      <c r="D55" s="161"/>
      <c r="E55" s="161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248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258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27</v>
      </c>
      <c r="M56" s="26" t="s">
        <v>130</v>
      </c>
      <c r="N56" s="26" t="s">
        <v>121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53</v>
      </c>
      <c r="E57" s="108" t="s">
        <v>258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27</v>
      </c>
      <c r="M57" s="33" t="s">
        <v>130</v>
      </c>
      <c r="N57" s="26" t="s">
        <v>121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258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27</v>
      </c>
      <c r="M58" s="26" t="s">
        <v>54</v>
      </c>
      <c r="N58" s="26" t="s">
        <v>58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53</v>
      </c>
      <c r="E59" s="108" t="s">
        <v>258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27</v>
      </c>
      <c r="M59" s="33" t="s">
        <v>54</v>
      </c>
      <c r="N59" s="26" t="s">
        <v>58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53</v>
      </c>
      <c r="E60" s="108" t="s">
        <v>258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27</v>
      </c>
      <c r="M60" s="26" t="s">
        <v>130</v>
      </c>
      <c r="N60" s="26" t="s">
        <v>121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53</v>
      </c>
      <c r="E61" s="108" t="s">
        <v>258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27</v>
      </c>
      <c r="M61" s="33" t="s">
        <v>54</v>
      </c>
      <c r="N61" s="33" t="s">
        <v>58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53</v>
      </c>
      <c r="E62" s="108" t="s">
        <v>258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25</v>
      </c>
      <c r="M62" s="26"/>
      <c r="N62" s="26" t="s">
        <v>137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305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53</v>
      </c>
      <c r="E63" s="108" t="s">
        <v>258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53</v>
      </c>
      <c r="E64" s="108" t="s">
        <v>258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53</v>
      </c>
      <c r="E65" s="108" t="s">
        <v>258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53</v>
      </c>
      <c r="E66" s="108" t="s">
        <v>258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53</v>
      </c>
      <c r="E67" s="108" t="s">
        <v>258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58" t="s">
        <v>243</v>
      </c>
      <c r="B68" s="159"/>
      <c r="C68" s="159"/>
      <c r="D68" s="159"/>
      <c r="E68" s="159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244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258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27</v>
      </c>
      <c r="M69" s="33" t="s">
        <v>54</v>
      </c>
      <c r="N69" s="33" t="s">
        <v>63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306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258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156</v>
      </c>
      <c r="N70" s="26" t="s">
        <v>193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258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27</v>
      </c>
      <c r="M71" s="33" t="s">
        <v>165</v>
      </c>
      <c r="N71" s="33" t="s">
        <v>81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258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27</v>
      </c>
      <c r="M72" s="26" t="s">
        <v>165</v>
      </c>
      <c r="N72" s="26" t="s">
        <v>81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258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27</v>
      </c>
      <c r="M73" s="33" t="s">
        <v>165</v>
      </c>
      <c r="N73" s="33" t="s">
        <v>81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258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258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258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258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258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58" t="s">
        <v>246</v>
      </c>
      <c r="B81" s="159"/>
      <c r="C81" s="159"/>
      <c r="D81" s="159"/>
      <c r="E81" s="159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244</v>
      </c>
      <c r="S81" s="39">
        <v>185920</v>
      </c>
      <c r="T81" s="119">
        <f>IFERROR(J81,"")</f>
        <v>0</v>
      </c>
    </row>
    <row r="82" spans="1:20" ht="18" customHeight="1">
      <c r="A82" s="160" t="s">
        <v>247</v>
      </c>
      <c r="B82" s="161"/>
      <c r="C82" s="161"/>
      <c r="D82" s="161"/>
      <c r="E82" s="161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248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258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27</v>
      </c>
      <c r="M83" s="33" t="s">
        <v>54</v>
      </c>
      <c r="N83" s="33" t="s">
        <v>63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307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258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25</v>
      </c>
      <c r="M84" s="26" t="s">
        <v>145</v>
      </c>
      <c r="N84" s="26" t="s">
        <v>125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308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258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258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258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258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258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258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258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258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258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258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58" t="s">
        <v>243</v>
      </c>
      <c r="B95" s="159"/>
      <c r="C95" s="159"/>
      <c r="D95" s="159"/>
      <c r="E95" s="159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244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258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25</v>
      </c>
      <c r="M96" s="26" t="s">
        <v>145</v>
      </c>
      <c r="N96" s="26" t="s">
        <v>125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258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25</v>
      </c>
      <c r="M97" s="33" t="s">
        <v>145</v>
      </c>
      <c r="N97" s="33" t="s">
        <v>125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309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258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26</v>
      </c>
      <c r="M98" s="26" t="s">
        <v>54</v>
      </c>
      <c r="N98" s="26" t="s">
        <v>34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258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27</v>
      </c>
      <c r="M99" s="33" t="s">
        <v>165</v>
      </c>
      <c r="N99" s="33" t="s">
        <v>81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258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258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258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258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258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258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258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258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58" t="s">
        <v>246</v>
      </c>
      <c r="B108" s="159"/>
      <c r="C108" s="159"/>
      <c r="D108" s="159"/>
      <c r="E108" s="159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244</v>
      </c>
      <c r="S108" s="39">
        <v>434370</v>
      </c>
      <c r="T108" s="119">
        <f>IFERROR(J108,"")</f>
        <v>0</v>
      </c>
    </row>
    <row r="109" spans="1:20" ht="18" customHeight="1">
      <c r="A109" s="160" t="s">
        <v>247</v>
      </c>
      <c r="B109" s="161"/>
      <c r="C109" s="161"/>
      <c r="D109" s="161"/>
      <c r="E109" s="161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248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258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258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258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258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258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258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258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258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258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258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258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258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58" t="s">
        <v>243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244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258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27</v>
      </c>
      <c r="M123" s="33" t="s">
        <v>165</v>
      </c>
      <c r="N123" s="33" t="s">
        <v>81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258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27</v>
      </c>
      <c r="M124" s="26" t="s">
        <v>165</v>
      </c>
      <c r="N124" s="26" t="s">
        <v>81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258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27</v>
      </c>
      <c r="M125" s="33" t="s">
        <v>54</v>
      </c>
      <c r="N125" s="33" t="s">
        <v>63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310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258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26</v>
      </c>
      <c r="M126" s="26" t="s">
        <v>54</v>
      </c>
      <c r="N126" s="26" t="s">
        <v>34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258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24</v>
      </c>
      <c r="M127" s="33" t="s">
        <v>142</v>
      </c>
      <c r="N127" s="33" t="s">
        <v>56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258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27</v>
      </c>
      <c r="M128" s="26" t="s">
        <v>54</v>
      </c>
      <c r="N128" s="26" t="s">
        <v>43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258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27</v>
      </c>
      <c r="M129" s="33"/>
      <c r="N129" s="33" t="s">
        <v>138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258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27</v>
      </c>
      <c r="M130" s="26" t="s">
        <v>54</v>
      </c>
      <c r="N130" s="26" t="s">
        <v>58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258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27</v>
      </c>
      <c r="M131" s="33"/>
      <c r="N131" s="33" t="s">
        <v>206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258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258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258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58" t="s">
        <v>246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244</v>
      </c>
      <c r="S135" s="39">
        <v>416350</v>
      </c>
      <c r="T135" s="119">
        <f>IFERROR(J135,"")</f>
        <v>0</v>
      </c>
    </row>
    <row r="136" spans="1:20" ht="18" customHeight="1">
      <c r="A136" s="160" t="s">
        <v>247</v>
      </c>
      <c r="B136" s="161"/>
      <c r="C136" s="161"/>
      <c r="D136" s="161"/>
      <c r="E136" s="161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248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258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26</v>
      </c>
      <c r="M137" s="33" t="s">
        <v>54</v>
      </c>
      <c r="N137" s="33" t="s">
        <v>34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311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258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23</v>
      </c>
      <c r="M138" s="26" t="s">
        <v>54</v>
      </c>
      <c r="N138" s="26" t="s">
        <v>117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258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27</v>
      </c>
      <c r="M139" s="33" t="s">
        <v>54</v>
      </c>
      <c r="N139" s="33" t="s">
        <v>212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258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27</v>
      </c>
      <c r="M140" s="26" t="s">
        <v>145</v>
      </c>
      <c r="N140" s="26" t="s">
        <v>81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258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27</v>
      </c>
      <c r="M141" s="33" t="s">
        <v>54</v>
      </c>
      <c r="N141" s="33" t="s">
        <v>58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258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258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258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288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258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258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258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258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58" t="s">
        <v>243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244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258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27</v>
      </c>
      <c r="M150" s="26" t="s">
        <v>145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258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27</v>
      </c>
      <c r="M151" s="33" t="s">
        <v>54</v>
      </c>
      <c r="N151" s="33" t="s">
        <v>63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258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27</v>
      </c>
      <c r="M152" s="26" t="s">
        <v>54</v>
      </c>
      <c r="N152" s="26" t="s">
        <v>43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258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27</v>
      </c>
      <c r="M153" s="33" t="s">
        <v>54</v>
      </c>
      <c r="N153" s="33" t="s">
        <v>43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280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258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258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258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258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258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258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258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258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246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244</v>
      </c>
      <c r="S162" s="39">
        <v>169760</v>
      </c>
      <c r="T162" s="119">
        <f>IFERROR(J162,"")</f>
        <v>0</v>
      </c>
    </row>
    <row r="163" spans="1:20" ht="18" customHeight="1">
      <c r="A163" s="160" t="s">
        <v>247</v>
      </c>
      <c r="B163" s="161"/>
      <c r="C163" s="161"/>
      <c r="D163" s="161"/>
      <c r="E163" s="161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248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258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27</v>
      </c>
      <c r="M164" s="26" t="s">
        <v>54</v>
      </c>
      <c r="N164" s="26" t="s">
        <v>58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258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27</v>
      </c>
      <c r="M165" s="33" t="s">
        <v>54</v>
      </c>
      <c r="N165" s="33" t="s">
        <v>58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258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27</v>
      </c>
      <c r="M166" s="26" t="s">
        <v>54</v>
      </c>
      <c r="N166" s="26" t="s">
        <v>58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312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258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27</v>
      </c>
      <c r="M167" s="33" t="s">
        <v>54</v>
      </c>
      <c r="N167" s="33" t="s">
        <v>58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258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54</v>
      </c>
      <c r="N168" s="26" t="s">
        <v>58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258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27</v>
      </c>
      <c r="M169" s="33" t="s">
        <v>54</v>
      </c>
      <c r="N169" s="33" t="s">
        <v>58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258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27</v>
      </c>
      <c r="M170" s="26" t="s">
        <v>54</v>
      </c>
      <c r="N170" s="26" t="s">
        <v>58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258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27</v>
      </c>
      <c r="M171" s="33" t="s">
        <v>54</v>
      </c>
      <c r="N171" s="33" t="s">
        <v>58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258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27</v>
      </c>
      <c r="M172" s="26" t="s">
        <v>165</v>
      </c>
      <c r="N172" s="26" t="s">
        <v>81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258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27</v>
      </c>
      <c r="M173" s="33" t="s">
        <v>165</v>
      </c>
      <c r="N173" s="33" t="s">
        <v>81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258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258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243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244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258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54</v>
      </c>
      <c r="N177" s="33" t="s">
        <v>42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258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27</v>
      </c>
      <c r="M178" s="26" t="s">
        <v>156</v>
      </c>
      <c r="N178" s="26" t="s">
        <v>141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258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27</v>
      </c>
      <c r="M179" s="33" t="s">
        <v>54</v>
      </c>
      <c r="N179" s="33" t="s">
        <v>63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313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258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27</v>
      </c>
      <c r="M180" s="26" t="s">
        <v>130</v>
      </c>
      <c r="N180" s="26" t="s">
        <v>121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258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27</v>
      </c>
      <c r="M181" s="33" t="s">
        <v>156</v>
      </c>
      <c r="N181" s="33" t="s">
        <v>141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258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27</v>
      </c>
      <c r="M182" s="26"/>
      <c r="N182" s="26" t="s">
        <v>81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291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258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27</v>
      </c>
      <c r="M183" s="33" t="s">
        <v>54</v>
      </c>
      <c r="N183" s="33" t="s">
        <v>58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258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27</v>
      </c>
      <c r="M184" s="26"/>
      <c r="N184" s="26" t="s">
        <v>81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258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27</v>
      </c>
      <c r="M185" s="33"/>
      <c r="N185" s="33" t="s">
        <v>81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291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258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258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258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246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244</v>
      </c>
      <c r="S189" s="39">
        <v>72220</v>
      </c>
      <c r="T189" s="119">
        <f>IFERROR(J189,"")</f>
        <v>0</v>
      </c>
    </row>
    <row r="190" spans="1:20" ht="18" customHeight="1">
      <c r="A190" s="160" t="s">
        <v>247</v>
      </c>
      <c r="B190" s="161"/>
      <c r="C190" s="161"/>
      <c r="D190" s="161"/>
      <c r="E190" s="161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248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258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27</v>
      </c>
      <c r="M191" s="33" t="s">
        <v>156</v>
      </c>
      <c r="N191" s="33" t="s">
        <v>190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258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27</v>
      </c>
      <c r="M192" s="26" t="s">
        <v>54</v>
      </c>
      <c r="N192" s="33" t="s">
        <v>43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258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26</v>
      </c>
      <c r="M193" s="33" t="s">
        <v>54</v>
      </c>
      <c r="N193" s="33" t="s">
        <v>34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258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27</v>
      </c>
      <c r="M194" s="26" t="s">
        <v>156</v>
      </c>
      <c r="N194" s="26" t="s">
        <v>190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258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27</v>
      </c>
      <c r="M195" s="33" t="s">
        <v>156</v>
      </c>
      <c r="N195" s="26" t="s">
        <v>190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258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26</v>
      </c>
      <c r="M196" s="26" t="s">
        <v>54</v>
      </c>
      <c r="N196" s="26" t="s">
        <v>85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258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27</v>
      </c>
      <c r="M197" s="33" t="s">
        <v>54</v>
      </c>
      <c r="N197" s="33" t="s">
        <v>58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258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26</v>
      </c>
      <c r="M198" s="26" t="s">
        <v>54</v>
      </c>
      <c r="N198" s="33" t="s">
        <v>85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258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26</v>
      </c>
      <c r="M199" s="33" t="s">
        <v>54</v>
      </c>
      <c r="N199" s="33" t="s">
        <v>85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258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27</v>
      </c>
      <c r="M200" s="26" t="s">
        <v>130</v>
      </c>
      <c r="N200" s="26" t="s">
        <v>121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258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27</v>
      </c>
      <c r="M201" s="33" t="s">
        <v>130</v>
      </c>
      <c r="N201" s="33" t="s">
        <v>121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258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243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244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258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27</v>
      </c>
      <c r="M204" s="26" t="s">
        <v>54</v>
      </c>
      <c r="N204" s="26" t="s">
        <v>58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258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33" t="s">
        <v>54</v>
      </c>
      <c r="N205" s="33" t="s">
        <v>63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314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258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27</v>
      </c>
      <c r="M206" s="26"/>
      <c r="N206" s="26" t="s">
        <v>81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258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258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258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258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258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258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258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258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258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58" t="s">
        <v>246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244</v>
      </c>
      <c r="S216" s="39">
        <v>148720</v>
      </c>
      <c r="T216" s="119">
        <f>IFERROR(J216,"")</f>
        <v>0</v>
      </c>
    </row>
    <row r="217" spans="1:20" ht="18" customHeight="1">
      <c r="A217" s="160" t="s">
        <v>247</v>
      </c>
      <c r="B217" s="161"/>
      <c r="C217" s="161"/>
      <c r="D217" s="161"/>
      <c r="E217" s="161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248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258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26</v>
      </c>
      <c r="M218" s="26" t="s">
        <v>142</v>
      </c>
      <c r="N218" s="26" t="s">
        <v>68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258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27</v>
      </c>
      <c r="M219" s="33" t="s">
        <v>54</v>
      </c>
      <c r="N219" s="33" t="s">
        <v>43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258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27</v>
      </c>
      <c r="M220" s="26" t="s">
        <v>165</v>
      </c>
      <c r="N220" s="26" t="s">
        <v>81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258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25</v>
      </c>
      <c r="M221" s="33" t="s">
        <v>142</v>
      </c>
      <c r="N221" s="33" t="s">
        <v>107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315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242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25</v>
      </c>
      <c r="M222" s="26" t="s">
        <v>142</v>
      </c>
      <c r="N222" s="26" t="s">
        <v>68</v>
      </c>
      <c r="O222" s="29">
        <v>0.69930555555555551</v>
      </c>
      <c r="P222" s="29" t="s">
        <v>316</v>
      </c>
      <c r="Q222" s="30" t="str">
        <f t="shared" ca="1" si="49"/>
        <v/>
      </c>
      <c r="R222" s="27" t="s">
        <v>317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258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26</v>
      </c>
      <c r="M223" s="33" t="s">
        <v>54</v>
      </c>
      <c r="N223" s="33" t="s">
        <v>34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258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258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258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258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258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258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58" t="s">
        <v>243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244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258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26</v>
      </c>
      <c r="M231" s="33" t="s">
        <v>54</v>
      </c>
      <c r="N231" s="33" t="s">
        <v>34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242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258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242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242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242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242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242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242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242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242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242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58" t="s">
        <v>246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244</v>
      </c>
      <c r="S243" s="39">
        <v>352720</v>
      </c>
      <c r="T243" s="119">
        <f>IFERROR(J243,"")</f>
        <v>0</v>
      </c>
    </row>
    <row r="244" spans="1:20" ht="18" customHeight="1">
      <c r="A244" s="160" t="s">
        <v>247</v>
      </c>
      <c r="B244" s="161"/>
      <c r="C244" s="161"/>
      <c r="D244" s="161"/>
      <c r="E244" s="161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248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242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26</v>
      </c>
      <c r="M245" s="33" t="s">
        <v>54</v>
      </c>
      <c r="N245" s="33" t="s">
        <v>34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318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242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27</v>
      </c>
      <c r="M246" s="26" t="s">
        <v>54</v>
      </c>
      <c r="N246" s="33" t="s">
        <v>58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242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27</v>
      </c>
      <c r="M247" s="33" t="s">
        <v>54</v>
      </c>
      <c r="N247" s="33" t="s">
        <v>43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242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258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258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258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258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258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258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242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242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58" t="s">
        <v>243</v>
      </c>
      <c r="B257" s="159"/>
      <c r="C257" s="159"/>
      <c r="D257" s="159"/>
      <c r="E257" s="159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244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20" t="s">
        <v>258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45</v>
      </c>
      <c r="E259" s="20" t="s">
        <v>258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45</v>
      </c>
      <c r="E260" s="62" t="s">
        <v>258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45</v>
      </c>
      <c r="E261" s="62" t="s">
        <v>258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45</v>
      </c>
      <c r="E262" s="20" t="s">
        <v>258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45</v>
      </c>
      <c r="E263" s="62" t="s">
        <v>258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45</v>
      </c>
      <c r="E264" s="62" t="s">
        <v>258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45</v>
      </c>
      <c r="E265" s="62" t="s">
        <v>258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45</v>
      </c>
      <c r="E266" s="62" t="s">
        <v>258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45</v>
      </c>
      <c r="E267" s="62" t="s">
        <v>258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45</v>
      </c>
      <c r="E268" s="62" t="s">
        <v>258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45</v>
      </c>
      <c r="E269" s="62" t="s">
        <v>258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58" t="s">
        <v>246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244</v>
      </c>
      <c r="S270" s="39">
        <v>327900</v>
      </c>
      <c r="T270" s="119">
        <f>IFERROR(J270,"")</f>
        <v>0</v>
      </c>
    </row>
    <row r="271" spans="1:20" ht="18" customHeight="1">
      <c r="A271" s="160" t="s">
        <v>247</v>
      </c>
      <c r="B271" s="161"/>
      <c r="C271" s="161"/>
      <c r="D271" s="161"/>
      <c r="E271" s="161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248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258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36</v>
      </c>
      <c r="D273" s="59" t="s">
        <v>37</v>
      </c>
      <c r="E273" s="59" t="s">
        <v>258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36</v>
      </c>
      <c r="D274" s="59" t="s">
        <v>37</v>
      </c>
      <c r="E274" s="59" t="s">
        <v>258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36</v>
      </c>
      <c r="D275" s="59" t="s">
        <v>37</v>
      </c>
      <c r="E275" s="59" t="s">
        <v>258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36</v>
      </c>
      <c r="D276" s="59" t="s">
        <v>37</v>
      </c>
      <c r="E276" s="59" t="s">
        <v>258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36</v>
      </c>
      <c r="D277" s="59" t="s">
        <v>37</v>
      </c>
      <c r="E277" s="59" t="s">
        <v>258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36</v>
      </c>
      <c r="D278" s="59" t="s">
        <v>37</v>
      </c>
      <c r="E278" s="59" t="s">
        <v>258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36</v>
      </c>
      <c r="D279" s="59" t="s">
        <v>37</v>
      </c>
      <c r="E279" s="59" t="s">
        <v>258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36</v>
      </c>
      <c r="D280" s="59" t="s">
        <v>37</v>
      </c>
      <c r="E280" s="59" t="s">
        <v>258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36</v>
      </c>
      <c r="D281" s="59" t="s">
        <v>37</v>
      </c>
      <c r="E281" s="59" t="s">
        <v>258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36</v>
      </c>
      <c r="D282" s="59" t="s">
        <v>37</v>
      </c>
      <c r="E282" s="59" t="s">
        <v>242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36</v>
      </c>
      <c r="D283" s="59" t="s">
        <v>37</v>
      </c>
      <c r="E283" s="59" t="s">
        <v>258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58" t="s">
        <v>243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244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242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52</v>
      </c>
      <c r="D286" s="62" t="s">
        <v>53</v>
      </c>
      <c r="E286" s="62" t="s">
        <v>242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52</v>
      </c>
      <c r="D287" s="62" t="s">
        <v>53</v>
      </c>
      <c r="E287" s="62" t="s">
        <v>258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52</v>
      </c>
      <c r="D288" s="62" t="s">
        <v>53</v>
      </c>
      <c r="E288" s="62" t="s">
        <v>242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52</v>
      </c>
      <c r="D289" s="62" t="s">
        <v>53</v>
      </c>
      <c r="E289" s="62" t="s">
        <v>242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52</v>
      </c>
      <c r="D290" s="62" t="s">
        <v>37</v>
      </c>
      <c r="E290" s="62" t="s">
        <v>242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52</v>
      </c>
      <c r="D291" s="62" t="s">
        <v>37</v>
      </c>
      <c r="E291" s="62" t="s">
        <v>242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52</v>
      </c>
      <c r="D292" s="62" t="s">
        <v>37</v>
      </c>
      <c r="E292" s="62" t="s">
        <v>242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52</v>
      </c>
      <c r="D293" s="62" t="s">
        <v>37</v>
      </c>
      <c r="E293" s="62" t="s">
        <v>242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52</v>
      </c>
      <c r="D294" s="62" t="s">
        <v>37</v>
      </c>
      <c r="E294" s="62" t="s">
        <v>242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52</v>
      </c>
      <c r="D295" s="62" t="s">
        <v>37</v>
      </c>
      <c r="E295" s="62" t="s">
        <v>242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52</v>
      </c>
      <c r="D296" s="62" t="s">
        <v>37</v>
      </c>
      <c r="E296" s="62" t="s">
        <v>242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58" t="s">
        <v>246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244</v>
      </c>
      <c r="S297" s="39">
        <v>462190</v>
      </c>
      <c r="T297" s="119">
        <f>IFERROR(J297,"")</f>
        <v>0</v>
      </c>
    </row>
    <row r="298" spans="1:20" ht="18" customHeight="1">
      <c r="A298" s="160" t="s">
        <v>247</v>
      </c>
      <c r="B298" s="161"/>
      <c r="C298" s="161"/>
      <c r="D298" s="161"/>
      <c r="E298" s="161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248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258</v>
      </c>
      <c r="F299" s="140">
        <f>IFERROR(IF($D299="","",VLOOKUP($D299,Cadastro!$C$4:$E$7,3,FALSE)),"")</f>
        <v>0.24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>
        <f t="shared" ref="J299:J310" si="65">IFERROR(IF($H299="","",$H299*$F299*$I299),"")</f>
        <v>5.3145599999999993</v>
      </c>
      <c r="K299" s="34">
        <f t="shared" ref="K299:K310" si="66">IF(G299="","",IF(E299="PC 17",G299*4.2,IF(E299="PC 19",G299*5,IF(E299="CB",G299*24,""))))</f>
        <v>33.6</v>
      </c>
      <c r="L299" s="33" t="s">
        <v>27</v>
      </c>
      <c r="M299" s="33"/>
      <c r="N299" s="33" t="s">
        <v>206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36</v>
      </c>
      <c r="D300" s="62" t="s">
        <v>37</v>
      </c>
      <c r="E300" s="109" t="s">
        <v>258</v>
      </c>
      <c r="F300" s="134">
        <f>IFERROR(IF($D300="","",VLOOKUP($D300,Cadastro!$C$4:$E$7,3,FALSE)),"")</f>
        <v>0.24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>
        <f t="shared" si="65"/>
        <v>6.6431999999999993</v>
      </c>
      <c r="K300" s="28">
        <f t="shared" si="66"/>
        <v>42</v>
      </c>
      <c r="L300" s="26" t="s">
        <v>27</v>
      </c>
      <c r="M300" s="26"/>
      <c r="N300" s="26" t="s">
        <v>206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36</v>
      </c>
      <c r="D301" s="62" t="s">
        <v>37</v>
      </c>
      <c r="E301" s="109" t="s">
        <v>258</v>
      </c>
      <c r="F301" s="134">
        <f>IFERROR(IF($D301="","",VLOOKUP($D301,Cadastro!$C$4:$E$7,3,FALSE)),"")</f>
        <v>0.24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>
        <f t="shared" si="65"/>
        <v>9.3004799999999985</v>
      </c>
      <c r="K301" s="34">
        <f t="shared" si="66"/>
        <v>58.800000000000004</v>
      </c>
      <c r="L301" s="33" t="s">
        <v>27</v>
      </c>
      <c r="M301" s="33" t="s">
        <v>54</v>
      </c>
      <c r="N301" s="33" t="s">
        <v>191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34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36</v>
      </c>
      <c r="D302" s="62" t="s">
        <v>37</v>
      </c>
      <c r="E302" s="109" t="s">
        <v>258</v>
      </c>
      <c r="F302" s="134">
        <f>IFERROR(IF($D302="","",VLOOKUP($D302,Cadastro!$C$4:$E$7,3,FALSE)),"")</f>
        <v>0.24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>
        <f t="shared" si="65"/>
        <v>9.9648000000000003</v>
      </c>
      <c r="K302" s="28">
        <f t="shared" si="66"/>
        <v>63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36</v>
      </c>
      <c r="D303" s="62" t="s">
        <v>37</v>
      </c>
      <c r="E303" s="109" t="s">
        <v>258</v>
      </c>
      <c r="F303" s="134">
        <f>IFERROR(IF($D303="","",VLOOKUP($D303,Cadastro!$C$4:$E$7,3,FALSE)),"")</f>
        <v>0.24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>
        <f t="shared" si="65"/>
        <v>7.3075199999999985</v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36</v>
      </c>
      <c r="D304" s="62" t="s">
        <v>37</v>
      </c>
      <c r="E304" s="109" t="s">
        <v>258</v>
      </c>
      <c r="F304" s="134">
        <f>IFERROR(IF($D304="","",VLOOKUP($D304,Cadastro!$C$4:$E$7,3,FALSE)),"")</f>
        <v>0.24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>
        <f t="shared" si="65"/>
        <v>10.629119999999999</v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36</v>
      </c>
      <c r="D305" s="62" t="s">
        <v>29</v>
      </c>
      <c r="E305" s="109" t="s">
        <v>258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36</v>
      </c>
      <c r="D306" s="62" t="s">
        <v>29</v>
      </c>
      <c r="E306" s="109" t="s">
        <v>258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36</v>
      </c>
      <c r="D307" s="62" t="s">
        <v>29</v>
      </c>
      <c r="E307" s="109" t="s">
        <v>258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36</v>
      </c>
      <c r="D308" s="62" t="s">
        <v>29</v>
      </c>
      <c r="E308" s="109" t="s">
        <v>258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36</v>
      </c>
      <c r="D309" s="62" t="s">
        <v>29</v>
      </c>
      <c r="E309" s="109" t="s">
        <v>258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36</v>
      </c>
      <c r="D310" s="62" t="s">
        <v>29</v>
      </c>
      <c r="E310" s="109" t="s">
        <v>258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58" t="s">
        <v>243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96.630879999999991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244</v>
      </c>
      <c r="S311" s="39">
        <v>567440</v>
      </c>
      <c r="T311" s="119">
        <f>IFERROR(J311,"")</f>
        <v>96.630879999999991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258</v>
      </c>
      <c r="F312" s="140">
        <f>IFERROR(IF($D312="","",VLOOKUP($D312,Cadastro!$C$4:$E$7,3,FALSE)),"")</f>
        <v>0.24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>
        <f t="shared" ref="J312:J323" si="69">IFERROR(IF($H312="","",$H312*$F312*$I312),"")</f>
        <v>5.3789109677419349</v>
      </c>
      <c r="K312" s="28">
        <v>33.6</v>
      </c>
      <c r="L312" s="26" t="s">
        <v>26</v>
      </c>
      <c r="M312" s="26" t="s">
        <v>54</v>
      </c>
      <c r="N312" s="26" t="s">
        <v>34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28</v>
      </c>
      <c r="D313" s="59" t="s">
        <v>37</v>
      </c>
      <c r="E313" s="108" t="s">
        <v>258</v>
      </c>
      <c r="F313" s="134">
        <f>IFERROR(IF($D313="","",VLOOKUP($D313,Cadastro!$C$4:$E$7,3,FALSE)),"")</f>
        <v>0.24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>
        <f t="shared" si="69"/>
        <v>2.6894554838709674</v>
      </c>
      <c r="K313" s="34">
        <v>20</v>
      </c>
      <c r="L313" s="33" t="s">
        <v>25</v>
      </c>
      <c r="M313" s="33" t="s">
        <v>145</v>
      </c>
      <c r="N313" s="33" t="s">
        <v>107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28</v>
      </c>
      <c r="D314" s="59" t="s">
        <v>37</v>
      </c>
      <c r="E314" s="108" t="s">
        <v>258</v>
      </c>
      <c r="F314" s="134">
        <f>IFERROR(IF($D314="","",VLOOKUP($D314,Cadastro!$C$4:$E$7,3,FALSE)),"")</f>
        <v>0.24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>
        <f t="shared" si="69"/>
        <v>6.7236387096774193</v>
      </c>
      <c r="K314" s="28">
        <v>42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28</v>
      </c>
      <c r="D315" s="59" t="s">
        <v>37</v>
      </c>
      <c r="E315" s="108" t="s">
        <v>258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>
        <f t="shared" si="69"/>
        <v>4.0341832258064514</v>
      </c>
      <c r="K315" s="34">
        <v>25.200000000000003</v>
      </c>
      <c r="L315" s="33" t="s">
        <v>24</v>
      </c>
      <c r="M315" s="33" t="s">
        <v>142</v>
      </c>
      <c r="N315" s="33" t="s">
        <v>56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28</v>
      </c>
      <c r="D316" s="59" t="s">
        <v>37</v>
      </c>
      <c r="E316" s="108" t="s">
        <v>258</v>
      </c>
      <c r="F316" s="134">
        <f>IFERROR(IF($D316="","",VLOOKUP($D316,Cadastro!$C$4:$E$7,3,FALSE)),"")</f>
        <v>0.24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>
        <f t="shared" si="69"/>
        <v>4.0341832258064514</v>
      </c>
      <c r="K316" s="28">
        <v>25.200000000000003</v>
      </c>
      <c r="L316" s="26" t="s">
        <v>24</v>
      </c>
      <c r="M316" s="26" t="s">
        <v>142</v>
      </c>
      <c r="N316" s="26" t="s">
        <v>56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28</v>
      </c>
      <c r="D317" s="59" t="s">
        <v>37</v>
      </c>
      <c r="E317" s="108" t="s">
        <v>258</v>
      </c>
      <c r="F317" s="134">
        <f>IFERROR(IF($D317="","",VLOOKUP($D317,Cadastro!$C$4:$E$7,3,FALSE)),"")</f>
        <v>0.24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>
        <f t="shared" si="69"/>
        <v>5.3789109677419349</v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28</v>
      </c>
      <c r="D318" s="59" t="s">
        <v>37</v>
      </c>
      <c r="E318" s="108" t="s">
        <v>258</v>
      </c>
      <c r="F318" s="134">
        <f>IFERROR(IF($D318="","",VLOOKUP($D318,Cadastro!$C$4:$E$7,3,FALSE)),"")</f>
        <v>0.24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>
        <f t="shared" si="69"/>
        <v>2.0170916129032257</v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28</v>
      </c>
      <c r="D319" s="59" t="s">
        <v>37</v>
      </c>
      <c r="E319" s="108" t="s">
        <v>258</v>
      </c>
      <c r="F319" s="134">
        <f>IFERROR(IF($D319="","",VLOOKUP($D319,Cadastro!$C$4:$E$7,3,FALSE)),"")</f>
        <v>0.24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>
        <f t="shared" si="69"/>
        <v>4.0341832258064514</v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28</v>
      </c>
      <c r="D320" s="59" t="s">
        <v>37</v>
      </c>
      <c r="E320" s="108" t="s">
        <v>258</v>
      </c>
      <c r="F320" s="134">
        <f>IFERROR(IF($D320="","",VLOOKUP($D320,Cadastro!$C$4:$E$7,3,FALSE)),"")</f>
        <v>0.24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>
        <f t="shared" si="69"/>
        <v>2.6894554838709674</v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28</v>
      </c>
      <c r="D321" s="59" t="s">
        <v>37</v>
      </c>
      <c r="E321" s="108" t="s">
        <v>258</v>
      </c>
      <c r="F321" s="134">
        <f>IFERROR(IF($D321="","",VLOOKUP($D321,Cadastro!$C$4:$E$7,3,FALSE)),"")</f>
        <v>0.24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>
        <f t="shared" si="69"/>
        <v>3.3618193548387096</v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28</v>
      </c>
      <c r="D322" s="59" t="s">
        <v>37</v>
      </c>
      <c r="E322" s="108" t="s">
        <v>258</v>
      </c>
      <c r="F322" s="134">
        <f>IFERROR(IF($D322="","",VLOOKUP($D322,Cadastro!$C$4:$E$7,3,FALSE)),"")</f>
        <v>0.24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>
        <f t="shared" si="69"/>
        <v>1.3447277419354837</v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28</v>
      </c>
      <c r="D323" s="59" t="s">
        <v>37</v>
      </c>
      <c r="E323" s="108" t="s">
        <v>258</v>
      </c>
      <c r="F323" s="137">
        <f>IFERROR(IF($D323="","",VLOOKUP($D323,Cadastro!$C$4:$E$7,3,FALSE)),"")</f>
        <v>0.24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>
        <f t="shared" si="69"/>
        <v>0</v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58" t="s">
        <v>246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41.68656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244</v>
      </c>
      <c r="S324" s="39">
        <v>289490</v>
      </c>
      <c r="T324" s="119">
        <f>IFERROR(J324,"")</f>
        <v>41.68656</v>
      </c>
    </row>
    <row r="325" spans="1:20" ht="18" customHeight="1">
      <c r="A325" s="160" t="s">
        <v>247</v>
      </c>
      <c r="B325" s="161"/>
      <c r="C325" s="161"/>
      <c r="D325" s="161"/>
      <c r="E325" s="161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138.31743999999998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248</v>
      </c>
      <c r="S325" s="48">
        <f>IFERROR(S311+S324,"")</f>
        <v>856930</v>
      </c>
      <c r="T325" s="121">
        <f>IFERROR(J325,"")</f>
        <v>138.31743999999998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242</v>
      </c>
      <c r="F326" s="140">
        <f>IFERROR(IF($D326="","",VLOOKUP($D326,Cadastro!$C$4:$E$7,3,FALSE)),"")</f>
        <v>0.35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16.000347540983604</v>
      </c>
      <c r="K326" s="28">
        <f t="shared" ref="K326:K337" si="73">IF(G326="","",IF(E326="PC 17",G326*4.2,IF(E326="PC 19",G326*5,IF(E326="CB",G326*24,""))))</f>
        <v>60</v>
      </c>
      <c r="L326" s="26" t="s">
        <v>25</v>
      </c>
      <c r="M326" s="26" t="s">
        <v>145</v>
      </c>
      <c r="N326" s="26" t="s">
        <v>137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298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36</v>
      </c>
      <c r="D327" s="59" t="s">
        <v>29</v>
      </c>
      <c r="E327" s="108" t="s">
        <v>242</v>
      </c>
      <c r="F327" s="134">
        <f>IFERROR(IF($D327="","",VLOOKUP($D327,Cadastro!$C$4:$E$7,3,FALSE)),"")</f>
        <v>0.35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14.666985245901639</v>
      </c>
      <c r="K327" s="34">
        <f t="shared" si="73"/>
        <v>55</v>
      </c>
      <c r="L327" s="26" t="s">
        <v>25</v>
      </c>
      <c r="M327" s="26" t="s">
        <v>145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319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36</v>
      </c>
      <c r="D328" s="59" t="s">
        <v>29</v>
      </c>
      <c r="E328" s="108" t="s">
        <v>242</v>
      </c>
      <c r="F328" s="134">
        <f>IFERROR(IF($D328="","",VLOOKUP($D328,Cadastro!$C$4:$E$7,3,FALSE)),"")</f>
        <v>0.35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14.666985245901639</v>
      </c>
      <c r="K328" s="28">
        <f t="shared" si="73"/>
        <v>55</v>
      </c>
      <c r="L328" s="26" t="s">
        <v>27</v>
      </c>
      <c r="M328" s="26" t="s">
        <v>133</v>
      </c>
      <c r="N328" s="26" t="s">
        <v>121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36</v>
      </c>
      <c r="D329" s="59" t="s">
        <v>29</v>
      </c>
      <c r="E329" s="108" t="s">
        <v>242</v>
      </c>
      <c r="F329" s="134">
        <f>IFERROR(IF($D329="","",VLOOKUP($D329,Cadastro!$C$4:$E$7,3,FALSE)),"")</f>
        <v>0.35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16.000347540983604</v>
      </c>
      <c r="K329" s="34">
        <f t="shared" si="73"/>
        <v>60</v>
      </c>
      <c r="L329" s="33" t="s">
        <v>25</v>
      </c>
      <c r="M329" s="33" t="s">
        <v>145</v>
      </c>
      <c r="N329" s="33" t="s">
        <v>68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299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36</v>
      </c>
      <c r="D330" s="59" t="s">
        <v>29</v>
      </c>
      <c r="E330" s="108" t="s">
        <v>242</v>
      </c>
      <c r="F330" s="134">
        <f>IFERROR(IF($D330="","",VLOOKUP($D330,Cadastro!$C$4:$E$7,3,FALSE)),"")</f>
        <v>0.35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6.666811475409836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36</v>
      </c>
      <c r="D331" s="59" t="s">
        <v>29</v>
      </c>
      <c r="E331" s="108" t="s">
        <v>258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36</v>
      </c>
      <c r="D332" s="59" t="s">
        <v>29</v>
      </c>
      <c r="E332" s="108" t="s">
        <v>258</v>
      </c>
      <c r="F332" s="134">
        <f>IFERROR(IF($D332="","",VLOOKUP($D332,Cadastro!$C$4:$E$7,3,FALSE)),"")</f>
        <v>0.35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6.666811475409836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36</v>
      </c>
      <c r="D333" s="59" t="s">
        <v>29</v>
      </c>
      <c r="E333" s="108" t="s">
        <v>258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36</v>
      </c>
      <c r="D334" s="59" t="s">
        <v>29</v>
      </c>
      <c r="E334" s="108" t="s">
        <v>258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36</v>
      </c>
      <c r="D335" s="59" t="s">
        <v>29</v>
      </c>
      <c r="E335" s="108" t="s">
        <v>258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36</v>
      </c>
      <c r="D336" s="59" t="s">
        <v>29</v>
      </c>
      <c r="E336" s="108" t="s">
        <v>258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36</v>
      </c>
      <c r="D337" s="59" t="s">
        <v>29</v>
      </c>
      <c r="E337" s="108" t="s">
        <v>258</v>
      </c>
      <c r="F337" s="137">
        <f>IFERROR(IF($D337="","",VLOOKUP($D337,Cadastro!$C$4:$E$7,3,FALSE)),"")</f>
        <v>0.35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6.666811475409836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58" t="s">
        <v>243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81.335099999999983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244</v>
      </c>
      <c r="S338" s="39">
        <v>387310</v>
      </c>
      <c r="T338" s="119">
        <f>IFERROR(J338,"")</f>
        <v>81.335099999999983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258</v>
      </c>
      <c r="F339" s="140">
        <f>IFERROR(IF($D339="","",VLOOKUP($D339,Cadastro!$C$4:$E$7,3,FALSE)),"")</f>
        <v>0.35</v>
      </c>
      <c r="G339" s="105">
        <v>8</v>
      </c>
      <c r="H339" s="140">
        <f>IFERROR(IF($G339="","",$G339*$S$351/$G$351/Cadastro!$E$33),"")</f>
        <v>34.155999999999999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7.1727599999999994</v>
      </c>
      <c r="K339" s="34">
        <f t="shared" ref="K339:K350" si="77">IF(G339="","",IF(E339="PC 17",G339*4.2,IF(E339="PC 19",G339*5,IF(E339="CB",G339*24,""))))</f>
        <v>33.6</v>
      </c>
      <c r="L339" s="33" t="s">
        <v>26</v>
      </c>
      <c r="M339" s="33" t="s">
        <v>54</v>
      </c>
      <c r="N339" s="33" t="s">
        <v>34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28</v>
      </c>
      <c r="D340" s="62" t="s">
        <v>29</v>
      </c>
      <c r="E340" s="109" t="s">
        <v>258</v>
      </c>
      <c r="F340" s="134">
        <f>IFERROR(IF($D340="","",VLOOKUP($D340,Cadastro!$C$4:$E$7,3,FALSE)),"")</f>
        <v>0.35</v>
      </c>
      <c r="G340" s="105">
        <v>3</v>
      </c>
      <c r="H340" s="134">
        <f>IFERROR(IF($G340="","",$G340*$S$351/$G$351/Cadastro!$E$33),"")</f>
        <v>12.8085</v>
      </c>
      <c r="I340" s="135">
        <f>IFERROR(IF($D340="","",VLOOKUP($D340,Cadastro!$C$4:$G$7,5,FALSE)),"")</f>
        <v>0.6</v>
      </c>
      <c r="J340" s="136">
        <f t="shared" si="76"/>
        <v>2.6897849999999996</v>
      </c>
      <c r="K340" s="28">
        <f t="shared" si="77"/>
        <v>12.600000000000001</v>
      </c>
      <c r="L340" s="26" t="s">
        <v>24</v>
      </c>
      <c r="M340" s="26" t="s">
        <v>142</v>
      </c>
      <c r="N340" s="26" t="s">
        <v>56</v>
      </c>
      <c r="O340" s="29">
        <v>0.21180555555555555</v>
      </c>
      <c r="P340" s="29">
        <v>0.21805555555555556</v>
      </c>
      <c r="Q340" s="30">
        <f t="shared" ca="1" si="78"/>
        <v>6.2500000000000056E-3</v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28</v>
      </c>
      <c r="D341" s="62" t="s">
        <v>29</v>
      </c>
      <c r="E341" s="109" t="s">
        <v>258</v>
      </c>
      <c r="F341" s="134">
        <f>IFERROR(IF($D341="","",VLOOKUP($D341,Cadastro!$C$4:$E$7,3,FALSE)),"")</f>
        <v>0.35</v>
      </c>
      <c r="G341" s="105">
        <v>8</v>
      </c>
      <c r="H341" s="134">
        <f>IFERROR(IF($G341="","",$G341*$S$351/$G$351/Cadastro!$E$33),"")</f>
        <v>34.155999999999999</v>
      </c>
      <c r="I341" s="135">
        <f>IFERROR(IF($D341="","",VLOOKUP($D341,Cadastro!$C$4:$G$7,5,FALSE)),"")</f>
        <v>0.6</v>
      </c>
      <c r="J341" s="136">
        <f t="shared" si="76"/>
        <v>7.1727599999999994</v>
      </c>
      <c r="K341" s="34">
        <f t="shared" si="77"/>
        <v>33.6</v>
      </c>
      <c r="L341" s="33" t="s">
        <v>24</v>
      </c>
      <c r="M341" s="33" t="s">
        <v>142</v>
      </c>
      <c r="N341" s="33" t="s">
        <v>56</v>
      </c>
      <c r="O341" s="29">
        <v>0.22500000000000001</v>
      </c>
      <c r="P341" s="29">
        <v>0.22916666666666666</v>
      </c>
      <c r="Q341" s="35">
        <f t="shared" ca="1" si="78"/>
        <v>4.1666666666666519E-3</v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28</v>
      </c>
      <c r="D342" s="62" t="s">
        <v>29</v>
      </c>
      <c r="E342" s="109" t="s">
        <v>258</v>
      </c>
      <c r="F342" s="134">
        <f>IFERROR(IF($D342="","",VLOOKUP($D342,Cadastro!$C$4:$E$7,3,FALSE)),"")</f>
        <v>0.35</v>
      </c>
      <c r="G342" s="105">
        <v>4</v>
      </c>
      <c r="H342" s="134">
        <f>IFERROR(IF($G342="","",$G342*$S$351/$G$351/Cadastro!$E$33),"")</f>
        <v>17.077999999999999</v>
      </c>
      <c r="I342" s="135">
        <f>IFERROR(IF($D342="","",VLOOKUP($D342,Cadastro!$C$4:$G$7,5,FALSE)),"")</f>
        <v>0.6</v>
      </c>
      <c r="J342" s="136">
        <f t="shared" si="76"/>
        <v>3.5863799999999997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28</v>
      </c>
      <c r="D343" s="62" t="s">
        <v>29</v>
      </c>
      <c r="E343" s="109" t="s">
        <v>258</v>
      </c>
      <c r="F343" s="134">
        <f>IFERROR(IF($D343="","",VLOOKUP($D343,Cadastro!$C$4:$E$7,3,FALSE)),"")</f>
        <v>0.35</v>
      </c>
      <c r="G343" s="105">
        <v>2</v>
      </c>
      <c r="H343" s="134">
        <f>IFERROR(IF($G343="","",$G343*$S$351/$G$351/Cadastro!$E$33),"")</f>
        <v>8.5389999999999997</v>
      </c>
      <c r="I343" s="135">
        <f>IFERROR(IF($D343="","",VLOOKUP($D343,Cadastro!$C$4:$G$7,5,FALSE)),"")</f>
        <v>0.6</v>
      </c>
      <c r="J343" s="136">
        <f t="shared" si="76"/>
        <v>1.7931899999999998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28</v>
      </c>
      <c r="D344" s="62" t="s">
        <v>29</v>
      </c>
      <c r="E344" s="109" t="s">
        <v>258</v>
      </c>
      <c r="F344" s="134">
        <f>IFERROR(IF($D344="","",VLOOKUP($D344,Cadastro!$C$4:$E$7,3,FALSE)),"")</f>
        <v>0.35</v>
      </c>
      <c r="G344" s="105">
        <v>6</v>
      </c>
      <c r="H344" s="134">
        <f>IFERROR(IF($G344="","",$G344*$S$351/$G$351/Cadastro!$E$33),"")</f>
        <v>25.617000000000001</v>
      </c>
      <c r="I344" s="135">
        <f>IFERROR(IF($D344="","",VLOOKUP($D344,Cadastro!$C$4:$G$7,5,FALSE)),"")</f>
        <v>0.6</v>
      </c>
      <c r="J344" s="136">
        <f t="shared" si="76"/>
        <v>5.3795699999999993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28</v>
      </c>
      <c r="D345" s="62" t="s">
        <v>29</v>
      </c>
      <c r="E345" s="109" t="s">
        <v>258</v>
      </c>
      <c r="F345" s="134">
        <f>IFERROR(IF($D345="","",VLOOKUP($D345,Cadastro!$C$4:$E$7,3,FALSE)),"")</f>
        <v>0.35</v>
      </c>
      <c r="G345" s="105">
        <v>3</v>
      </c>
      <c r="H345" s="134">
        <f>IFERROR(IF($G345="","",$G345*$S$351/$G$351/Cadastro!$E$33),"")</f>
        <v>12.8085</v>
      </c>
      <c r="I345" s="135">
        <f>IFERROR(IF($D345="","",VLOOKUP($D345,Cadastro!$C$4:$G$7,5,FALSE)),"")</f>
        <v>0.6</v>
      </c>
      <c r="J345" s="136">
        <f t="shared" si="76"/>
        <v>2.6897849999999996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28</v>
      </c>
      <c r="D346" s="62" t="s">
        <v>29</v>
      </c>
      <c r="E346" s="109" t="s">
        <v>258</v>
      </c>
      <c r="F346" s="134">
        <f>IFERROR(IF($D346="","",VLOOKUP($D346,Cadastro!$C$4:$E$7,3,FALSE)),"")</f>
        <v>0.35</v>
      </c>
      <c r="G346" s="105">
        <v>4</v>
      </c>
      <c r="H346" s="134">
        <f>IFERROR(IF($G346="","",$G346*$S$351/$G$351/Cadastro!$E$33),"")</f>
        <v>17.077999999999999</v>
      </c>
      <c r="I346" s="135">
        <f>IFERROR(IF($D346="","",VLOOKUP($D346,Cadastro!$C$4:$G$7,5,FALSE)),"")</f>
        <v>0.6</v>
      </c>
      <c r="J346" s="136">
        <f t="shared" si="76"/>
        <v>3.5863799999999997</v>
      </c>
      <c r="K346" s="28">
        <f t="shared" si="77"/>
        <v>16.8</v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28</v>
      </c>
      <c r="D347" s="62" t="s">
        <v>29</v>
      </c>
      <c r="E347" s="109" t="s">
        <v>258</v>
      </c>
      <c r="F347" s="134">
        <f>IFERROR(IF($D347="","",VLOOKUP($D347,Cadastro!$C$4:$E$7,3,FALSE)),"")</f>
        <v>0.35</v>
      </c>
      <c r="G347" s="105">
        <v>9</v>
      </c>
      <c r="H347" s="134">
        <f>IFERROR(IF($G347="","",$G347*$S$351/$G$351/Cadastro!$E$33),"")</f>
        <v>38.4255</v>
      </c>
      <c r="I347" s="135">
        <f>IFERROR(IF($D347="","",VLOOKUP($D347,Cadastro!$C$4:$G$7,5,FALSE)),"")</f>
        <v>0.6</v>
      </c>
      <c r="J347" s="136">
        <f t="shared" si="76"/>
        <v>8.0693549999999998</v>
      </c>
      <c r="K347" s="34">
        <f t="shared" si="77"/>
        <v>37.800000000000004</v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28</v>
      </c>
      <c r="D348" s="62" t="s">
        <v>29</v>
      </c>
      <c r="E348" s="109" t="s">
        <v>258</v>
      </c>
      <c r="F348" s="134">
        <f>IFERROR(IF($D348="","",VLOOKUP($D348,Cadastro!$C$4:$E$7,3,FALSE)),"")</f>
        <v>0.35</v>
      </c>
      <c r="G348" s="105">
        <v>5</v>
      </c>
      <c r="H348" s="134">
        <f>IFERROR(IF($G348="","",$G348*$S$351/$G$351/Cadastro!$E$33),"")</f>
        <v>21.3475</v>
      </c>
      <c r="I348" s="135">
        <f>IFERROR(IF($D348="","",VLOOKUP($D348,Cadastro!$C$4:$G$7,5,FALSE)),"")</f>
        <v>0.6</v>
      </c>
      <c r="J348" s="136">
        <f t="shared" si="76"/>
        <v>4.4829749999999997</v>
      </c>
      <c r="K348" s="28">
        <f t="shared" si="77"/>
        <v>21</v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28</v>
      </c>
      <c r="D349" s="62" t="s">
        <v>29</v>
      </c>
      <c r="E349" s="109" t="s">
        <v>258</v>
      </c>
      <c r="F349" s="134">
        <f>IFERROR(IF($D349="","",VLOOKUP($D349,Cadastro!$C$4:$E$7,3,FALSE)),"")</f>
        <v>0.35</v>
      </c>
      <c r="G349" s="105">
        <v>4</v>
      </c>
      <c r="H349" s="134">
        <f>IFERROR(IF($G349="","",$G349*$S$351/$G$351/Cadastro!$E$33),"")</f>
        <v>17.077999999999999</v>
      </c>
      <c r="I349" s="135">
        <f>IFERROR(IF($D349="","",VLOOKUP($D349,Cadastro!$C$4:$G$7,5,FALSE)),"")</f>
        <v>0.6</v>
      </c>
      <c r="J349" s="136">
        <f t="shared" si="76"/>
        <v>3.5863799999999997</v>
      </c>
      <c r="K349" s="34">
        <f t="shared" si="77"/>
        <v>16.8</v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28</v>
      </c>
      <c r="D350" s="62" t="s">
        <v>29</v>
      </c>
      <c r="E350" s="109" t="s">
        <v>258</v>
      </c>
      <c r="F350" s="137">
        <f>IFERROR(IF($D350="","",VLOOKUP($D350,Cadastro!$C$4:$E$7,3,FALSE)),"")</f>
        <v>0.35</v>
      </c>
      <c r="G350" s="105">
        <v>4</v>
      </c>
      <c r="H350" s="137">
        <f>IFERROR(IF($G350="","",$G350*$S$351/$G$351/Cadastro!$E$33),"")</f>
        <v>17.077999999999999</v>
      </c>
      <c r="I350" s="138">
        <f>IFERROR(IF($D350="","",VLOOKUP($D350,Cadastro!$C$4:$G$7,5,FALSE)),"")</f>
        <v>0.6</v>
      </c>
      <c r="J350" s="139">
        <f t="shared" si="76"/>
        <v>3.5863799999999997</v>
      </c>
      <c r="K350" s="28">
        <f t="shared" si="77"/>
        <v>16.8</v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58" t="s">
        <v>246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60</v>
      </c>
      <c r="H351" s="111">
        <f>IFERROR(SUM(H339:H350),"")</f>
        <v>256.17</v>
      </c>
      <c r="I351" s="115"/>
      <c r="J351" s="124">
        <f>IFERROR(SUM(J339:J350),"")</f>
        <v>53.795699999999997</v>
      </c>
      <c r="K351" s="36">
        <f>SUM(K339:K350)</f>
        <v>252.00000000000006</v>
      </c>
      <c r="L351" s="37"/>
      <c r="M351" s="37"/>
      <c r="N351" s="37"/>
      <c r="O351" s="37"/>
      <c r="P351" s="37"/>
      <c r="Q351" s="38">
        <f ca="1">IFERROR(SUM(Q339:Q350),"")</f>
        <v>1.8055555555555519E-2</v>
      </c>
      <c r="R351" s="36" t="s">
        <v>244</v>
      </c>
      <c r="S351" s="39">
        <v>256170</v>
      </c>
      <c r="T351" s="119">
        <f>IFERROR(J351,"")</f>
        <v>53.795699999999997</v>
      </c>
    </row>
    <row r="352" spans="1:20" ht="18" customHeight="1">
      <c r="A352" s="160" t="s">
        <v>247</v>
      </c>
      <c r="B352" s="161"/>
      <c r="C352" s="161"/>
      <c r="D352" s="161"/>
      <c r="E352" s="161">
        <f>E338+E351</f>
        <v>0</v>
      </c>
      <c r="F352" s="112"/>
      <c r="G352" s="91">
        <f>G338+G351</f>
        <v>121</v>
      </c>
      <c r="H352" s="112">
        <f>IFERROR(H338+H351,"")</f>
        <v>643.48</v>
      </c>
      <c r="I352" s="116"/>
      <c r="J352" s="125">
        <f>IFERROR(J338+J351,"")</f>
        <v>135.13079999999997</v>
      </c>
      <c r="K352" s="40">
        <f>K338+K351</f>
        <v>549</v>
      </c>
      <c r="L352" s="41"/>
      <c r="M352" s="41"/>
      <c r="N352" s="41"/>
      <c r="O352" s="41"/>
      <c r="P352" s="41"/>
      <c r="Q352" s="42">
        <f ca="1">IFERROR(Q338+Q351,"")</f>
        <v>0.25208333333333321</v>
      </c>
      <c r="R352" s="40" t="s">
        <v>248</v>
      </c>
      <c r="S352" s="48">
        <f>IFERROR(S338+S351,"")</f>
        <v>643480</v>
      </c>
      <c r="T352" s="121">
        <f>IFERROR(J352,"")</f>
        <v>135.13079999999997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258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0">IFERROR(IF($H353="","",$H353*$F353*$I353),"")</f>
        <v>0</v>
      </c>
      <c r="K353" s="34">
        <f t="shared" ref="K353:K364" si="81">IF(G353="","",IF(E353="PC 17",G353*4.2,IF(E353="PC 19",G353*5,IF(E353="CB",G353*24,""))))</f>
        <v>0</v>
      </c>
      <c r="L353" s="33" t="s">
        <v>27</v>
      </c>
      <c r="M353" s="33" t="s">
        <v>54</v>
      </c>
      <c r="N353" s="33" t="s">
        <v>69</v>
      </c>
      <c r="O353" s="29">
        <v>0.3</v>
      </c>
      <c r="P353" s="29">
        <v>0.31458333333333333</v>
      </c>
      <c r="Q353" s="35">
        <f t="shared" ref="Q353:Q364" ca="1" si="82">IFERROR(IF(O353="","",IF(P353="",MOD(NOW()-O353,1),IF(P353&gt;=O353,P353-O353,P353+1-O353))),"")</f>
        <v>1.4583333333333337E-2</v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 t="s">
        <v>36</v>
      </c>
      <c r="D354" s="62" t="s">
        <v>29</v>
      </c>
      <c r="E354" s="109" t="s">
        <v>258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36.903333333333336</v>
      </c>
      <c r="I354" s="135">
        <f>IFERROR(IF($D354="","",VLOOKUP($D354,Cadastro!$C$4:$G$7,5,FALSE)),"")</f>
        <v>0.6</v>
      </c>
      <c r="J354" s="136">
        <f t="shared" si="80"/>
        <v>7.7496999999999998</v>
      </c>
      <c r="K354" s="28">
        <f t="shared" si="81"/>
        <v>42</v>
      </c>
      <c r="L354" s="26" t="s">
        <v>27</v>
      </c>
      <c r="M354" s="26" t="s">
        <v>54</v>
      </c>
      <c r="N354" s="26" t="s">
        <v>69</v>
      </c>
      <c r="O354" s="29">
        <v>0.51944444444444449</v>
      </c>
      <c r="P354" s="29">
        <v>0.54861111111111116</v>
      </c>
      <c r="Q354" s="30">
        <f t="shared" ca="1" si="82"/>
        <v>2.9166666666666674E-2</v>
      </c>
      <c r="R354" s="46" t="s">
        <v>280</v>
      </c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 t="s">
        <v>36</v>
      </c>
      <c r="D355" s="62" t="s">
        <v>29</v>
      </c>
      <c r="E355" s="109" t="s">
        <v>258</v>
      </c>
      <c r="F355" s="134">
        <f>IFERROR(IF($D355="","",VLOOKUP($D355,Cadastro!$C$4:$E$7,3,FALSE)),"")</f>
        <v>0.35</v>
      </c>
      <c r="G355" s="105">
        <v>7</v>
      </c>
      <c r="H355" s="134">
        <f>IFERROR(IF($G355="","",$G355*$S$365/$G$365/Cadastro!$E$33),"")</f>
        <v>25.832333333333331</v>
      </c>
      <c r="I355" s="135">
        <f>IFERROR(IF($D355="","",VLOOKUP($D355,Cadastro!$C$4:$G$7,5,FALSE)),"")</f>
        <v>0.6</v>
      </c>
      <c r="J355" s="136">
        <f t="shared" si="80"/>
        <v>5.4247899999999989</v>
      </c>
      <c r="K355" s="34">
        <f t="shared" si="81"/>
        <v>29.400000000000002</v>
      </c>
      <c r="L355" s="33" t="s">
        <v>27</v>
      </c>
      <c r="M355" s="33" t="s">
        <v>165</v>
      </c>
      <c r="N355" s="33" t="s">
        <v>81</v>
      </c>
      <c r="O355" s="29">
        <v>0.57152777777777775</v>
      </c>
      <c r="P355" s="29">
        <v>0.57499999999999996</v>
      </c>
      <c r="Q355" s="35">
        <f t="shared" ca="1" si="82"/>
        <v>3.4722222222222099E-3</v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 t="s">
        <v>36</v>
      </c>
      <c r="D356" s="62" t="s">
        <v>29</v>
      </c>
      <c r="E356" s="109" t="s">
        <v>258</v>
      </c>
      <c r="F356" s="134">
        <f>IFERROR(IF($D356="","",VLOOKUP($D356,Cadastro!$C$4:$E$7,3,FALSE)),"")</f>
        <v>0.35</v>
      </c>
      <c r="G356" s="105">
        <v>7</v>
      </c>
      <c r="H356" s="134">
        <f>IFERROR(IF($G356="","",$G356*$S$365/$G$365/Cadastro!$E$33),"")</f>
        <v>25.832333333333331</v>
      </c>
      <c r="I356" s="135">
        <f>IFERROR(IF($D356="","",VLOOKUP($D356,Cadastro!$C$4:$G$7,5,FALSE)),"")</f>
        <v>0.6</v>
      </c>
      <c r="J356" s="136">
        <f t="shared" si="80"/>
        <v>5.4247899999999989</v>
      </c>
      <c r="K356" s="28">
        <f t="shared" si="81"/>
        <v>29.400000000000002</v>
      </c>
      <c r="L356" s="26" t="s">
        <v>27</v>
      </c>
      <c r="M356" s="26" t="s">
        <v>133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2"/>
        <v>1.1805555555555514E-2</v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 t="s">
        <v>36</v>
      </c>
      <c r="D357" s="62" t="s">
        <v>29</v>
      </c>
      <c r="E357" s="109" t="s">
        <v>258</v>
      </c>
      <c r="F357" s="134">
        <f>IFERROR(IF($D357="","",VLOOKUP($D357,Cadastro!$C$4:$E$7,3,FALSE)),"")</f>
        <v>0.35</v>
      </c>
      <c r="G357" s="105">
        <v>9</v>
      </c>
      <c r="H357" s="134">
        <f>IFERROR(IF($G357="","",$G357*$S$365/$G$365/Cadastro!$E$33),"")</f>
        <v>33.213000000000001</v>
      </c>
      <c r="I357" s="135">
        <f>IFERROR(IF($D357="","",VLOOKUP($D357,Cadastro!$C$4:$G$7,5,FALSE)),"")</f>
        <v>0.6</v>
      </c>
      <c r="J357" s="136">
        <f t="shared" si="80"/>
        <v>6.9747299999999992</v>
      </c>
      <c r="K357" s="34">
        <f t="shared" si="81"/>
        <v>37.800000000000004</v>
      </c>
      <c r="L357" s="33" t="s">
        <v>25</v>
      </c>
      <c r="M357" s="33" t="s">
        <v>142</v>
      </c>
      <c r="N357" s="33" t="s">
        <v>125</v>
      </c>
      <c r="O357" s="29">
        <v>0.65555555555555556</v>
      </c>
      <c r="P357" s="29">
        <v>0.79166666666666663</v>
      </c>
      <c r="Q357" s="35">
        <f t="shared" ca="1" si="82"/>
        <v>0.13611111111111107</v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 t="s">
        <v>36</v>
      </c>
      <c r="D358" s="62" t="s">
        <v>29</v>
      </c>
      <c r="E358" s="109" t="s">
        <v>258</v>
      </c>
      <c r="F358" s="134">
        <f>IFERROR(IF($D358="","",VLOOKUP($D358,Cadastro!$C$4:$E$7,3,FALSE)),"")</f>
        <v>0.35</v>
      </c>
      <c r="G358" s="105">
        <v>5</v>
      </c>
      <c r="H358" s="134">
        <f>IFERROR(IF($G358="","",$G358*$S$365/$G$365/Cadastro!$E$33),"")</f>
        <v>18.451666666666668</v>
      </c>
      <c r="I358" s="135">
        <f>IFERROR(IF($D358="","",VLOOKUP($D358,Cadastro!$C$4:$G$7,5,FALSE)),"")</f>
        <v>0.6</v>
      </c>
      <c r="J358" s="136">
        <f t="shared" si="80"/>
        <v>3.8748499999999999</v>
      </c>
      <c r="K358" s="28">
        <f t="shared" si="81"/>
        <v>21</v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 t="s">
        <v>36</v>
      </c>
      <c r="D359" s="62" t="s">
        <v>29</v>
      </c>
      <c r="E359" s="109" t="s">
        <v>258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55.354999999999997</v>
      </c>
      <c r="I359" s="135">
        <f>IFERROR(IF($D359="","",VLOOKUP($D359,Cadastro!$C$4:$G$7,5,FALSE)),"")</f>
        <v>0.6</v>
      </c>
      <c r="J359" s="136">
        <f t="shared" si="80"/>
        <v>11.624549999999997</v>
      </c>
      <c r="K359" s="34">
        <f t="shared" si="81"/>
        <v>63</v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 t="s">
        <v>36</v>
      </c>
      <c r="D360" s="62" t="s">
        <v>29</v>
      </c>
      <c r="E360" s="109" t="s">
        <v>258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47.974333333333334</v>
      </c>
      <c r="I360" s="135">
        <f>IFERROR(IF($D360="","",VLOOKUP($D360,Cadastro!$C$4:$G$7,5,FALSE)),"")</f>
        <v>0.6</v>
      </c>
      <c r="J360" s="136">
        <f t="shared" si="80"/>
        <v>10.074609999999998</v>
      </c>
      <c r="K360" s="28">
        <f t="shared" si="81"/>
        <v>54.6</v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 t="s">
        <v>36</v>
      </c>
      <c r="D361" s="62" t="s">
        <v>29</v>
      </c>
      <c r="E361" s="109" t="s">
        <v>258</v>
      </c>
      <c r="F361" s="134">
        <f>IFERROR(IF($D361="","",VLOOKUP($D361,Cadastro!$C$4:$E$7,3,FALSE)),"")</f>
        <v>0.35</v>
      </c>
      <c r="G361" s="105">
        <v>8</v>
      </c>
      <c r="H361" s="134">
        <f>IFERROR(IF($G361="","",$G361*$S$365/$G$365/Cadastro!$E$33),"")</f>
        <v>29.522666666666669</v>
      </c>
      <c r="I361" s="135">
        <f>IFERROR(IF($D361="","",VLOOKUP($D361,Cadastro!$C$4:$G$7,5,FALSE)),"")</f>
        <v>0.6</v>
      </c>
      <c r="J361" s="136">
        <f t="shared" si="80"/>
        <v>6.1997599999999995</v>
      </c>
      <c r="K361" s="34">
        <f t="shared" si="81"/>
        <v>33.6</v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 t="s">
        <v>36</v>
      </c>
      <c r="D362" s="62" t="s">
        <v>29</v>
      </c>
      <c r="E362" s="109" t="s">
        <v>258</v>
      </c>
      <c r="F362" s="134">
        <f>IFERROR(IF($D362="","",VLOOKUP($D362,Cadastro!$C$4:$E$7,3,FALSE)),"")</f>
        <v>0.35</v>
      </c>
      <c r="G362" s="105">
        <v>0</v>
      </c>
      <c r="H362" s="134">
        <f>IFERROR(IF($G362="","",$G362*$S$365/$G$365/Cadastro!$E$33),"")</f>
        <v>0</v>
      </c>
      <c r="I362" s="135">
        <f>IFERROR(IF($D362="","",VLOOKUP($D362,Cadastro!$C$4:$G$7,5,FALSE)),"")</f>
        <v>0.6</v>
      </c>
      <c r="J362" s="136">
        <f t="shared" si="80"/>
        <v>0</v>
      </c>
      <c r="K362" s="28">
        <f t="shared" si="81"/>
        <v>0</v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 t="s">
        <v>36</v>
      </c>
      <c r="D363" s="62" t="s">
        <v>29</v>
      </c>
      <c r="E363" s="109" t="s">
        <v>258</v>
      </c>
      <c r="F363" s="134">
        <f>IFERROR(IF($D363="","",VLOOKUP($D363,Cadastro!$C$4:$E$7,3,FALSE)),"")</f>
        <v>0.35</v>
      </c>
      <c r="G363" s="105">
        <v>4</v>
      </c>
      <c r="H363" s="134">
        <f>IFERROR(IF($G363="","",$G363*$S$365/$G$365/Cadastro!$E$33),"")</f>
        <v>14.761333333333335</v>
      </c>
      <c r="I363" s="135">
        <f>IFERROR(IF($D363="","",VLOOKUP($D363,Cadastro!$C$4:$G$7,5,FALSE)),"")</f>
        <v>0.6</v>
      </c>
      <c r="J363" s="136">
        <f t="shared" si="80"/>
        <v>3.0998799999999997</v>
      </c>
      <c r="K363" s="34">
        <f t="shared" si="81"/>
        <v>16.8</v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 t="s">
        <v>36</v>
      </c>
      <c r="D364" s="62" t="s">
        <v>29</v>
      </c>
      <c r="E364" s="109" t="s">
        <v>258</v>
      </c>
      <c r="F364" s="137">
        <f>IFERROR(IF($D364="","",VLOOKUP($D364,Cadastro!$C$4:$E$7,3,FALSE)),"")</f>
        <v>0.35</v>
      </c>
      <c r="G364" s="105">
        <v>12</v>
      </c>
      <c r="H364" s="137">
        <f>IFERROR(IF($G364="","",$G364*$S$365/$G$365/Cadastro!$E$33),"")</f>
        <v>44.283999999999999</v>
      </c>
      <c r="I364" s="138">
        <f>IFERROR(IF($D364="","",VLOOKUP($D364,Cadastro!$C$4:$G$7,5,FALSE)),"")</f>
        <v>0.6</v>
      </c>
      <c r="J364" s="139">
        <f t="shared" si="80"/>
        <v>9.2996399999999984</v>
      </c>
      <c r="K364" s="28">
        <f t="shared" si="81"/>
        <v>50.400000000000006</v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58" t="s">
        <v>243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90</v>
      </c>
      <c r="H365" s="110">
        <f>IFERROR(SUM(H353:H364),"")</f>
        <v>332.12999999999994</v>
      </c>
      <c r="I365" s="114"/>
      <c r="J365" s="123">
        <f>IFERROR(SUM(J353:J364),"")</f>
        <v>69.747299999999981</v>
      </c>
      <c r="K365" s="36">
        <f>SUM(K353:K364)</f>
        <v>378.00000000000011</v>
      </c>
      <c r="L365" s="37"/>
      <c r="M365" s="37"/>
      <c r="N365" s="37"/>
      <c r="O365" s="37"/>
      <c r="P365" s="37"/>
      <c r="Q365" s="38">
        <f ca="1">IFERROR(SUM(Q353:Q364),"")</f>
        <v>0.19513888888888881</v>
      </c>
      <c r="R365" s="36" t="s">
        <v>244</v>
      </c>
      <c r="S365" s="39">
        <v>332130</v>
      </c>
      <c r="T365" s="119">
        <f>IFERROR(J365,"")</f>
        <v>69.747299999999981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258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4.5640506329113926</v>
      </c>
      <c r="I366" s="141">
        <f>IFERROR(IF($D366="","",VLOOKUP($D366,Cadastro!$C$4:$G$7,5,FALSE)),"")</f>
        <v>0.6</v>
      </c>
      <c r="J366" s="142">
        <f t="shared" ref="J366:J377" si="84">IFERROR(IF($H366="","",$H366*$F366*$I366),"")</f>
        <v>0.95845063291139232</v>
      </c>
      <c r="K366" s="28">
        <f t="shared" ref="K366:K377" si="85">IF(G366="","",IF(E366="PC 17",G366*4.2,IF(E366="PC 19",G366*5,IF(E366="CB",G366*24,""))))</f>
        <v>4.2</v>
      </c>
      <c r="L366" s="26" t="s">
        <v>25</v>
      </c>
      <c r="M366" s="26" t="s">
        <v>142</v>
      </c>
      <c r="N366" s="26" t="s">
        <v>125</v>
      </c>
      <c r="O366" s="29">
        <v>0.80902777777777779</v>
      </c>
      <c r="P366" s="29">
        <v>0.87083333333333335</v>
      </c>
      <c r="Q366" s="30">
        <f t="shared" ref="Q366:Q377" ca="1" si="86">IFERROR(IF(O366="","",IF(P366="",MOD(NOW()-O366,1),IF(P366&gt;=O366,P366-O366,P366+1-O366))),"")</f>
        <v>6.1805555555555558E-2</v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 t="s">
        <v>28</v>
      </c>
      <c r="D367" s="59" t="s">
        <v>29</v>
      </c>
      <c r="E367" s="108" t="s">
        <v>258</v>
      </c>
      <c r="F367" s="134">
        <f>IFERROR(IF($D367="","",VLOOKUP($D367,Cadastro!$C$4:$E$7,3,FALSE)),"")</f>
        <v>0.35</v>
      </c>
      <c r="G367" s="105">
        <v>0</v>
      </c>
      <c r="H367" s="134">
        <f>IFERROR(IF($G367="","",$G367*$S$378/$G$378/Cadastro!$E$33),"")</f>
        <v>0</v>
      </c>
      <c r="I367" s="135">
        <f>IFERROR(IF($D367="","",VLOOKUP($D367,Cadastro!$C$4:$G$7,5,FALSE)),"")</f>
        <v>0.6</v>
      </c>
      <c r="J367" s="136">
        <f t="shared" si="84"/>
        <v>0</v>
      </c>
      <c r="K367" s="34">
        <f t="shared" si="85"/>
        <v>0</v>
      </c>
      <c r="L367" s="33" t="s">
        <v>25</v>
      </c>
      <c r="M367" s="33" t="s">
        <v>142</v>
      </c>
      <c r="N367" s="33" t="s">
        <v>125</v>
      </c>
      <c r="O367" s="29">
        <v>0.88194444444444442</v>
      </c>
      <c r="P367" s="29">
        <v>0.90972222222222221</v>
      </c>
      <c r="Q367" s="35">
        <f t="shared" ca="1" si="86"/>
        <v>2.777777777777779E-2</v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 t="s">
        <v>28</v>
      </c>
      <c r="D368" s="59" t="s">
        <v>29</v>
      </c>
      <c r="E368" s="108" t="s">
        <v>258</v>
      </c>
      <c r="F368" s="134">
        <f>IFERROR(IF($D368="","",VLOOKUP($D368,Cadastro!$C$4:$E$7,3,FALSE)),"")</f>
        <v>0.35</v>
      </c>
      <c r="G368" s="105">
        <v>2</v>
      </c>
      <c r="H368" s="134">
        <f>IFERROR(IF($G368="","",$G368*$S$378/$G$378/Cadastro!$E$33),"")</f>
        <v>9.1281012658227851</v>
      </c>
      <c r="I368" s="135">
        <f>IFERROR(IF($D368="","",VLOOKUP($D368,Cadastro!$C$4:$G$7,5,FALSE)),"")</f>
        <v>0.6</v>
      </c>
      <c r="J368" s="136">
        <f t="shared" si="84"/>
        <v>1.9169012658227846</v>
      </c>
      <c r="K368" s="28">
        <f t="shared" si="85"/>
        <v>8.4</v>
      </c>
      <c r="L368" s="26" t="s">
        <v>27</v>
      </c>
      <c r="M368" s="26" t="s">
        <v>54</v>
      </c>
      <c r="N368" s="26" t="s">
        <v>212</v>
      </c>
      <c r="O368" s="29">
        <v>0.91666666666666663</v>
      </c>
      <c r="P368" s="29">
        <v>0.92777777777777781</v>
      </c>
      <c r="Q368" s="30">
        <f t="shared" ca="1" si="86"/>
        <v>1.1111111111111183E-2</v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 t="s">
        <v>28</v>
      </c>
      <c r="D369" s="59" t="s">
        <v>29</v>
      </c>
      <c r="E369" s="108" t="s">
        <v>258</v>
      </c>
      <c r="F369" s="134">
        <f>IFERROR(IF($D369="","",VLOOKUP($D369,Cadastro!$C$4:$E$7,3,FALSE)),"")</f>
        <v>0.35</v>
      </c>
      <c r="G369" s="105">
        <v>4</v>
      </c>
      <c r="H369" s="134">
        <f>IFERROR(IF($G369="","",$G369*$S$378/$G$378/Cadastro!$E$33),"")</f>
        <v>18.25620253164557</v>
      </c>
      <c r="I369" s="135">
        <f>IFERROR(IF($D369="","",VLOOKUP($D369,Cadastro!$C$4:$G$7,5,FALSE)),"")</f>
        <v>0.6</v>
      </c>
      <c r="J369" s="136">
        <f t="shared" si="84"/>
        <v>3.8338025316455693</v>
      </c>
      <c r="K369" s="34">
        <f t="shared" si="85"/>
        <v>16.8</v>
      </c>
      <c r="L369" s="33" t="s">
        <v>26</v>
      </c>
      <c r="M369" s="33" t="s">
        <v>54</v>
      </c>
      <c r="N369" s="33" t="s">
        <v>34</v>
      </c>
      <c r="O369" s="29">
        <v>0.17083333333333334</v>
      </c>
      <c r="P369" s="29">
        <v>0.18541666666666667</v>
      </c>
      <c r="Q369" s="35">
        <f t="shared" ca="1" si="86"/>
        <v>1.4583333333333337E-2</v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 t="s">
        <v>28</v>
      </c>
      <c r="D370" s="59" t="s">
        <v>29</v>
      </c>
      <c r="E370" s="108" t="s">
        <v>258</v>
      </c>
      <c r="F370" s="134">
        <f>IFERROR(IF($D370="","",VLOOKUP($D370,Cadastro!$C$4:$E$7,3,FALSE)),"")</f>
        <v>0.35</v>
      </c>
      <c r="G370" s="105">
        <v>9</v>
      </c>
      <c r="H370" s="134">
        <f>IFERROR(IF($G370="","",$G370*$S$378/$G$378/Cadastro!$E$33),"")</f>
        <v>41.07645569620253</v>
      </c>
      <c r="I370" s="135">
        <f>IFERROR(IF($D370="","",VLOOKUP($D370,Cadastro!$C$4:$G$7,5,FALSE)),"")</f>
        <v>0.6</v>
      </c>
      <c r="J370" s="136">
        <f t="shared" si="84"/>
        <v>8.6260556962025294</v>
      </c>
      <c r="K370" s="28">
        <f t="shared" si="85"/>
        <v>37.800000000000004</v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 t="s">
        <v>28</v>
      </c>
      <c r="D371" s="59" t="s">
        <v>29</v>
      </c>
      <c r="E371" s="108" t="s">
        <v>258</v>
      </c>
      <c r="F371" s="134">
        <f>IFERROR(IF($D371="","",VLOOKUP($D371,Cadastro!$C$4:$E$7,3,FALSE)),"")</f>
        <v>0.35</v>
      </c>
      <c r="G371" s="105">
        <v>10</v>
      </c>
      <c r="H371" s="134">
        <f>IFERROR(IF($G371="","",$G371*$S$378/$G$378/Cadastro!$E$33),"")</f>
        <v>45.640506329113926</v>
      </c>
      <c r="I371" s="135">
        <f>IFERROR(IF($D371="","",VLOOKUP($D371,Cadastro!$C$4:$G$7,5,FALSE)),"")</f>
        <v>0.6</v>
      </c>
      <c r="J371" s="136">
        <f t="shared" si="84"/>
        <v>9.584506329113923</v>
      </c>
      <c r="K371" s="34">
        <f t="shared" si="85"/>
        <v>42</v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 t="s">
        <v>28</v>
      </c>
      <c r="D372" s="59" t="s">
        <v>29</v>
      </c>
      <c r="E372" s="108" t="s">
        <v>258</v>
      </c>
      <c r="F372" s="134">
        <f>IFERROR(IF($D372="","",VLOOKUP($D372,Cadastro!$C$4:$E$7,3,FALSE)),"")</f>
        <v>0.35</v>
      </c>
      <c r="G372" s="105">
        <v>7</v>
      </c>
      <c r="H372" s="134">
        <f>IFERROR(IF($G372="","",$G372*$S$378/$G$378/Cadastro!$E$33),"")</f>
        <v>31.948354430379744</v>
      </c>
      <c r="I372" s="135">
        <f>IFERROR(IF($D372="","",VLOOKUP($D372,Cadastro!$C$4:$G$7,5,FALSE)),"")</f>
        <v>0.6</v>
      </c>
      <c r="J372" s="136">
        <f t="shared" si="84"/>
        <v>6.7091544303797459</v>
      </c>
      <c r="K372" s="28">
        <f t="shared" si="85"/>
        <v>29.400000000000002</v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 t="s">
        <v>28</v>
      </c>
      <c r="D373" s="59" t="s">
        <v>29</v>
      </c>
      <c r="E373" s="108" t="s">
        <v>258</v>
      </c>
      <c r="F373" s="134">
        <f>IFERROR(IF($D373="","",VLOOKUP($D373,Cadastro!$C$4:$E$7,3,FALSE)),"")</f>
        <v>0.35</v>
      </c>
      <c r="G373" s="105">
        <v>15</v>
      </c>
      <c r="H373" s="134">
        <f>IFERROR(IF($G373="","",$G373*$S$378/$G$378/Cadastro!$E$33),"")</f>
        <v>68.460759493670892</v>
      </c>
      <c r="I373" s="135">
        <f>IFERROR(IF($D373="","",VLOOKUP($D373,Cadastro!$C$4:$G$7,5,FALSE)),"")</f>
        <v>0.6</v>
      </c>
      <c r="J373" s="136">
        <f t="shared" si="84"/>
        <v>14.376759493670885</v>
      </c>
      <c r="K373" s="34">
        <f t="shared" si="85"/>
        <v>63</v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 t="s">
        <v>28</v>
      </c>
      <c r="D374" s="59" t="s">
        <v>29</v>
      </c>
      <c r="E374" s="108" t="s">
        <v>258</v>
      </c>
      <c r="F374" s="134">
        <f>IFERROR(IF($D374="","",VLOOKUP($D374,Cadastro!$C$4:$E$7,3,FALSE)),"")</f>
        <v>0.35</v>
      </c>
      <c r="G374" s="105">
        <v>13</v>
      </c>
      <c r="H374" s="134">
        <f>IFERROR(IF($G374="","",$G374*$S$378/$G$378/Cadastro!$E$33),"")</f>
        <v>59.3326582278481</v>
      </c>
      <c r="I374" s="135">
        <f>IFERROR(IF($D374="","",VLOOKUP($D374,Cadastro!$C$4:$G$7,5,FALSE)),"")</f>
        <v>0.6</v>
      </c>
      <c r="J374" s="136">
        <f t="shared" si="84"/>
        <v>12.4598582278481</v>
      </c>
      <c r="K374" s="28">
        <f t="shared" si="85"/>
        <v>54.6</v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 t="s">
        <v>28</v>
      </c>
      <c r="D375" s="59" t="s">
        <v>29</v>
      </c>
      <c r="E375" s="108" t="s">
        <v>258</v>
      </c>
      <c r="F375" s="134">
        <f>IFERROR(IF($D375="","",VLOOKUP($D375,Cadastro!$C$4:$E$7,3,FALSE)),"")</f>
        <v>0.35</v>
      </c>
      <c r="G375" s="105">
        <v>3</v>
      </c>
      <c r="H375" s="134">
        <f>IFERROR(IF($G375="","",$G375*$S$378/$G$378/Cadastro!$E$33),"")</f>
        <v>13.692151898734178</v>
      </c>
      <c r="I375" s="135">
        <f>IFERROR(IF($D375="","",VLOOKUP($D375,Cadastro!$C$4:$G$7,5,FALSE)),"")</f>
        <v>0.6</v>
      </c>
      <c r="J375" s="136">
        <f t="shared" si="84"/>
        <v>2.8753518987341766</v>
      </c>
      <c r="K375" s="34">
        <f t="shared" si="85"/>
        <v>12.600000000000001</v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 t="s">
        <v>28</v>
      </c>
      <c r="D376" s="59" t="s">
        <v>29</v>
      </c>
      <c r="E376" s="108" t="s">
        <v>258</v>
      </c>
      <c r="F376" s="134">
        <f>IFERROR(IF($D376="","",VLOOKUP($D376,Cadastro!$C$4:$E$7,3,FALSE)),"")</f>
        <v>0.35</v>
      </c>
      <c r="G376" s="105">
        <v>8</v>
      </c>
      <c r="H376" s="134">
        <f>IFERROR(IF($G376="","",$G376*$S$378/$G$378/Cadastro!$E$33),"")</f>
        <v>36.512405063291141</v>
      </c>
      <c r="I376" s="135">
        <f>IFERROR(IF($D376="","",VLOOKUP($D376,Cadastro!$C$4:$G$7,5,FALSE)),"")</f>
        <v>0.6</v>
      </c>
      <c r="J376" s="136">
        <f t="shared" si="84"/>
        <v>7.6676050632911386</v>
      </c>
      <c r="K376" s="28">
        <f t="shared" si="85"/>
        <v>33.6</v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 t="s">
        <v>28</v>
      </c>
      <c r="D377" s="59" t="s">
        <v>29</v>
      </c>
      <c r="E377" s="108" t="s">
        <v>258</v>
      </c>
      <c r="F377" s="137">
        <f>IFERROR(IF($D377="","",VLOOKUP($D377,Cadastro!$C$4:$E$7,3,FALSE)),"")</f>
        <v>0.35</v>
      </c>
      <c r="G377" s="105">
        <v>7</v>
      </c>
      <c r="H377" s="137">
        <f>IFERROR(IF($G377="","",$G377*$S$378/$G$378/Cadastro!$E$33),"")</f>
        <v>31.948354430379744</v>
      </c>
      <c r="I377" s="138">
        <f>IFERROR(IF($D377="","",VLOOKUP($D377,Cadastro!$C$4:$G$7,5,FALSE)),"")</f>
        <v>0.6</v>
      </c>
      <c r="J377" s="139">
        <f t="shared" si="84"/>
        <v>6.7091544303797459</v>
      </c>
      <c r="K377" s="34">
        <f t="shared" si="85"/>
        <v>29.400000000000002</v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58" t="s">
        <v>246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79</v>
      </c>
      <c r="H378" s="111">
        <f>IFERROR(SUM(H366:H377),"")</f>
        <v>360.56</v>
      </c>
      <c r="I378" s="115"/>
      <c r="J378" s="124">
        <f>IFERROR(SUM(J366:J377),"")</f>
        <v>75.71759999999999</v>
      </c>
      <c r="K378" s="36">
        <f>SUM(K366:K377)</f>
        <v>331.8</v>
      </c>
      <c r="L378" s="37"/>
      <c r="M378" s="37"/>
      <c r="N378" s="37"/>
      <c r="O378" s="37"/>
      <c r="P378" s="37"/>
      <c r="Q378" s="38">
        <f ca="1">IFERROR(SUM(Q366:Q377),"")</f>
        <v>0.11527777777777787</v>
      </c>
      <c r="R378" s="36" t="s">
        <v>244</v>
      </c>
      <c r="S378" s="39">
        <v>360560</v>
      </c>
      <c r="T378" s="119">
        <f>IFERROR(J378,"")</f>
        <v>75.71759999999999</v>
      </c>
    </row>
    <row r="379" spans="1:20" ht="18" customHeight="1">
      <c r="A379" s="160" t="s">
        <v>247</v>
      </c>
      <c r="B379" s="161"/>
      <c r="C379" s="161"/>
      <c r="D379" s="161"/>
      <c r="E379" s="161">
        <f>E365+E378</f>
        <v>0</v>
      </c>
      <c r="F379" s="112"/>
      <c r="G379" s="91">
        <f>G365+G378</f>
        <v>169</v>
      </c>
      <c r="H379" s="112">
        <f>IFERROR(H365+H378,"")</f>
        <v>692.68999999999994</v>
      </c>
      <c r="I379" s="116"/>
      <c r="J379" s="125">
        <f>IFERROR(J365+J378,"")</f>
        <v>145.46489999999997</v>
      </c>
      <c r="K379" s="40">
        <f>K365+K378</f>
        <v>709.80000000000018</v>
      </c>
      <c r="L379" s="41"/>
      <c r="M379" s="41"/>
      <c r="N379" s="41"/>
      <c r="O379" s="41"/>
      <c r="P379" s="41"/>
      <c r="Q379" s="42">
        <f ca="1">IFERROR(Q365+Q378,"")</f>
        <v>0.31041666666666667</v>
      </c>
      <c r="R379" s="40" t="s">
        <v>248</v>
      </c>
      <c r="S379" s="48">
        <f>IFERROR(S365+S378,"")</f>
        <v>692690</v>
      </c>
      <c r="T379" s="121">
        <f>IFERROR(J379,"")</f>
        <v>145.46489999999997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258</v>
      </c>
      <c r="F380" s="140">
        <f>IFERROR(IF($D380="","",VLOOKUP($D380,Cadastro!$C$4:$E$7,3,FALSE)),"")</f>
        <v>0.35</v>
      </c>
      <c r="G380" s="105">
        <v>10</v>
      </c>
      <c r="H380" s="140">
        <f>IFERROR(IF($G380="","",$G380*$S$392/$G$392/Cadastro!$E$33),"")</f>
        <v>52.132608695652173</v>
      </c>
      <c r="I380" s="141">
        <f>IFERROR(IF($D380="","",VLOOKUP($D380,Cadastro!$C$4:$G$7,5,FALSE)),"")</f>
        <v>0.6</v>
      </c>
      <c r="J380" s="142">
        <f t="shared" ref="J380:J391" si="88">IFERROR(IF($H380="","",$H380*$F380*$I380),"")</f>
        <v>10.947847826086955</v>
      </c>
      <c r="K380" s="28">
        <f t="shared" ref="K380:K391" si="89">IF(G380="","",IF(E380="PC 17",G380*4.2,IF(E380="PC 19",G380*5,IF(E380="CB",G380*24,""))))</f>
        <v>42</v>
      </c>
      <c r="L380" s="26" t="s">
        <v>27</v>
      </c>
      <c r="M380" s="26"/>
      <c r="N380" s="26" t="s">
        <v>81</v>
      </c>
      <c r="O380" s="29">
        <v>0.33888888888888891</v>
      </c>
      <c r="P380" s="29">
        <v>0.34513888888888888</v>
      </c>
      <c r="Q380" s="30">
        <f t="shared" ref="Q380:Q391" ca="1" si="90">IFERROR(IF(O380="","",IF(P380="",MOD(NOW()-O380,1),IF(P380&gt;=O380,P380-O380,P380+1-O380))),"")</f>
        <v>6.2499999999999778E-3</v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 t="s">
        <v>52</v>
      </c>
      <c r="D381" s="59" t="s">
        <v>29</v>
      </c>
      <c r="F381" s="134">
        <f>IFERROR(IF($D381="","",VLOOKUP($D381,Cadastro!$C$4:$E$7,3,FALSE)),"")</f>
        <v>0.35</v>
      </c>
      <c r="G381" s="105">
        <v>11</v>
      </c>
      <c r="H381" s="134">
        <f>IFERROR(IF($G381="","",$G381*$S$392/$G$392/Cadastro!$E$33),"")</f>
        <v>57.345869565217392</v>
      </c>
      <c r="I381" s="135">
        <f>IFERROR(IF($D381="","",VLOOKUP($D381,Cadastro!$C$4:$G$7,5,FALSE)),"")</f>
        <v>0.6</v>
      </c>
      <c r="J381" s="136">
        <f t="shared" si="88"/>
        <v>12.04263260869565</v>
      </c>
      <c r="K381" s="34">
        <f>IF(G381="","",IF(E382="PC 17",G381*4.2,IF(E382="PC 19",G381*5,"")))</f>
        <v>46.2</v>
      </c>
      <c r="L381" s="33" t="s">
        <v>27</v>
      </c>
      <c r="M381" s="33"/>
      <c r="N381" s="33" t="s">
        <v>81</v>
      </c>
      <c r="O381" s="29">
        <v>0.39374999999999999</v>
      </c>
      <c r="P381" s="29">
        <v>0.39930555555555558</v>
      </c>
      <c r="Q381" s="35">
        <f t="shared" ca="1" si="90"/>
        <v>5.5555555555555913E-3</v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 t="s">
        <v>52</v>
      </c>
      <c r="D382" s="59" t="s">
        <v>29</v>
      </c>
      <c r="E382" s="108" t="s">
        <v>258</v>
      </c>
      <c r="F382" s="134">
        <f>IFERROR(IF($D382="","",VLOOKUP($D382,Cadastro!$C$4:$E$7,3,FALSE)),"")</f>
        <v>0.35</v>
      </c>
      <c r="G382" s="105">
        <v>7</v>
      </c>
      <c r="H382" s="134">
        <f>IFERROR(IF($G382="","",$G382*$S$392/$G$392/Cadastro!$E$33),"")</f>
        <v>36.492826086956519</v>
      </c>
      <c r="I382" s="135">
        <f>IFERROR(IF($D382="","",VLOOKUP($D382,Cadastro!$C$4:$G$7,5,FALSE)),"")</f>
        <v>0.6</v>
      </c>
      <c r="J382" s="136">
        <f t="shared" si="88"/>
        <v>7.6634934782608681</v>
      </c>
      <c r="K382" s="28"/>
      <c r="L382" s="26" t="s">
        <v>24</v>
      </c>
      <c r="M382" s="26"/>
      <c r="N382" s="33" t="s">
        <v>32</v>
      </c>
      <c r="O382" s="29">
        <v>0.48333333333333334</v>
      </c>
      <c r="P382" s="29">
        <v>0.49166666666666664</v>
      </c>
      <c r="Q382" s="30">
        <f t="shared" ca="1" si="90"/>
        <v>8.3333333333333037E-3</v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 t="s">
        <v>52</v>
      </c>
      <c r="D383" s="59" t="s">
        <v>29</v>
      </c>
      <c r="E383" s="108" t="s">
        <v>258</v>
      </c>
      <c r="F383" s="134">
        <f>IFERROR(IF($D383="","",VLOOKUP($D383,Cadastro!$C$4:$E$7,3,FALSE)),"")</f>
        <v>0.35</v>
      </c>
      <c r="G383" s="105">
        <v>6</v>
      </c>
      <c r="H383" s="134">
        <f>IFERROR(IF($G383="","",$G383*$S$392/$G$392/Cadastro!$E$33),"")</f>
        <v>31.279565217391305</v>
      </c>
      <c r="I383" s="135">
        <f>IFERROR(IF($D383="","",VLOOKUP($D383,Cadastro!$C$4:$G$7,5,FALSE)),"")</f>
        <v>0.6</v>
      </c>
      <c r="J383" s="136">
        <f t="shared" si="88"/>
        <v>6.5687086956521741</v>
      </c>
      <c r="K383" s="34">
        <f t="shared" si="89"/>
        <v>25.200000000000003</v>
      </c>
      <c r="L383" s="33" t="s">
        <v>27</v>
      </c>
      <c r="M383" s="33" t="s">
        <v>54</v>
      </c>
      <c r="N383" s="33" t="s">
        <v>63</v>
      </c>
      <c r="O383" s="29">
        <v>0.4909722222222222</v>
      </c>
      <c r="P383" s="29">
        <v>0.5180555555555556</v>
      </c>
      <c r="Q383" s="35">
        <f t="shared" ca="1" si="90"/>
        <v>2.7083333333333404E-2</v>
      </c>
      <c r="R383" s="27" t="s">
        <v>320</v>
      </c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 t="s">
        <v>52</v>
      </c>
      <c r="D384" s="59" t="s">
        <v>29</v>
      </c>
      <c r="E384" s="108" t="s">
        <v>258</v>
      </c>
      <c r="F384" s="134">
        <f>IFERROR(IF($D384="","",VLOOKUP($D384,Cadastro!$C$4:$E$7,3,FALSE)),"")</f>
        <v>0.35</v>
      </c>
      <c r="G384" s="105">
        <v>0</v>
      </c>
      <c r="H384" s="134">
        <f>IFERROR(IF($G384="","",$G384*$S$392/$G$392/Cadastro!$E$33),"")</f>
        <v>0</v>
      </c>
      <c r="I384" s="135">
        <f>IFERROR(IF($D384="","",VLOOKUP($D384,Cadastro!$C$4:$G$7,5,FALSE)),"")</f>
        <v>0.6</v>
      </c>
      <c r="J384" s="136">
        <f t="shared" si="88"/>
        <v>0</v>
      </c>
      <c r="K384" s="28">
        <f t="shared" si="89"/>
        <v>0</v>
      </c>
      <c r="L384" s="26" t="s">
        <v>23</v>
      </c>
      <c r="M384" s="26" t="s">
        <v>150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0"/>
        <v>2.6388888888888906E-2</v>
      </c>
      <c r="R384" s="27" t="s">
        <v>302</v>
      </c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 t="s">
        <v>52</v>
      </c>
      <c r="D385" s="59" t="s">
        <v>29</v>
      </c>
      <c r="E385" s="108" t="s">
        <v>258</v>
      </c>
      <c r="F385" s="134">
        <f>IFERROR(IF($D385="","",VLOOKUP($D385,Cadastro!$C$4:$E$7,3,FALSE)),"")</f>
        <v>0.35</v>
      </c>
      <c r="G385" s="105">
        <v>8</v>
      </c>
      <c r="H385" s="134">
        <f>IFERROR(IF($G385="","",$G385*$S$392/$G$392/Cadastro!$E$33),"")</f>
        <v>41.706086956521737</v>
      </c>
      <c r="I385" s="135">
        <f>IFERROR(IF($D385="","",VLOOKUP($D385,Cadastro!$C$4:$G$7,5,FALSE)),"")</f>
        <v>0.6</v>
      </c>
      <c r="J385" s="136">
        <f t="shared" si="88"/>
        <v>8.7582782608695631</v>
      </c>
      <c r="K385" s="34">
        <f t="shared" si="89"/>
        <v>33.6</v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 t="s">
        <v>52</v>
      </c>
      <c r="D386" s="59" t="s">
        <v>29</v>
      </c>
      <c r="E386" s="108" t="s">
        <v>258</v>
      </c>
      <c r="F386" s="134">
        <f>IFERROR(IF($D386="","",VLOOKUP($D386,Cadastro!$C$4:$E$7,3,FALSE)),"")</f>
        <v>0.35</v>
      </c>
      <c r="G386" s="105">
        <v>11</v>
      </c>
      <c r="H386" s="134">
        <f>IFERROR(IF($G386="","",$G386*$S$392/$G$392/Cadastro!$E$33),"")</f>
        <v>57.345869565217392</v>
      </c>
      <c r="I386" s="135">
        <f>IFERROR(IF($D386="","",VLOOKUP($D386,Cadastro!$C$4:$G$7,5,FALSE)),"")</f>
        <v>0.6</v>
      </c>
      <c r="J386" s="136">
        <f t="shared" si="88"/>
        <v>12.04263260869565</v>
      </c>
      <c r="K386" s="28">
        <f t="shared" si="89"/>
        <v>46.2</v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 t="s">
        <v>52</v>
      </c>
      <c r="D387" s="59" t="s">
        <v>29</v>
      </c>
      <c r="E387" s="108" t="s">
        <v>258</v>
      </c>
      <c r="F387" s="134">
        <f>IFERROR(IF($D387="","",VLOOKUP($D387,Cadastro!$C$4:$E$7,3,FALSE)),"")</f>
        <v>0.35</v>
      </c>
      <c r="G387" s="105">
        <v>3</v>
      </c>
      <c r="H387" s="134">
        <f>IFERROR(IF($G387="","",$G387*$S$392/$G$392/Cadastro!$E$33),"")</f>
        <v>15.639782608695652</v>
      </c>
      <c r="I387" s="135">
        <f>IFERROR(IF($D387="","",VLOOKUP($D387,Cadastro!$C$4:$G$7,5,FALSE)),"")</f>
        <v>0.6</v>
      </c>
      <c r="J387" s="136">
        <f t="shared" si="88"/>
        <v>3.284354347826087</v>
      </c>
      <c r="K387" s="34">
        <f t="shared" si="89"/>
        <v>12.600000000000001</v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 t="s">
        <v>52</v>
      </c>
      <c r="D388" s="59" t="s">
        <v>29</v>
      </c>
      <c r="E388" s="108" t="s">
        <v>258</v>
      </c>
      <c r="F388" s="134">
        <f>IFERROR(IF($D388="","",VLOOKUP($D388,Cadastro!$C$4:$E$7,3,FALSE)),"")</f>
        <v>0.35</v>
      </c>
      <c r="G388" s="105">
        <v>13</v>
      </c>
      <c r="H388" s="134">
        <f>IFERROR(IF($G388="","",$G388*$S$392/$G$392/Cadastro!$E$33),"")</f>
        <v>67.772391304347821</v>
      </c>
      <c r="I388" s="135">
        <f>IFERROR(IF($D388="","",VLOOKUP($D388,Cadastro!$C$4:$G$7,5,FALSE)),"")</f>
        <v>0.6</v>
      </c>
      <c r="J388" s="136">
        <f t="shared" si="88"/>
        <v>14.23220217391304</v>
      </c>
      <c r="K388" s="28">
        <f t="shared" si="89"/>
        <v>54.6</v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 t="s">
        <v>52</v>
      </c>
      <c r="D389" s="59" t="s">
        <v>29</v>
      </c>
      <c r="E389" s="108" t="s">
        <v>258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41.706086956521737</v>
      </c>
      <c r="I389" s="135">
        <f>IFERROR(IF($D389="","",VLOOKUP($D389,Cadastro!$C$4:$G$7,5,FALSE)),"")</f>
        <v>0.6</v>
      </c>
      <c r="J389" s="136">
        <f t="shared" si="88"/>
        <v>8.7582782608695631</v>
      </c>
      <c r="K389" s="34">
        <f t="shared" si="89"/>
        <v>33.6</v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 t="s">
        <v>52</v>
      </c>
      <c r="D390" s="59" t="s">
        <v>29</v>
      </c>
      <c r="E390" s="108" t="s">
        <v>258</v>
      </c>
      <c r="F390" s="134">
        <f>IFERROR(IF($D390="","",VLOOKUP($D390,Cadastro!$C$4:$E$7,3,FALSE)),"")</f>
        <v>0.35</v>
      </c>
      <c r="G390" s="105">
        <v>7</v>
      </c>
      <c r="H390" s="134">
        <f>IFERROR(IF($G390="","",$G390*$S$392/$G$392/Cadastro!$E$33),"")</f>
        <v>36.492826086956519</v>
      </c>
      <c r="I390" s="135">
        <f>IFERROR(IF($D390="","",VLOOKUP($D390,Cadastro!$C$4:$G$7,5,FALSE)),"")</f>
        <v>0.6</v>
      </c>
      <c r="J390" s="136">
        <f t="shared" si="88"/>
        <v>7.6634934782608681</v>
      </c>
      <c r="K390" s="28">
        <f t="shared" si="89"/>
        <v>29.400000000000002</v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 t="s">
        <v>52</v>
      </c>
      <c r="D391" s="59" t="s">
        <v>29</v>
      </c>
      <c r="E391" s="108" t="s">
        <v>258</v>
      </c>
      <c r="F391" s="137">
        <f>IFERROR(IF($D391="","",VLOOKUP($D391,Cadastro!$C$4:$E$7,3,FALSE)),"")</f>
        <v>0.35</v>
      </c>
      <c r="G391" s="105">
        <v>8</v>
      </c>
      <c r="H391" s="137">
        <f>IFERROR(IF($G391="","",$G391*$S$392/$G$392/Cadastro!$E$33),"")</f>
        <v>41.706086956521737</v>
      </c>
      <c r="I391" s="138">
        <f>IFERROR(IF($D391="","",VLOOKUP($D391,Cadastro!$C$4:$G$7,5,FALSE)),"")</f>
        <v>0.6</v>
      </c>
      <c r="J391" s="139">
        <f t="shared" si="88"/>
        <v>8.7582782608695631</v>
      </c>
      <c r="K391" s="34">
        <f t="shared" si="89"/>
        <v>33.6</v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58" t="s">
        <v>243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92</v>
      </c>
      <c r="H392" s="110">
        <f>IFERROR(SUM(H380:H391),"")</f>
        <v>479.62000000000006</v>
      </c>
      <c r="I392" s="114"/>
      <c r="J392" s="123">
        <f>IFERROR(SUM(J380:J391),"")</f>
        <v>100.72019999999998</v>
      </c>
      <c r="K392" s="36">
        <f>SUM(K380:K391)</f>
        <v>357</v>
      </c>
      <c r="L392" s="37"/>
      <c r="M392" s="37"/>
      <c r="N392" s="37"/>
      <c r="O392" s="37"/>
      <c r="P392" s="37"/>
      <c r="Q392" s="38">
        <f ca="1">IFERROR(SUM(Q380:Q391),"")</f>
        <v>7.3611111111111183E-2</v>
      </c>
      <c r="R392" s="36" t="s">
        <v>244</v>
      </c>
      <c r="S392" s="39">
        <v>479620</v>
      </c>
      <c r="T392" s="119">
        <f>IFERROR(J392,"")</f>
        <v>100.72019999999998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258</v>
      </c>
      <c r="F393" s="140">
        <f>IFERROR(IF($D393="","",VLOOKUP($D393,Cadastro!$C$4:$E$7,3,FALSE)),"")</f>
        <v>0.35</v>
      </c>
      <c r="G393" s="105">
        <v>9</v>
      </c>
      <c r="H393" s="140">
        <f>IFERROR(IF($G393="","",$G393*$S$405/$G$405/Cadastro!$E$33),"")</f>
        <v>0</v>
      </c>
      <c r="I393" s="141">
        <f>IFERROR(IF($D393="","",VLOOKUP($D393,Cadastro!$C$4:$G$7,5,FALSE)),"")</f>
        <v>0.6</v>
      </c>
      <c r="J393" s="142">
        <f t="shared" ref="J393:J404" si="92">IFERROR(IF($H393="","",$H393*$F393*$I393),"")</f>
        <v>0</v>
      </c>
      <c r="K393" s="34">
        <f t="shared" ref="K393:K404" si="93">IF(G393="","",IF(E393="PC 17",G393*4.2,IF(E393="PC 19",G393*5,IF(E393="CB",G393*24,""))))</f>
        <v>37.800000000000004</v>
      </c>
      <c r="L393" s="33" t="s">
        <v>26</v>
      </c>
      <c r="M393" s="33" t="s">
        <v>54</v>
      </c>
      <c r="N393" s="33" t="s">
        <v>34</v>
      </c>
      <c r="O393" s="29">
        <v>0.89861111111111114</v>
      </c>
      <c r="P393" s="29">
        <v>0.91180555555555554</v>
      </c>
      <c r="Q393" s="35">
        <f t="shared" ref="Q393:Q404" ca="1" si="94">IFERROR(IF(O393="","",IF(P393="",MOD(NOW()-O393,1),IF(P393&gt;=O393,P393-O393,P393+1-O393))),"")</f>
        <v>1.3194444444444398E-2</v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 t="s">
        <v>28</v>
      </c>
      <c r="D394" s="62" t="s">
        <v>29</v>
      </c>
      <c r="E394" s="109" t="s">
        <v>258</v>
      </c>
      <c r="F394" s="134">
        <f>IFERROR(IF($D394="","",VLOOKUP($D394,Cadastro!$C$4:$E$7,3,FALSE)),"")</f>
        <v>0.35</v>
      </c>
      <c r="G394" s="105">
        <v>17</v>
      </c>
      <c r="H394" s="134">
        <f>IFERROR(IF($G394="","",$G394*$S$405/$G$405/Cadastro!$E$33),"")</f>
        <v>0</v>
      </c>
      <c r="I394" s="135">
        <f>IFERROR(IF($D394="","",VLOOKUP($D394,Cadastro!$C$4:$G$7,5,FALSE)),"")</f>
        <v>0.6</v>
      </c>
      <c r="J394" s="136">
        <f t="shared" si="92"/>
        <v>0</v>
      </c>
      <c r="K394" s="28">
        <f t="shared" si="93"/>
        <v>71.400000000000006</v>
      </c>
      <c r="L394" s="26"/>
      <c r="M394" s="26"/>
      <c r="N394" s="26"/>
      <c r="O394" s="29"/>
      <c r="P394" s="29"/>
      <c r="Q394" s="30" t="str">
        <f t="shared" ca="1" si="94"/>
        <v/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 t="s">
        <v>28</v>
      </c>
      <c r="D395" s="62" t="s">
        <v>29</v>
      </c>
      <c r="E395" s="109" t="s">
        <v>258</v>
      </c>
      <c r="F395" s="134">
        <f>IFERROR(IF($D395="","",VLOOKUP($D395,Cadastro!$C$4:$E$7,3,FALSE)),"")</f>
        <v>0.35</v>
      </c>
      <c r="G395" s="105"/>
      <c r="H395" s="134" t="str">
        <f>IFERROR(IF($G395="","",$G395*$S$405/$G$405/Cadastro!$E$33),"")</f>
        <v/>
      </c>
      <c r="I395" s="135">
        <f>IFERROR(IF($D395="","",VLOOKUP($D395,Cadastro!$C$4:$G$7,5,FALSE)),"")</f>
        <v>0.6</v>
      </c>
      <c r="J395" s="136" t="str">
        <f t="shared" si="92"/>
        <v/>
      </c>
      <c r="K395" s="34" t="str">
        <f t="shared" si="93"/>
        <v/>
      </c>
      <c r="L395" s="33"/>
      <c r="M395" s="33"/>
      <c r="N395" s="33"/>
      <c r="O395" s="29"/>
      <c r="P395" s="29"/>
      <c r="Q395" s="35" t="str">
        <f t="shared" ca="1" si="94"/>
        <v/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 t="s">
        <v>28</v>
      </c>
      <c r="D396" s="62" t="s">
        <v>29</v>
      </c>
      <c r="E396" s="109" t="s">
        <v>258</v>
      </c>
      <c r="F396" s="134">
        <f>IFERROR(IF($D396="","",VLOOKUP($D396,Cadastro!$C$4:$E$7,3,FALSE)),"")</f>
        <v>0.35</v>
      </c>
      <c r="G396" s="105"/>
      <c r="H396" s="134" t="str">
        <f>IFERROR(IF($G396="","",$G396*$S$405/$G$405/Cadastro!$E$33),"")</f>
        <v/>
      </c>
      <c r="I396" s="135">
        <f>IFERROR(IF($D396="","",VLOOKUP($D396,Cadastro!$C$4:$G$7,5,FALSE)),"")</f>
        <v>0.6</v>
      </c>
      <c r="J396" s="136" t="str">
        <f t="shared" si="92"/>
        <v/>
      </c>
      <c r="K396" s="28" t="str">
        <f t="shared" si="93"/>
        <v/>
      </c>
      <c r="L396" s="26"/>
      <c r="M396" s="26"/>
      <c r="N396" s="26"/>
      <c r="O396" s="29"/>
      <c r="P396" s="29"/>
      <c r="Q396" s="30" t="str">
        <f t="shared" ca="1" si="94"/>
        <v/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 t="s">
        <v>28</v>
      </c>
      <c r="D397" s="62" t="s">
        <v>29</v>
      </c>
      <c r="E397" s="109" t="s">
        <v>258</v>
      </c>
      <c r="F397" s="134">
        <f>IFERROR(IF($D397="","",VLOOKUP($D397,Cadastro!$C$4:$E$7,3,FALSE)),"")</f>
        <v>0.35</v>
      </c>
      <c r="G397" s="105"/>
      <c r="H397" s="134" t="str">
        <f>IFERROR(IF($G397="","",$G397*$S$405/$G$405/Cadastro!$E$33),"")</f>
        <v/>
      </c>
      <c r="I397" s="135">
        <f>IFERROR(IF($D397="","",VLOOKUP($D397,Cadastro!$C$4:$G$7,5,FALSE)),"")</f>
        <v>0.6</v>
      </c>
      <c r="J397" s="136" t="str">
        <f t="shared" si="92"/>
        <v/>
      </c>
      <c r="K397" s="34" t="str">
        <f t="shared" si="93"/>
        <v/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 t="s">
        <v>28</v>
      </c>
      <c r="D398" s="62" t="s">
        <v>29</v>
      </c>
      <c r="E398" s="109" t="s">
        <v>258</v>
      </c>
      <c r="F398" s="134">
        <f>IFERROR(IF($D398="","",VLOOKUP($D398,Cadastro!$C$4:$E$7,3,FALSE)),"")</f>
        <v>0.35</v>
      </c>
      <c r="G398" s="105"/>
      <c r="H398" s="134" t="str">
        <f>IFERROR(IF($G398="","",$G398*$S$405/$G$405/Cadastro!$E$33),"")</f>
        <v/>
      </c>
      <c r="I398" s="135">
        <f>IFERROR(IF($D398="","",VLOOKUP($D398,Cadastro!$C$4:$G$7,5,FALSE)),"")</f>
        <v>0.6</v>
      </c>
      <c r="J398" s="136" t="str">
        <f t="shared" si="92"/>
        <v/>
      </c>
      <c r="K398" s="28" t="str">
        <f t="shared" si="93"/>
        <v/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 t="s">
        <v>28</v>
      </c>
      <c r="D399" s="62" t="s">
        <v>29</v>
      </c>
      <c r="E399" s="109" t="s">
        <v>258</v>
      </c>
      <c r="F399" s="134">
        <f>IFERROR(IF($D399="","",VLOOKUP($D399,Cadastro!$C$4:$E$7,3,FALSE)),"")</f>
        <v>0.35</v>
      </c>
      <c r="G399" s="105"/>
      <c r="H399" s="134" t="str">
        <f>IFERROR(IF($G399="","",$G399*$S$405/$G$405/Cadastro!$E$33),"")</f>
        <v/>
      </c>
      <c r="I399" s="135">
        <f>IFERROR(IF($D399="","",VLOOKUP($D399,Cadastro!$C$4:$G$7,5,FALSE)),"")</f>
        <v>0.6</v>
      </c>
      <c r="J399" s="136" t="str">
        <f t="shared" si="92"/>
        <v/>
      </c>
      <c r="K399" s="34" t="str">
        <f t="shared" si="93"/>
        <v/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 t="s">
        <v>28</v>
      </c>
      <c r="D400" s="62" t="s">
        <v>29</v>
      </c>
      <c r="E400" s="109" t="s">
        <v>258</v>
      </c>
      <c r="F400" s="134">
        <f>IFERROR(IF($D400="","",VLOOKUP($D400,Cadastro!$C$4:$E$7,3,FALSE)),"")</f>
        <v>0.35</v>
      </c>
      <c r="G400" s="105"/>
      <c r="H400" s="134" t="str">
        <f>IFERROR(IF($G400="","",$G400*$S$405/$G$405/Cadastro!$E$33),"")</f>
        <v/>
      </c>
      <c r="I400" s="135">
        <f>IFERROR(IF($D400="","",VLOOKUP($D400,Cadastro!$C$4:$G$7,5,FALSE)),"")</f>
        <v>0.6</v>
      </c>
      <c r="J400" s="136" t="str">
        <f t="shared" si="92"/>
        <v/>
      </c>
      <c r="K400" s="28" t="str">
        <f t="shared" si="93"/>
        <v/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 t="s">
        <v>28</v>
      </c>
      <c r="D401" s="62" t="s">
        <v>29</v>
      </c>
      <c r="E401" s="109" t="s">
        <v>258</v>
      </c>
      <c r="F401" s="134">
        <f>IFERROR(IF($D401="","",VLOOKUP($D401,Cadastro!$C$4:$E$7,3,FALSE)),"")</f>
        <v>0.35</v>
      </c>
      <c r="G401" s="105"/>
      <c r="H401" s="134" t="str">
        <f>IFERROR(IF($G401="","",$G401*$S$405/$G$405/Cadastro!$E$33),"")</f>
        <v/>
      </c>
      <c r="I401" s="135">
        <f>IFERROR(IF($D401="","",VLOOKUP($D401,Cadastro!$C$4:$G$7,5,FALSE)),"")</f>
        <v>0.6</v>
      </c>
      <c r="J401" s="136" t="str">
        <f t="shared" si="92"/>
        <v/>
      </c>
      <c r="K401" s="34" t="str">
        <f t="shared" si="93"/>
        <v/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 t="s">
        <v>28</v>
      </c>
      <c r="D402" s="62" t="s">
        <v>29</v>
      </c>
      <c r="E402" s="109" t="s">
        <v>258</v>
      </c>
      <c r="F402" s="134">
        <f>IFERROR(IF($D402="","",VLOOKUP($D402,Cadastro!$C$4:$E$7,3,FALSE)),"")</f>
        <v>0.35</v>
      </c>
      <c r="G402" s="105"/>
      <c r="H402" s="134" t="str">
        <f>IFERROR(IF($G402="","",$G402*$S$405/$G$405/Cadastro!$E$33),"")</f>
        <v/>
      </c>
      <c r="I402" s="135">
        <f>IFERROR(IF($D402="","",VLOOKUP($D402,Cadastro!$C$4:$G$7,5,FALSE)),"")</f>
        <v>0.6</v>
      </c>
      <c r="J402" s="136" t="str">
        <f t="shared" si="92"/>
        <v/>
      </c>
      <c r="K402" s="28" t="str">
        <f t="shared" si="93"/>
        <v/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 t="s">
        <v>28</v>
      </c>
      <c r="D403" s="62" t="s">
        <v>29</v>
      </c>
      <c r="E403" s="109" t="s">
        <v>258</v>
      </c>
      <c r="F403" s="134">
        <f>IFERROR(IF($D403="","",VLOOKUP($D403,Cadastro!$C$4:$E$7,3,FALSE)),"")</f>
        <v>0.35</v>
      </c>
      <c r="G403" s="105"/>
      <c r="H403" s="134" t="str">
        <f>IFERROR(IF($G403="","",$G403*$S$405/$G$405/Cadastro!$E$33),"")</f>
        <v/>
      </c>
      <c r="I403" s="135">
        <f>IFERROR(IF($D403="","",VLOOKUP($D403,Cadastro!$C$4:$G$7,5,FALSE)),"")</f>
        <v>0.6</v>
      </c>
      <c r="J403" s="136" t="str">
        <f t="shared" si="92"/>
        <v/>
      </c>
      <c r="K403" s="34" t="str">
        <f t="shared" si="93"/>
        <v/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 t="s">
        <v>28</v>
      </c>
      <c r="D404" s="62" t="s">
        <v>29</v>
      </c>
      <c r="E404" s="109" t="s">
        <v>258</v>
      </c>
      <c r="F404" s="137">
        <f>IFERROR(IF($D404="","",VLOOKUP($D404,Cadastro!$C$4:$E$7,3,FALSE)),"")</f>
        <v>0.35</v>
      </c>
      <c r="G404" s="105"/>
      <c r="H404" s="137" t="str">
        <f>IFERROR(IF($G404="","",$G404*$S$405/$G$405/Cadastro!$E$33),"")</f>
        <v/>
      </c>
      <c r="I404" s="138">
        <f>IFERROR(IF($D404="","",VLOOKUP($D404,Cadastro!$C$4:$G$7,5,FALSE)),"")</f>
        <v>0.6</v>
      </c>
      <c r="J404" s="139" t="str">
        <f t="shared" si="92"/>
        <v/>
      </c>
      <c r="K404" s="28" t="str">
        <f t="shared" si="93"/>
        <v/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58" t="s">
        <v>246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26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109.20000000000002</v>
      </c>
      <c r="L405" s="37"/>
      <c r="M405" s="37"/>
      <c r="N405" s="37"/>
      <c r="O405" s="37"/>
      <c r="P405" s="37"/>
      <c r="Q405" s="38">
        <f ca="1">IFERROR(SUM(Q393:Q404),"")</f>
        <v>1.3194444444444398E-2</v>
      </c>
      <c r="R405" s="36" t="s">
        <v>244</v>
      </c>
      <c r="S405" s="39"/>
      <c r="T405" s="119">
        <f>IFERROR(J405,"")</f>
        <v>0</v>
      </c>
    </row>
    <row r="406" spans="1:20" ht="18" customHeight="1">
      <c r="A406" s="160" t="s">
        <v>247</v>
      </c>
      <c r="B406" s="161"/>
      <c r="C406" s="161"/>
      <c r="D406" s="161"/>
      <c r="E406" s="161">
        <f>E392+E405</f>
        <v>0</v>
      </c>
      <c r="F406" s="112"/>
      <c r="G406" s="91">
        <f>G392+G405</f>
        <v>118</v>
      </c>
      <c r="H406" s="112">
        <f>IFERROR(H392+H405,"")</f>
        <v>479.62000000000006</v>
      </c>
      <c r="I406" s="116"/>
      <c r="J406" s="125">
        <f>IFERROR(J392+J405,"")</f>
        <v>100.72019999999998</v>
      </c>
      <c r="K406" s="40">
        <f>K392+K405</f>
        <v>466.20000000000005</v>
      </c>
      <c r="L406" s="41"/>
      <c r="M406" s="41"/>
      <c r="N406" s="41"/>
      <c r="O406" s="41"/>
      <c r="P406" s="41"/>
      <c r="Q406" s="42">
        <f ca="1">IFERROR(Q392+Q405,"")</f>
        <v>8.680555555555558E-2</v>
      </c>
      <c r="R406" s="40" t="s">
        <v>248</v>
      </c>
      <c r="S406" s="48">
        <f>IFERROR(S392+S405,"")</f>
        <v>479620</v>
      </c>
      <c r="T406" s="121">
        <f>IFERROR(J406,"")</f>
        <v>100.72019999999998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6">IFERROR(IF($H407="","",$H407*$F407*$I407),"")</f>
        <v/>
      </c>
      <c r="K407" s="34" t="str">
        <f t="shared" ref="K407:K418" si="97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98">IFERROR(IF(O407="","",IF(P407="",MOD(NOW()-O407,1),IF(P407&gt;=O407,P407-O407,P407+1-O407))),"")</f>
        <v/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6"/>
        <v/>
      </c>
      <c r="K408" s="28" t="str">
        <f t="shared" si="97"/>
        <v/>
      </c>
      <c r="L408" s="26"/>
      <c r="M408" s="26"/>
      <c r="N408" s="26"/>
      <c r="O408" s="29"/>
      <c r="P408" s="29"/>
      <c r="Q408" s="30" t="str">
        <f t="shared" ca="1" si="98"/>
        <v/>
      </c>
      <c r="R408" s="27"/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6"/>
        <v/>
      </c>
      <c r="K409" s="34" t="str">
        <f t="shared" si="97"/>
        <v/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6"/>
        <v/>
      </c>
      <c r="K410" s="28" t="str">
        <f t="shared" si="97"/>
        <v/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6"/>
        <v/>
      </c>
      <c r="K411" s="34" t="str">
        <f t="shared" si="97"/>
        <v/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6"/>
        <v/>
      </c>
      <c r="K412" s="28" t="str">
        <f t="shared" si="97"/>
        <v/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6"/>
        <v/>
      </c>
      <c r="K413" s="34" t="str">
        <f t="shared" si="97"/>
        <v/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6"/>
        <v/>
      </c>
      <c r="K414" s="28" t="str">
        <f t="shared" si="97"/>
        <v/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6"/>
        <v/>
      </c>
      <c r="K415" s="34" t="str">
        <f t="shared" si="97"/>
        <v/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6"/>
        <v/>
      </c>
      <c r="K416" s="28" t="str">
        <f t="shared" si="97"/>
        <v/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6"/>
        <v/>
      </c>
      <c r="K417" s="34" t="str">
        <f t="shared" si="97"/>
        <v/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6"/>
        <v/>
      </c>
      <c r="K418" s="28" t="str">
        <f t="shared" si="97"/>
        <v/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58" t="s">
        <v>243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244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0">IFERROR(IF($H420="","",$H420*$F420*$I420),"")</f>
        <v/>
      </c>
      <c r="K420" s="28" t="str">
        <f t="shared" ref="K420:K431" si="101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2">IFERROR(IF(O420="","",IF(P420="",MOD(NOW()-O420,1),IF(P420&gt;=O420,P420-O420,P420+1-O420))),"")</f>
        <v/>
      </c>
      <c r="R420" s="86"/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0"/>
        <v/>
      </c>
      <c r="K421" s="34" t="str">
        <f t="shared" si="101"/>
        <v/>
      </c>
      <c r="L421" s="33"/>
      <c r="M421" s="33"/>
      <c r="N421" s="33"/>
      <c r="O421" s="29"/>
      <c r="P421" s="29"/>
      <c r="Q421" s="85" t="str">
        <f t="shared" ca="1" si="102"/>
        <v/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0"/>
        <v/>
      </c>
      <c r="K422" s="28" t="str">
        <f t="shared" si="101"/>
        <v/>
      </c>
      <c r="L422" s="26"/>
      <c r="M422" s="26"/>
      <c r="N422" s="26"/>
      <c r="O422" s="29"/>
      <c r="P422" s="29"/>
      <c r="Q422" s="30" t="str">
        <f t="shared" ca="1" si="102"/>
        <v/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0"/>
        <v/>
      </c>
      <c r="K423" s="34" t="str">
        <f t="shared" si="101"/>
        <v/>
      </c>
      <c r="L423" s="33"/>
      <c r="M423" s="33"/>
      <c r="N423" s="33"/>
      <c r="O423" s="29"/>
      <c r="P423" s="29"/>
      <c r="Q423" s="35" t="str">
        <f t="shared" ca="1" si="102"/>
        <v/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0"/>
        <v/>
      </c>
      <c r="K424" s="28" t="str">
        <f t="shared" si="101"/>
        <v/>
      </c>
      <c r="L424" s="26"/>
      <c r="M424" s="26"/>
      <c r="N424" s="26"/>
      <c r="O424" s="29"/>
      <c r="P424" s="29"/>
      <c r="Q424" s="30" t="str">
        <f t="shared" ca="1" si="102"/>
        <v/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0"/>
        <v/>
      </c>
      <c r="K425" s="34" t="str">
        <f t="shared" si="101"/>
        <v/>
      </c>
      <c r="L425" s="33"/>
      <c r="M425" s="33"/>
      <c r="N425" s="33"/>
      <c r="O425" s="29"/>
      <c r="P425" s="29"/>
      <c r="Q425" s="35" t="str">
        <f t="shared" ca="1" si="102"/>
        <v/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0"/>
        <v/>
      </c>
      <c r="K426" s="28" t="str">
        <f t="shared" si="101"/>
        <v/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0"/>
        <v/>
      </c>
      <c r="K427" s="34" t="str">
        <f t="shared" si="101"/>
        <v/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0"/>
        <v/>
      </c>
      <c r="K428" s="28" t="str">
        <f t="shared" si="101"/>
        <v/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0"/>
        <v/>
      </c>
      <c r="K429" s="34" t="str">
        <f t="shared" si="101"/>
        <v/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0"/>
        <v/>
      </c>
      <c r="K430" s="28" t="str">
        <f t="shared" si="101"/>
        <v/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0"/>
        <v/>
      </c>
      <c r="K431" s="34" t="str">
        <f t="shared" si="101"/>
        <v/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58" t="s">
        <v>246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244</v>
      </c>
      <c r="S432" s="39"/>
      <c r="T432" s="119">
        <f>IFERROR(J432,"")</f>
        <v>0</v>
      </c>
    </row>
    <row r="433" spans="1:20" ht="18" customHeight="1">
      <c r="A433" s="160" t="s">
        <v>247</v>
      </c>
      <c r="B433" s="161"/>
      <c r="C433" s="161"/>
      <c r="D433" s="161"/>
      <c r="E433" s="161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248</v>
      </c>
      <c r="S433" s="48">
        <f>IFERROR(S419+S432,"")</f>
        <v>0</v>
      </c>
      <c r="T433" s="121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4">IFERROR(IF($H434="","",$H434*$F434*$I434),"")</f>
        <v/>
      </c>
      <c r="K434" s="28" t="str">
        <f t="shared" ref="K434:K445" si="105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6">IFERROR(IF(O434="","",IF(P434="",MOD(NOW()-O434,1),IF(P434&gt;=O434,P434-O434,P434+1-O434))),"")</f>
        <v/>
      </c>
      <c r="R434" s="27"/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4"/>
        <v/>
      </c>
      <c r="K435" s="28" t="str">
        <f t="shared" si="105"/>
        <v/>
      </c>
      <c r="L435" s="33"/>
      <c r="M435" s="33"/>
      <c r="N435" s="33"/>
      <c r="O435" s="29"/>
      <c r="P435" s="29"/>
      <c r="Q435" s="35" t="str">
        <f t="shared" ca="1" si="106"/>
        <v/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4"/>
        <v/>
      </c>
      <c r="K436" s="28" t="str">
        <f t="shared" si="105"/>
        <v/>
      </c>
      <c r="L436" s="26"/>
      <c r="M436" s="26"/>
      <c r="N436" s="26"/>
      <c r="O436" s="29"/>
      <c r="P436" s="29"/>
      <c r="Q436" s="30" t="str">
        <f t="shared" ca="1" si="106"/>
        <v/>
      </c>
      <c r="R436" s="27"/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4"/>
        <v/>
      </c>
      <c r="K437" s="34" t="str">
        <f t="shared" si="105"/>
        <v/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4"/>
        <v/>
      </c>
      <c r="K438" s="28" t="str">
        <f t="shared" si="105"/>
        <v/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4"/>
        <v/>
      </c>
      <c r="K439" s="34" t="str">
        <f t="shared" si="105"/>
        <v/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4"/>
        <v/>
      </c>
      <c r="K440" s="28" t="str">
        <f t="shared" si="105"/>
        <v/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4"/>
        <v/>
      </c>
      <c r="K441" s="34" t="str">
        <f t="shared" si="105"/>
        <v/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4"/>
        <v/>
      </c>
      <c r="K442" s="28" t="str">
        <f t="shared" si="105"/>
        <v/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4"/>
        <v/>
      </c>
      <c r="K443" s="34" t="str">
        <f t="shared" si="105"/>
        <v/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4"/>
        <v/>
      </c>
      <c r="K444" s="28" t="str">
        <f t="shared" si="105"/>
        <v/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4"/>
        <v/>
      </c>
      <c r="K445" s="34" t="str">
        <f t="shared" si="105"/>
        <v/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58" t="s">
        <v>243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244</v>
      </c>
      <c r="S446" s="39"/>
      <c r="T446" s="119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08">IFERROR(IF($H447="","",$H447*$F447*$I447),"")</f>
        <v/>
      </c>
      <c r="K447" s="34" t="str">
        <f t="shared" ref="K447:K458" si="109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0">IFERROR(IF(O447="","",IF(P447="",MOD(NOW()-O447,1),IF(P447&gt;=O447,P447-O447,P447+1-O447))),"")</f>
        <v/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08"/>
        <v/>
      </c>
      <c r="K448" s="28" t="str">
        <f t="shared" si="109"/>
        <v/>
      </c>
      <c r="L448" s="26"/>
      <c r="M448" s="26"/>
      <c r="N448" s="26"/>
      <c r="O448" s="29"/>
      <c r="P448" s="29"/>
      <c r="Q448" s="30" t="str">
        <f t="shared" ca="1" si="110"/>
        <v/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08"/>
        <v/>
      </c>
      <c r="K449" s="34" t="str">
        <f t="shared" si="109"/>
        <v/>
      </c>
      <c r="L449" s="33"/>
      <c r="M449" s="33"/>
      <c r="N449" s="33"/>
      <c r="O449" s="29"/>
      <c r="P449" s="29"/>
      <c r="Q449" s="35" t="str">
        <f t="shared" ca="1" si="110"/>
        <v/>
      </c>
      <c r="R449" s="27"/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08"/>
        <v/>
      </c>
      <c r="K450" s="28" t="str">
        <f t="shared" si="109"/>
        <v/>
      </c>
      <c r="L450" s="26"/>
      <c r="M450" s="26"/>
      <c r="N450" s="26"/>
      <c r="O450" s="29"/>
      <c r="P450" s="29"/>
      <c r="Q450" s="30" t="str">
        <f t="shared" ca="1" si="110"/>
        <v/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08"/>
        <v/>
      </c>
      <c r="K451" s="34" t="str">
        <f t="shared" si="109"/>
        <v/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08"/>
        <v/>
      </c>
      <c r="K452" s="28" t="str">
        <f t="shared" si="109"/>
        <v/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08"/>
        <v/>
      </c>
      <c r="K453" s="34" t="str">
        <f t="shared" si="109"/>
        <v/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08"/>
        <v/>
      </c>
      <c r="K454" s="28" t="str">
        <f t="shared" si="109"/>
        <v/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08"/>
        <v/>
      </c>
      <c r="K455" s="34" t="str">
        <f t="shared" si="109"/>
        <v/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08"/>
        <v/>
      </c>
      <c r="K456" s="28" t="str">
        <f t="shared" si="109"/>
        <v/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08"/>
        <v/>
      </c>
      <c r="K457" s="34" t="str">
        <f t="shared" si="109"/>
        <v/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08"/>
        <v/>
      </c>
      <c r="K458" s="28" t="str">
        <f t="shared" si="109"/>
        <v/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58" t="s">
        <v>246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244</v>
      </c>
      <c r="S459" s="39"/>
      <c r="T459" s="119">
        <f>IFERROR(J459,"")</f>
        <v>0</v>
      </c>
    </row>
    <row r="460" spans="1:20" ht="18" customHeight="1">
      <c r="A460" s="160" t="s">
        <v>247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248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2">IFERROR(IF($H461="","",$H461*$F461*$I461),"")</f>
        <v/>
      </c>
      <c r="K461" s="34" t="str">
        <f t="shared" ref="K461:K472" si="113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4">IFERROR(IF(O461="","",IF(P461="",MOD(NOW()-O461,1),IF(P461&gt;=O461,P461-O461,P461+1-O461))),"")</f>
        <v/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2"/>
        <v/>
      </c>
      <c r="K462" s="28" t="str">
        <f t="shared" si="113"/>
        <v/>
      </c>
      <c r="L462" s="26"/>
      <c r="M462" s="26"/>
      <c r="N462" s="26"/>
      <c r="O462" s="29"/>
      <c r="P462" s="29"/>
      <c r="Q462" s="30" t="str">
        <f t="shared" ca="1" si="114"/>
        <v/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2"/>
        <v/>
      </c>
      <c r="K463" s="34" t="str">
        <f t="shared" si="113"/>
        <v/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2"/>
        <v/>
      </c>
      <c r="K464" s="28" t="str">
        <f t="shared" si="113"/>
        <v/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2"/>
        <v/>
      </c>
      <c r="K465" s="34" t="str">
        <f t="shared" si="113"/>
        <v/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2"/>
        <v/>
      </c>
      <c r="K466" s="28" t="str">
        <f t="shared" si="113"/>
        <v/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2"/>
        <v/>
      </c>
      <c r="K467" s="34" t="str">
        <f t="shared" si="113"/>
        <v/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2"/>
        <v/>
      </c>
      <c r="K468" s="28" t="str">
        <f t="shared" si="113"/>
        <v/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2"/>
        <v/>
      </c>
      <c r="K469" s="34" t="str">
        <f t="shared" si="113"/>
        <v/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2"/>
        <v/>
      </c>
      <c r="K470" s="28" t="str">
        <f t="shared" si="113"/>
        <v/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2"/>
        <v/>
      </c>
      <c r="K471" s="34" t="str">
        <f t="shared" si="113"/>
        <v/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2"/>
        <v/>
      </c>
      <c r="K472" s="28" t="str">
        <f t="shared" si="113"/>
        <v/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58" t="s">
        <v>243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244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58" t="s">
        <v>246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244</v>
      </c>
      <c r="S486" s="39"/>
      <c r="T486" s="119">
        <f>IFERROR(J486,"")</f>
        <v>0</v>
      </c>
    </row>
    <row r="487" spans="1:20" ht="18" customHeight="1">
      <c r="A487" s="160" t="s">
        <v>247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248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58" t="s">
        <v>243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244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58" t="s">
        <v>246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244</v>
      </c>
      <c r="S513" s="39"/>
      <c r="T513" s="119">
        <f>IFERROR(J513,"")</f>
        <v>0</v>
      </c>
    </row>
    <row r="514" spans="1:20" ht="18" customHeight="1">
      <c r="A514" s="160" t="s">
        <v>247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248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58" t="s">
        <v>243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244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58" t="s">
        <v>246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244</v>
      </c>
      <c r="S540" s="39"/>
      <c r="T540" s="119">
        <f>IFERROR(J540,"")</f>
        <v>0</v>
      </c>
    </row>
    <row r="541" spans="1:20" ht="18" customHeight="1">
      <c r="A541" s="160" t="s">
        <v>247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248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58" t="s">
        <v>243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244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58" t="s">
        <v>246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244</v>
      </c>
      <c r="S567" s="39"/>
      <c r="T567" s="119">
        <f>IFERROR(J567,"")</f>
        <v>0</v>
      </c>
    </row>
    <row r="568" spans="1:20" ht="18" customHeight="1">
      <c r="A568" s="160" t="s">
        <v>247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248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58" t="s">
        <v>243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244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58" t="s">
        <v>246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244</v>
      </c>
      <c r="S594" s="39"/>
      <c r="T594" s="119">
        <f>IFERROR(J594,"")</f>
        <v>0</v>
      </c>
    </row>
    <row r="595" spans="1:20" ht="18" customHeight="1">
      <c r="A595" s="160" t="s">
        <v>247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248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58" t="s">
        <v>243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244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58" t="s">
        <v>246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244</v>
      </c>
      <c r="S621" s="39"/>
      <c r="T621" s="119">
        <f>IFERROR(J621,"")</f>
        <v>0</v>
      </c>
    </row>
    <row r="622" spans="1:20" ht="18" customHeight="1">
      <c r="A622" s="160" t="s">
        <v>247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248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58" t="s">
        <v>243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244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58" t="s">
        <v>246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244</v>
      </c>
      <c r="S648" s="39"/>
      <c r="T648" s="119">
        <f>IFERROR(J648,"")</f>
        <v>0</v>
      </c>
    </row>
    <row r="649" spans="1:20" ht="18" customHeight="1">
      <c r="A649" s="160" t="s">
        <v>247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248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58" t="s">
        <v>243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244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58" t="s">
        <v>246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244</v>
      </c>
      <c r="S675" s="39"/>
      <c r="T675" s="119">
        <f>IFERROR(J675,"")</f>
        <v>0</v>
      </c>
    </row>
    <row r="676" spans="1:20" ht="18" customHeight="1">
      <c r="A676" s="160" t="s">
        <v>247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248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58" t="s">
        <v>243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244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58" t="s">
        <v>246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244</v>
      </c>
      <c r="S702" s="39"/>
      <c r="T702" s="119">
        <f>IFERROR(J702,"")</f>
        <v>0</v>
      </c>
    </row>
    <row r="703" spans="1:20" ht="18" customHeight="1">
      <c r="A703" s="160" t="s">
        <v>247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248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58" t="s">
        <v>243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244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58" t="s">
        <v>246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244</v>
      </c>
      <c r="S729" s="39"/>
      <c r="T729" s="119">
        <f>IFERROR(J729,"")</f>
        <v>0</v>
      </c>
    </row>
    <row r="730" spans="1:20" ht="18" customHeight="1">
      <c r="A730" s="160" t="s">
        <v>247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248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58" t="s">
        <v>243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244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58" t="s">
        <v>246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244</v>
      </c>
      <c r="S756" s="39"/>
      <c r="T756" s="119">
        <f>IFERROR(J756,"")</f>
        <v>0</v>
      </c>
    </row>
    <row r="757" spans="1:20" ht="18" customHeight="1">
      <c r="A757" s="160" t="s">
        <v>247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248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58" t="s">
        <v>243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244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58" t="s">
        <v>246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244</v>
      </c>
      <c r="S783" s="39"/>
      <c r="T783" s="119">
        <f>IFERROR(J783,"")</f>
        <v>0</v>
      </c>
    </row>
    <row r="784" spans="1:20" ht="18" customHeight="1">
      <c r="A784" s="160" t="s">
        <v>247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248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58" t="s">
        <v>243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244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58" t="s">
        <v>246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244</v>
      </c>
      <c r="S810" s="39"/>
      <c r="T810" s="119">
        <f>IFERROR(J810,"")</f>
        <v>0</v>
      </c>
    </row>
    <row r="811" spans="1:20" ht="18" customHeight="1">
      <c r="A811" s="160" t="s">
        <v>247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248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58" t="s">
        <v>243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244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58" t="s">
        <v>246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244</v>
      </c>
      <c r="S837" s="39"/>
      <c r="T837" s="119">
        <f>IFERROR(J837,"")</f>
        <v>0</v>
      </c>
    </row>
    <row r="838" spans="1:20" ht="18" customHeight="1">
      <c r="A838" s="160" t="s">
        <v>247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248</v>
      </c>
      <c r="S838" s="43">
        <f>IFERROR(S824+S837,"")</f>
        <v>0</v>
      </c>
      <c r="T838" s="120">
        <f>IFERROR(J838,"")</f>
        <v>0</v>
      </c>
    </row>
  </sheetData>
  <sheetProtection algorithmName="SHA-512" hashValue="ZFHLeH4pg/rb7olsDfOO0qrLfSVxo43aewoQ3gkfc6Z9OB1rSnozbZEJY2qn/yjEf+JcJQ9XdQi+K6ils5UUAA==" saltValue="Z0WMKvUvyK/+dKWqT/qlqg==" spinCount="100000" sheet="1" objects="1" scenarios="1"/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43:E243"/>
    <mergeCell ref="A244:E244"/>
    <mergeCell ref="A270:E270"/>
    <mergeCell ref="A271:E271"/>
    <mergeCell ref="A284:E284"/>
    <mergeCell ref="A257:E257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7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zoomScale="85" zoomScaleNormal="85" workbookViewId="0">
      <pane ySplit="1" topLeftCell="A366" activePane="bottomLeft" state="frozen"/>
      <selection pane="bottomLeft" activeCell="L402" sqref="L402"/>
    </sheetView>
  </sheetViews>
  <sheetFormatPr defaultColWidth="8.5703125" defaultRowHeight="1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71093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28515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7109375" hidden="1" customWidth="1"/>
  </cols>
  <sheetData>
    <row r="1" spans="1:20" ht="37.5" customHeight="1">
      <c r="A1" s="66" t="s">
        <v>11</v>
      </c>
      <c r="B1" s="23" t="s">
        <v>232</v>
      </c>
      <c r="C1" s="23" t="s">
        <v>17</v>
      </c>
      <c r="D1" s="22" t="s">
        <v>18</v>
      </c>
      <c r="E1" s="22" t="s">
        <v>233</v>
      </c>
      <c r="F1" s="133" t="s">
        <v>19</v>
      </c>
      <c r="G1" s="23" t="s">
        <v>234</v>
      </c>
      <c r="H1" s="133" t="s">
        <v>269</v>
      </c>
      <c r="I1" s="133" t="s">
        <v>20</v>
      </c>
      <c r="J1" s="133" t="s">
        <v>270</v>
      </c>
      <c r="K1" s="23" t="s">
        <v>235</v>
      </c>
      <c r="L1" s="23" t="s">
        <v>21</v>
      </c>
      <c r="M1" s="23" t="s">
        <v>22</v>
      </c>
      <c r="N1" s="23" t="s">
        <v>236</v>
      </c>
      <c r="O1" s="23" t="s">
        <v>237</v>
      </c>
      <c r="P1" s="23" t="s">
        <v>238</v>
      </c>
      <c r="Q1" s="24" t="s">
        <v>239</v>
      </c>
      <c r="R1" s="23" t="s">
        <v>240</v>
      </c>
      <c r="S1" s="23" t="s">
        <v>241</v>
      </c>
      <c r="T1" s="23" t="s">
        <v>270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258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59</v>
      </c>
      <c r="N2" s="26" t="s">
        <v>34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258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27</v>
      </c>
      <c r="M3" s="33" t="s">
        <v>64</v>
      </c>
      <c r="N3" s="33" t="s">
        <v>35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258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27</v>
      </c>
      <c r="M4" s="26" t="s">
        <v>64</v>
      </c>
      <c r="N4" s="26" t="s">
        <v>35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258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258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258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258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258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258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258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258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258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58" t="s">
        <v>243</v>
      </c>
      <c r="B14" s="159"/>
      <c r="C14" s="159"/>
      <c r="D14" s="159"/>
      <c r="E14" s="159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244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45</v>
      </c>
      <c r="E15" s="109" t="s">
        <v>258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27</v>
      </c>
      <c r="M15" s="33" t="s">
        <v>59</v>
      </c>
      <c r="N15" s="33" t="s">
        <v>69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45</v>
      </c>
      <c r="E16" s="109" t="s">
        <v>258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26</v>
      </c>
      <c r="M16" s="26" t="s">
        <v>64</v>
      </c>
      <c r="N16" s="26" t="s">
        <v>34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321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45</v>
      </c>
      <c r="E17" s="109" t="s">
        <v>258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26</v>
      </c>
      <c r="M17" s="33" t="s">
        <v>59</v>
      </c>
      <c r="N17" s="33" t="s">
        <v>34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277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45</v>
      </c>
      <c r="E18" s="109" t="s">
        <v>258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25</v>
      </c>
      <c r="M18" s="26" t="s">
        <v>59</v>
      </c>
      <c r="N18" s="26" t="s">
        <v>137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303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45</v>
      </c>
      <c r="E19" s="109" t="s">
        <v>258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25</v>
      </c>
      <c r="M19" s="33" t="s">
        <v>59</v>
      </c>
      <c r="N19" s="33" t="s">
        <v>137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322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45</v>
      </c>
      <c r="E20" s="109" t="s">
        <v>258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27</v>
      </c>
      <c r="M20" s="26" t="s">
        <v>64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45</v>
      </c>
      <c r="E21" s="109" t="s">
        <v>258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27</v>
      </c>
      <c r="M21" s="33" t="s">
        <v>64</v>
      </c>
      <c r="N21" s="33" t="s">
        <v>69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45</v>
      </c>
      <c r="E22" s="109" t="s">
        <v>258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27</v>
      </c>
      <c r="M22" s="26"/>
      <c r="N22" s="26" t="s">
        <v>169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323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45</v>
      </c>
      <c r="E23" s="109" t="s">
        <v>258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45</v>
      </c>
      <c r="E24" s="109" t="s">
        <v>258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45</v>
      </c>
      <c r="E25" s="109" t="s">
        <v>258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45</v>
      </c>
      <c r="E26" s="109" t="s">
        <v>258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58" t="s">
        <v>246</v>
      </c>
      <c r="B27" s="159"/>
      <c r="C27" s="159"/>
      <c r="D27" s="159"/>
      <c r="E27" s="159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244</v>
      </c>
      <c r="S27" s="39">
        <v>491520</v>
      </c>
      <c r="T27" s="119">
        <f>IFERROR(J27,"")</f>
        <v>0</v>
      </c>
    </row>
    <row r="28" spans="1:20" ht="18" customHeight="1">
      <c r="A28" s="160" t="s">
        <v>247</v>
      </c>
      <c r="B28" s="161"/>
      <c r="C28" s="161"/>
      <c r="D28" s="161"/>
      <c r="E28" s="161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248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108" t="s">
        <v>258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26</v>
      </c>
      <c r="M29" s="33" t="s">
        <v>64</v>
      </c>
      <c r="N29" s="33" t="s">
        <v>34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108" t="s">
        <v>258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108" t="s">
        <v>258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108" t="s">
        <v>258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108" t="s">
        <v>258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108" t="s">
        <v>258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108" t="s">
        <v>258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108" t="s">
        <v>258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108" t="s">
        <v>258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108" t="s">
        <v>258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108" t="s">
        <v>258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108" t="s">
        <v>258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58" t="s">
        <v>243</v>
      </c>
      <c r="B41" s="159"/>
      <c r="C41" s="159"/>
      <c r="D41" s="159"/>
      <c r="E41" s="159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244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258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27</v>
      </c>
      <c r="M42" s="26" t="s">
        <v>59</v>
      </c>
      <c r="N42" s="26" t="s">
        <v>58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258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27</v>
      </c>
      <c r="M43" s="33" t="s">
        <v>64</v>
      </c>
      <c r="N43" s="33" t="s">
        <v>58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258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26</v>
      </c>
      <c r="M44" s="26" t="s">
        <v>59</v>
      </c>
      <c r="N44" s="26" t="s">
        <v>34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258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64</v>
      </c>
      <c r="N45" s="33" t="s">
        <v>69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324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258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27</v>
      </c>
      <c r="M46" s="26" t="s">
        <v>64</v>
      </c>
      <c r="N46" s="26" t="s">
        <v>43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258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26</v>
      </c>
      <c r="M47" s="33" t="s">
        <v>64</v>
      </c>
      <c r="N47" s="33" t="s">
        <v>34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258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27</v>
      </c>
      <c r="M48" s="26" t="s">
        <v>64</v>
      </c>
      <c r="N48" s="26" t="s">
        <v>35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258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258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258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258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258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58" t="s">
        <v>246</v>
      </c>
      <c r="B54" s="159"/>
      <c r="C54" s="159"/>
      <c r="D54" s="159"/>
      <c r="E54" s="159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244</v>
      </c>
      <c r="S54" s="39">
        <v>352430</v>
      </c>
      <c r="T54" s="119">
        <f>IFERROR(J54,"")</f>
        <v>0</v>
      </c>
    </row>
    <row r="55" spans="1:20" ht="18" customHeight="1">
      <c r="A55" s="160" t="s">
        <v>247</v>
      </c>
      <c r="B55" s="161"/>
      <c r="C55" s="161"/>
      <c r="D55" s="161"/>
      <c r="E55" s="161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248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258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27</v>
      </c>
      <c r="M56" s="26" t="s">
        <v>64</v>
      </c>
      <c r="N56" s="33" t="s">
        <v>58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258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26</v>
      </c>
      <c r="M57" s="33" t="s">
        <v>59</v>
      </c>
      <c r="N57" s="33" t="s">
        <v>34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258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27</v>
      </c>
      <c r="M58" s="26" t="s">
        <v>64</v>
      </c>
      <c r="N58" s="26" t="s">
        <v>214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258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25</v>
      </c>
      <c r="M59" s="33" t="s">
        <v>59</v>
      </c>
      <c r="N59" s="33" t="s">
        <v>41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325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258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25</v>
      </c>
      <c r="M60" s="26" t="s">
        <v>59</v>
      </c>
      <c r="N60" s="26" t="s">
        <v>137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326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258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258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258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258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258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258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258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58" t="s">
        <v>243</v>
      </c>
      <c r="B68" s="159"/>
      <c r="C68" s="159"/>
      <c r="D68" s="159"/>
      <c r="E68" s="159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244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258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25</v>
      </c>
      <c r="M69" s="33" t="s">
        <v>59</v>
      </c>
      <c r="N69" s="33" t="s">
        <v>225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327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258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64</v>
      </c>
      <c r="N70" s="26" t="s">
        <v>69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258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26</v>
      </c>
      <c r="M71" s="33" t="s">
        <v>64</v>
      </c>
      <c r="N71" s="33" t="s">
        <v>34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258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25</v>
      </c>
      <c r="M72" s="26" t="s">
        <v>64</v>
      </c>
      <c r="N72" s="26" t="s">
        <v>137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303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258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26</v>
      </c>
      <c r="M73" s="33" t="s">
        <v>59</v>
      </c>
      <c r="N73" s="33" t="s">
        <v>34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258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27</v>
      </c>
      <c r="M74" s="26" t="s">
        <v>59</v>
      </c>
      <c r="N74" s="33" t="s">
        <v>214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258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258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258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258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 t="s">
        <v>258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58" t="s">
        <v>246</v>
      </c>
      <c r="B81" s="159"/>
      <c r="C81" s="159"/>
      <c r="D81" s="159"/>
      <c r="E81" s="159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244</v>
      </c>
      <c r="S81" s="39">
        <v>612410</v>
      </c>
      <c r="T81" s="119">
        <f>IFERROR(J81,"")</f>
        <v>0</v>
      </c>
    </row>
    <row r="82" spans="1:20" ht="18" customHeight="1">
      <c r="A82" s="160" t="s">
        <v>247</v>
      </c>
      <c r="B82" s="161"/>
      <c r="C82" s="161"/>
      <c r="D82" s="161"/>
      <c r="E82" s="161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248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258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26</v>
      </c>
      <c r="M83" s="33" t="s">
        <v>170</v>
      </c>
      <c r="N83" s="33" t="s">
        <v>34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258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26</v>
      </c>
      <c r="M84" s="26" t="s">
        <v>59</v>
      </c>
      <c r="N84" s="26" t="s">
        <v>34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258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258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258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258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258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258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258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258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258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258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58" t="s">
        <v>243</v>
      </c>
      <c r="B95" s="159"/>
      <c r="C95" s="159"/>
      <c r="D95" s="159"/>
      <c r="E95" s="159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244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258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26</v>
      </c>
      <c r="M96" s="26" t="s">
        <v>170</v>
      </c>
      <c r="N96" s="26" t="s">
        <v>34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258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25</v>
      </c>
      <c r="M97" s="33" t="s">
        <v>59</v>
      </c>
      <c r="N97" s="33" t="s">
        <v>137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303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258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258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258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258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258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258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258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258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258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258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58" t="s">
        <v>246</v>
      </c>
      <c r="B108" s="159"/>
      <c r="C108" s="159"/>
      <c r="D108" s="159"/>
      <c r="E108" s="159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244</v>
      </c>
      <c r="S108" s="39">
        <v>956070</v>
      </c>
      <c r="T108" s="119">
        <f>IFERROR(J108,"")</f>
        <v>0</v>
      </c>
    </row>
    <row r="109" spans="1:20" ht="18" customHeight="1">
      <c r="A109" s="160" t="s">
        <v>247</v>
      </c>
      <c r="B109" s="161"/>
      <c r="C109" s="161"/>
      <c r="D109" s="161"/>
      <c r="E109" s="161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248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258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26</v>
      </c>
      <c r="M110" s="26" t="s">
        <v>170</v>
      </c>
      <c r="N110" s="26" t="s">
        <v>34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258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25</v>
      </c>
      <c r="M111" s="33" t="s">
        <v>64</v>
      </c>
      <c r="N111" s="33" t="s">
        <v>225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258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25</v>
      </c>
      <c r="M112" s="26"/>
      <c r="N112" s="33" t="s">
        <v>230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258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25</v>
      </c>
      <c r="M113" s="33"/>
      <c r="N113" s="33" t="s">
        <v>230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258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26</v>
      </c>
      <c r="M114" s="26" t="s">
        <v>170</v>
      </c>
      <c r="N114" s="26" t="s">
        <v>34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328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258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258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258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258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258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258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258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58" t="s">
        <v>243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244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258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27</v>
      </c>
      <c r="M123" s="33" t="s">
        <v>59</v>
      </c>
      <c r="N123" s="33" t="s">
        <v>214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258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27</v>
      </c>
      <c r="M124" s="26" t="s">
        <v>59</v>
      </c>
      <c r="N124" s="26" t="s">
        <v>63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329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258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27</v>
      </c>
      <c r="M125" s="33" t="s">
        <v>59</v>
      </c>
      <c r="N125" s="33" t="s">
        <v>43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258</v>
      </c>
      <c r="F126" s="134"/>
      <c r="G126" s="105">
        <v>24</v>
      </c>
      <c r="H126" s="134"/>
      <c r="I126" s="135"/>
      <c r="J126" s="136"/>
      <c r="K126" s="28"/>
      <c r="L126" s="26" t="s">
        <v>26</v>
      </c>
      <c r="M126" s="26" t="s">
        <v>64</v>
      </c>
      <c r="N126" s="26" t="s">
        <v>34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258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26</v>
      </c>
      <c r="M127" s="33" t="s">
        <v>59</v>
      </c>
      <c r="N127" s="33" t="s">
        <v>280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258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26</v>
      </c>
      <c r="M128" s="26" t="s">
        <v>64</v>
      </c>
      <c r="N128" s="26" t="s">
        <v>34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258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25</v>
      </c>
      <c r="M129" s="33" t="s">
        <v>59</v>
      </c>
      <c r="N129" s="33" t="s">
        <v>137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303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258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27</v>
      </c>
      <c r="M130" s="26" t="s">
        <v>64</v>
      </c>
      <c r="N130" s="26" t="s">
        <v>58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258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258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258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258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58" t="s">
        <v>246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244</v>
      </c>
      <c r="S135" s="39">
        <v>912240</v>
      </c>
      <c r="T135" s="119">
        <f>IFERROR(J135,"")</f>
        <v>0</v>
      </c>
    </row>
    <row r="136" spans="1:22" ht="18" customHeight="1">
      <c r="A136" s="160" t="s">
        <v>247</v>
      </c>
      <c r="B136" s="161"/>
      <c r="C136" s="161"/>
      <c r="D136" s="161"/>
      <c r="E136" s="161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248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258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258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27</v>
      </c>
      <c r="M138" s="26" t="s">
        <v>170</v>
      </c>
      <c r="N138" s="26" t="s">
        <v>43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330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258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23</v>
      </c>
      <c r="M139" s="33" t="s">
        <v>59</v>
      </c>
      <c r="N139" s="33" t="s">
        <v>117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331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258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27</v>
      </c>
      <c r="M140" s="26" t="s">
        <v>64</v>
      </c>
      <c r="N140" s="26" t="s">
        <v>58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258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27</v>
      </c>
      <c r="M141" s="33" t="s">
        <v>148</v>
      </c>
      <c r="N141" s="33" t="s">
        <v>81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258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27</v>
      </c>
      <c r="M142" s="26" t="s">
        <v>59</v>
      </c>
      <c r="N142" s="26" t="s">
        <v>58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258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26</v>
      </c>
      <c r="M143" s="33" t="s">
        <v>170</v>
      </c>
      <c r="N143" s="33" t="s">
        <v>34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258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23</v>
      </c>
      <c r="M144" s="26" t="s">
        <v>64</v>
      </c>
      <c r="N144" s="26" t="s">
        <v>117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258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258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288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258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258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243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244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258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26</v>
      </c>
      <c r="M150" s="26" t="s">
        <v>170</v>
      </c>
      <c r="N150" s="26" t="s">
        <v>34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332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258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23</v>
      </c>
      <c r="M151" s="33" t="s">
        <v>147</v>
      </c>
      <c r="N151" s="33" t="s">
        <v>65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333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258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258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258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258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258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258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258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258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258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258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246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244</v>
      </c>
      <c r="S162" s="39">
        <v>573230</v>
      </c>
      <c r="T162" s="119">
        <f>IFERROR(J162,"")</f>
        <v>0</v>
      </c>
    </row>
    <row r="163" spans="1:20" ht="18" customHeight="1">
      <c r="A163" s="160" t="s">
        <v>247</v>
      </c>
      <c r="B163" s="161"/>
      <c r="C163" s="161"/>
      <c r="D163" s="161"/>
      <c r="E163" s="161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248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258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27</v>
      </c>
      <c r="M164" s="26" t="s">
        <v>147</v>
      </c>
      <c r="N164" s="26" t="s">
        <v>141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258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27</v>
      </c>
      <c r="M165" s="33" t="s">
        <v>170</v>
      </c>
      <c r="N165" s="33" t="s">
        <v>191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258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26</v>
      </c>
      <c r="M166" s="26" t="s">
        <v>170</v>
      </c>
      <c r="N166" s="26" t="s">
        <v>34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258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27</v>
      </c>
      <c r="M167" s="33" t="s">
        <v>64</v>
      </c>
      <c r="N167" s="33" t="s">
        <v>43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258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25</v>
      </c>
      <c r="M168" s="26" t="s">
        <v>64</v>
      </c>
      <c r="N168" s="26" t="s">
        <v>164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258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27</v>
      </c>
      <c r="M169" s="33" t="s">
        <v>148</v>
      </c>
      <c r="N169" s="33" t="s">
        <v>81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258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26</v>
      </c>
      <c r="M170" s="26" t="s">
        <v>170</v>
      </c>
      <c r="N170" s="26" t="s">
        <v>34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334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258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27</v>
      </c>
      <c r="M171" s="33" t="s">
        <v>148</v>
      </c>
      <c r="N171" s="33" t="s">
        <v>81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258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258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258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258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243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244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258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24</v>
      </c>
      <c r="M177" s="33"/>
      <c r="N177" s="33" t="s">
        <v>124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335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258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25</v>
      </c>
      <c r="M178" s="26" t="s">
        <v>148</v>
      </c>
      <c r="N178" s="26" t="s">
        <v>137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258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26</v>
      </c>
      <c r="M179" s="33" t="s">
        <v>170</v>
      </c>
      <c r="N179" s="26" t="s">
        <v>34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258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258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258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258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258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258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258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258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258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246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244</v>
      </c>
      <c r="S189" s="39">
        <v>692750</v>
      </c>
      <c r="T189" s="119">
        <f>IFERROR(J189,"")</f>
        <v>0</v>
      </c>
    </row>
    <row r="190" spans="1:20" ht="18" customHeight="1">
      <c r="A190" s="160" t="s">
        <v>247</v>
      </c>
      <c r="B190" s="161"/>
      <c r="C190" s="161"/>
      <c r="D190" s="161"/>
      <c r="E190" s="161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248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258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26</v>
      </c>
      <c r="M191" s="33" t="s">
        <v>170</v>
      </c>
      <c r="N191" s="33" t="s">
        <v>34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258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25</v>
      </c>
      <c r="M192" s="26" t="s">
        <v>59</v>
      </c>
      <c r="N192" s="33" t="s">
        <v>164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336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258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27</v>
      </c>
      <c r="M193" s="33" t="s">
        <v>64</v>
      </c>
      <c r="N193" s="33" t="s">
        <v>35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258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27</v>
      </c>
      <c r="M194" s="26" t="s">
        <v>165</v>
      </c>
      <c r="N194" s="26" t="s">
        <v>81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258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258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258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258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258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258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258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258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243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244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258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25</v>
      </c>
      <c r="M204" s="33" t="s">
        <v>64</v>
      </c>
      <c r="N204" s="26" t="s">
        <v>41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337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258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57" t="s">
        <v>338</v>
      </c>
      <c r="N205" s="33" t="s">
        <v>35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258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27</v>
      </c>
      <c r="M206" s="26" t="s">
        <v>59</v>
      </c>
      <c r="N206" s="26" t="s">
        <v>43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339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258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258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258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258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258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258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258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258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258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58" t="s">
        <v>246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244</v>
      </c>
      <c r="S216" s="45">
        <v>607180</v>
      </c>
      <c r="T216" s="122">
        <f>IFERROR(J216,"")</f>
        <v>0</v>
      </c>
    </row>
    <row r="217" spans="1:20" ht="18" customHeight="1">
      <c r="A217" s="160" t="s">
        <v>247</v>
      </c>
      <c r="B217" s="161"/>
      <c r="C217" s="161"/>
      <c r="D217" s="161"/>
      <c r="E217" s="161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248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258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26</v>
      </c>
      <c r="M218" s="26" t="s">
        <v>64</v>
      </c>
      <c r="N218" s="26" t="s">
        <v>34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258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26</v>
      </c>
      <c r="M219" s="33" t="s">
        <v>59</v>
      </c>
      <c r="N219" s="33" t="s">
        <v>34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258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27</v>
      </c>
      <c r="M220" s="26" t="s">
        <v>59</v>
      </c>
      <c r="N220" s="26" t="s">
        <v>63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340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258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26</v>
      </c>
      <c r="M221" s="33" t="s">
        <v>64</v>
      </c>
      <c r="N221" s="33" t="s">
        <v>85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341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242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258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258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258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258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258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258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258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58" t="s">
        <v>243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244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258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27</v>
      </c>
      <c r="M231" s="33" t="s">
        <v>64</v>
      </c>
      <c r="N231" s="33" t="s">
        <v>43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342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242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27</v>
      </c>
      <c r="M232" s="26" t="s">
        <v>64</v>
      </c>
      <c r="N232" s="26" t="s">
        <v>63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343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258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25</v>
      </c>
      <c r="M233" s="33" t="s">
        <v>159</v>
      </c>
      <c r="N233" s="33" t="s">
        <v>137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242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26</v>
      </c>
      <c r="M234" s="26" t="s">
        <v>59</v>
      </c>
      <c r="N234" s="26" t="s">
        <v>34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242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242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242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242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242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242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242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242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58" t="s">
        <v>246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244</v>
      </c>
      <c r="S243" s="39">
        <v>795250</v>
      </c>
      <c r="T243" s="119">
        <f>IFERROR(J243,"")</f>
        <v>0</v>
      </c>
    </row>
    <row r="244" spans="1:20" ht="18" customHeight="1">
      <c r="A244" s="160" t="s">
        <v>247</v>
      </c>
      <c r="B244" s="161"/>
      <c r="C244" s="161"/>
      <c r="D244" s="161"/>
      <c r="E244" s="161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248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242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25</v>
      </c>
      <c r="M245" s="33" t="s">
        <v>59</v>
      </c>
      <c r="N245" s="33" t="s">
        <v>174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242</v>
      </c>
      <c r="F246" s="134"/>
      <c r="G246" s="27" t="s">
        <v>268</v>
      </c>
      <c r="H246" s="134"/>
      <c r="I246" s="135"/>
      <c r="J246" s="136"/>
      <c r="K246" s="34" t="e">
        <f t="shared" si="54"/>
        <v>#VALUE!</v>
      </c>
      <c r="L246" s="33" t="s">
        <v>27</v>
      </c>
      <c r="M246" s="26" t="s">
        <v>64</v>
      </c>
      <c r="N246" s="33" t="s">
        <v>35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242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27</v>
      </c>
      <c r="M247" s="33" t="s">
        <v>59</v>
      </c>
      <c r="N247" s="33" t="s">
        <v>69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242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26</v>
      </c>
      <c r="M248" s="26" t="s">
        <v>64</v>
      </c>
      <c r="N248" s="26" t="s">
        <v>34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258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25</v>
      </c>
      <c r="M249" s="33" t="s">
        <v>159</v>
      </c>
      <c r="N249" s="33" t="s">
        <v>137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344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258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26</v>
      </c>
      <c r="M250" s="26" t="s">
        <v>59</v>
      </c>
      <c r="N250" s="26" t="s">
        <v>34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258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27</v>
      </c>
      <c r="M251" s="33" t="s">
        <v>59</v>
      </c>
      <c r="N251" s="33" t="s">
        <v>58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258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258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258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258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258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58" t="s">
        <v>243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244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109" t="s">
        <v>258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45</v>
      </c>
      <c r="E259" s="109" t="s">
        <v>258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45</v>
      </c>
      <c r="E260" s="109" t="s">
        <v>258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45</v>
      </c>
      <c r="E261" s="109" t="s">
        <v>258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45</v>
      </c>
      <c r="E262" s="109" t="s">
        <v>258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45</v>
      </c>
      <c r="E263" s="109" t="s">
        <v>258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45</v>
      </c>
      <c r="E264" s="109" t="s">
        <v>258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45</v>
      </c>
      <c r="E265" s="109" t="s">
        <v>258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45</v>
      </c>
      <c r="E266" s="109" t="s">
        <v>258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45</v>
      </c>
      <c r="E267" s="109" t="s">
        <v>258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45</v>
      </c>
      <c r="E268" s="109" t="s">
        <v>258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45</v>
      </c>
      <c r="E269" s="109" t="s">
        <v>258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58" t="s">
        <v>246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244</v>
      </c>
      <c r="S270" s="39">
        <v>683360</v>
      </c>
      <c r="T270" s="119">
        <f>IFERROR(J270,"")</f>
        <v>0</v>
      </c>
    </row>
    <row r="271" spans="1:20" ht="18" customHeight="1">
      <c r="A271" s="160" t="s">
        <v>247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248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258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258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258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258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258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258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37</v>
      </c>
      <c r="E278" s="59" t="s">
        <v>258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37</v>
      </c>
      <c r="E279" s="59" t="s">
        <v>258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37</v>
      </c>
      <c r="E280" s="59" t="s">
        <v>258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37</v>
      </c>
      <c r="E281" s="59" t="s">
        <v>258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37</v>
      </c>
      <c r="E282" s="59" t="s">
        <v>258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37</v>
      </c>
      <c r="E283" s="59" t="s">
        <v>258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58" t="s">
        <v>243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244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242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52</v>
      </c>
      <c r="D286" s="62" t="s">
        <v>53</v>
      </c>
      <c r="E286" s="62" t="s">
        <v>242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52</v>
      </c>
      <c r="D287" s="62" t="s">
        <v>53</v>
      </c>
      <c r="E287" s="62" t="s">
        <v>258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52</v>
      </c>
      <c r="D288" s="62" t="s">
        <v>53</v>
      </c>
      <c r="E288" s="62" t="s">
        <v>242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52</v>
      </c>
      <c r="D289" s="62" t="s">
        <v>53</v>
      </c>
      <c r="E289" s="62" t="s">
        <v>242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52</v>
      </c>
      <c r="D290" s="62" t="s">
        <v>37</v>
      </c>
      <c r="E290" s="62" t="s">
        <v>242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52</v>
      </c>
      <c r="D291" s="62" t="s">
        <v>37</v>
      </c>
      <c r="E291" s="62" t="s">
        <v>242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52</v>
      </c>
      <c r="D292" s="62" t="s">
        <v>37</v>
      </c>
      <c r="E292" s="62" t="s">
        <v>242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52</v>
      </c>
      <c r="D293" s="62" t="s">
        <v>37</v>
      </c>
      <c r="E293" s="62" t="s">
        <v>242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52</v>
      </c>
      <c r="D294" s="62" t="s">
        <v>37</v>
      </c>
      <c r="E294" s="62" t="s">
        <v>242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52</v>
      </c>
      <c r="D295" s="62" t="s">
        <v>37</v>
      </c>
      <c r="E295" s="62" t="s">
        <v>242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52</v>
      </c>
      <c r="D296" s="62" t="s">
        <v>37</v>
      </c>
      <c r="E296" s="62" t="s">
        <v>242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58" t="s">
        <v>246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244</v>
      </c>
      <c r="S297" s="39">
        <v>904710</v>
      </c>
      <c r="T297" s="119">
        <f>IFERROR(J297,"")</f>
        <v>0</v>
      </c>
    </row>
    <row r="298" spans="1:20" ht="18" customHeight="1">
      <c r="A298" s="160" t="s">
        <v>247</v>
      </c>
      <c r="B298" s="161"/>
      <c r="C298" s="161"/>
      <c r="D298" s="161"/>
      <c r="E298" s="161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248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258</v>
      </c>
      <c r="F299" s="140">
        <f>IFERROR(IF($D299="","",VLOOKUP($D299,Cadastro!$C$4:$E$7,3,FALSE)),"")</f>
        <v>0.24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>
        <f t="shared" ref="J299:J310" si="66">IFERROR(IF($H299="","",$H299*$F299*$I299),"")</f>
        <v>10.6756875</v>
      </c>
      <c r="K299" s="34">
        <f t="shared" ref="K299:K310" si="67">IF(G299="","",IF(E299="PC 17",G299*4.2,IF(E299="PC 19",G299*5,IF(E299="CB",G299*24,""))))</f>
        <v>63</v>
      </c>
      <c r="L299" s="33" t="s">
        <v>27</v>
      </c>
      <c r="M299" s="33" t="s">
        <v>59</v>
      </c>
      <c r="N299" s="33" t="s">
        <v>191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109" t="s">
        <v>258</v>
      </c>
      <c r="F300" s="134">
        <f>IFERROR(IF($D300="","",VLOOKUP($D300,Cadastro!$C$4:$E$7,3,FALSE)),"")</f>
        <v>0.24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>
        <f t="shared" si="66"/>
        <v>12.099112499999999</v>
      </c>
      <c r="K300" s="28">
        <f t="shared" si="67"/>
        <v>71.400000000000006</v>
      </c>
      <c r="L300" s="26" t="s">
        <v>26</v>
      </c>
      <c r="M300" s="26" t="s">
        <v>64</v>
      </c>
      <c r="N300" s="26" t="s">
        <v>34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109" t="s">
        <v>258</v>
      </c>
      <c r="F301" s="134">
        <f>IFERROR(IF($D301="","",VLOOKUP($D301,Cadastro!$C$4:$E$7,3,FALSE)),"")</f>
        <v>0.24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>
        <f t="shared" si="66"/>
        <v>15.657674999999999</v>
      </c>
      <c r="K301" s="34">
        <f t="shared" si="67"/>
        <v>92.4</v>
      </c>
      <c r="L301" s="33" t="s">
        <v>23</v>
      </c>
      <c r="M301" s="33"/>
      <c r="N301" s="33" t="s">
        <v>93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109" t="s">
        <v>258</v>
      </c>
      <c r="F302" s="134">
        <f>IFERROR(IF($D302="","",VLOOKUP($D302,Cadastro!$C$4:$E$7,3,FALSE)),"")</f>
        <v>0.24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>
        <f t="shared" si="66"/>
        <v>7.1171249999999997</v>
      </c>
      <c r="K302" s="28">
        <f t="shared" si="67"/>
        <v>42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109" t="s">
        <v>258</v>
      </c>
      <c r="F303" s="134">
        <f>IFERROR(IF($D303="","",VLOOKUP($D303,Cadastro!$C$4:$E$7,3,FALSE)),"")</f>
        <v>0.24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>
        <f t="shared" si="66"/>
        <v>20.639662500000004</v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109" t="s">
        <v>258</v>
      </c>
      <c r="F304" s="134">
        <f>IFERROR(IF($D304="","",VLOOKUP($D304,Cadastro!$C$4:$E$7,3,FALSE)),"")</f>
        <v>0.24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>
        <f t="shared" si="66"/>
        <v>21.351375000000001</v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109" t="s">
        <v>258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109" t="s">
        <v>258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109" t="s">
        <v>258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109" t="s">
        <v>258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109" t="s">
        <v>258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109" t="s">
        <v>258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58" t="s">
        <v>243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159.15670781249997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244</v>
      </c>
      <c r="S311" s="39">
        <v>948950</v>
      </c>
      <c r="T311" s="119">
        <f>IFERROR(J311,"")</f>
        <v>159.15670781249997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258</v>
      </c>
      <c r="F312" s="140">
        <f>IFERROR(IF($D312="","",VLOOKUP($D312,Cadastro!$C$4:$E$7,3,FALSE)),"")</f>
        <v>0.24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>
        <f t="shared" ref="J312:J323" si="70">IFERROR(IF($H312="","",$H312*$F312*$I312),"")</f>
        <v>15.050530909090908</v>
      </c>
      <c r="K312" s="28">
        <f t="shared" ref="K312:K323" si="71">IF(G312="","",IF(E312="PC 17",G312*4.2,IF(E312="PC 19",G312*5,IF(E312="CB",G312*24,""))))</f>
        <v>96.600000000000009</v>
      </c>
      <c r="L312" s="26" t="s">
        <v>27</v>
      </c>
      <c r="M312" s="26" t="s">
        <v>165</v>
      </c>
      <c r="N312" s="26" t="s">
        <v>81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28</v>
      </c>
      <c r="D313" s="59" t="s">
        <v>37</v>
      </c>
      <c r="E313" s="108" t="s">
        <v>258</v>
      </c>
      <c r="F313" s="134">
        <f>IFERROR(IF($D313="","",VLOOKUP($D313,Cadastro!$C$4:$E$7,3,FALSE)),"")</f>
        <v>0.24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>
        <f t="shared" si="70"/>
        <v>11.124305454545453</v>
      </c>
      <c r="K313" s="34">
        <f t="shared" si="71"/>
        <v>71.400000000000006</v>
      </c>
      <c r="L313" s="33" t="s">
        <v>26</v>
      </c>
      <c r="M313" s="33" t="s">
        <v>170</v>
      </c>
      <c r="N313" s="33" t="s">
        <v>34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28</v>
      </c>
      <c r="D314" s="59" t="s">
        <v>37</v>
      </c>
      <c r="E314" s="108" t="s">
        <v>258</v>
      </c>
      <c r="F314" s="134">
        <f>IFERROR(IF($D314="","",VLOOKUP($D314,Cadastro!$C$4:$E$7,3,FALSE)),"")</f>
        <v>0.24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>
        <f t="shared" si="70"/>
        <v>22.902981818181818</v>
      </c>
      <c r="K314" s="28">
        <f t="shared" si="71"/>
        <v>147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28</v>
      </c>
      <c r="D315" s="59" t="s">
        <v>37</v>
      </c>
      <c r="E315" s="108" t="s">
        <v>258</v>
      </c>
      <c r="F315" s="134">
        <f>IFERROR(IF($D315="","",VLOOKUP($D315,Cadastro!$C$4:$E$7,3,FALSE)),"")</f>
        <v>0.24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>
        <f t="shared" si="70"/>
        <v>1.9631127272727271</v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28</v>
      </c>
      <c r="D316" s="59" t="s">
        <v>37</v>
      </c>
      <c r="E316" s="108" t="s">
        <v>258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>
        <f t="shared" si="70"/>
        <v>13.087418181818181</v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28</v>
      </c>
      <c r="D317" s="59" t="s">
        <v>37</v>
      </c>
      <c r="E317" s="108" t="s">
        <v>258</v>
      </c>
      <c r="F317" s="134">
        <f>IFERROR(IF($D317="","",VLOOKUP($D317,Cadastro!$C$4:$E$7,3,FALSE)),"")</f>
        <v>0.24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>
        <f t="shared" si="70"/>
        <v>15.704901818181817</v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28</v>
      </c>
      <c r="D318" s="59" t="s">
        <v>37</v>
      </c>
      <c r="E318" s="108" t="s">
        <v>258</v>
      </c>
      <c r="F318" s="134">
        <f>IFERROR(IF($D318="","",VLOOKUP($D318,Cadastro!$C$4:$E$7,3,FALSE)),"")</f>
        <v>0.24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>
        <f t="shared" si="70"/>
        <v>9.1611927272727272</v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28</v>
      </c>
      <c r="D319" s="59" t="s">
        <v>37</v>
      </c>
      <c r="E319" s="108" t="s">
        <v>258</v>
      </c>
      <c r="F319" s="134">
        <f>IFERROR(IF($D319="","",VLOOKUP($D319,Cadastro!$C$4:$E$7,3,FALSE)),"")</f>
        <v>0.24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>
        <f t="shared" si="70"/>
        <v>15.704901818181817</v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28</v>
      </c>
      <c r="D320" s="59" t="s">
        <v>37</v>
      </c>
      <c r="E320" s="108" t="s">
        <v>258</v>
      </c>
      <c r="F320" s="134">
        <f>IFERROR(IF($D320="","",VLOOKUP($D320,Cadastro!$C$4:$E$7,3,FALSE)),"")</f>
        <v>0.24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>
        <f t="shared" si="70"/>
        <v>11.124305454545453</v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28</v>
      </c>
      <c r="D321" s="59" t="s">
        <v>37</v>
      </c>
      <c r="E321" s="108" t="s">
        <v>258</v>
      </c>
      <c r="F321" s="134">
        <f>IFERROR(IF($D321="","",VLOOKUP($D321,Cadastro!$C$4:$E$7,3,FALSE)),"")</f>
        <v>0.24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>
        <f t="shared" si="70"/>
        <v>10.469934545454544</v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28</v>
      </c>
      <c r="D322" s="59" t="s">
        <v>37</v>
      </c>
      <c r="E322" s="108" t="s">
        <v>258</v>
      </c>
      <c r="F322" s="134">
        <f>IFERROR(IF($D322="","",VLOOKUP($D322,Cadastro!$C$4:$E$7,3,FALSE)),"")</f>
        <v>0.24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>
        <f t="shared" si="70"/>
        <v>13.087418181818181</v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28</v>
      </c>
      <c r="D323" s="59" t="s">
        <v>37</v>
      </c>
      <c r="E323" s="108" t="s">
        <v>258</v>
      </c>
      <c r="F323" s="137">
        <f>IFERROR(IF($D323="","",VLOOKUP($D323,Cadastro!$C$4:$E$7,3,FALSE)),"")</f>
        <v>0.24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>
        <f t="shared" si="70"/>
        <v>11.778676363636363</v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58" t="s">
        <v>246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151.15967999999998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244</v>
      </c>
      <c r="S324" s="39">
        <v>1049720</v>
      </c>
      <c r="T324" s="119">
        <f>IFERROR(J324,"")</f>
        <v>151.15967999999998</v>
      </c>
    </row>
    <row r="325" spans="1:20" ht="18" customHeight="1">
      <c r="A325" s="160" t="s">
        <v>247</v>
      </c>
      <c r="B325" s="161"/>
      <c r="C325" s="161"/>
      <c r="D325" s="161"/>
      <c r="E325" s="161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310.31638781249995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248</v>
      </c>
      <c r="S325" s="48">
        <f>IFERROR(S311+S324,"")</f>
        <v>1998670</v>
      </c>
      <c r="T325" s="121">
        <f>IFERROR(J325,"")</f>
        <v>310.31638781249995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242</v>
      </c>
      <c r="F326" s="140">
        <f>IFERROR(IF($D326="","",VLOOKUP($D326,Cadastro!$C$4:$E$7,3,FALSE)),"")</f>
        <v>0.35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15.239690322580644</v>
      </c>
      <c r="K326" s="28">
        <f>IF(G326="","",IF(E327="PC 17",G326*4.2,IF(E327="PC 19",G326*5,"")))</f>
        <v>65</v>
      </c>
      <c r="L326" s="26" t="s">
        <v>26</v>
      </c>
      <c r="M326" s="26" t="s">
        <v>170</v>
      </c>
      <c r="N326" s="26" t="s">
        <v>34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36</v>
      </c>
      <c r="D327" s="59" t="s">
        <v>29</v>
      </c>
      <c r="E327" s="108" t="s">
        <v>242</v>
      </c>
      <c r="F327" s="134">
        <f>IFERROR(IF($D327="","",VLOOKUP($D327,Cadastro!$C$4:$E$7,3,FALSE)),"")</f>
        <v>0.35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19.928825806451609</v>
      </c>
      <c r="K327" s="151">
        <f>IF(G327="","",IF(E328="PC 17",G327*4.2,IF(E328="PC 19",G327*5,"")))</f>
        <v>85</v>
      </c>
      <c r="L327" s="33" t="s">
        <v>24</v>
      </c>
      <c r="M327" s="33"/>
      <c r="N327" s="33" t="s">
        <v>32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36</v>
      </c>
      <c r="D328" s="59" t="s">
        <v>29</v>
      </c>
      <c r="E328" s="108" t="s">
        <v>242</v>
      </c>
      <c r="F328" s="134">
        <f>IFERROR(IF($D328="","",VLOOKUP($D328,Cadastro!$C$4:$E$7,3,FALSE)),"")</f>
        <v>0.35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17.584258064516128</v>
      </c>
      <c r="K328" s="28">
        <f t="shared" ref="K328:K337" si="77">IF(G328="","",IF(E328="PC 17",G328*4.2,IF(E328="PC 19",G328*5,IF(E328="CB",G328*24,""))))</f>
        <v>75</v>
      </c>
      <c r="L328" s="26" t="s">
        <v>26</v>
      </c>
      <c r="M328" s="26" t="s">
        <v>64</v>
      </c>
      <c r="N328" s="26" t="s">
        <v>34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36</v>
      </c>
      <c r="D329" s="59" t="s">
        <v>29</v>
      </c>
      <c r="E329" s="108" t="s">
        <v>242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12.895122580645159</v>
      </c>
      <c r="K329" s="34">
        <f t="shared" si="77"/>
        <v>55</v>
      </c>
      <c r="L329" s="33" t="s">
        <v>26</v>
      </c>
      <c r="M329" s="33" t="s">
        <v>59</v>
      </c>
      <c r="N329" s="33" t="s">
        <v>34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36</v>
      </c>
      <c r="D330" s="59" t="s">
        <v>29</v>
      </c>
      <c r="E330" s="108" t="s">
        <v>258</v>
      </c>
      <c r="F330" s="134">
        <f>IFERROR(IF($D330="","",VLOOKUP($D330,Cadastro!$C$4:$E$7,3,FALSE)),"")</f>
        <v>0.35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19.928825806451609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36</v>
      </c>
      <c r="D331" s="59" t="s">
        <v>29</v>
      </c>
      <c r="E331" s="108" t="s">
        <v>242</v>
      </c>
      <c r="F331" s="134">
        <f>IFERROR(IF($D331="","",VLOOKUP($D331,Cadastro!$C$4:$E$7,3,FALSE)),"")</f>
        <v>0.35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17.584258064516128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36</v>
      </c>
      <c r="D332" s="59" t="s">
        <v>29</v>
      </c>
      <c r="E332" s="108" t="s">
        <v>258</v>
      </c>
      <c r="F332" s="134">
        <f>IFERROR(IF($D332="","",VLOOKUP($D332,Cadastro!$C$4:$E$7,3,FALSE)),"")</f>
        <v>0.35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58.614193548387085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36</v>
      </c>
      <c r="D333" s="59" t="s">
        <v>29</v>
      </c>
      <c r="E333" s="108" t="s">
        <v>258</v>
      </c>
      <c r="F333" s="134">
        <f>IFERROR(IF($D333="","",VLOOKUP($D333,Cadastro!$C$4:$E$7,3,FALSE)),"")</f>
        <v>0.35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28.134812903225807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36</v>
      </c>
      <c r="D334" s="59" t="s">
        <v>29</v>
      </c>
      <c r="E334" s="108" t="s">
        <v>258</v>
      </c>
      <c r="F334" s="134">
        <f>IFERROR(IF($D334="","",VLOOKUP($D334,Cadastro!$C$4:$E$7,3,FALSE)),"")</f>
        <v>0.35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11.722838709677417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36</v>
      </c>
      <c r="D335" s="59" t="s">
        <v>29</v>
      </c>
      <c r="E335" s="108" t="s">
        <v>258</v>
      </c>
      <c r="F335" s="134">
        <f>IFERROR(IF($D335="","",VLOOKUP($D335,Cadastro!$C$4:$E$7,3,FALSE)),"")</f>
        <v>0.35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24.61796129032258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36</v>
      </c>
      <c r="D336" s="59" t="s">
        <v>29</v>
      </c>
      <c r="E336" s="108" t="s">
        <v>258</v>
      </c>
      <c r="F336" s="134">
        <f>IFERROR(IF($D336="","",VLOOKUP($D336,Cadastro!$C$4:$E$7,3,FALSE)),"")</f>
        <v>0.35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14.067406451612904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36</v>
      </c>
      <c r="D337" s="59" t="s">
        <v>29</v>
      </c>
      <c r="E337" s="108" t="s">
        <v>258</v>
      </c>
      <c r="F337" s="137">
        <f>IFERROR(IF($D337="","",VLOOKUP($D337,Cadastro!$C$4:$E$7,3,FALSE)),"")</f>
        <v>0.35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14.067406451612904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58" t="s">
        <v>243</v>
      </c>
      <c r="B338" s="159"/>
      <c r="C338" s="159"/>
      <c r="D338" s="159"/>
      <c r="E338" s="159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254.38559999999993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244</v>
      </c>
      <c r="S338" s="39">
        <v>1211360</v>
      </c>
      <c r="T338" s="119">
        <f>IFERROR(J338,"")</f>
        <v>254.38559999999993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258</v>
      </c>
      <c r="F339" s="140">
        <f>IFERROR(IF($D339="","",VLOOKUP($D339,Cadastro!$C$4:$E$7,3,FALSE)),"")</f>
        <v>0.35</v>
      </c>
      <c r="G339" s="105">
        <v>30</v>
      </c>
      <c r="H339" s="140">
        <f>IFERROR(IF($G339="","",$G339*$S$351/$G$351/Cadastro!$E$33),"")</f>
        <v>133.94050632911393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28.12750632911392</v>
      </c>
      <c r="K339" s="34">
        <f t="shared" ref="K339:K350" si="79">IF(G339="","",IF(E339="PC 17",G339*4.2,IF(E339="PC 19",G339*5,IF(E339="CB",G339*24,""))))</f>
        <v>126</v>
      </c>
      <c r="L339" s="33" t="s">
        <v>27</v>
      </c>
      <c r="M339" s="33" t="s">
        <v>170</v>
      </c>
      <c r="N339" s="33" t="s">
        <v>69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258</v>
      </c>
      <c r="F340" s="134">
        <f>IFERROR(IF($D340="","",VLOOKUP($D340,Cadastro!$C$4:$E$7,3,FALSE)),"")</f>
        <v>0.35</v>
      </c>
      <c r="G340" s="105">
        <v>16</v>
      </c>
      <c r="H340" s="134">
        <f>IFERROR(IF($G340="","",$G340*$S$351/$G$351/Cadastro!$E$33),"")</f>
        <v>71.434936708860761</v>
      </c>
      <c r="I340" s="135">
        <f>IFERROR(IF($D340="","",VLOOKUP($D340,Cadastro!$C$4:$G$7,5,FALSE)),"")</f>
        <v>0.6</v>
      </c>
      <c r="J340" s="136">
        <f t="shared" si="78"/>
        <v>15.001336708860757</v>
      </c>
      <c r="K340" s="28">
        <f t="shared" si="79"/>
        <v>67.2</v>
      </c>
      <c r="L340" s="26" t="s">
        <v>27</v>
      </c>
      <c r="M340" s="26" t="s">
        <v>64</v>
      </c>
      <c r="N340" s="26" t="s">
        <v>35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258</v>
      </c>
      <c r="F341" s="134">
        <f>IFERROR(IF($D341="","",VLOOKUP($D341,Cadastro!$C$4:$E$7,3,FALSE)),"")</f>
        <v>0.35</v>
      </c>
      <c r="G341" s="105">
        <v>32</v>
      </c>
      <c r="H341" s="134">
        <f>IFERROR(IF($G341="","",$G341*$S$351/$G$351/Cadastro!$E$33),"")</f>
        <v>142.86987341772152</v>
      </c>
      <c r="I341" s="135">
        <f>IFERROR(IF($D341="","",VLOOKUP($D341,Cadastro!$C$4:$G$7,5,FALSE)),"")</f>
        <v>0.6</v>
      </c>
      <c r="J341" s="136">
        <f t="shared" si="78"/>
        <v>30.002673417721514</v>
      </c>
      <c r="K341" s="34">
        <f t="shared" si="79"/>
        <v>134.4</v>
      </c>
      <c r="L341" s="33" t="s">
        <v>27</v>
      </c>
      <c r="M341" s="33" t="s">
        <v>59</v>
      </c>
      <c r="N341" s="33" t="s">
        <v>35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258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53.576202531645571</v>
      </c>
      <c r="I342" s="135">
        <f>IFERROR(IF($D342="","",VLOOKUP($D342,Cadastro!$C$4:$G$7,5,FALSE)),"")</f>
        <v>0.6</v>
      </c>
      <c r="J342" s="136">
        <f t="shared" si="78"/>
        <v>11.25100253164557</v>
      </c>
      <c r="K342" s="28">
        <f t="shared" si="79"/>
        <v>50.400000000000006</v>
      </c>
      <c r="L342" s="26" t="s">
        <v>26</v>
      </c>
      <c r="M342" s="26" t="s">
        <v>170</v>
      </c>
      <c r="N342" s="26" t="s">
        <v>34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258</v>
      </c>
      <c r="F343" s="134">
        <f>IFERROR(IF($D343="","",VLOOKUP($D343,Cadastro!$C$4:$E$7,3,FALSE)),"")</f>
        <v>0.35</v>
      </c>
      <c r="G343" s="105">
        <v>15</v>
      </c>
      <c r="H343" s="134">
        <f>IFERROR(IF($G343="","",$G343*$S$351/$G$351/Cadastro!$E$33),"")</f>
        <v>66.970253164556965</v>
      </c>
      <c r="I343" s="135">
        <f>IFERROR(IF($D343="","",VLOOKUP($D343,Cadastro!$C$4:$G$7,5,FALSE)),"")</f>
        <v>0.6</v>
      </c>
      <c r="J343" s="136">
        <f t="shared" si="78"/>
        <v>14.06375316455696</v>
      </c>
      <c r="K343" s="34">
        <f t="shared" si="79"/>
        <v>63</v>
      </c>
      <c r="L343" s="33" t="s">
        <v>27</v>
      </c>
      <c r="M343" s="33" t="s">
        <v>59</v>
      </c>
      <c r="N343" s="33" t="s">
        <v>43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258</v>
      </c>
      <c r="F344" s="134">
        <f>IFERROR(IF($D344="","",VLOOKUP($D344,Cadastro!$C$4:$E$7,3,FALSE)),"")</f>
        <v>0.35</v>
      </c>
      <c r="G344" s="105">
        <v>27</v>
      </c>
      <c r="H344" s="134">
        <f>IFERROR(IF($G344="","",$G344*$S$351/$G$351/Cadastro!$E$33),"")</f>
        <v>120.54645569620254</v>
      </c>
      <c r="I344" s="135">
        <f>IFERROR(IF($D344="","",VLOOKUP($D344,Cadastro!$C$4:$G$7,5,FALSE)),"")</f>
        <v>0.6</v>
      </c>
      <c r="J344" s="136">
        <f t="shared" si="78"/>
        <v>25.314755696202528</v>
      </c>
      <c r="K344" s="28">
        <f t="shared" si="79"/>
        <v>113.4</v>
      </c>
      <c r="L344" s="26" t="s">
        <v>27</v>
      </c>
      <c r="M344" s="26" t="s">
        <v>64</v>
      </c>
      <c r="N344" s="26" t="s">
        <v>35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258</v>
      </c>
      <c r="F345" s="134">
        <f>IFERROR(IF($D345="","",VLOOKUP($D345,Cadastro!$C$4:$E$7,3,FALSE)),"")</f>
        <v>0.35</v>
      </c>
      <c r="G345" s="105">
        <v>24</v>
      </c>
      <c r="H345" s="134">
        <f>IFERROR(IF($G345="","",$G345*$S$351/$G$351/Cadastro!$E$33),"")</f>
        <v>107.15240506329114</v>
      </c>
      <c r="I345" s="135">
        <f>IFERROR(IF($D345="","",VLOOKUP($D345,Cadastro!$C$4:$G$7,5,FALSE)),"")</f>
        <v>0.6</v>
      </c>
      <c r="J345" s="136">
        <f t="shared" si="78"/>
        <v>22.50200506329114</v>
      </c>
      <c r="K345" s="34">
        <f t="shared" si="79"/>
        <v>100.80000000000001</v>
      </c>
      <c r="L345" s="33" t="s">
        <v>27</v>
      </c>
      <c r="M345" s="33" t="s">
        <v>64</v>
      </c>
      <c r="N345" s="33" t="s">
        <v>35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258</v>
      </c>
      <c r="F346" s="134">
        <f>IFERROR(IF($D346="","",VLOOKUP($D346,Cadastro!$C$4:$E$7,3,FALSE)),"")</f>
        <v>0.35</v>
      </c>
      <c r="G346" s="105">
        <v>19</v>
      </c>
      <c r="H346" s="134">
        <f>IFERROR(IF($G346="","",$G346*$S$351/$G$351/Cadastro!$E$33),"")</f>
        <v>84.828987341772148</v>
      </c>
      <c r="I346" s="135">
        <f>IFERROR(IF($D346="","",VLOOKUP($D346,Cadastro!$C$4:$G$7,5,FALSE)),"")</f>
        <v>0.6</v>
      </c>
      <c r="J346" s="136">
        <f t="shared" si="78"/>
        <v>17.814087341772147</v>
      </c>
      <c r="K346" s="28">
        <f t="shared" si="79"/>
        <v>79.8</v>
      </c>
      <c r="L346" s="26" t="s">
        <v>26</v>
      </c>
      <c r="M346" s="26" t="s">
        <v>170</v>
      </c>
      <c r="N346" s="26" t="s">
        <v>34</v>
      </c>
      <c r="O346" s="29">
        <v>0.19375000000000001</v>
      </c>
      <c r="P346" s="29">
        <v>0.21666666666666667</v>
      </c>
      <c r="Q346" s="30">
        <f t="shared" ca="1" si="80"/>
        <v>2.2916666666666669E-2</v>
      </c>
      <c r="R346" s="27" t="s">
        <v>345</v>
      </c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258</v>
      </c>
      <c r="F347" s="134">
        <f>IFERROR(IF($D347="","",VLOOKUP($D347,Cadastro!$C$4:$E$7,3,FALSE)),"")</f>
        <v>0.35</v>
      </c>
      <c r="G347" s="105">
        <v>25</v>
      </c>
      <c r="H347" s="134">
        <f>IFERROR(IF($G347="","",$G347*$S$351/$G$351/Cadastro!$E$33),"")</f>
        <v>111.61708860759494</v>
      </c>
      <c r="I347" s="135">
        <f>IFERROR(IF($D347="","",VLOOKUP($D347,Cadastro!$C$4:$G$7,5,FALSE)),"")</f>
        <v>0.6</v>
      </c>
      <c r="J347" s="136">
        <f t="shared" si="78"/>
        <v>23.439588607594935</v>
      </c>
      <c r="K347" s="34">
        <f t="shared" si="79"/>
        <v>105</v>
      </c>
      <c r="L347" s="33" t="s">
        <v>27</v>
      </c>
      <c r="M347" s="33" t="s">
        <v>64</v>
      </c>
      <c r="N347" s="33" t="s">
        <v>63</v>
      </c>
      <c r="O347" s="29">
        <v>0.22708333333333333</v>
      </c>
      <c r="P347" s="29">
        <v>0.24236111111111111</v>
      </c>
      <c r="Q347" s="35">
        <f t="shared" ca="1" si="80"/>
        <v>1.5277777777777779E-2</v>
      </c>
      <c r="R347" s="27" t="s">
        <v>346</v>
      </c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258</v>
      </c>
      <c r="F348" s="134">
        <f>IFERROR(IF($D348="","",VLOOKUP($D348,Cadastro!$C$4:$E$7,3,FALSE)),"")</f>
        <v>0.35</v>
      </c>
      <c r="G348" s="105">
        <v>13</v>
      </c>
      <c r="H348" s="134">
        <f>IFERROR(IF($G348="","",$G348*$S$351/$G$351/Cadastro!$E$33),"")</f>
        <v>58.040886075949366</v>
      </c>
      <c r="I348" s="135">
        <f>IFERROR(IF($D348="","",VLOOKUP($D348,Cadastro!$C$4:$G$7,5,FALSE)),"")</f>
        <v>0.6</v>
      </c>
      <c r="J348" s="136">
        <f t="shared" si="78"/>
        <v>12.188586075949367</v>
      </c>
      <c r="K348" s="28">
        <f t="shared" si="79"/>
        <v>54.6</v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258</v>
      </c>
      <c r="F349" s="134">
        <f>IFERROR(IF($D349="","",VLOOKUP($D349,Cadastro!$C$4:$E$7,3,FALSE)),"")</f>
        <v>0.35</v>
      </c>
      <c r="G349" s="105">
        <v>9</v>
      </c>
      <c r="H349" s="134">
        <f>IFERROR(IF($G349="","",$G349*$S$351/$G$351/Cadastro!$E$33),"")</f>
        <v>40.182151898734176</v>
      </c>
      <c r="I349" s="135">
        <f>IFERROR(IF($D349="","",VLOOKUP($D349,Cadastro!$C$4:$G$7,5,FALSE)),"")</f>
        <v>0.6</v>
      </c>
      <c r="J349" s="136">
        <f t="shared" si="78"/>
        <v>8.4382518987341761</v>
      </c>
      <c r="K349" s="34">
        <f t="shared" si="79"/>
        <v>37.800000000000004</v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258</v>
      </c>
      <c r="F350" s="137">
        <f>IFERROR(IF($D350="","",VLOOKUP($D350,Cadastro!$C$4:$E$7,3,FALSE)),"")</f>
        <v>0.35</v>
      </c>
      <c r="G350" s="105">
        <v>15</v>
      </c>
      <c r="H350" s="137">
        <f>IFERROR(IF($G350="","",$G350*$S$351/$G$351/Cadastro!$E$33),"")</f>
        <v>66.970253164556965</v>
      </c>
      <c r="I350" s="138">
        <f>IFERROR(IF($D350="","",VLOOKUP($D350,Cadastro!$C$4:$G$7,5,FALSE)),"")</f>
        <v>0.6</v>
      </c>
      <c r="J350" s="139">
        <f t="shared" si="78"/>
        <v>14.06375316455696</v>
      </c>
      <c r="K350" s="28">
        <f t="shared" si="79"/>
        <v>63</v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58" t="s">
        <v>246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237</v>
      </c>
      <c r="H351" s="111">
        <f>IFERROR(SUM(H339:H350),"")</f>
        <v>1058.1300000000001</v>
      </c>
      <c r="I351" s="115"/>
      <c r="J351" s="124">
        <f>IFERROR(SUM(J339:J350),"")</f>
        <v>222.20729999999995</v>
      </c>
      <c r="K351" s="36">
        <f>SUM(K339:K350)</f>
        <v>995.4</v>
      </c>
      <c r="L351" s="37"/>
      <c r="M351" s="37"/>
      <c r="N351" s="37"/>
      <c r="O351" s="61"/>
      <c r="P351" s="61"/>
      <c r="Q351" s="38">
        <f ca="1">IFERROR(SUM(Q339:Q350),"")</f>
        <v>8.1944444444444431E-2</v>
      </c>
      <c r="R351" s="36" t="s">
        <v>244</v>
      </c>
      <c r="S351" s="39">
        <v>1058130</v>
      </c>
      <c r="T351" s="119">
        <f>IFERROR(J351,"")</f>
        <v>222.20729999999995</v>
      </c>
    </row>
    <row r="352" spans="1:20" ht="18" customHeight="1">
      <c r="A352" s="160" t="s">
        <v>247</v>
      </c>
      <c r="B352" s="161"/>
      <c r="C352" s="161"/>
      <c r="D352" s="161"/>
      <c r="E352" s="161">
        <f>E338+E351</f>
        <v>0</v>
      </c>
      <c r="F352" s="112"/>
      <c r="G352" s="91">
        <f>G338+G351</f>
        <v>454</v>
      </c>
      <c r="H352" s="112">
        <f>IFERROR(H338+H351,"")</f>
        <v>2269.4899999999998</v>
      </c>
      <c r="I352" s="116"/>
      <c r="J352" s="125">
        <f>IFERROR(J338+J351,"")</f>
        <v>476.59289999999987</v>
      </c>
      <c r="K352" s="40">
        <f>K338+K351</f>
        <v>1963.6</v>
      </c>
      <c r="L352" s="41"/>
      <c r="M352" s="41"/>
      <c r="N352" s="41"/>
      <c r="O352" s="63"/>
      <c r="P352" s="63"/>
      <c r="Q352" s="42">
        <f ca="1">IFERROR(Q338+Q351,"")</f>
        <v>0.12291666666666656</v>
      </c>
      <c r="R352" s="40" t="s">
        <v>248</v>
      </c>
      <c r="S352" s="48">
        <f>IFERROR(S338+S351,"")</f>
        <v>2269490</v>
      </c>
      <c r="T352" s="121">
        <f>IFERROR(J352,"")</f>
        <v>476.59289999999987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258</v>
      </c>
      <c r="F353" s="140">
        <f>IFERROR(IF($D353="","",VLOOKUP($D353,Cadastro!$C$4:$E$7,3,FALSE)),"")</f>
        <v>0.35</v>
      </c>
      <c r="G353" s="105">
        <v>12</v>
      </c>
      <c r="H353" s="140">
        <f>IFERROR(IF($G353="","",$G353*$S$365/$G$365/Cadastro!$E$33),"")</f>
        <v>54.191020408163261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11.380114285714283</v>
      </c>
      <c r="K353" s="34">
        <f t="shared" ref="K353:K364" si="83">IF(G353="","",IF(E353="PC 17",G353*4.2,IF(E353="PC 19",G353*5,IF(E353="CB",G353*24,""))))</f>
        <v>50.400000000000006</v>
      </c>
      <c r="L353" s="33" t="s">
        <v>25</v>
      </c>
      <c r="M353" s="33"/>
      <c r="N353" s="33" t="s">
        <v>101</v>
      </c>
      <c r="O353" s="29">
        <v>0.31458333333333333</v>
      </c>
      <c r="P353" s="29">
        <v>0.37361111111111112</v>
      </c>
      <c r="Q353" s="35">
        <f t="shared" ref="Q353:Q364" ca="1" si="84">IFERROR(IF(O353="","",IF(P353="",MOD(NOW()-O353,1),IF(P353&gt;=O353,P353-O353,P353+1-O353))),"")</f>
        <v>5.902777777777779E-2</v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258</v>
      </c>
      <c r="F354" s="134">
        <f>IFERROR(IF($D354="","",VLOOKUP($D354,Cadastro!$C$4:$E$7,3,FALSE)),"")</f>
        <v>0.35</v>
      </c>
      <c r="G354" s="105">
        <v>15</v>
      </c>
      <c r="H354" s="134">
        <f>IFERROR(IF($G354="","",$G354*$S$365/$G$365/Cadastro!$E$33),"")</f>
        <v>67.738775510204079</v>
      </c>
      <c r="I354" s="135">
        <f>IFERROR(IF($D354="","",VLOOKUP($D354,Cadastro!$C$4:$G$7,5,FALSE)),"")</f>
        <v>0.6</v>
      </c>
      <c r="J354" s="136">
        <f t="shared" si="82"/>
        <v>14.225142857142854</v>
      </c>
      <c r="K354" s="28">
        <f t="shared" si="83"/>
        <v>63</v>
      </c>
      <c r="L354" s="33" t="s">
        <v>25</v>
      </c>
      <c r="M354" s="26" t="s">
        <v>148</v>
      </c>
      <c r="N354" s="33" t="s">
        <v>137</v>
      </c>
      <c r="O354" s="29">
        <v>0.42569444444444443</v>
      </c>
      <c r="P354" s="29">
        <v>0.45</v>
      </c>
      <c r="Q354" s="30">
        <f t="shared" ca="1" si="84"/>
        <v>2.430555555555558E-2</v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258</v>
      </c>
      <c r="F355" s="134">
        <f>IFERROR(IF($D355="","",VLOOKUP($D355,Cadastro!$C$4:$E$7,3,FALSE)),"")</f>
        <v>0.35</v>
      </c>
      <c r="G355" s="105">
        <v>23</v>
      </c>
      <c r="H355" s="134">
        <f>IFERROR(IF($G355="","",$G355*$S$365/$G$365/Cadastro!$E$33),"")</f>
        <v>103.86612244897958</v>
      </c>
      <c r="I355" s="135">
        <f>IFERROR(IF($D355="","",VLOOKUP($D355,Cadastro!$C$4:$G$7,5,FALSE)),"")</f>
        <v>0.6</v>
      </c>
      <c r="J355" s="136">
        <f t="shared" si="82"/>
        <v>21.811885714285708</v>
      </c>
      <c r="K355" s="34">
        <f t="shared" si="83"/>
        <v>96.600000000000009</v>
      </c>
      <c r="L355" s="33" t="s">
        <v>26</v>
      </c>
      <c r="M355" s="33" t="s">
        <v>64</v>
      </c>
      <c r="N355" s="33" t="s">
        <v>34</v>
      </c>
      <c r="O355" s="29">
        <v>0.56874999999999998</v>
      </c>
      <c r="P355" s="29">
        <v>0.58263888888888893</v>
      </c>
      <c r="Q355" s="35">
        <f t="shared" ca="1" si="84"/>
        <v>1.3888888888888951E-2</v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258</v>
      </c>
      <c r="F356" s="134">
        <f>IFERROR(IF($D356="","",VLOOKUP($D356,Cadastro!$C$4:$E$7,3,FALSE)),"")</f>
        <v>0.35</v>
      </c>
      <c r="G356" s="105">
        <v>29</v>
      </c>
      <c r="H356" s="134">
        <f>IFERROR(IF($G356="","",$G356*$S$365/$G$365/Cadastro!$E$33),"")</f>
        <v>130.96163265306123</v>
      </c>
      <c r="I356" s="135">
        <f>IFERROR(IF($D356="","",VLOOKUP($D356,Cadastro!$C$4:$G$7,5,FALSE)),"")</f>
        <v>0.6</v>
      </c>
      <c r="J356" s="136">
        <f t="shared" si="82"/>
        <v>27.501942857142854</v>
      </c>
      <c r="K356" s="28">
        <f t="shared" si="83"/>
        <v>121.80000000000001</v>
      </c>
      <c r="L356" s="26" t="s">
        <v>27</v>
      </c>
      <c r="M356" s="26" t="s">
        <v>59</v>
      </c>
      <c r="N356" s="26" t="s">
        <v>63</v>
      </c>
      <c r="O356" s="29">
        <v>0.58263888888888893</v>
      </c>
      <c r="P356" s="29">
        <v>0.58819444444444446</v>
      </c>
      <c r="Q356" s="30">
        <f t="shared" ca="1" si="84"/>
        <v>5.5555555555555358E-3</v>
      </c>
      <c r="R356" s="27" t="s">
        <v>347</v>
      </c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258</v>
      </c>
      <c r="F357" s="134">
        <f>IFERROR(IF($D357="","",VLOOKUP($D357,Cadastro!$C$4:$E$7,3,FALSE)),"")</f>
        <v>0.35</v>
      </c>
      <c r="G357" s="105">
        <v>21</v>
      </c>
      <c r="H357" s="134">
        <f>IFERROR(IF($G357="","",$G357*$S$365/$G$365/Cadastro!$E$33),"")</f>
        <v>94.834285714285713</v>
      </c>
      <c r="I357" s="135">
        <f>IFERROR(IF($D357="","",VLOOKUP($D357,Cadastro!$C$4:$G$7,5,FALSE)),"")</f>
        <v>0.6</v>
      </c>
      <c r="J357" s="136">
        <f t="shared" si="82"/>
        <v>19.915199999999999</v>
      </c>
      <c r="K357" s="34">
        <f t="shared" si="83"/>
        <v>88.2</v>
      </c>
      <c r="L357" s="33" t="s">
        <v>27</v>
      </c>
      <c r="M357" s="33" t="s">
        <v>64</v>
      </c>
      <c r="N357" s="33" t="s">
        <v>69</v>
      </c>
      <c r="O357" s="29">
        <v>0.6875</v>
      </c>
      <c r="P357" s="29">
        <v>0.68888888888888888</v>
      </c>
      <c r="Q357" s="35">
        <f t="shared" ca="1" si="84"/>
        <v>1.388888888888884E-3</v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258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67.738775510204079</v>
      </c>
      <c r="I358" s="135">
        <f>IFERROR(IF($D358="","",VLOOKUP($D358,Cadastro!$C$4:$G$7,5,FALSE)),"")</f>
        <v>0.6</v>
      </c>
      <c r="J358" s="136">
        <f t="shared" si="82"/>
        <v>14.225142857142854</v>
      </c>
      <c r="K358" s="28">
        <f t="shared" si="83"/>
        <v>63</v>
      </c>
      <c r="L358" s="26" t="s">
        <v>27</v>
      </c>
      <c r="M358" s="26" t="s">
        <v>64</v>
      </c>
      <c r="N358" s="26" t="s">
        <v>63</v>
      </c>
      <c r="O358" s="29">
        <v>0.69444444444444442</v>
      </c>
      <c r="P358" s="29">
        <v>0.70833333333333337</v>
      </c>
      <c r="Q358" s="30">
        <f t="shared" ca="1" si="84"/>
        <v>1.3888888888888951E-2</v>
      </c>
      <c r="R358" s="27" t="s">
        <v>348</v>
      </c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258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67.738775510204079</v>
      </c>
      <c r="I359" s="135">
        <f>IFERROR(IF($D359="","",VLOOKUP($D359,Cadastro!$C$4:$G$7,5,FALSE)),"")</f>
        <v>0.6</v>
      </c>
      <c r="J359" s="136">
        <f t="shared" si="82"/>
        <v>14.225142857142854</v>
      </c>
      <c r="K359" s="34">
        <f t="shared" si="83"/>
        <v>63</v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258</v>
      </c>
      <c r="F360" s="134">
        <f>IFERROR(IF($D360="","",VLOOKUP($D360,Cadastro!$C$4:$E$7,3,FALSE)),"")</f>
        <v>0.35</v>
      </c>
      <c r="G360" s="105">
        <v>16</v>
      </c>
      <c r="H360" s="134">
        <f>IFERROR(IF($G360="","",$G360*$S$365/$G$365/Cadastro!$E$33),"")</f>
        <v>72.25469387755102</v>
      </c>
      <c r="I360" s="135">
        <f>IFERROR(IF($D360="","",VLOOKUP($D360,Cadastro!$C$4:$G$7,5,FALSE)),"")</f>
        <v>0.6</v>
      </c>
      <c r="J360" s="136">
        <f t="shared" si="82"/>
        <v>15.173485714285713</v>
      </c>
      <c r="K360" s="28">
        <f t="shared" si="83"/>
        <v>67.2</v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258</v>
      </c>
      <c r="F361" s="134">
        <f>IFERROR(IF($D361="","",VLOOKUP($D361,Cadastro!$C$4:$E$7,3,FALSE)),"")</f>
        <v>0.35</v>
      </c>
      <c r="G361" s="105">
        <v>17</v>
      </c>
      <c r="H361" s="134">
        <f>IFERROR(IF($G361="","",$G361*$S$365/$G$365/Cadastro!$E$33),"")</f>
        <v>76.770612244897961</v>
      </c>
      <c r="I361" s="135">
        <f>IFERROR(IF($D361="","",VLOOKUP($D361,Cadastro!$C$4:$G$7,5,FALSE)),"")</f>
        <v>0.6</v>
      </c>
      <c r="J361" s="136">
        <f t="shared" si="82"/>
        <v>16.121828571428569</v>
      </c>
      <c r="K361" s="34">
        <f t="shared" si="83"/>
        <v>71.400000000000006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258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22.579591836734693</v>
      </c>
      <c r="I362" s="135">
        <f>IFERROR(IF($D362="","",VLOOKUP($D362,Cadastro!$C$4:$G$7,5,FALSE)),"")</f>
        <v>0.6</v>
      </c>
      <c r="J362" s="136">
        <f t="shared" si="82"/>
        <v>4.7417142857142851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258</v>
      </c>
      <c r="F363" s="134">
        <f>IFERROR(IF($D363="","",VLOOKUP($D363,Cadastro!$C$4:$E$7,3,FALSE)),"")</f>
        <v>0.35</v>
      </c>
      <c r="G363" s="105">
        <v>12</v>
      </c>
      <c r="H363" s="134">
        <f>IFERROR(IF($G363="","",$G363*$S$365/$G$365/Cadastro!$E$33),"")</f>
        <v>54.191020408163261</v>
      </c>
      <c r="I363" s="135">
        <f>IFERROR(IF($D363="","",VLOOKUP($D363,Cadastro!$C$4:$G$7,5,FALSE)),"")</f>
        <v>0.6</v>
      </c>
      <c r="J363" s="136">
        <f t="shared" si="82"/>
        <v>11.380114285714283</v>
      </c>
      <c r="K363" s="34">
        <f t="shared" si="83"/>
        <v>50.400000000000006</v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258</v>
      </c>
      <c r="F364" s="137">
        <f>IFERROR(IF($D364="","",VLOOKUP($D364,Cadastro!$C$4:$E$7,3,FALSE)),"")</f>
        <v>0.35</v>
      </c>
      <c r="G364" s="105">
        <v>16</v>
      </c>
      <c r="H364" s="137">
        <f>IFERROR(IF($G364="","",$G364*$S$365/$G$365/Cadastro!$E$33),"")</f>
        <v>72.25469387755102</v>
      </c>
      <c r="I364" s="138">
        <f>IFERROR(IF($D364="","",VLOOKUP($D364,Cadastro!$C$4:$G$7,5,FALSE)),"")</f>
        <v>0.6</v>
      </c>
      <c r="J364" s="139">
        <f t="shared" si="82"/>
        <v>15.173485714285713</v>
      </c>
      <c r="K364" s="28">
        <f t="shared" si="83"/>
        <v>67.2</v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243</v>
      </c>
      <c r="B365" s="79"/>
      <c r="C365" s="79"/>
      <c r="D365" s="79"/>
      <c r="E365" s="79">
        <f>SUM(E353:E364)</f>
        <v>0</v>
      </c>
      <c r="F365" s="110"/>
      <c r="G365" s="80">
        <f>SUM(G353:G364)</f>
        <v>196</v>
      </c>
      <c r="H365" s="110">
        <f>IFERROR(SUM(H353:H364),"")</f>
        <v>885.12000000000012</v>
      </c>
      <c r="I365" s="114"/>
      <c r="J365" s="123">
        <f>IFERROR(SUM(J353:J364),"")</f>
        <v>185.87519999999998</v>
      </c>
      <c r="K365" s="36">
        <f>SUM(K353:K364)</f>
        <v>823.2</v>
      </c>
      <c r="L365" s="37"/>
      <c r="M365" s="37"/>
      <c r="N365" s="37"/>
      <c r="O365" s="61"/>
      <c r="P365" s="61"/>
      <c r="Q365" s="38">
        <f ca="1">IFERROR(SUM(Q353:Q364),"")</f>
        <v>0.11805555555555569</v>
      </c>
      <c r="R365" s="36" t="s">
        <v>244</v>
      </c>
      <c r="S365" s="39">
        <v>885120</v>
      </c>
      <c r="T365" s="119">
        <f>IFERROR(J365,"")</f>
        <v>185.87519999999998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258</v>
      </c>
      <c r="F366" s="140">
        <f>IFERROR(IF($D366="","",VLOOKUP($D366,Cadastro!$C$4:$E$7,3,FALSE)),"")</f>
        <v>0.35</v>
      </c>
      <c r="G366" s="105">
        <v>19</v>
      </c>
      <c r="H366" s="140">
        <f>IFERROR(IF($G366="","",$G366*$S$378/$G$378/Cadastro!$E$33),"")</f>
        <v>88.543114754098369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18.594054098360655</v>
      </c>
      <c r="K366" s="28">
        <f t="shared" ref="K366:K377" si="87">IF(G366="","",IF(E366="PC 17",G366*4.2,IF(E366="PC 19",G366*5,IF(E366="CB",G366*24,""))))</f>
        <v>79.8</v>
      </c>
      <c r="L366" s="26" t="s">
        <v>27</v>
      </c>
      <c r="M366" s="26" t="s">
        <v>64</v>
      </c>
      <c r="N366" s="26" t="s">
        <v>35</v>
      </c>
      <c r="O366" s="29">
        <v>0.8208333333333333</v>
      </c>
      <c r="P366" s="29">
        <v>0.85416666666666663</v>
      </c>
      <c r="Q366" s="30">
        <f t="shared" ref="Q366:Q377" ca="1" si="88">IFERROR(IF(O366="","",IF(P366="",MOD(NOW()-O366,1),IF(P366&gt;=O366,P366-O366,P366+1-O366))),"")</f>
        <v>3.3333333333333326E-2</v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258</v>
      </c>
      <c r="F367" s="134">
        <f>IFERROR(IF($D367="","",VLOOKUP($D367,Cadastro!$C$4:$E$7,3,FALSE)),"")</f>
        <v>0.35</v>
      </c>
      <c r="G367" s="105">
        <v>21</v>
      </c>
      <c r="H367" s="134">
        <f>IFERROR(IF($G367="","",$G367*$S$378/$G$378/Cadastro!$E$33),"")</f>
        <v>97.863442622950828</v>
      </c>
      <c r="I367" s="135">
        <f>IFERROR(IF($D367="","",VLOOKUP($D367,Cadastro!$C$4:$G$7,5,FALSE)),"")</f>
        <v>0.6</v>
      </c>
      <c r="J367" s="136">
        <f t="shared" si="86"/>
        <v>20.551322950819671</v>
      </c>
      <c r="K367" s="34">
        <f t="shared" si="87"/>
        <v>88.2</v>
      </c>
      <c r="L367" s="33" t="s">
        <v>27</v>
      </c>
      <c r="M367" s="33" t="s">
        <v>139</v>
      </c>
      <c r="N367" s="33" t="s">
        <v>121</v>
      </c>
      <c r="O367" s="29">
        <v>0.9145833333333333</v>
      </c>
      <c r="P367" s="29">
        <v>0.92152777777777772</v>
      </c>
      <c r="Q367" s="35">
        <f t="shared" ca="1" si="88"/>
        <v>6.9444444444444198E-3</v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258</v>
      </c>
      <c r="F368" s="134">
        <f>IFERROR(IF($D368="","",VLOOKUP($D368,Cadastro!$C$4:$E$7,3,FALSE)),"")</f>
        <v>0.35</v>
      </c>
      <c r="G368" s="105">
        <v>22</v>
      </c>
      <c r="H368" s="134">
        <f>IFERROR(IF($G368="","",$G368*$S$378/$G$378/Cadastro!$E$33),"")</f>
        <v>102.52360655737705</v>
      </c>
      <c r="I368" s="135">
        <f>IFERROR(IF($D368="","",VLOOKUP($D368,Cadastro!$C$4:$G$7,5,FALSE)),"")</f>
        <v>0.6</v>
      </c>
      <c r="J368" s="136">
        <f t="shared" si="86"/>
        <v>21.529957377049175</v>
      </c>
      <c r="K368" s="28">
        <f t="shared" si="87"/>
        <v>92.4</v>
      </c>
      <c r="L368" s="26" t="s">
        <v>26</v>
      </c>
      <c r="M368" s="26" t="s">
        <v>170</v>
      </c>
      <c r="N368" s="26" t="s">
        <v>34</v>
      </c>
      <c r="O368" s="29">
        <v>0.9243055555555556</v>
      </c>
      <c r="P368" s="29">
        <v>0.93541666666666667</v>
      </c>
      <c r="Q368" s="30">
        <f t="shared" ca="1" si="88"/>
        <v>1.1111111111111072E-2</v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258</v>
      </c>
      <c r="F369" s="134">
        <f>IFERROR(IF($D369="","",VLOOKUP($D369,Cadastro!$C$4:$E$7,3,FALSE)),"")</f>
        <v>0.35</v>
      </c>
      <c r="G369" s="105">
        <v>17</v>
      </c>
      <c r="H369" s="134">
        <f>IFERROR(IF($G369="","",$G369*$S$378/$G$378/Cadastro!$E$33),"")</f>
        <v>79.22278688524591</v>
      </c>
      <c r="I369" s="135">
        <f>IFERROR(IF($D369="","",VLOOKUP($D369,Cadastro!$C$4:$G$7,5,FALSE)),"")</f>
        <v>0.6</v>
      </c>
      <c r="J369" s="136">
        <f t="shared" si="86"/>
        <v>16.636785245901638</v>
      </c>
      <c r="K369" s="34">
        <f t="shared" si="87"/>
        <v>71.400000000000006</v>
      </c>
      <c r="L369" s="33" t="s">
        <v>27</v>
      </c>
      <c r="M369" s="33" t="s">
        <v>59</v>
      </c>
      <c r="N369" s="33" t="s">
        <v>69</v>
      </c>
      <c r="O369" s="29">
        <v>0.9819444444444444</v>
      </c>
      <c r="P369" s="29">
        <v>0.98472222222222228</v>
      </c>
      <c r="Q369" s="35">
        <f t="shared" ca="1" si="88"/>
        <v>2.7777777777778789E-3</v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258</v>
      </c>
      <c r="F370" s="134">
        <f>IFERROR(IF($D370="","",VLOOKUP($D370,Cadastro!$C$4:$E$7,3,FALSE)),"")</f>
        <v>0.35</v>
      </c>
      <c r="G370" s="105">
        <v>21</v>
      </c>
      <c r="H370" s="134">
        <f>IFERROR(IF($G370="","",$G370*$S$378/$G$378/Cadastro!$E$33),"")</f>
        <v>97.863442622950828</v>
      </c>
      <c r="I370" s="135">
        <f>IFERROR(IF($D370="","",VLOOKUP($D370,Cadastro!$C$4:$G$7,5,FALSE)),"")</f>
        <v>0.6</v>
      </c>
      <c r="J370" s="136">
        <f t="shared" si="86"/>
        <v>20.551322950819671</v>
      </c>
      <c r="K370" s="28">
        <f t="shared" si="87"/>
        <v>88.2</v>
      </c>
      <c r="L370" s="26" t="s">
        <v>27</v>
      </c>
      <c r="M370" s="26" t="s">
        <v>64</v>
      </c>
      <c r="N370" s="26" t="s">
        <v>69</v>
      </c>
      <c r="O370" s="29">
        <v>0</v>
      </c>
      <c r="P370" s="29">
        <v>3.472222222222222E-3</v>
      </c>
      <c r="Q370" s="30">
        <f t="shared" ca="1" si="88"/>
        <v>3.472222222222222E-3</v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258</v>
      </c>
      <c r="F371" s="134">
        <f>IFERROR(IF($D371="","",VLOOKUP($D371,Cadastro!$C$4:$E$7,3,FALSE)),"")</f>
        <v>0.35</v>
      </c>
      <c r="G371" s="105">
        <v>28</v>
      </c>
      <c r="H371" s="134">
        <f>IFERROR(IF($G371="","",$G371*$S$378/$G$378/Cadastro!$E$33),"")</f>
        <v>130.48459016393443</v>
      </c>
      <c r="I371" s="135">
        <f>IFERROR(IF($D371="","",VLOOKUP($D371,Cadastro!$C$4:$G$7,5,FALSE)),"")</f>
        <v>0.6</v>
      </c>
      <c r="J371" s="136">
        <f t="shared" si="86"/>
        <v>27.401763934426224</v>
      </c>
      <c r="K371" s="34">
        <f t="shared" si="87"/>
        <v>117.60000000000001</v>
      </c>
      <c r="L371" s="33" t="s">
        <v>25</v>
      </c>
      <c r="M371" s="33" t="s">
        <v>59</v>
      </c>
      <c r="N371" s="33" t="s">
        <v>164</v>
      </c>
      <c r="O371" s="29">
        <v>7.6388888888888895E-2</v>
      </c>
      <c r="P371" s="29">
        <v>0.10069444444444445</v>
      </c>
      <c r="Q371" s="35">
        <f t="shared" ca="1" si="88"/>
        <v>2.4305555555555552E-2</v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258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65.242295081967214</v>
      </c>
      <c r="I372" s="135">
        <f>IFERROR(IF($D372="","",VLOOKUP($D372,Cadastro!$C$4:$G$7,5,FALSE)),"")</f>
        <v>0.6</v>
      </c>
      <c r="J372" s="136">
        <f t="shared" si="86"/>
        <v>13.700881967213112</v>
      </c>
      <c r="K372" s="28">
        <f t="shared" si="87"/>
        <v>58.800000000000004</v>
      </c>
      <c r="L372" s="26" t="s">
        <v>27</v>
      </c>
      <c r="M372" s="26" t="s">
        <v>59</v>
      </c>
      <c r="N372" s="26" t="s">
        <v>63</v>
      </c>
      <c r="O372" s="29">
        <v>0.15277777777777779</v>
      </c>
      <c r="P372" s="29">
        <v>0.1701388888888889</v>
      </c>
      <c r="Q372" s="30">
        <f t="shared" ca="1" si="88"/>
        <v>1.7361111111111105E-2</v>
      </c>
      <c r="R372" s="27" t="s">
        <v>349</v>
      </c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258</v>
      </c>
      <c r="F373" s="134">
        <f>IFERROR(IF($D373="","",VLOOKUP($D373,Cadastro!$C$4:$E$7,3,FALSE)),"")</f>
        <v>0.35</v>
      </c>
      <c r="G373" s="105">
        <v>22</v>
      </c>
      <c r="H373" s="134">
        <f>IFERROR(IF($G373="","",$G373*$S$378/$G$378/Cadastro!$E$33),"")</f>
        <v>102.52360655737705</v>
      </c>
      <c r="I373" s="135">
        <f>IFERROR(IF($D373="","",VLOOKUP($D373,Cadastro!$C$4:$G$7,5,FALSE)),"")</f>
        <v>0.6</v>
      </c>
      <c r="J373" s="136">
        <f t="shared" si="86"/>
        <v>21.529957377049175</v>
      </c>
      <c r="K373" s="34">
        <f t="shared" si="87"/>
        <v>92.4</v>
      </c>
      <c r="L373" s="33" t="s">
        <v>25</v>
      </c>
      <c r="M373" s="33" t="s">
        <v>64</v>
      </c>
      <c r="N373" s="33" t="s">
        <v>174</v>
      </c>
      <c r="O373" s="29">
        <v>0.2048611111111111</v>
      </c>
      <c r="P373" s="29">
        <v>0.20902777777777778</v>
      </c>
      <c r="Q373" s="35">
        <f t="shared" ca="1" si="88"/>
        <v>4.1666666666666796E-3</v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258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97.863442622950828</v>
      </c>
      <c r="I374" s="135">
        <f>IFERROR(IF($D374="","",VLOOKUP($D374,Cadastro!$C$4:$G$7,5,FALSE)),"")</f>
        <v>0.6</v>
      </c>
      <c r="J374" s="136">
        <f t="shared" si="86"/>
        <v>20.551322950819671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258</v>
      </c>
      <c r="F375" s="134">
        <f>IFERROR(IF($D375="","",VLOOKUP($D375,Cadastro!$C$4:$E$7,3,FALSE)),"")</f>
        <v>0.35</v>
      </c>
      <c r="G375" s="105">
        <v>20</v>
      </c>
      <c r="H375" s="134">
        <f>IFERROR(IF($G375="","",$G375*$S$378/$G$378/Cadastro!$E$33),"")</f>
        <v>93.203278688524591</v>
      </c>
      <c r="I375" s="135">
        <f>IFERROR(IF($D375="","",VLOOKUP($D375,Cadastro!$C$4:$G$7,5,FALSE)),"")</f>
        <v>0.6</v>
      </c>
      <c r="J375" s="136">
        <f t="shared" si="86"/>
        <v>19.572688524590163</v>
      </c>
      <c r="K375" s="34">
        <f t="shared" si="87"/>
        <v>84</v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258</v>
      </c>
      <c r="F376" s="134">
        <f>IFERROR(IF($D376="","",VLOOKUP($D376,Cadastro!$C$4:$E$7,3,FALSE)),"")</f>
        <v>0.35</v>
      </c>
      <c r="G376" s="105">
        <v>29</v>
      </c>
      <c r="H376" s="134">
        <f>IFERROR(IF($G376="","",$G376*$S$378/$G$378/Cadastro!$E$33),"")</f>
        <v>135.14475409836066</v>
      </c>
      <c r="I376" s="135">
        <f>IFERROR(IF($D376="","",VLOOKUP($D376,Cadastro!$C$4:$G$7,5,FALSE)),"")</f>
        <v>0.6</v>
      </c>
      <c r="J376" s="136">
        <f t="shared" si="86"/>
        <v>28.38039836065574</v>
      </c>
      <c r="K376" s="28">
        <f t="shared" si="87"/>
        <v>121.80000000000001</v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258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46.601639344262296</v>
      </c>
      <c r="I377" s="138">
        <f>IFERROR(IF($D377="","",VLOOKUP($D377,Cadastro!$C$4:$G$7,5,FALSE)),"")</f>
        <v>0.6</v>
      </c>
      <c r="J377" s="139">
        <f t="shared" si="86"/>
        <v>9.7863442622950814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58" t="s">
        <v>246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244</v>
      </c>
      <c r="H378" s="111">
        <f>IFERROR(SUM(H366:H377),"")</f>
        <v>1137.0800000000002</v>
      </c>
      <c r="I378" s="115"/>
      <c r="J378" s="124">
        <f>IFERROR(SUM(J366:J377),"")</f>
        <v>238.78679999999994</v>
      </c>
      <c r="K378" s="36">
        <f>SUM(K366:K377)</f>
        <v>1024.8</v>
      </c>
      <c r="L378" s="37"/>
      <c r="M378" s="37"/>
      <c r="N378" s="37"/>
      <c r="O378" s="61"/>
      <c r="P378" s="61"/>
      <c r="Q378" s="38">
        <f ca="1">IFERROR(SUM(Q366:Q377),"")</f>
        <v>0.10347222222222226</v>
      </c>
      <c r="R378" s="36" t="s">
        <v>244</v>
      </c>
      <c r="S378" s="39">
        <v>1137080</v>
      </c>
      <c r="T378" s="119">
        <f>IFERROR(J378,"")</f>
        <v>238.78679999999994</v>
      </c>
    </row>
    <row r="379" spans="1:20" ht="18" customHeight="1">
      <c r="A379" s="160" t="s">
        <v>247</v>
      </c>
      <c r="B379" s="161"/>
      <c r="C379" s="161"/>
      <c r="D379" s="161"/>
      <c r="E379" s="161">
        <f>E365+E378</f>
        <v>0</v>
      </c>
      <c r="F379" s="112"/>
      <c r="G379" s="91">
        <f>G365+G378</f>
        <v>440</v>
      </c>
      <c r="H379" s="112">
        <f>IFERROR(H365+H378,"")</f>
        <v>2022.2000000000003</v>
      </c>
      <c r="I379" s="116"/>
      <c r="J379" s="125">
        <f>IFERROR(J365+J378,"")</f>
        <v>424.66199999999992</v>
      </c>
      <c r="K379" s="40">
        <f>K365+K378</f>
        <v>1848</v>
      </c>
      <c r="L379" s="41"/>
      <c r="M379" s="41"/>
      <c r="N379" s="41"/>
      <c r="O379" s="63"/>
      <c r="P379" s="63"/>
      <c r="Q379" s="42">
        <f ca="1">IFERROR(Q365+Q378,"")</f>
        <v>0.22152777777777793</v>
      </c>
      <c r="R379" s="40" t="s">
        <v>248</v>
      </c>
      <c r="S379" s="48">
        <f>IFERROR(S365+S378,"")</f>
        <v>2022200</v>
      </c>
      <c r="T379" s="121">
        <f>IFERROR(J379,"")</f>
        <v>424.66199999999992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258</v>
      </c>
      <c r="F380" s="140">
        <f>IFERROR(IF($D380="","",VLOOKUP($D380,Cadastro!$C$4:$E$7,3,FALSE)),"")</f>
        <v>0.35</v>
      </c>
      <c r="G380" s="105">
        <v>16</v>
      </c>
      <c r="H380" s="140">
        <f>IFERROR(IF($G380="","",$G380*$S$392/$G$392/Cadastro!$E$33),"")</f>
        <v>77.219428571428566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16.216079999999998</v>
      </c>
      <c r="K380" s="28">
        <f t="shared" ref="K380:K391" si="91">IF(G380="","",IF(E380="PC 17",G380*4.2,IF(E380="PC 19",G380*5,IF(E380="CB",G380*24,""))))</f>
        <v>67.2</v>
      </c>
      <c r="L380" s="26" t="s">
        <v>27</v>
      </c>
      <c r="M380" s="26" t="s">
        <v>139</v>
      </c>
      <c r="N380" s="26" t="s">
        <v>121</v>
      </c>
      <c r="O380" s="29">
        <v>0.36944444444444446</v>
      </c>
      <c r="P380" s="29">
        <v>0.37986111111111109</v>
      </c>
      <c r="Q380" s="30">
        <f t="shared" ref="Q380:Q391" ca="1" si="92">IFERROR(IF(O380="","",IF(P380="",MOD(NOW()-O380,1),IF(P380&gt;=O380,P380-O380,P380+1-O380))),"")</f>
        <v>1.041666666666663E-2</v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29</v>
      </c>
      <c r="E381" s="108" t="s">
        <v>258</v>
      </c>
      <c r="F381" s="134">
        <f>IFERROR(IF($D381="","",VLOOKUP($D381,Cadastro!$C$4:$E$7,3,FALSE)),"")</f>
        <v>0.35</v>
      </c>
      <c r="G381" s="105">
        <v>17</v>
      </c>
      <c r="H381" s="134">
        <f>IFERROR(IF($G381="","",$G381*$S$392/$G$392/Cadastro!$E$33),"")</f>
        <v>82.045642857142852</v>
      </c>
      <c r="I381" s="135">
        <f>IFERROR(IF($D381="","",VLOOKUP($D381,Cadastro!$C$4:$G$7,5,FALSE)),"")</f>
        <v>0.6</v>
      </c>
      <c r="J381" s="136">
        <f t="shared" si="90"/>
        <v>17.229584999999997</v>
      </c>
      <c r="K381" s="34">
        <f t="shared" si="91"/>
        <v>71.400000000000006</v>
      </c>
      <c r="L381" s="33" t="s">
        <v>27</v>
      </c>
      <c r="M381" s="33" t="s">
        <v>136</v>
      </c>
      <c r="N381" s="33" t="s">
        <v>121</v>
      </c>
      <c r="O381" s="29">
        <v>0.39444444444444443</v>
      </c>
      <c r="P381" s="29">
        <v>0.39930555555555558</v>
      </c>
      <c r="Q381" s="35">
        <f t="shared" ca="1" si="92"/>
        <v>4.8611111111111494E-3</v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258</v>
      </c>
      <c r="F382" s="134">
        <f>IFERROR(IF($D382="","",VLOOKUP($D382,Cadastro!$C$4:$E$7,3,FALSE)),"")</f>
        <v>0.35</v>
      </c>
      <c r="G382" s="105">
        <v>13</v>
      </c>
      <c r="H382" s="134">
        <f>IFERROR(IF($G382="","",$G382*$S$392/$G$392/Cadastro!$E$33),"")</f>
        <v>62.740785714285714</v>
      </c>
      <c r="I382" s="135">
        <f>IFERROR(IF($D382="","",VLOOKUP($D382,Cadastro!$C$4:$G$7,5,FALSE)),"")</f>
        <v>0.6</v>
      </c>
      <c r="J382" s="136">
        <f t="shared" si="90"/>
        <v>13.175564999999999</v>
      </c>
      <c r="K382" s="28">
        <f t="shared" si="91"/>
        <v>54.6</v>
      </c>
      <c r="L382" s="26" t="s">
        <v>24</v>
      </c>
      <c r="M382" s="26"/>
      <c r="N382" s="33" t="s">
        <v>32</v>
      </c>
      <c r="O382" s="29">
        <v>0.48402777777777778</v>
      </c>
      <c r="P382" s="29">
        <v>0.4909722222222222</v>
      </c>
      <c r="Q382" s="30">
        <f t="shared" ca="1" si="92"/>
        <v>6.9444444444444198E-3</v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258</v>
      </c>
      <c r="F383" s="134">
        <f>IFERROR(IF($D383="","",VLOOKUP($D383,Cadastro!$C$4:$E$7,3,FALSE)),"")</f>
        <v>0.35</v>
      </c>
      <c r="G383" s="105">
        <v>15</v>
      </c>
      <c r="H383" s="134">
        <f>IFERROR(IF($G383="","",$G383*$S$392/$G$392/Cadastro!$E$33),"")</f>
        <v>72.393214285714294</v>
      </c>
      <c r="I383" s="135">
        <f>IFERROR(IF($D383="","",VLOOKUP($D383,Cadastro!$C$4:$G$7,5,FALSE)),"")</f>
        <v>0.6</v>
      </c>
      <c r="J383" s="136">
        <f t="shared" si="90"/>
        <v>15.202575000000001</v>
      </c>
      <c r="K383" s="34">
        <f t="shared" si="91"/>
        <v>63</v>
      </c>
      <c r="L383" s="33" t="s">
        <v>26</v>
      </c>
      <c r="M383" s="33" t="s">
        <v>170</v>
      </c>
      <c r="N383" s="33" t="s">
        <v>34</v>
      </c>
      <c r="O383" s="29">
        <v>0.55625000000000002</v>
      </c>
      <c r="P383" s="29">
        <v>0.57222222222222219</v>
      </c>
      <c r="Q383" s="35">
        <f t="shared" ca="1" si="92"/>
        <v>1.5972222222222165E-2</v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258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48.262142857142855</v>
      </c>
      <c r="I384" s="135">
        <f>IFERROR(IF($D384="","",VLOOKUP($D384,Cadastro!$C$4:$G$7,5,FALSE)),"")</f>
        <v>0.6</v>
      </c>
      <c r="J384" s="136">
        <f t="shared" si="90"/>
        <v>10.135049999999998</v>
      </c>
      <c r="K384" s="28">
        <f t="shared" si="91"/>
        <v>42</v>
      </c>
      <c r="L384" s="26" t="s">
        <v>23</v>
      </c>
      <c r="M384" s="26" t="s">
        <v>150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2"/>
        <v>2.6388888888888906E-2</v>
      </c>
      <c r="R384" s="27" t="s">
        <v>302</v>
      </c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258</v>
      </c>
      <c r="F385" s="134">
        <f>IFERROR(IF($D385="","",VLOOKUP($D385,Cadastro!$C$4:$E$7,3,FALSE)),"")</f>
        <v>0.35</v>
      </c>
      <c r="G385" s="105">
        <v>17</v>
      </c>
      <c r="H385" s="134">
        <f>IFERROR(IF($G385="","",$G385*$S$392/$G$392/Cadastro!$E$33),"")</f>
        <v>82.045642857142852</v>
      </c>
      <c r="I385" s="135">
        <f>IFERROR(IF($D385="","",VLOOKUP($D385,Cadastro!$C$4:$G$7,5,FALSE)),"")</f>
        <v>0.6</v>
      </c>
      <c r="J385" s="136">
        <f t="shared" si="90"/>
        <v>17.229584999999997</v>
      </c>
      <c r="K385" s="34">
        <f t="shared" si="91"/>
        <v>71.400000000000006</v>
      </c>
      <c r="L385" s="33" t="s">
        <v>25</v>
      </c>
      <c r="M385" s="33" t="s">
        <v>59</v>
      </c>
      <c r="N385" s="33" t="s">
        <v>41</v>
      </c>
      <c r="O385" s="29">
        <v>0.62777777777777777</v>
      </c>
      <c r="P385" s="29"/>
      <c r="Q385" s="35">
        <f t="shared" ca="1" si="92"/>
        <v>0.28715972221834818</v>
      </c>
      <c r="R385" s="27" t="s">
        <v>350</v>
      </c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258</v>
      </c>
      <c r="F386" s="134">
        <f>IFERROR(IF($D386="","",VLOOKUP($D386,Cadastro!$C$4:$E$7,3,FALSE)),"")</f>
        <v>0.35</v>
      </c>
      <c r="G386" s="105">
        <v>12</v>
      </c>
      <c r="H386" s="134">
        <f>IFERROR(IF($G386="","",$G386*$S$392/$G$392/Cadastro!$E$33),"")</f>
        <v>57.914571428571428</v>
      </c>
      <c r="I386" s="135">
        <f>IFERROR(IF($D386="","",VLOOKUP($D386,Cadastro!$C$4:$G$7,5,FALSE)),"")</f>
        <v>0.6</v>
      </c>
      <c r="J386" s="136">
        <f t="shared" si="90"/>
        <v>12.162059999999999</v>
      </c>
      <c r="K386" s="28">
        <f t="shared" si="91"/>
        <v>50.400000000000006</v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258</v>
      </c>
      <c r="F387" s="134">
        <f>IFERROR(IF($D387="","",VLOOKUP($D387,Cadastro!$C$4:$E$7,3,FALSE)),"")</f>
        <v>0.35</v>
      </c>
      <c r="G387" s="105">
        <v>4</v>
      </c>
      <c r="H387" s="134">
        <f>IFERROR(IF($G387="","",$G387*$S$392/$G$392/Cadastro!$E$33),"")</f>
        <v>19.304857142857141</v>
      </c>
      <c r="I387" s="135">
        <f>IFERROR(IF($D387="","",VLOOKUP($D387,Cadastro!$C$4:$G$7,5,FALSE)),"")</f>
        <v>0.6</v>
      </c>
      <c r="J387" s="136">
        <f t="shared" si="90"/>
        <v>4.0540199999999995</v>
      </c>
      <c r="K387" s="34">
        <f t="shared" si="91"/>
        <v>16.8</v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258</v>
      </c>
      <c r="F388" s="134">
        <f>IFERROR(IF($D388="","",VLOOKUP($D388,Cadastro!$C$4:$E$7,3,FALSE)),"")</f>
        <v>0.35</v>
      </c>
      <c r="G388" s="105">
        <v>6</v>
      </c>
      <c r="H388" s="134">
        <f>IFERROR(IF($G388="","",$G388*$S$392/$G$392/Cadastro!$E$33),"")</f>
        <v>28.957285714285714</v>
      </c>
      <c r="I388" s="135">
        <f>IFERROR(IF($D388="","",VLOOKUP($D388,Cadastro!$C$4:$G$7,5,FALSE)),"")</f>
        <v>0.6</v>
      </c>
      <c r="J388" s="136">
        <f t="shared" si="90"/>
        <v>6.0810299999999993</v>
      </c>
      <c r="K388" s="28">
        <f t="shared" si="91"/>
        <v>25.200000000000003</v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258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38.609714285714283</v>
      </c>
      <c r="I389" s="135">
        <f>IFERROR(IF($D389="","",VLOOKUP($D389,Cadastro!$C$4:$G$7,5,FALSE)),"")</f>
        <v>0.6</v>
      </c>
      <c r="J389" s="136">
        <f t="shared" si="90"/>
        <v>8.108039999999999</v>
      </c>
      <c r="K389" s="34">
        <f t="shared" si="91"/>
        <v>33.6</v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258</v>
      </c>
      <c r="F390" s="134">
        <f>IFERROR(IF($D390="","",VLOOKUP($D390,Cadastro!$C$4:$E$7,3,FALSE)),"")</f>
        <v>0.35</v>
      </c>
      <c r="G390" s="105">
        <v>12</v>
      </c>
      <c r="H390" s="134">
        <f>IFERROR(IF($G390="","",$G390*$S$392/$G$392/Cadastro!$E$33),"")</f>
        <v>57.914571428571428</v>
      </c>
      <c r="I390" s="135">
        <f>IFERROR(IF($D390="","",VLOOKUP($D390,Cadastro!$C$4:$G$7,5,FALSE)),"")</f>
        <v>0.6</v>
      </c>
      <c r="J390" s="136">
        <f t="shared" si="90"/>
        <v>12.162059999999999</v>
      </c>
      <c r="K390" s="28">
        <f t="shared" si="91"/>
        <v>50.400000000000006</v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258</v>
      </c>
      <c r="F391" s="137">
        <f>IFERROR(IF($D391="","",VLOOKUP($D391,Cadastro!$C$4:$E$7,3,FALSE)),"")</f>
        <v>0.35</v>
      </c>
      <c r="G391" s="105">
        <v>10</v>
      </c>
      <c r="H391" s="137">
        <f>IFERROR(IF($G391="","",$G391*$S$392/$G$392/Cadastro!$E$33),"")</f>
        <v>48.262142857142855</v>
      </c>
      <c r="I391" s="138">
        <f>IFERROR(IF($D391="","",VLOOKUP($D391,Cadastro!$C$4:$G$7,5,FALSE)),"")</f>
        <v>0.6</v>
      </c>
      <c r="J391" s="139">
        <f t="shared" si="90"/>
        <v>10.135049999999998</v>
      </c>
      <c r="K391" s="34">
        <f t="shared" si="91"/>
        <v>42</v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58" t="s">
        <v>243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140</v>
      </c>
      <c r="H392" s="110">
        <f>IFERROR(SUM(H380:H391),"")</f>
        <v>675.67000000000007</v>
      </c>
      <c r="I392" s="114"/>
      <c r="J392" s="123">
        <f>IFERROR(SUM(J380:J391),"")</f>
        <v>141.89069999999998</v>
      </c>
      <c r="K392" s="36">
        <f>SUM(K380:K391)</f>
        <v>588</v>
      </c>
      <c r="L392" s="37"/>
      <c r="M392" s="37"/>
      <c r="N392" s="37"/>
      <c r="O392" s="61"/>
      <c r="P392" s="61"/>
      <c r="Q392" s="38">
        <f ca="1">IFERROR(SUM(Q380:Q391),"")</f>
        <v>0.35174305555168145</v>
      </c>
      <c r="R392" s="36" t="s">
        <v>244</v>
      </c>
      <c r="S392" s="39">
        <v>675670</v>
      </c>
      <c r="T392" s="119">
        <f>IFERROR(J392,"")</f>
        <v>141.89069999999998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258</v>
      </c>
      <c r="F393" s="140">
        <f>IFERROR(IF($D393="","",VLOOKUP($D393,Cadastro!$C$4:$E$7,3,FALSE)),"")</f>
        <v>0.35</v>
      </c>
      <c r="G393" s="105">
        <v>13</v>
      </c>
      <c r="H393" s="140">
        <f>IFERROR(IF($G393="","",$G393*$S$405/$G$405/Cadastro!$E$33),"")</f>
        <v>0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0</v>
      </c>
      <c r="K393" s="34">
        <f t="shared" ref="K393:K404" si="95">IF(G393="","",IF(E393="PC 17",G393*4.2,IF(E393="PC 19",G393*5,IF(E393="CB",G393*24,""))))</f>
        <v>54.6</v>
      </c>
      <c r="L393" s="33" t="s">
        <v>25</v>
      </c>
      <c r="M393" s="33" t="s">
        <v>59</v>
      </c>
      <c r="N393" s="33" t="s">
        <v>225</v>
      </c>
      <c r="O393" s="29">
        <v>0.91319444444444442</v>
      </c>
      <c r="P393" s="29"/>
      <c r="Q393" s="35">
        <f t="shared" ref="Q393:Q404" ca="1" si="96">IFERROR(IF(O393="","",IF(P393="",MOD(NOW()-O393,1),IF(P393&gt;=O393,P393-O393,P393+1-O393))),"")</f>
        <v>1.74305555265164E-3</v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258</v>
      </c>
      <c r="F394" s="134">
        <f>IFERROR(IF($D394="","",VLOOKUP($D394,Cadastro!$C$4:$E$7,3,FALSE)),"")</f>
        <v>0.35</v>
      </c>
      <c r="G394" s="105">
        <v>21</v>
      </c>
      <c r="H394" s="134">
        <f>IFERROR(IF($G394="","",$G394*$S$405/$G$405/Cadastro!$E$33),"")</f>
        <v>0</v>
      </c>
      <c r="I394" s="135">
        <f>IFERROR(IF($D394="","",VLOOKUP($D394,Cadastro!$C$4:$G$7,5,FALSE)),"")</f>
        <v>0.6</v>
      </c>
      <c r="J394" s="136">
        <f t="shared" si="94"/>
        <v>0</v>
      </c>
      <c r="K394" s="28">
        <f t="shared" si="95"/>
        <v>88.2</v>
      </c>
      <c r="L394" s="26"/>
      <c r="M394" s="26"/>
      <c r="N394" s="26"/>
      <c r="O394" s="29"/>
      <c r="P394" s="29"/>
      <c r="Q394" s="30" t="str">
        <f t="shared" ca="1" si="96"/>
        <v/>
      </c>
      <c r="R394" s="27"/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258</v>
      </c>
      <c r="F395" s="134">
        <f>IFERROR(IF($D395="","",VLOOKUP($D395,Cadastro!$C$4:$E$7,3,FALSE)),"")</f>
        <v>0.35</v>
      </c>
      <c r="G395" s="105"/>
      <c r="H395" s="134" t="str">
        <f>IFERROR(IF($G395="","",$G395*$S$405/$G$405/Cadastro!$E$33),"")</f>
        <v/>
      </c>
      <c r="I395" s="135">
        <f>IFERROR(IF($D395="","",VLOOKUP($D395,Cadastro!$C$4:$G$7,5,FALSE)),"")</f>
        <v>0.6</v>
      </c>
      <c r="J395" s="136" t="str">
        <f t="shared" si="94"/>
        <v/>
      </c>
      <c r="K395" s="34" t="str">
        <f t="shared" si="95"/>
        <v/>
      </c>
      <c r="L395" s="33"/>
      <c r="M395" s="33"/>
      <c r="N395" s="33"/>
      <c r="O395" s="29"/>
      <c r="P395" s="29"/>
      <c r="Q395" s="35" t="str">
        <f t="shared" ca="1" si="96"/>
        <v/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258</v>
      </c>
      <c r="F396" s="134">
        <f>IFERROR(IF($D396="","",VLOOKUP($D396,Cadastro!$C$4:$E$7,3,FALSE)),"")</f>
        <v>0.35</v>
      </c>
      <c r="G396" s="105"/>
      <c r="H396" s="134" t="str">
        <f>IFERROR(IF($G396="","",$G396*$S$405/$G$405/Cadastro!$E$33),"")</f>
        <v/>
      </c>
      <c r="I396" s="135">
        <f>IFERROR(IF($D396="","",VLOOKUP($D396,Cadastro!$C$4:$G$7,5,FALSE)),"")</f>
        <v>0.6</v>
      </c>
      <c r="J396" s="136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258</v>
      </c>
      <c r="F397" s="134">
        <f>IFERROR(IF($D397="","",VLOOKUP($D397,Cadastro!$C$4:$E$7,3,FALSE)),"")</f>
        <v>0.35</v>
      </c>
      <c r="G397" s="105"/>
      <c r="H397" s="134" t="str">
        <f>IFERROR(IF($G397="","",$G397*$S$405/$G$405/Cadastro!$E$33),"")</f>
        <v/>
      </c>
      <c r="I397" s="135">
        <f>IFERROR(IF($D397="","",VLOOKUP($D397,Cadastro!$C$4:$G$7,5,FALSE)),"")</f>
        <v>0.6</v>
      </c>
      <c r="J397" s="136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258</v>
      </c>
      <c r="F398" s="134">
        <f>IFERROR(IF($D398="","",VLOOKUP($D398,Cadastro!$C$4:$E$7,3,FALSE)),"")</f>
        <v>0.35</v>
      </c>
      <c r="G398" s="105"/>
      <c r="H398" s="134" t="str">
        <f>IFERROR(IF($G398="","",$G398*$S$405/$G$405/Cadastro!$E$33),"")</f>
        <v/>
      </c>
      <c r="I398" s="135">
        <f>IFERROR(IF($D398="","",VLOOKUP($D398,Cadastro!$C$4:$G$7,5,FALSE)),"")</f>
        <v>0.6</v>
      </c>
      <c r="J398" s="136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258</v>
      </c>
      <c r="F399" s="134">
        <f>IFERROR(IF($D399="","",VLOOKUP($D399,Cadastro!$C$4:$E$7,3,FALSE)),"")</f>
        <v>0.35</v>
      </c>
      <c r="G399" s="105"/>
      <c r="H399" s="134" t="str">
        <f>IFERROR(IF($G399="","",$G399*$S$405/$G$405/Cadastro!$E$33),"")</f>
        <v/>
      </c>
      <c r="I399" s="135">
        <f>IFERROR(IF($D399="","",VLOOKUP($D399,Cadastro!$C$4:$G$7,5,FALSE)),"")</f>
        <v>0.6</v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258</v>
      </c>
      <c r="F400" s="134">
        <f>IFERROR(IF($D400="","",VLOOKUP($D400,Cadastro!$C$4:$E$7,3,FALSE)),"")</f>
        <v>0.35</v>
      </c>
      <c r="G400" s="105"/>
      <c r="H400" s="134" t="str">
        <f>IFERROR(IF($G400="","",$G400*$S$405/$G$405/Cadastro!$E$33),"")</f>
        <v/>
      </c>
      <c r="I400" s="135">
        <f>IFERROR(IF($D400="","",VLOOKUP($D400,Cadastro!$C$4:$G$7,5,FALSE)),"")</f>
        <v>0.6</v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258</v>
      </c>
      <c r="F401" s="134">
        <f>IFERROR(IF($D401="","",VLOOKUP($D401,Cadastro!$C$4:$E$7,3,FALSE)),"")</f>
        <v>0.35</v>
      </c>
      <c r="G401" s="105"/>
      <c r="H401" s="134" t="str">
        <f>IFERROR(IF($G401="","",$G401*$S$405/$G$405/Cadastro!$E$33),"")</f>
        <v/>
      </c>
      <c r="I401" s="135">
        <f>IFERROR(IF($D401="","",VLOOKUP($D401,Cadastro!$C$4:$G$7,5,FALSE)),"")</f>
        <v>0.6</v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29</v>
      </c>
      <c r="E402" s="109" t="s">
        <v>258</v>
      </c>
      <c r="F402" s="134">
        <f>IFERROR(IF($D402="","",VLOOKUP($D402,Cadastro!$C$4:$E$7,3,FALSE)),"")</f>
        <v>0.35</v>
      </c>
      <c r="G402" s="105"/>
      <c r="H402" s="134" t="str">
        <f>IFERROR(IF($G402="","",$G402*$S$405/$G$405/Cadastro!$E$33),"")</f>
        <v/>
      </c>
      <c r="I402" s="135">
        <f>IFERROR(IF($D402="","",VLOOKUP($D402,Cadastro!$C$4:$G$7,5,FALSE)),"")</f>
        <v>0.6</v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29</v>
      </c>
      <c r="E403" s="109" t="s">
        <v>258</v>
      </c>
      <c r="F403" s="134">
        <f>IFERROR(IF($D403="","",VLOOKUP($D403,Cadastro!$C$4:$E$7,3,FALSE)),"")</f>
        <v>0.35</v>
      </c>
      <c r="G403" s="105"/>
      <c r="H403" s="134" t="str">
        <f>IFERROR(IF($G403="","",$G403*$S$405/$G$405/Cadastro!$E$33),"")</f>
        <v/>
      </c>
      <c r="I403" s="135">
        <f>IFERROR(IF($D403="","",VLOOKUP($D403,Cadastro!$C$4:$G$7,5,FALSE)),"")</f>
        <v>0.6</v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29</v>
      </c>
      <c r="E404" s="109" t="s">
        <v>258</v>
      </c>
      <c r="F404" s="137">
        <f>IFERROR(IF($D404="","",VLOOKUP($D404,Cadastro!$C$4:$E$7,3,FALSE)),"")</f>
        <v>0.35</v>
      </c>
      <c r="G404" s="105"/>
      <c r="H404" s="137" t="str">
        <f>IFERROR(IF($G404="","",$G404*$S$405/$G$405/Cadastro!$E$33),"")</f>
        <v/>
      </c>
      <c r="I404" s="138">
        <f>IFERROR(IF($D404="","",VLOOKUP($D404,Cadastro!$C$4:$G$7,5,FALSE)),"")</f>
        <v>0.6</v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58" t="s">
        <v>246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34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142.80000000000001</v>
      </c>
      <c r="L405" s="37"/>
      <c r="M405" s="37"/>
      <c r="N405" s="37"/>
      <c r="O405" s="61"/>
      <c r="P405" s="61"/>
      <c r="Q405" s="38">
        <f ca="1">IFERROR(SUM(Q393:Q404),"")</f>
        <v>1.74305555265164E-3</v>
      </c>
      <c r="R405" s="36" t="s">
        <v>244</v>
      </c>
      <c r="S405" s="39"/>
      <c r="T405" s="119">
        <f>IFERROR(J405,"")</f>
        <v>0</v>
      </c>
    </row>
    <row r="406" spans="1:20" ht="18" customHeight="1">
      <c r="A406" s="160" t="s">
        <v>247</v>
      </c>
      <c r="B406" s="161"/>
      <c r="C406" s="161"/>
      <c r="D406" s="161"/>
      <c r="E406" s="161">
        <f>E392+E405</f>
        <v>0</v>
      </c>
      <c r="F406" s="112"/>
      <c r="G406" s="91">
        <f>G392+G405</f>
        <v>174</v>
      </c>
      <c r="H406" s="112">
        <f>IFERROR(H392+H405,"")</f>
        <v>675.67000000000007</v>
      </c>
      <c r="I406" s="116"/>
      <c r="J406" s="125">
        <f>IFERROR(J392+J405,"")</f>
        <v>141.89069999999998</v>
      </c>
      <c r="K406" s="40">
        <f>K392+K405</f>
        <v>730.8</v>
      </c>
      <c r="L406" s="41"/>
      <c r="M406" s="41"/>
      <c r="N406" s="41"/>
      <c r="O406" s="63"/>
      <c r="P406" s="63"/>
      <c r="Q406" s="42">
        <f ca="1">IFERROR(Q392+Q405,"")</f>
        <v>0.35348611110433309</v>
      </c>
      <c r="R406" s="40" t="s">
        <v>248</v>
      </c>
      <c r="S406" s="48">
        <f>IFERROR(S392+S405,"")</f>
        <v>675670</v>
      </c>
      <c r="T406" s="121">
        <f>IFERROR(J406,"")</f>
        <v>141.89069999999998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27"/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28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28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58" t="s">
        <v>243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61"/>
      <c r="P419" s="61"/>
      <c r="Q419" s="38">
        <f ca="1">IFERROR(SUM(Q407:Q418),"")</f>
        <v>0</v>
      </c>
      <c r="R419" s="36" t="s">
        <v>244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27"/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58" t="s">
        <v>246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61"/>
      <c r="P432" s="61"/>
      <c r="Q432" s="38">
        <f ca="1">IFERROR(SUM(Q420:Q431),"")</f>
        <v>0</v>
      </c>
      <c r="R432" s="36" t="s">
        <v>244</v>
      </c>
      <c r="S432" s="39"/>
      <c r="T432" s="119">
        <f>IFERROR(J432,"")</f>
        <v>0</v>
      </c>
    </row>
    <row r="433" spans="1:21" ht="18" customHeight="1">
      <c r="A433" s="160" t="s">
        <v>247</v>
      </c>
      <c r="B433" s="161"/>
      <c r="C433" s="161"/>
      <c r="D433" s="161"/>
      <c r="E433" s="161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63"/>
      <c r="P433" s="63"/>
      <c r="Q433" s="42">
        <f ca="1">IFERROR(Q419+Q432,"")</f>
        <v>0</v>
      </c>
      <c r="R433" s="40" t="s">
        <v>248</v>
      </c>
      <c r="S433" s="48">
        <f>IFERROR(S419+S432,"")</f>
        <v>0</v>
      </c>
      <c r="T433" s="121">
        <f>IFERROR(J433,"")</f>
        <v>0</v>
      </c>
    </row>
    <row r="434" spans="1:21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58" t="s">
        <v>243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61"/>
      <c r="P446" s="61"/>
      <c r="Q446" s="38">
        <f ca="1">IFERROR(SUM(Q434:Q445),"")</f>
        <v>0</v>
      </c>
      <c r="R446" s="36" t="s">
        <v>244</v>
      </c>
      <c r="S446" s="39"/>
      <c r="T446" s="119">
        <f>IFERROR(J446,"")</f>
        <v>0</v>
      </c>
    </row>
    <row r="447" spans="1:21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27"/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>IF(G450="","",IF(E451="PC 17",G450*4.2,IF(E451="PC 19",G450*5,"")))</f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/>
      <c r="L451" s="33"/>
      <c r="M451" s="33"/>
      <c r="N451" s="33"/>
      <c r="O451" s="29"/>
      <c r="P451" s="29"/>
      <c r="Q451" s="35" t="str">
        <f t="shared" ca="1" si="112"/>
        <v/>
      </c>
      <c r="R451" s="27"/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58" t="s">
        <v>246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61"/>
      <c r="P459" s="61"/>
      <c r="Q459" s="38">
        <f ca="1">IFERROR(SUM(Q447:Q458),"")</f>
        <v>0</v>
      </c>
      <c r="R459" s="36" t="s">
        <v>244</v>
      </c>
      <c r="S459" s="39"/>
      <c r="T459" s="119">
        <f>IFERROR(J459,"")</f>
        <v>0</v>
      </c>
    </row>
    <row r="460" spans="1:20" ht="18" customHeight="1">
      <c r="A460" s="160" t="s">
        <v>247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63"/>
      <c r="P460" s="63"/>
      <c r="Q460" s="42">
        <f ca="1">IFERROR(Q446+Q459,"")</f>
        <v>0</v>
      </c>
      <c r="R460" s="40" t="s">
        <v>248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58" t="s">
        <v>243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61"/>
      <c r="P473" s="61"/>
      <c r="Q473" s="38">
        <f ca="1">IFERROR(SUM(Q461:Q472),"")</f>
        <v>0</v>
      </c>
      <c r="R473" s="36" t="s">
        <v>244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58" t="s">
        <v>246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244</v>
      </c>
      <c r="S486" s="39"/>
      <c r="T486" s="119">
        <f>IFERROR(J486,"")</f>
        <v>0</v>
      </c>
    </row>
    <row r="487" spans="1:20" ht="18" customHeight="1">
      <c r="A487" s="160" t="s">
        <v>247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63"/>
      <c r="P487" s="63"/>
      <c r="Q487" s="42">
        <f ca="1">IFERROR(Q473+Q486,"")</f>
        <v>0</v>
      </c>
      <c r="R487" s="40" t="s">
        <v>248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58" t="s">
        <v>243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244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58" t="s">
        <v>246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244</v>
      </c>
      <c r="S513" s="39"/>
      <c r="T513" s="119">
        <f>IFERROR(J513,"")</f>
        <v>0</v>
      </c>
    </row>
    <row r="514" spans="1:20" ht="18" customHeight="1">
      <c r="A514" s="160" t="s">
        <v>247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248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58" t="s">
        <v>243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244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58" t="s">
        <v>246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244</v>
      </c>
      <c r="S540" s="39"/>
      <c r="T540" s="119">
        <f>IFERROR(J540,"")</f>
        <v>0</v>
      </c>
    </row>
    <row r="541" spans="1:20" ht="18" customHeight="1">
      <c r="A541" s="160" t="s">
        <v>247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248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58" t="s">
        <v>243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244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58" t="s">
        <v>246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244</v>
      </c>
      <c r="S567" s="39"/>
      <c r="T567" s="119">
        <f>IFERROR(J567,"")</f>
        <v>0</v>
      </c>
    </row>
    <row r="568" spans="1:20" ht="18" customHeight="1">
      <c r="A568" s="160" t="s">
        <v>247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248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58" t="s">
        <v>243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244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58" t="s">
        <v>246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244</v>
      </c>
      <c r="S594" s="39"/>
      <c r="T594" s="119">
        <f>IFERROR(J594,"")</f>
        <v>0</v>
      </c>
    </row>
    <row r="595" spans="1:20" ht="18" customHeight="1">
      <c r="A595" s="160" t="s">
        <v>247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248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58" t="s">
        <v>243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244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58" t="s">
        <v>246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244</v>
      </c>
      <c r="S621" s="39"/>
      <c r="T621" s="119">
        <f>IFERROR(J621,"")</f>
        <v>0</v>
      </c>
    </row>
    <row r="622" spans="1:20" ht="18" customHeight="1">
      <c r="A622" s="160" t="s">
        <v>247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248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58" t="s">
        <v>243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244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58" t="s">
        <v>246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244</v>
      </c>
      <c r="S648" s="39"/>
      <c r="T648" s="119">
        <f>IFERROR(J648,"")</f>
        <v>0</v>
      </c>
    </row>
    <row r="649" spans="1:20" ht="18" customHeight="1">
      <c r="A649" s="160" t="s">
        <v>247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248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58" t="s">
        <v>243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244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58" t="s">
        <v>246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244</v>
      </c>
      <c r="S675" s="39"/>
      <c r="T675" s="119">
        <f>IFERROR(J675,"")</f>
        <v>0</v>
      </c>
    </row>
    <row r="676" spans="1:20" ht="18" customHeight="1">
      <c r="A676" s="160" t="s">
        <v>247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248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58" t="s">
        <v>243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244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58" t="s">
        <v>246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244</v>
      </c>
      <c r="S702" s="39"/>
      <c r="T702" s="119">
        <f>IFERROR(J702,"")</f>
        <v>0</v>
      </c>
    </row>
    <row r="703" spans="1:20" ht="18" customHeight="1">
      <c r="A703" s="160" t="s">
        <v>247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248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58" t="s">
        <v>243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244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58" t="s">
        <v>246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244</v>
      </c>
      <c r="S729" s="39"/>
      <c r="T729" s="119">
        <f>IFERROR(J729,"")</f>
        <v>0</v>
      </c>
    </row>
    <row r="730" spans="1:20" ht="18" customHeight="1">
      <c r="A730" s="160" t="s">
        <v>247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248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58" t="s">
        <v>243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244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58" t="s">
        <v>246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244</v>
      </c>
      <c r="S756" s="39"/>
      <c r="T756" s="119">
        <f>IFERROR(J756,"")</f>
        <v>0</v>
      </c>
    </row>
    <row r="757" spans="1:20" ht="18" customHeight="1">
      <c r="A757" s="160" t="s">
        <v>247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248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58" t="s">
        <v>243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244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58" t="s">
        <v>246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244</v>
      </c>
      <c r="S783" s="39"/>
      <c r="T783" s="119">
        <f>IFERROR(J783,"")</f>
        <v>0</v>
      </c>
    </row>
    <row r="784" spans="1:20" ht="18" customHeight="1">
      <c r="A784" s="160" t="s">
        <v>247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248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58" t="s">
        <v>243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244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58" t="s">
        <v>246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244</v>
      </c>
      <c r="S810" s="39"/>
      <c r="T810" s="119">
        <f>IFERROR(J810,"")</f>
        <v>0</v>
      </c>
    </row>
    <row r="811" spans="1:20" ht="18" customHeight="1">
      <c r="A811" s="160" t="s">
        <v>247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248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58" t="s">
        <v>243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244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58" t="s">
        <v>246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244</v>
      </c>
      <c r="S837" s="39"/>
      <c r="T837" s="119">
        <f>IFERROR(J837,"")</f>
        <v>0</v>
      </c>
    </row>
    <row r="838" spans="1:20" ht="18" customHeight="1">
      <c r="A838" s="160" t="s">
        <v>247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248</v>
      </c>
      <c r="S838" s="48">
        <f>IFERROR(S824+S837,"")</f>
        <v>0</v>
      </c>
      <c r="T838" s="121">
        <f>IFERROR(J838,"")</f>
        <v>0</v>
      </c>
    </row>
  </sheetData>
  <sheetProtection algorithmName="SHA-512" hashValue="rS2t3fejTaq4A379akafgaTA5DrSu90PpMCCwDK929/gTgeGdli8kLgz9CbivPBQYb/xsR2wuuuzaL1tqbgyLQ==" saltValue="sAu/hKgMiRf+iZHwVDCkLg==" spinCount="100000" sheet="1" objects="1" scenarios="1"/>
  <mergeCells count="91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57:E257"/>
    <mergeCell ref="A270:E270"/>
    <mergeCell ref="A271:E271"/>
    <mergeCell ref="A284:E284"/>
    <mergeCell ref="A297:E297"/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</mergeCells>
  <phoneticPr fontId="17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51:F838 E327:F449 E29:F40 E326 E42:F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2026-08-16T01:57:46Z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