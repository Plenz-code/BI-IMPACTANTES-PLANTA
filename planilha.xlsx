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18" documentId="8_{AF585B22-221D-4780-BB9C-493D365A6A02}" xr6:coauthVersionLast="47" xr6:coauthVersionMax="47" xr10:uidLastSave="{BFB917A3-2CB0-4607-9248-EA62597475EA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<sst xmlns="http://schemas.openxmlformats.org/spreadsheetml/2006/main" count="2718" uniqueCount="243">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</sst>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7" sqref="K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 t="s">
        <v>187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198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202</v>
      </c>
      <c r="O27" s="39">
        <v>1183060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202</v>
      </c>
      <c r="O54" s="39">
        <v>959290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202</v>
      </c>
      <c r="O81" s="39">
        <v>878050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202</v>
      </c>
      <c r="O108" s="39">
        <v>1700000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2.777777777777779E-2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4.1666666666666685E-2</v>
      </c>
      <c r="N136" s="40" t="s">
        <v>205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4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L128" sqref="L1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202</v>
      </c>
      <c r="O27" s="78">
        <v>393200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85">
        <v>276360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202</v>
      </c>
      <c r="O81" s="54">
        <v>787860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202</v>
      </c>
      <c r="O108" s="54">
        <v>1087080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>
        <v>1</v>
      </c>
      <c r="G128" s="28">
        <f t="shared" si="27"/>
        <v>5</v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84</v>
      </c>
      <c r="G135" s="36">
        <f>SUM(G123:G134)</f>
        <v>420</v>
      </c>
      <c r="H135" s="37"/>
      <c r="I135" s="37"/>
      <c r="J135" s="37"/>
      <c r="K135" s="37"/>
      <c r="L135" s="37"/>
      <c r="M135" s="38">
        <f ca="1">IFERROR(SUM(M123:M134),"")</f>
        <v>9.0972222222222399E-2</v>
      </c>
      <c r="N135" s="36" t="s">
        <v>202</v>
      </c>
      <c r="O135" s="54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219</v>
      </c>
      <c r="G136" s="40">
        <f>G122+G135</f>
        <v>987</v>
      </c>
      <c r="H136" s="41"/>
      <c r="I136" s="41"/>
      <c r="J136" s="41"/>
      <c r="K136" s="41"/>
      <c r="L136" s="41"/>
      <c r="M136" s="42">
        <f ca="1">IFERROR(M122+M135,"")</f>
        <v>0.23263888888888906</v>
      </c>
      <c r="N136" s="40" t="s">
        <v>205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5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78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78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78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78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78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78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78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78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78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78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78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78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78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78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78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78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78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78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78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78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78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14" activePane="bottomLeft" state="frozen"/>
      <selection pane="bottomLeft" activeCell="L124" sqref="L1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202</v>
      </c>
      <c r="O27" s="39">
        <v>308500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39">
        <v>124290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202</v>
      </c>
      <c r="O81" s="39">
        <v>396340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202</v>
      </c>
      <c r="O108" s="39">
        <v>41230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44</v>
      </c>
      <c r="G135" s="36">
        <f>SUM(G123:G134)</f>
        <v>220</v>
      </c>
      <c r="H135" s="37"/>
      <c r="I135" s="37"/>
      <c r="J135" s="37"/>
      <c r="K135" s="37"/>
      <c r="L135" s="37"/>
      <c r="M135" s="38">
        <f ca="1">IFERROR(SUM(M123:M134),"")</f>
        <v>1.2500000000000004E-2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51</v>
      </c>
      <c r="G136" s="40">
        <f>G122+G135</f>
        <v>249.4</v>
      </c>
      <c r="H136" s="41"/>
      <c r="I136" s="41"/>
      <c r="J136" s="41"/>
      <c r="K136" s="41"/>
      <c r="L136" s="41"/>
      <c r="M136" s="42">
        <f ca="1">IFERROR(M122+M135,"")</f>
        <v>0.46388888888888891</v>
      </c>
      <c r="N136" s="40" t="s">
        <v>205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39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K126" sqref="K1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202</v>
      </c>
      <c r="O27" s="39">
        <v>202230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202</v>
      </c>
      <c r="O54" s="39">
        <v>473910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233</v>
      </c>
      <c r="L58" s="29">
        <v>0.54097222222222219</v>
      </c>
      <c r="M58" s="30" t="str">
        <f t="shared" ca="1" si="13"/>
        <v/>
      </c>
      <c r="N58" s="27" t="s">
        <v>234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202</v>
      </c>
      <c r="O81" s="39">
        <v>565120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202</v>
      </c>
      <c r="O108" s="39">
        <v>558590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23</v>
      </c>
      <c r="G126" s="28">
        <f t="shared" si="27"/>
        <v>115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9</v>
      </c>
      <c r="G127" s="34">
        <f t="shared" si="27"/>
        <v>45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71</v>
      </c>
      <c r="G135" s="36">
        <f>SUM(G123:G134)</f>
        <v>355</v>
      </c>
      <c r="H135" s="37"/>
      <c r="I135" s="37"/>
      <c r="J135" s="37"/>
      <c r="K135" s="61"/>
      <c r="L135" s="61"/>
      <c r="M135" s="38">
        <f ca="1">IFERROR(SUM(M123:M134),"")</f>
        <v>0.13333333333333341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125</v>
      </c>
      <c r="G136" s="40">
        <f>G122+G135</f>
        <v>581.79999999999995</v>
      </c>
      <c r="H136" s="41"/>
      <c r="I136" s="41"/>
      <c r="J136" s="41"/>
      <c r="K136" s="63"/>
      <c r="L136" s="63"/>
      <c r="M136" s="42">
        <f ca="1">IFERROR(M122+M135,"")</f>
        <v>0.50069444444444455</v>
      </c>
      <c r="N136" s="40" t="s">
        <v>205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202</v>
      </c>
      <c r="O432" s="39"/>
    </row>
    <row r="433" spans="1:17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2026-07-06T05:57:02Z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