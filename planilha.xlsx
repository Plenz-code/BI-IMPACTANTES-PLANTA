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889" documentId="8_{AF585B22-221D-4780-BB9C-493D365A6A02}" xr6:coauthVersionLast="47" xr6:coauthVersionMax="47" xr10:uidLastSave="{817E1DA4-7FB2-4F81-BC55-EDEA231EC5E6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<sst xmlns="http://schemas.openxmlformats.org/spreadsheetml/2006/main" count="6123" uniqueCount="315">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</sst>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72" sqref="F37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95</v>
      </c>
      <c r="G378" s="36">
        <f>SUM(G366:G377)</f>
        <v>475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370</v>
      </c>
      <c r="G379" s="40">
        <f>G365+G378</f>
        <v>1850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64" activePane="bottomLeft" state="frozen"/>
      <selection pane="bottomLeft" activeCell="F373" sqref="F3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79</v>
      </c>
      <c r="G378" s="36">
        <f>SUM(G366:G377)</f>
        <v>331.8</v>
      </c>
      <c r="H378" s="37"/>
      <c r="I378" s="37"/>
      <c r="J378" s="37"/>
      <c r="K378" s="37"/>
      <c r="L378" s="37"/>
      <c r="M378" s="38">
        <f ca="1">IFERROR(SUM(M366:M377),"")</f>
        <v>8.819444444444445E-2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237</v>
      </c>
      <c r="G379" s="40">
        <f>G365+G378</f>
        <v>995.40000000000009</v>
      </c>
      <c r="H379" s="41"/>
      <c r="I379" s="41"/>
      <c r="J379" s="41"/>
      <c r="K379" s="41"/>
      <c r="L379" s="41"/>
      <c r="M379" s="42">
        <f ca="1">IFERROR(M365+M378,"")</f>
        <v>0.19791666666666663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72" sqref="F3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67</v>
      </c>
      <c r="G378" s="36">
        <f>SUM(G366:G377)</f>
        <v>281.40000000000003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76</v>
      </c>
      <c r="G379" s="40">
        <f>G365+G378</f>
        <v>319.20000000000005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6" activePane="bottomLeft" state="frozen"/>
      <selection pane="bottomLeft" activeCell="F372" sqref="F37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0.83459895833220799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1.0339045138877636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1.4012656249988746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107</v>
      </c>
      <c r="G378" s="36">
        <f>SUM(G366:G377)</f>
        <v>449.4</v>
      </c>
      <c r="H378" s="37"/>
      <c r="I378" s="37"/>
      <c r="J378" s="37"/>
      <c r="K378" s="61"/>
      <c r="L378" s="61"/>
      <c r="M378" s="38">
        <f ca="1">IFERROR(SUM(M366:M377),"")</f>
        <v>3.7500000000000103E-2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232</v>
      </c>
      <c r="G379" s="40">
        <f>G365+G378</f>
        <v>974.4</v>
      </c>
      <c r="H379" s="41"/>
      <c r="I379" s="41"/>
      <c r="J379" s="41"/>
      <c r="K379" s="63"/>
      <c r="L379" s="63"/>
      <c r="M379" s="42">
        <f ca="1">IFERROR(M365+M378,"")</f>
        <v>0.14236111111111127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2026-07-15T06:00:52Z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