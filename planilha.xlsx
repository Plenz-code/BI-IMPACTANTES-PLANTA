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621" documentId="8_{AF585B22-221D-4780-BB9C-493D365A6A02}" xr6:coauthVersionLast="47" xr6:coauthVersionMax="47" xr10:uidLastSave="{9AE12282-6743-4FC1-BFBC-0F87BE9ECD92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<sst xmlns="http://schemas.openxmlformats.org/spreadsheetml/2006/main" count="8414" uniqueCount="363">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</sst>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34" sqref="F5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/>
      <c r="M529" s="35">
        <f t="shared" ref="M528:M539" ca="1" si="119">IFERROR(IF(K529="","",IF(L529="",MOD(NOW()-K529,1),IF(L529&gt;=K529,L529-K529,L529+1-K529))),"")</f>
        <v>1.5628819448465947E-2</v>
      </c>
      <c r="N529" s="46"/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148</v>
      </c>
      <c r="G540" s="36">
        <f>SUM(G528:G539)</f>
        <v>740</v>
      </c>
      <c r="H540" s="37"/>
      <c r="I540" s="37"/>
      <c r="J540" s="37"/>
      <c r="K540" s="37"/>
      <c r="L540" s="37"/>
      <c r="M540" s="38">
        <f ca="1">IFERROR(SUM(M528:M539),"")</f>
        <v>4.896215278179928E-2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322</v>
      </c>
      <c r="G541" s="40">
        <f>G527+G540</f>
        <v>1610</v>
      </c>
      <c r="H541" s="41"/>
      <c r="I541" s="41"/>
      <c r="J541" s="41"/>
      <c r="K541" s="41"/>
      <c r="L541" s="41"/>
      <c r="M541" s="42">
        <f ca="1">IFERROR(M527+M540,"")</f>
        <v>0.24548993055957702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6" activePane="bottomLeft" state="frozen"/>
      <selection pane="bottomLeft" activeCell="F534" sqref="F5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0.83368437500030268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0.99132326388919156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1.1010454861114138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0.81215659722511191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0.9829899305584453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1.1281288194473342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63</v>
      </c>
      <c r="G540" s="36">
        <f>SUM(G528:G539)</f>
        <v>264.60000000000002</v>
      </c>
      <c r="H540" s="37"/>
      <c r="I540" s="37"/>
      <c r="J540" s="37"/>
      <c r="K540" s="37"/>
      <c r="L540" s="37"/>
      <c r="M540" s="38">
        <f ca="1">IFERROR(SUM(M528:M539),"")</f>
        <v>4.9305555555555623E-2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247</v>
      </c>
      <c r="G541" s="40">
        <f>G527+G540</f>
        <v>1037.4000000000001</v>
      </c>
      <c r="H541" s="41"/>
      <c r="I541" s="41"/>
      <c r="J541" s="41"/>
      <c r="K541" s="41"/>
      <c r="L541" s="41"/>
      <c r="M541" s="42">
        <f ca="1">IFERROR(M527+M540,"")</f>
        <v>0.13680555555555571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00" zoomScale="50" zoomScaleNormal="50" workbookViewId="0">
      <selection activeCell="N534" sqref="N5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2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/>
      <c r="M533" s="35">
        <f t="shared" ca="1" si="118"/>
        <v>4.8267708334606141E-2</v>
      </c>
      <c r="N533" s="27" t="s">
        <v>323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27</v>
      </c>
      <c r="G540" s="36">
        <f>SUM(G528:G539)</f>
        <v>113.4</v>
      </c>
      <c r="H540" s="37"/>
      <c r="I540" s="37"/>
      <c r="J540" s="37"/>
      <c r="K540" s="37"/>
      <c r="L540" s="37"/>
      <c r="M540" s="38">
        <f ca="1">IFERROR(SUM(M528:M539),"")</f>
        <v>0.12396215277905054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78</v>
      </c>
      <c r="G541" s="40">
        <f>G527+G540</f>
        <v>327.60000000000002</v>
      </c>
      <c r="H541" s="41"/>
      <c r="I541" s="41"/>
      <c r="J541" s="41"/>
      <c r="K541" s="41"/>
      <c r="L541" s="41"/>
      <c r="M541" s="42">
        <f ca="1">IFERROR(M527+M540,"")</f>
        <v>0.22812881944571711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5" activePane="bottomLeft" state="frozen"/>
      <selection pane="bottomLeft" activeCell="F534" sqref="F53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328</v>
      </c>
      <c r="L58" s="29">
        <v>0.54097222222222219</v>
      </c>
      <c r="M58" s="30" t="str">
        <f t="shared" ca="1" si="13"/>
        <v/>
      </c>
      <c r="N58" s="27" t="s">
        <v>329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0.82396215278276941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1.023267708338325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1.3906288194494361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52</v>
      </c>
      <c r="G540" s="36">
        <f>SUM(G528:G539)</f>
        <v>218.4</v>
      </c>
      <c r="H540" s="37"/>
      <c r="I540" s="37"/>
      <c r="J540" s="37"/>
      <c r="K540" s="61"/>
      <c r="L540" s="61"/>
      <c r="M540" s="38">
        <f ca="1">IFERROR(SUM(M528:M539),"")</f>
        <v>5.5555555555555552E-2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132</v>
      </c>
      <c r="G541" s="40">
        <f>G527+G540</f>
        <v>554.40000000000009</v>
      </c>
      <c r="H541" s="41"/>
      <c r="I541" s="41"/>
      <c r="J541" s="41"/>
      <c r="K541" s="63"/>
      <c r="L541" s="63"/>
      <c r="M541" s="42">
        <f ca="1">IFERROR(M527+M540,"")</f>
        <v>0.36736111111111103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2026-07-21T05:46:03Z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