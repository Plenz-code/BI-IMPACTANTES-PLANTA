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62" documentId="8_{C51EB6CB-002B-4D6B-B68F-DDEBDB4460C0}" xr6:coauthVersionLast="47" xr6:coauthVersionMax="47" xr10:uidLastSave="{A33FBE89-A5F1-40D3-91F8-27BB133DFA4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<sst xmlns="http://schemas.openxmlformats.org/spreadsheetml/2006/main" count="2030" uniqueCount="259">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</sst>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8" sqref="F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/>
      <c r="M56" s="30">
        <f t="shared" ref="M56:M67" ca="1" si="13">IFERROR(IF(K56="","",IF(L56="",MOD(NOW()-K56,1),IF(L56&gt;=K56,L56-K56,L56+1-K56))),"")</f>
        <v>1.6808680549729615E-2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46</v>
      </c>
      <c r="G68" s="36">
        <f>SUM(G56:G67)</f>
        <v>230</v>
      </c>
      <c r="H68" s="37"/>
      <c r="I68" s="37"/>
      <c r="J68" s="37"/>
      <c r="K68" s="37"/>
      <c r="L68" s="37"/>
      <c r="M68" s="38">
        <f ca="1">IFERROR(SUM(M56:M67),"")</f>
        <v>1.6808680549729615E-2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46</v>
      </c>
      <c r="G82" s="40">
        <f>G68+G81</f>
        <v>230</v>
      </c>
      <c r="H82" s="41"/>
      <c r="I82" s="41"/>
      <c r="J82" s="41"/>
      <c r="K82" s="41"/>
      <c r="L82" s="41"/>
      <c r="M82" s="42">
        <f ca="1">IFERROR(M68+M81,"")</f>
        <v>1.6808680549729615E-2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0.25986423610447673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0.39875312499336563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0.48347534721558794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1.3194444444444453E-2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1.3194444444444453E-2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" activePane="bottomLeft" state="frozen"/>
      <selection pane="bottomLeft" activeCell="D58" sqref="D58:D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2026-08-03T13:10:38Z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