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35" documentId="8_{C51EB6CB-002B-4D6B-B68F-DDEBDB4460C0}" xr6:coauthVersionLast="47" xr6:coauthVersionMax="47" xr10:uidLastSave="{380554EA-A0AA-47B0-8844-38FB38E1A22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<sst xmlns="http://schemas.openxmlformats.org/spreadsheetml/2006/main" count="4683" uniqueCount="314">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</sst>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L232" sqref="L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/>
      <c r="G231" s="34" t="str">
        <f t="shared" ref="G231:G242" si="51">IF(F231="","",IF(E231="PC 17",F231*4.2,IF(E231="PC 19",F231*5,IF(E231="CB",F231*35,""))))</f>
        <v/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3.0555555555555558E-2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0.10972222222222211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0.70555358796264045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0.84444247685152929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0.92916469907375165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/>
      <c r="M231" s="35">
        <f t="shared" ref="M231:M242" ca="1" si="52">IFERROR(IF(K231="","",IF(L231="",MOD(NOW()-K231,1),IF(L231&gt;=K231,L231-K231,L231+1-K231))),"")</f>
        <v>1.597025462979218E-2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1.597025462979218E-2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0.16527581018534787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0.1027758101845393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0.16110914351787264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0.16110914351787264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J231" sqref="J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/>
      <c r="M231" s="35">
        <f t="shared" ref="M231:M242" ca="1" si="52">IFERROR(IF(K231="","",IF(L231="",MOD(NOW()-K231,1),IF(L231&gt;=K231,L231-K231,L231+1-K231))),"")</f>
        <v>1.2498032410803717E-2</v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1.2498032410803717E-2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6.6664699077470468E-2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2026-08-09T23:51:30Z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