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8" documentId="13_ncr:1_{A6DBCFB4-28D9-4249-9038-216934055CA6}" xr6:coauthVersionLast="47" xr6:coauthVersionMax="47" xr10:uidLastSave="{D0C31F1F-F493-44C1-8D36-5796FAAD500F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298" i="5" s="1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06" i="4" s="1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Q325" i="5" s="1"/>
  <c r="M149" i="3"/>
  <c r="Q567" i="4"/>
  <c r="Q95" i="4"/>
  <c r="Q109" i="4" s="1"/>
  <c r="Q14" i="4"/>
  <c r="Q28" i="4" s="1"/>
  <c r="Q635" i="5"/>
  <c r="Q257" i="5"/>
  <c r="Q176" i="5"/>
  <c r="Q190" i="5" s="1"/>
  <c r="M621" i="3"/>
  <c r="M81" i="3"/>
  <c r="Q622" i="6"/>
  <c r="M486" i="3"/>
  <c r="M716" i="3"/>
  <c r="Q716" i="4"/>
  <c r="Q730" i="4" s="1"/>
  <c r="Q608" i="4"/>
  <c r="Q176" i="6"/>
  <c r="Q702" i="4"/>
  <c r="Q703" i="4" s="1"/>
  <c r="Q243" i="5"/>
  <c r="Q486" i="4"/>
  <c r="Q487" i="4" s="1"/>
  <c r="Q122" i="4"/>
  <c r="Q122" i="5"/>
  <c r="M608" i="3"/>
  <c r="M473" i="3"/>
  <c r="Q675" i="4"/>
  <c r="M54" i="3"/>
  <c r="M527" i="3"/>
  <c r="Q675" i="6"/>
  <c r="Q540" i="5"/>
  <c r="M270" i="3"/>
  <c r="M271" i="3" s="1"/>
  <c r="K500" i="6"/>
  <c r="K514" i="6" s="1"/>
  <c r="Q149" i="4"/>
  <c r="Q797" i="4"/>
  <c r="Q581" i="4"/>
  <c r="Q324" i="4"/>
  <c r="Q325" i="4" s="1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811" i="6" s="1"/>
  <c r="Q95" i="5"/>
  <c r="Q109" i="5" s="1"/>
  <c r="M284" i="3"/>
  <c r="Q41" i="5"/>
  <c r="Q392" i="5"/>
  <c r="Q648" i="6"/>
  <c r="Q649" i="6" s="1"/>
  <c r="Q729" i="5"/>
  <c r="Q730" i="5" s="1"/>
  <c r="Q486" i="5"/>
  <c r="Q459" i="5"/>
  <c r="Q460" i="5" s="1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757" i="6" s="1"/>
  <c r="Q270" i="6"/>
  <c r="Q271" i="6" s="1"/>
  <c r="M729" i="3"/>
  <c r="M513" i="3"/>
  <c r="M514" i="3" s="1"/>
  <c r="M95" i="3"/>
  <c r="Q554" i="4"/>
  <c r="M392" i="3"/>
  <c r="M406" i="3" s="1"/>
  <c r="M122" i="3"/>
  <c r="Q351" i="4"/>
  <c r="Q189" i="4"/>
  <c r="Q190" i="4" s="1"/>
  <c r="M797" i="3"/>
  <c r="M594" i="3"/>
  <c r="Q621" i="5"/>
  <c r="Q270" i="5"/>
  <c r="Q216" i="5"/>
  <c r="Q217" i="5" s="1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757" i="3" s="1"/>
  <c r="M689" i="3"/>
  <c r="Q41" i="4"/>
  <c r="Q392" i="6"/>
  <c r="Q406" i="6" s="1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514" i="4" s="1"/>
  <c r="Q621" i="4"/>
  <c r="Q297" i="6"/>
  <c r="Q608" i="5"/>
  <c r="Q837" i="6"/>
  <c r="Q838" i="6" s="1"/>
  <c r="Q837" i="4"/>
  <c r="Q838" i="4" s="1"/>
  <c r="Q230" i="5"/>
  <c r="Q162" i="5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216" i="6"/>
  <c r="Q217" i="6" s="1"/>
  <c r="Q95" i="6"/>
  <c r="Q109" i="6" s="1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811" i="5" l="1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<sst xmlns="http://schemas.openxmlformats.org/spreadsheetml/2006/main" count="9892" uniqueCount="423">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</sst>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E34" sqref="E34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25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25">
      <c r="M2" s="16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4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4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4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4"/>
      <c r="N63" s="40"/>
      <c r="O63" s="40"/>
      <c r="P63" s="40" t="s">
        <v>226</v>
      </c>
      <c r="Q63" s="40"/>
      <c r="R63" s="40"/>
    </row>
    <row r="64" spans="1:18" ht="15" customHeight="1" x14ac:dyDescent="0.25">
      <c r="M64" s="164"/>
      <c r="N64" s="37"/>
      <c r="O64" s="37"/>
      <c r="P64" s="37" t="s">
        <v>227</v>
      </c>
      <c r="Q64" s="37"/>
      <c r="R64" s="37"/>
    </row>
    <row r="65" spans="13:18" ht="15" customHeight="1" x14ac:dyDescent="0.25">
      <c r="M65" s="164"/>
      <c r="N65" s="40"/>
      <c r="O65" s="40"/>
      <c r="P65" s="40" t="s">
        <v>228</v>
      </c>
      <c r="Q65" s="40"/>
      <c r="R65" s="40"/>
    </row>
    <row r="66" spans="13:18" ht="15" customHeight="1" x14ac:dyDescent="0.25">
      <c r="M66" s="164"/>
      <c r="N66" s="37"/>
      <c r="O66" s="37"/>
      <c r="P66" s="37" t="s">
        <v>229</v>
      </c>
      <c r="Q66" s="37"/>
      <c r="R66" s="37"/>
    </row>
    <row r="67" spans="13:18" ht="15" customHeight="1" x14ac:dyDescent="0.25">
      <c r="M67" s="164"/>
      <c r="N67" s="40"/>
      <c r="O67" s="40"/>
      <c r="P67" s="40" t="s">
        <v>230</v>
      </c>
      <c r="Q67" s="40"/>
      <c r="R67" s="40"/>
    </row>
    <row r="68" spans="13:18" ht="15" customHeight="1" x14ac:dyDescent="0.25">
      <c r="M68" s="164"/>
      <c r="N68" s="37"/>
      <c r="O68" s="37"/>
      <c r="P68" s="37" t="s">
        <v>231</v>
      </c>
      <c r="Q68" s="37"/>
      <c r="R68" s="37"/>
    </row>
    <row r="69" spans="13:18" ht="15" customHeight="1" x14ac:dyDescent="0.25">
      <c r="M69" s="164"/>
      <c r="N69" s="40"/>
      <c r="O69" s="40"/>
      <c r="P69" s="40" t="s">
        <v>232</v>
      </c>
      <c r="Q69" s="40"/>
      <c r="R69" s="40"/>
    </row>
    <row r="70" spans="13:18" ht="15" customHeight="1" x14ac:dyDescent="0.25">
      <c r="M70" s="164"/>
      <c r="N70" s="37"/>
      <c r="O70" s="37"/>
      <c r="P70" s="37" t="s">
        <v>233</v>
      </c>
      <c r="Q70" s="37"/>
      <c r="R70" s="37"/>
    </row>
    <row r="71" spans="13:18" ht="15" customHeight="1" x14ac:dyDescent="0.25">
      <c r="M71" s="164"/>
      <c r="N71" s="40"/>
      <c r="O71" s="40"/>
      <c r="P71" s="40" t="s">
        <v>234</v>
      </c>
      <c r="Q71" s="40"/>
      <c r="R71" s="40"/>
    </row>
    <row r="72" spans="13:18" ht="15" customHeight="1" x14ac:dyDescent="0.25">
      <c r="M72" s="164"/>
      <c r="N72" s="37"/>
      <c r="O72" s="37"/>
      <c r="P72" s="37" t="s">
        <v>235</v>
      </c>
      <c r="Q72" s="37"/>
      <c r="R72" s="37"/>
    </row>
    <row r="73" spans="13:18" ht="15" customHeight="1" x14ac:dyDescent="0.25">
      <c r="M73" s="164"/>
      <c r="N73" s="40"/>
      <c r="O73" s="40"/>
      <c r="P73" s="40" t="s">
        <v>236</v>
      </c>
      <c r="Q73" s="40"/>
      <c r="R73" s="40"/>
    </row>
    <row r="74" spans="13:18" ht="15" customHeight="1" x14ac:dyDescent="0.25">
      <c r="M74" s="164"/>
      <c r="N74" s="37"/>
      <c r="O74" s="37"/>
      <c r="P74" s="37" t="s">
        <v>237</v>
      </c>
      <c r="Q74" s="37"/>
      <c r="R74" s="37"/>
    </row>
    <row r="75" spans="13:18" ht="15" customHeight="1" x14ac:dyDescent="0.25">
      <c r="M75" s="164"/>
      <c r="N75" s="40"/>
      <c r="O75" s="40"/>
      <c r="P75" s="40" t="s">
        <v>238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 x14ac:dyDescent="0.25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7" sqref="F587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 x14ac:dyDescent="0.25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 x14ac:dyDescent="0.25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 x14ac:dyDescent="0.25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 x14ac:dyDescent="0.25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 x14ac:dyDescent="0.25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 x14ac:dyDescent="0.25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 x14ac:dyDescent="0.25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 x14ac:dyDescent="0.25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 x14ac:dyDescent="0.25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 x14ac:dyDescent="0.25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 x14ac:dyDescent="0.25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 x14ac:dyDescent="0.25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 x14ac:dyDescent="0.25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 x14ac:dyDescent="0.25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 x14ac:dyDescent="0.25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 x14ac:dyDescent="0.25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 x14ac:dyDescent="0.25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 x14ac:dyDescent="0.25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 x14ac:dyDescent="0.25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 x14ac:dyDescent="0.25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 x14ac:dyDescent="0.25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7" t="s">
        <v>264</v>
      </c>
      <c r="B594" s="167"/>
      <c r="C594" s="167"/>
      <c r="D594" s="167"/>
      <c r="E594" s="167"/>
      <c r="F594" s="2">
        <f>SUM(F582:F593)</f>
        <v>202</v>
      </c>
      <c r="G594" s="2">
        <f>SUM(G582:G593)</f>
        <v>1010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 x14ac:dyDescent="0.25">
      <c r="A595" s="168" t="s">
        <v>250</v>
      </c>
      <c r="B595" s="168"/>
      <c r="C595" s="168"/>
      <c r="D595" s="168"/>
      <c r="E595" s="168"/>
      <c r="F595" s="1">
        <f>F581+F594</f>
        <v>580</v>
      </c>
      <c r="G595" s="1">
        <f>G581+G594</f>
        <v>2900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 x14ac:dyDescent="0.25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 x14ac:dyDescent="0.25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 x14ac:dyDescent="0.25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 x14ac:dyDescent="0.25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 x14ac:dyDescent="0.25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 x14ac:dyDescent="0.25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 x14ac:dyDescent="0.25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 x14ac:dyDescent="0.25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 x14ac:dyDescent="0.25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67" activePane="bottomLeft" state="frozen"/>
      <selection pane="bottomLeft" activeCell="G586" sqref="G586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0.8850293981449795</v>
      </c>
      <c r="R53" s="80" t="s">
        <v>312</v>
      </c>
      <c r="S53" s="67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1.0239182870338672</v>
      </c>
      <c r="R54" s="2" t="s">
        <v>262</v>
      </c>
      <c r="S54" s="113">
        <v>352430</v>
      </c>
      <c r="T54" s="114"/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1.10864050925609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9" t="s">
        <v>261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9" t="s">
        <v>264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9" t="s">
        <v>261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9" t="s">
        <v>264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9" t="s">
        <v>261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9" t="s">
        <v>264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9" t="s">
        <v>261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9" t="s">
        <v>264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9" t="s">
        <v>261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/>
      <c r="Q584" s="66">
        <f t="shared" ca="1" si="152"/>
        <v>6.4196064813586418E-2</v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44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184.80000000000004</v>
      </c>
      <c r="L594" s="72"/>
      <c r="M594" s="72"/>
      <c r="N594" s="72"/>
      <c r="O594" s="72"/>
      <c r="P594" s="72"/>
      <c r="Q594" s="73">
        <f ca="1">IFERROR(SUM(Q582:Q593),"")</f>
        <v>0.13641828703580872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93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390.6</v>
      </c>
      <c r="L595" s="76"/>
      <c r="M595" s="76"/>
      <c r="N595" s="76"/>
      <c r="O595" s="76"/>
      <c r="P595" s="76"/>
      <c r="Q595" s="77">
        <f ca="1">IFERROR(Q581+Q594,"")</f>
        <v>0.54058495370247539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6" sqref="G586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9" t="s">
        <v>261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9" t="s">
        <v>264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9" t="s">
        <v>261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9" t="s">
        <v>264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9" t="s">
        <v>261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9" t="s">
        <v>264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9" t="s">
        <v>261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264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9" t="s">
        <v>261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9" t="s">
        <v>264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9" t="s">
        <v>264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20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84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183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777.40000000000009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87" sqref="G587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9" t="s">
        <v>261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9" t="s">
        <v>264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9" t="s">
        <v>261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9" t="s">
        <v>264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9" t="s">
        <v>261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9" t="s">
        <v>264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264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9" t="s">
        <v>264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9" t="s">
        <v>264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/>
      <c r="M585" s="70"/>
      <c r="N585" s="70"/>
      <c r="O585" s="65">
        <v>0.92569444444444449</v>
      </c>
      <c r="P585" s="65"/>
      <c r="Q585" s="71">
        <f t="shared" ca="1" si="152"/>
        <v>8.0862731483648531E-2</v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67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281.39999999999998</v>
      </c>
      <c r="L594" s="72"/>
      <c r="M594" s="72"/>
      <c r="N594" s="72"/>
      <c r="O594" s="134"/>
      <c r="P594" s="134"/>
      <c r="Q594" s="73">
        <f ca="1">IFERROR(SUM(Q582:Q593),"")</f>
        <v>0.1232238425947596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269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1145.8000000000002</v>
      </c>
      <c r="L595" s="76"/>
      <c r="M595" s="76"/>
      <c r="N595" s="76"/>
      <c r="O595" s="135"/>
      <c r="P595" s="135"/>
      <c r="Q595" s="77">
        <f ca="1">IFERROR(Q581+Q594,"")</f>
        <v>0.25725162037253746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infopath/2007/PartnerControls"/>
    <ds:schemaRef ds:uri="http://purl.org/dc/terms/"/>
    <ds:schemaRef ds:uri="http://purl.org/dc/elements/1.1/"/>
    <ds:schemaRef ds:uri="http://www.w3.org/XML/1998/namespace"/>
    <ds:schemaRef ds:uri="http://purl.org/dc/dcmitype/"/>
    <ds:schemaRef ds:uri="http://schemas.openxmlformats.org/package/2006/metadata/core-properties"/>
    <ds:schemaRef ds:uri="771c9ca5-affe-4166-ad8c-7e4536f98f4b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2026-08-23T04:10:30Z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