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882" documentId="8_{AF585B22-221D-4780-BB9C-493D365A6A02}" xr6:coauthVersionLast="47" xr6:coauthVersionMax="47" xr10:uidLastSave="{50948487-38E3-46CE-B860-5BAC9C2CF3D1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<sst xmlns="http://schemas.openxmlformats.org/spreadsheetml/2006/main" count="10978" uniqueCount="410">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</sst>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1568140</v>
      </c>
      <c r="D30" s="8">
        <f>IFERROR('Linha 1'!O730,"")</f>
        <v>479760</v>
      </c>
      <c r="E30" s="8">
        <f>IFERROR('Linha 2'!O730,"")</f>
        <v>333820</v>
      </c>
      <c r="F30" s="8">
        <f>IFERROR('Linha 3'!O730,"")</f>
        <v>613260</v>
      </c>
      <c r="G30" s="9">
        <f t="shared" si="0"/>
        <v>1426840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81097358</v>
      </c>
      <c r="D35" s="13">
        <f>IFERROR(SUM(D4:D34),"")</f>
        <v>32568970</v>
      </c>
      <c r="E35" s="13">
        <f>IFERROR(SUM(E4:E34),"")</f>
        <v>19103080</v>
      </c>
      <c r="F35" s="13">
        <f>IFERROR(SUM(F4:F34),"")</f>
        <v>33969740</v>
      </c>
      <c r="G35" s="13">
        <f>IFERROR(SUM(G4:G34),"")</f>
        <v>85641790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701" activePane="bottomLeft" state="frozen"/>
      <selection pane="bottomLeft" activeCell="F729" sqref="F72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30</v>
      </c>
      <c r="G726" s="28">
        <f t="shared" si="159"/>
        <v>150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22</v>
      </c>
      <c r="G727" s="34">
        <f t="shared" si="159"/>
        <v>110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231</v>
      </c>
      <c r="F728" s="27">
        <v>8</v>
      </c>
      <c r="G728" s="28">
        <f t="shared" si="159"/>
        <v>40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227</v>
      </c>
      <c r="G729" s="36">
        <f>SUM(G717:G728)</f>
        <v>1111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530</v>
      </c>
      <c r="G730" s="40">
        <f>G716+G729</f>
        <v>2626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1568140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7" activePane="bottomLeft" state="frozen"/>
      <selection pane="bottomLeft" activeCell="F729" sqref="F7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2.6074652778333984E-2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0.18371354166722287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0.29343576388944503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4.5468750031432137E-3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0.17538020833647658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0.32051909722536542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479760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95" zoomScale="50" zoomScaleNormal="50" workbookViewId="0">
      <selection activeCell="E727" sqref="E72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 t="s">
        <v>19</v>
      </c>
      <c r="I718" s="26" t="s">
        <v>47</v>
      </c>
      <c r="J718" s="26"/>
      <c r="K718" s="29">
        <v>0.21666666666666667</v>
      </c>
      <c r="L718" s="29"/>
      <c r="M718" s="30">
        <f t="shared" ca="1" si="160"/>
        <v>4.8991319446940906E-2</v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6.2880208335829857E-2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0.1663524305580521</v>
      </c>
      <c r="N730" s="40" t="s">
        <v>237</v>
      </c>
      <c r="O730" s="48">
        <f>IFERROR(O716+O729,"")</f>
        <v>333820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95" activePane="bottomLeft" state="frozen"/>
      <selection pane="bottomLeft" activeCell="F729" sqref="F7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1.6352430560800713E-2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0.21565798611635634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0.58301909722746736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613260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2026-07-28T10:23:04Z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