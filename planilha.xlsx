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78" documentId="13_ncr:1_{0A10D8D4-8450-4366-8075-B53B08E6B7EA}" xr6:coauthVersionLast="47" xr6:coauthVersionMax="47" xr10:uidLastSave="{9661383D-E8C9-49B0-AE41-7BF55CB07691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5" i="6" s="1"/>
  <c r="J345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5" i="5" s="1"/>
  <c r="J345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5" i="4" s="1"/>
  <c r="J345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3" i="6" l="1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<sst xmlns="http://schemas.openxmlformats.org/spreadsheetml/2006/main" count="6130" uniqueCount="340">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</sst>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B345" sqref="B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175</v>
      </c>
      <c r="G351" s="36">
        <f>SUM(G339:G350)</f>
        <v>875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407</v>
      </c>
      <c r="G352" s="40">
        <f>G338+G351</f>
        <v>2035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0" activePane="bottomLeft" state="frozen"/>
      <selection pane="bottomLeft" activeCell="N344" sqref="N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0.98851296296197688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1.1274018518508657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1.2121240740730881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/>
      <c r="Q344" s="30">
        <f t="shared" ca="1" si="80"/>
        <v>1.0129629663424566E-3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445.20000000000005</v>
      </c>
      <c r="L351" s="37"/>
      <c r="M351" s="37"/>
      <c r="N351" s="37"/>
      <c r="O351" s="37"/>
      <c r="P351" s="37"/>
      <c r="Q351" s="38">
        <f ca="1">IFERROR(SUM(Q339:Q350),"")</f>
        <v>7.8790740744120374E-2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143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618.20000000000005</v>
      </c>
      <c r="L352" s="41"/>
      <c r="M352" s="41"/>
      <c r="N352" s="41"/>
      <c r="O352" s="41"/>
      <c r="P352" s="41"/>
      <c r="Q352" s="42">
        <f ca="1">IFERROR(Q338+Q351,"")</f>
        <v>0.42115185185523141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6" sqref="G34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142.80000000000001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95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439.8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45" sqref="G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156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655.20000000000005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1623.4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2026-08-14T06:38:33Z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