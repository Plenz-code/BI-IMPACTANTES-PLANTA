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55" documentId="8_{AF585B22-221D-4780-BB9C-493D365A6A02}" xr6:coauthVersionLast="47" xr6:coauthVersionMax="47" xr10:uidLastSave="{58453A49-91F0-43AE-AB2C-CBB38EC95BB6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<sst xmlns="http://schemas.openxmlformats.org/spreadsheetml/2006/main" count="12183" uniqueCount="438">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</sst>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1" activePane="bottomLeft" state="frozen"/>
      <selection pane="bottomLeft" activeCell="L799" sqref="L7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 t="s">
        <v>20</v>
      </c>
      <c r="I799" s="33" t="s">
        <v>31</v>
      </c>
      <c r="J799" s="33" t="s">
        <v>28</v>
      </c>
      <c r="K799" s="29">
        <v>8.1944444444444445E-2</v>
      </c>
      <c r="L799" s="29"/>
      <c r="M799" s="35">
        <f t="shared" ca="1" si="177"/>
        <v>1.0684143519029021E-2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250</v>
      </c>
      <c r="G810" s="36">
        <f>SUM(G798:G809)</f>
        <v>1229.2</v>
      </c>
      <c r="H810" s="37"/>
      <c r="I810" s="37"/>
      <c r="J810" s="37"/>
      <c r="K810" s="37"/>
      <c r="L810" s="37"/>
      <c r="M810" s="38">
        <f ca="1">IFERROR(SUM(M798:M809),"")</f>
        <v>2.8045254630140126E-2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541</v>
      </c>
      <c r="G811" s="40">
        <f>G797+G810</f>
        <v>1229.2</v>
      </c>
      <c r="H811" s="41"/>
      <c r="I811" s="41"/>
      <c r="J811" s="41"/>
      <c r="K811" s="41"/>
      <c r="L811" s="41"/>
      <c r="M811" s="42">
        <f ca="1">IFERROR(M797+M810,"")</f>
        <v>0.10929525463014006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71" activePane="bottomLeft" state="frozen"/>
      <selection pane="bottomLeft" activeCell="K801" sqref="K8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0.85304525462561287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1.0106841435145018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1.120406365736724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0.8315174768504221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1.0023508101837555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1.1474896990726444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>
        <v>8.6805555555555552E-2</v>
      </c>
      <c r="L800" s="29"/>
      <c r="M800" s="30">
        <f t="shared" ca="1" si="177"/>
        <v>5.8230324066244066E-3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114</v>
      </c>
      <c r="G810" s="36">
        <f>SUM(G798:G809)</f>
        <v>478.8</v>
      </c>
      <c r="H810" s="37"/>
      <c r="I810" s="37"/>
      <c r="J810" s="37"/>
      <c r="K810" s="37"/>
      <c r="L810" s="37"/>
      <c r="M810" s="38">
        <f ca="1">IFERROR(SUM(M798:M809),"")</f>
        <v>4.2628587962179963E-2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268</v>
      </c>
      <c r="G811" s="40">
        <f>G797+G810</f>
        <v>1131.2</v>
      </c>
      <c r="H811" s="41"/>
      <c r="I811" s="41"/>
      <c r="J811" s="41"/>
      <c r="K811" s="41"/>
      <c r="L811" s="41"/>
      <c r="M811" s="42">
        <f ca="1">IFERROR(M797+M810,"")</f>
        <v>0.16346192129551321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5" sqref="F8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38</v>
      </c>
      <c r="G810" s="36">
        <f>SUM(G798:G809)</f>
        <v>159.60000000000002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132</v>
      </c>
      <c r="G811" s="40">
        <f>G797+G810</f>
        <v>560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4" sqref="F8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0.8433230324080796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1.0426285879636352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1.4099896990747462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87</v>
      </c>
      <c r="G810" s="36">
        <f>SUM(G798:G809)</f>
        <v>365.40000000000003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109</v>
      </c>
      <c r="G811" s="40">
        <f>G797+G810</f>
        <v>457.80000000000007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2026-07-31T06:13:57Z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