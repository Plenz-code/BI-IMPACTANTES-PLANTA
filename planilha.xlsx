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74" documentId="8_{AF585B22-221D-4780-BB9C-493D365A6A02}" xr6:coauthVersionLast="47" xr6:coauthVersionMax="47" xr10:uidLastSave="{62B2C5AE-05CA-48C4-8CF0-CC58D96D6636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<sst xmlns="http://schemas.openxmlformats.org/spreadsheetml/2006/main" count="6120" uniqueCount="315">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</sst>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0" sqref="F3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61</v>
      </c>
      <c r="G378" s="36">
        <f>SUM(G366:G377)</f>
        <v>305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336</v>
      </c>
      <c r="G379" s="40">
        <f>G365+G378</f>
        <v>1680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J371" sqref="J3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 t="s">
        <v>20</v>
      </c>
      <c r="I371" s="33"/>
      <c r="J371" s="33" t="s">
        <v>127</v>
      </c>
      <c r="K371" s="29">
        <v>1.4583333333333334E-2</v>
      </c>
      <c r="L371" s="29"/>
      <c r="M371" s="35">
        <f t="shared" ca="1" si="82"/>
        <v>7.4898148159263656E-3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62</v>
      </c>
      <c r="G378" s="36">
        <f>SUM(G366:G377)</f>
        <v>260.40000000000003</v>
      </c>
      <c r="H378" s="37"/>
      <c r="I378" s="37"/>
      <c r="J378" s="37"/>
      <c r="K378" s="37"/>
      <c r="L378" s="37"/>
      <c r="M378" s="38">
        <f ca="1">IFERROR(SUM(M366:M377),"")</f>
        <v>6.8600925927037482E-2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220</v>
      </c>
      <c r="G379" s="40">
        <f>G365+G378</f>
        <v>924</v>
      </c>
      <c r="H379" s="41"/>
      <c r="I379" s="41"/>
      <c r="J379" s="41"/>
      <c r="K379" s="41"/>
      <c r="L379" s="41"/>
      <c r="M379" s="42">
        <f ca="1">IFERROR(M365+M378,"")</f>
        <v>0.17832314814925965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1" sqref="F3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54</v>
      </c>
      <c r="G378" s="36">
        <f>SUM(G366:G377)</f>
        <v>226.8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63</v>
      </c>
      <c r="G379" s="40">
        <f>G365+G378</f>
        <v>264.60000000000002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L373" sqref="L3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0.77276759259257233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0.97207314814812795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1.339434259259239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85</v>
      </c>
      <c r="G378" s="36">
        <f>SUM(G366:G377)</f>
        <v>357</v>
      </c>
      <c r="H378" s="37"/>
      <c r="I378" s="37"/>
      <c r="J378" s="37"/>
      <c r="K378" s="61"/>
      <c r="L378" s="61"/>
      <c r="M378" s="38">
        <f ca="1">IFERROR(SUM(M366:M377),"")</f>
        <v>3.7500000000000103E-2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210</v>
      </c>
      <c r="G379" s="40">
        <f>G365+G378</f>
        <v>882</v>
      </c>
      <c r="H379" s="41"/>
      <c r="I379" s="41"/>
      <c r="J379" s="41"/>
      <c r="K379" s="63"/>
      <c r="L379" s="63"/>
      <c r="M379" s="42">
        <f ca="1">IFERROR(M365+M378,"")</f>
        <v>0.14236111111111127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2026-07-15T04:32:14Z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