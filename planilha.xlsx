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568" documentId="13_ncr:1_{0A10D8D4-8450-4366-8075-B53B08E6B7EA}" xr6:coauthVersionLast="47" xr6:coauthVersionMax="47" xr10:uidLastSave="{0AF3F95A-62CA-4F56-A448-0BB6CF4E8F13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06" i="4" l="1"/>
  <c r="K406" i="5"/>
  <c r="K406" i="6"/>
  <c r="G406" i="6"/>
  <c r="G406" i="5"/>
  <c r="G406" i="4"/>
  <c r="F406" i="3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3" i="6"/>
  <c r="J423" i="6" s="1"/>
  <c r="H424" i="6"/>
  <c r="J424" i="6" s="1"/>
  <c r="H425" i="6"/>
  <c r="J425" i="6" s="1"/>
  <c r="H426" i="6"/>
  <c r="J426" i="6" s="1"/>
  <c r="H427" i="6"/>
  <c r="J427" i="6" s="1"/>
  <c r="H428" i="6"/>
  <c r="J428" i="6" s="1"/>
  <c r="H429" i="6"/>
  <c r="J429" i="6" s="1"/>
  <c r="H430" i="6"/>
  <c r="J430" i="6" s="1"/>
  <c r="H431" i="6"/>
  <c r="J431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3" i="5"/>
  <c r="J423" i="5" s="1"/>
  <c r="H424" i="5"/>
  <c r="J424" i="5" s="1"/>
  <c r="H425" i="5"/>
  <c r="J425" i="5" s="1"/>
  <c r="H426" i="5"/>
  <c r="J426" i="5" s="1"/>
  <c r="H427" i="5"/>
  <c r="J427" i="5" s="1"/>
  <c r="H428" i="5"/>
  <c r="J428" i="5" s="1"/>
  <c r="H429" i="5"/>
  <c r="J429" i="5" s="1"/>
  <c r="H430" i="5"/>
  <c r="J430" i="5" s="1"/>
  <c r="H431" i="5"/>
  <c r="J431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3" i="4"/>
  <c r="J423" i="4" s="1"/>
  <c r="H424" i="4"/>
  <c r="J424" i="4" s="1"/>
  <c r="H425" i="4"/>
  <c r="J425" i="4" s="1"/>
  <c r="H426" i="4"/>
  <c r="J426" i="4" s="1"/>
  <c r="H427" i="4"/>
  <c r="J427" i="4" s="1"/>
  <c r="H428" i="4"/>
  <c r="J428" i="4" s="1"/>
  <c r="H429" i="4"/>
  <c r="J429" i="4" s="1"/>
  <c r="H430" i="4"/>
  <c r="J430" i="4" s="1"/>
  <c r="H431" i="4"/>
  <c r="J431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810" i="5"/>
  <c r="T810" i="5" s="1"/>
  <c r="J473" i="4"/>
  <c r="T473" i="4" s="1"/>
  <c r="J446" i="6"/>
  <c r="T446" i="6" s="1"/>
  <c r="J540" i="6"/>
  <c r="T540" i="6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621" i="4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446" i="4"/>
  <c r="H675" i="4"/>
  <c r="H797" i="5"/>
  <c r="H324" i="5"/>
  <c r="H797" i="4"/>
  <c r="H783" i="6"/>
  <c r="H675" i="6"/>
  <c r="H662" i="4"/>
  <c r="H783" i="5"/>
  <c r="H554" i="5"/>
  <c r="H459" i="4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87" i="5"/>
  <c r="H676" i="5"/>
  <c r="H460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H422" i="6" s="1"/>
  <c r="J422" i="6" s="1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H422" i="5" s="1"/>
  <c r="J422" i="5" s="1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H422" i="4" s="1"/>
  <c r="J422" i="4" s="1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20" i="6" l="1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419" i="4" l="1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<sst xmlns="http://schemas.openxmlformats.org/spreadsheetml/2006/main" count="7315" uniqueCount="358">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</sst>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P24" sqref="P24"/>
    </sheetView>
  </sheetViews>
  <sheetFormatPr defaultColWidth="8.5703125" defaultRowHeight="14.4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/>
      <c r="J18" s="129">
        <f t="shared" si="1"/>
        <v>0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1195500</v>
      </c>
      <c r="D19" s="11">
        <f>IFERROR('Linha 1'!S433,"")</f>
        <v>590830</v>
      </c>
      <c r="E19" s="11">
        <f>IFERROR('Linha 2'!S433,"")</f>
        <v>447620</v>
      </c>
      <c r="F19" s="11">
        <f>IFERROR('Linha 3'!S433,"")</f>
        <v>627410</v>
      </c>
      <c r="G19" s="12">
        <f t="shared" si="0"/>
        <v>1665860</v>
      </c>
      <c r="H19" s="96">
        <f>IFERROR('Linha 1'!T433+'Linha 2'!T433+'Linha 3'!T433,0)</f>
        <v>239.88383999999999</v>
      </c>
      <c r="I19" s="96"/>
      <c r="J19" s="129">
        <f t="shared" si="1"/>
        <v>0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57588020</v>
      </c>
      <c r="D35" s="13">
        <f t="shared" si="2"/>
        <v>18838850</v>
      </c>
      <c r="E35" s="13">
        <f t="shared" si="2"/>
        <v>9882290</v>
      </c>
      <c r="F35" s="13">
        <f t="shared" si="2"/>
        <v>24136340</v>
      </c>
      <c r="G35" s="13">
        <f t="shared" si="2"/>
        <v>52857480</v>
      </c>
      <c r="H35" s="97">
        <f t="shared" si="2"/>
        <v>3450.1791327907322</v>
      </c>
      <c r="I35" s="97">
        <f>IFERROR(SUM(I4:I34),"")</f>
        <v>2403.2399999999998</v>
      </c>
      <c r="J35" s="130">
        <f>IFERROR(AVERAGE(J4:J34),"-")</f>
        <v>0.5749422174907689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54" zoomScale="85" zoomScaleNormal="85" workbookViewId="0"/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 t="s">
        <v>232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398" activePane="bottomLeft" state="frozen"/>
      <selection pane="bottomLeft" activeCell="F423" sqref="F423"/>
      <selection sqref="A1:G409"/>
    </sheetView>
  </sheetViews>
  <sheetFormatPr defaultColWidth="8.5703125" defaultRowHeight="14.4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244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76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>
      <c r="A379" s="160" t="s">
        <v>248</v>
      </c>
      <c r="B379" s="161"/>
      <c r="C379" s="161"/>
      <c r="D379" s="161"/>
      <c r="E379" s="17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243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243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243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243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243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243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243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243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243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243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243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243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76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243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269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243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243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243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243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243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243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243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243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243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243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243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76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245</v>
      </c>
      <c r="O405" s="39">
        <v>2612000</v>
      </c>
    </row>
    <row r="406" spans="1:15" ht="18" customHeight="1">
      <c r="A406" s="160" t="s">
        <v>248</v>
      </c>
      <c r="B406" s="161"/>
      <c r="C406" s="161"/>
      <c r="D406" s="161"/>
      <c r="E406" s="175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249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243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243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243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243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243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243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243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243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243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243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243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243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76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245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243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225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243</v>
      </c>
      <c r="F421" s="27">
        <v>40</v>
      </c>
      <c r="G421" s="34">
        <f t="shared" si="88"/>
        <v>200</v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243</v>
      </c>
      <c r="F422" s="27">
        <v>20</v>
      </c>
      <c r="G422" s="28">
        <f t="shared" si="88"/>
        <v>100</v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243</v>
      </c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243</v>
      </c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243</v>
      </c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243</v>
      </c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243</v>
      </c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243</v>
      </c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243</v>
      </c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243</v>
      </c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243</v>
      </c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76">
        <f>SUM(E420:E431)</f>
        <v>0</v>
      </c>
      <c r="F432" s="36">
        <f>SUM(F420:F431)</f>
        <v>75</v>
      </c>
      <c r="G432" s="36">
        <f>SUM(G420:G431)</f>
        <v>375</v>
      </c>
      <c r="H432" s="37"/>
      <c r="I432" s="37"/>
      <c r="J432" s="37"/>
      <c r="K432" s="37"/>
      <c r="L432" s="37"/>
      <c r="M432" s="38">
        <f ca="1">IFERROR(SUM(M420:M431),"")</f>
        <v>2.777777777777779E-2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5">
        <f>E419+E432</f>
        <v>0</v>
      </c>
      <c r="F433" s="40">
        <f>F419+F432</f>
        <v>285</v>
      </c>
      <c r="G433" s="40">
        <f>G419+G432</f>
        <v>1425</v>
      </c>
      <c r="H433" s="41"/>
      <c r="I433" s="41"/>
      <c r="J433" s="41"/>
      <c r="K433" s="41"/>
      <c r="L433" s="41"/>
      <c r="M433" s="42">
        <f ca="1">IFERROR(M419+M432,"")</f>
        <v>0.26041666666666669</v>
      </c>
      <c r="N433" s="40" t="s">
        <v>249</v>
      </c>
      <c r="O433" s="48">
        <f>IFERROR(O419+O432,"")</f>
        <v>1195500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2" t="s">
        <v>248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94" activePane="bottomLeft" state="frozen"/>
      <selection pane="bottomLeft" activeCell="R423" sqref="R423"/>
      <selection sqref="A1:G409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272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273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274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275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276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277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278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279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0.839921759259596</v>
      </c>
      <c r="R53" s="46" t="s">
        <v>280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0.97881064814848484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1.0635328703707072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272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281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282</v>
      </c>
      <c r="Q96" s="30" t="str">
        <f t="shared" ref="Q96:Q107" ca="1" si="22">IFERROR(IF(O96="","",IF(P96="",MOD(NOW()-O96,1),IF(P96&gt;=O96,P96-O96,P96+1-O96))),"")</f>
        <v/>
      </c>
      <c r="R96" s="46" t="s">
        <v>283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284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285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286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287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288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289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290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291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292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293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286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281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295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296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244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297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298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299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300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301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293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288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281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302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259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259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303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245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304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245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249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245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0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0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305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0</v>
      </c>
      <c r="I421" s="135">
        <f>IFERROR(IF($D421="","",VLOOKUP($D421,Cadastro!$C$4:$G$7,5,FALSE)),"")</f>
        <v>0.6</v>
      </c>
      <c r="J421" s="136">
        <f t="shared" si="102"/>
        <v>0</v>
      </c>
      <c r="K421" s="34">
        <f t="shared" si="103"/>
        <v>54.6</v>
      </c>
      <c r="L421" s="33" t="s">
        <v>25</v>
      </c>
      <c r="M421" s="33" t="s">
        <v>46</v>
      </c>
      <c r="N421" s="33" t="s">
        <v>164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0</v>
      </c>
      <c r="I422" s="135">
        <f>IFERROR(IF($D422="","",VLOOKUP($D422,Cadastro!$C$4:$G$7,5,FALSE)),"")</f>
        <v>0.6</v>
      </c>
      <c r="J422" s="136">
        <f t="shared" si="102"/>
        <v>0</v>
      </c>
      <c r="K422" s="28">
        <f t="shared" si="103"/>
        <v>46.2</v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/>
      <c r="H423" s="134" t="str">
        <f>IFERROR(IF($G423="","",$G423*$S$432/$G$432/Cadastro!$E$33),"")</f>
        <v/>
      </c>
      <c r="I423" s="135">
        <f>IFERROR(IF($D423="","",VLOOKUP($D423,Cadastro!$C$4:$G$7,5,FALSE)),"")</f>
        <v>0.6</v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/>
      <c r="H424" s="134" t="str">
        <f>IFERROR(IF($G424="","",$G424*$S$432/$G$432/Cadastro!$E$33),"")</f>
        <v/>
      </c>
      <c r="I424" s="135">
        <f>IFERROR(IF($D424="","",VLOOKUP($D424,Cadastro!$C$4:$G$7,5,FALSE)),"")</f>
        <v>0.6</v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/>
      <c r="H425" s="134" t="str">
        <f>IFERROR(IF($G425="","",$G425*$S$432/$G$432/Cadastro!$E$33),"")</f>
        <v/>
      </c>
      <c r="I425" s="135">
        <f>IFERROR(IF($D425="","",VLOOKUP($D425,Cadastro!$C$4:$G$7,5,FALSE)),"")</f>
        <v>0.6</v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/>
      <c r="H426" s="134" t="str">
        <f>IFERROR(IF($G426="","",$G426*$S$432/$G$432/Cadastro!$E$33),"")</f>
        <v/>
      </c>
      <c r="I426" s="135">
        <f>IFERROR(IF($D426="","",VLOOKUP($D426,Cadastro!$C$4:$G$7,5,FALSE)),"")</f>
        <v>0.6</v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/>
      <c r="H427" s="134" t="str">
        <f>IFERROR(IF($G427="","",$G427*$S$432/$G$432/Cadastro!$E$33),"")</f>
        <v/>
      </c>
      <c r="I427" s="135">
        <f>IFERROR(IF($D427="","",VLOOKUP($D427,Cadastro!$C$4:$G$7,5,FALSE)),"")</f>
        <v>0.6</v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/>
      <c r="H428" s="134" t="str">
        <f>IFERROR(IF($G428="","",$G428*$S$432/$G$432/Cadastro!$E$33),"")</f>
        <v/>
      </c>
      <c r="I428" s="135">
        <f>IFERROR(IF($D428="","",VLOOKUP($D428,Cadastro!$C$4:$G$7,5,FALSE)),"")</f>
        <v>0.6</v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/>
      <c r="H429" s="134" t="str">
        <f>IFERROR(IF($G429="","",$G429*$S$432/$G$432/Cadastro!$E$33),"")</f>
        <v/>
      </c>
      <c r="I429" s="135">
        <f>IFERROR(IF($D429="","",VLOOKUP($D429,Cadastro!$C$4:$G$7,5,FALSE)),"")</f>
        <v>0.6</v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/>
      <c r="H430" s="134" t="str">
        <f>IFERROR(IF($G430="","",$G430*$S$432/$G$432/Cadastro!$E$33),"")</f>
        <v/>
      </c>
      <c r="I430" s="135">
        <f>IFERROR(IF($D430="","",VLOOKUP($D430,Cadastro!$C$4:$G$7,5,FALSE)),"")</f>
        <v>0.6</v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/>
      <c r="H431" s="137" t="str">
        <f>IFERROR(IF($G431="","",$G431*$S$432/$G$432/Cadastro!$E$33),"")</f>
        <v/>
      </c>
      <c r="I431" s="138">
        <f>IFERROR(IF($D431="","",VLOOKUP($D431,Cadastro!$C$4:$G$7,5,FALSE)),"")</f>
        <v>0.6</v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48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201.60000000000002</v>
      </c>
      <c r="L432" s="37"/>
      <c r="M432" s="37"/>
      <c r="N432" s="37"/>
      <c r="O432" s="37"/>
      <c r="P432" s="37"/>
      <c r="Q432" s="38">
        <f ca="1">IFERROR(SUM(Q420:Q431),"")</f>
        <v>4.1666666666666741E-2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195</v>
      </c>
      <c r="H433" s="112">
        <f>IFERROR(H419+H432,"")</f>
        <v>590.82999999999993</v>
      </c>
      <c r="I433" s="116"/>
      <c r="J433" s="125">
        <f>IFERROR(J419+J432,"")</f>
        <v>85.079520000000002</v>
      </c>
      <c r="K433" s="40">
        <f>K419+K432</f>
        <v>819.00000000000011</v>
      </c>
      <c r="L433" s="41"/>
      <c r="M433" s="41"/>
      <c r="N433" s="41"/>
      <c r="O433" s="41"/>
      <c r="P433" s="41"/>
      <c r="Q433" s="42">
        <f ca="1">IFERROR(Q419+Q432,"")</f>
        <v>0.13263888888888897</v>
      </c>
      <c r="R433" s="40" t="s">
        <v>249</v>
      </c>
      <c r="S433" s="143">
        <f>IFERROR(S419+S432,"")</f>
        <v>590830</v>
      </c>
      <c r="T433" s="144">
        <f>IFERROR(J433,"")</f>
        <v>85.079520000000002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yGJdA/lqfZVSPgXUXmdYkWK8SERml5tC5o+rbaIKyY+gYt6zszxYCklhyp2snYv5zb26tq21RRk7BTb6BWrjMw==" saltValue="PgeBFLM8fu/4ApGRBj4Sp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88" activePane="bottomLeft" state="frozen"/>
      <selection pane="bottomLeft" activeCell="P422" sqref="P422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306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275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307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281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306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306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308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309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310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311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312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313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314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289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281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315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316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292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292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317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318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319</v>
      </c>
      <c r="Q222" s="30" t="str">
        <f t="shared" ca="1" si="49"/>
        <v/>
      </c>
      <c r="R222" s="27" t="s">
        <v>320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321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299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322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300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281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323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303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245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245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249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324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245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0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0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325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0</v>
      </c>
      <c r="I421" s="135">
        <f>IFERROR(IF($D421="","",VLOOKUP($D421,Cadastro!$C$4:$G$7,5,FALSE)),"")</f>
        <v>0.6</v>
      </c>
      <c r="J421" s="136">
        <f t="shared" si="100"/>
        <v>0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0</v>
      </c>
      <c r="I422" s="135">
        <f>IFERROR(IF($D422="","",VLOOKUP($D422,Cadastro!$C$4:$G$7,5,FALSE)),"")</f>
        <v>0.6</v>
      </c>
      <c r="J422" s="136">
        <f t="shared" si="100"/>
        <v>0</v>
      </c>
      <c r="K422" s="28">
        <f t="shared" si="101"/>
        <v>8.4</v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/>
      <c r="H423" s="134" t="str">
        <f>IFERROR(IF($G423="","",$G423*$S$432/$G$432/Cadastro!$E$33),"")</f>
        <v/>
      </c>
      <c r="I423" s="135">
        <f>IFERROR(IF($D423="","",VLOOKUP($D423,Cadastro!$C$4:$G$7,5,FALSE)),"")</f>
        <v>0.6</v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/>
      <c r="H424" s="134" t="str">
        <f>IFERROR(IF($G424="","",$G424*$S$432/$G$432/Cadastro!$E$33),"")</f>
        <v/>
      </c>
      <c r="I424" s="135">
        <f>IFERROR(IF($D424="","",VLOOKUP($D424,Cadastro!$C$4:$G$7,5,FALSE)),"")</f>
        <v>0.6</v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/>
      <c r="H425" s="134" t="str">
        <f>IFERROR(IF($G425="","",$G425*$S$432/$G$432/Cadastro!$E$33),"")</f>
        <v/>
      </c>
      <c r="I425" s="135">
        <f>IFERROR(IF($D425="","",VLOOKUP($D425,Cadastro!$C$4:$G$7,5,FALSE)),"")</f>
        <v>0.6</v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/>
      <c r="H426" s="134" t="str">
        <f>IFERROR(IF($G426="","",$G426*$S$432/$G$432/Cadastro!$E$33),"")</f>
        <v/>
      </c>
      <c r="I426" s="135">
        <f>IFERROR(IF($D426="","",VLOOKUP($D426,Cadastro!$C$4:$G$7,5,FALSE)),"")</f>
        <v>0.6</v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/>
      <c r="H427" s="134" t="str">
        <f>IFERROR(IF($G427="","",$G427*$S$432/$G$432/Cadastro!$E$33),"")</f>
        <v/>
      </c>
      <c r="I427" s="135">
        <f>IFERROR(IF($D427="","",VLOOKUP($D427,Cadastro!$C$4:$G$7,5,FALSE)),"")</f>
        <v>0.6</v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/>
      <c r="H428" s="134" t="str">
        <f>IFERROR(IF($G428="","",$G428*$S$432/$G$432/Cadastro!$E$33),"")</f>
        <v/>
      </c>
      <c r="I428" s="135">
        <f>IFERROR(IF($D428="","",VLOOKUP($D428,Cadastro!$C$4:$G$7,5,FALSE)),"")</f>
        <v>0.6</v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/>
      <c r="H429" s="134" t="str">
        <f>IFERROR(IF($G429="","",$G429*$S$432/$G$432/Cadastro!$E$33),"")</f>
        <v/>
      </c>
      <c r="I429" s="135">
        <f>IFERROR(IF($D429="","",VLOOKUP($D429,Cadastro!$C$4:$G$7,5,FALSE)),"")</f>
        <v>0.6</v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/>
      <c r="H430" s="134" t="str">
        <f>IFERROR(IF($G430="","",$G430*$S$432/$G$432/Cadastro!$E$33),"")</f>
        <v/>
      </c>
      <c r="I430" s="135">
        <f>IFERROR(IF($D430="","",VLOOKUP($D430,Cadastro!$C$4:$G$7,5,FALSE)),"")</f>
        <v>0.6</v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/>
      <c r="H431" s="137" t="str">
        <f>IFERROR(IF($G431="","",$G431*$S$432/$G$432/Cadastro!$E$33),"")</f>
        <v/>
      </c>
      <c r="I431" s="138">
        <f>IFERROR(IF($D431="","",VLOOKUP($D431,Cadastro!$C$4:$G$7,5,FALSE)),"")</f>
        <v>0.6</v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11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46.2</v>
      </c>
      <c r="L432" s="37"/>
      <c r="M432" s="37"/>
      <c r="N432" s="37"/>
      <c r="O432" s="37"/>
      <c r="P432" s="37"/>
      <c r="Q432" s="38">
        <f ca="1">IFERROR(SUM(Q420:Q431),"")</f>
        <v>6.597222222222221E-2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132</v>
      </c>
      <c r="H433" s="112">
        <f>IFERROR(H419+H432,"")</f>
        <v>447.62</v>
      </c>
      <c r="I433" s="116"/>
      <c r="J433" s="125">
        <f>IFERROR(J419+J432,"")</f>
        <v>64.457279999999997</v>
      </c>
      <c r="K433" s="40">
        <f>K419+K432</f>
        <v>554.40000000000009</v>
      </c>
      <c r="L433" s="41"/>
      <c r="M433" s="41"/>
      <c r="N433" s="41"/>
      <c r="O433" s="41"/>
      <c r="P433" s="41"/>
      <c r="Q433" s="42">
        <f ca="1">IFERROR(Q419+Q432,"")</f>
        <v>0.13888888888888895</v>
      </c>
      <c r="R433" s="40" t="s">
        <v>249</v>
      </c>
      <c r="S433" s="48">
        <f>IFERROR(S419+S432,"")</f>
        <v>447620</v>
      </c>
      <c r="T433" s="121">
        <f>IFERROR(J433,"")</f>
        <v>64.457279999999997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95" activePane="bottomLeft" state="frozen"/>
      <selection pane="bottomLeft" activeCell="N424" sqref="N424"/>
    </sheetView>
  </sheetViews>
  <sheetFormatPr defaultColWidth="8.5703125" defaultRowHeight="14.4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326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278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306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327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328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329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330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331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332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306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306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333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334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281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306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335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336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289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337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338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339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340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341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342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343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344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345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346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347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348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 t="s">
        <v>269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349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350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351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352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353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354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259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303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355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245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356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245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249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232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357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170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170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137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245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0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0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0</v>
      </c>
      <c r="I421" s="135">
        <f>IFERROR(IF($D421="","",VLOOKUP($D421,Cadastro!$C$4:$G$7,5,FALSE)),"")</f>
        <v>0.6</v>
      </c>
      <c r="J421" s="136">
        <f t="shared" si="102"/>
        <v>0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0</v>
      </c>
      <c r="I422" s="135">
        <f>IFERROR(IF($D422="","",VLOOKUP($D422,Cadastro!$C$4:$G$7,5,FALSE)),"")</f>
        <v>0.6</v>
      </c>
      <c r="J422" s="136">
        <f t="shared" si="102"/>
        <v>0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/>
      <c r="H423" s="134" t="str">
        <f>IFERROR(IF($G423="","",$G423*$S$432/$G$432/Cadastro!$E$33),"")</f>
        <v/>
      </c>
      <c r="I423" s="135">
        <f>IFERROR(IF($D423="","",VLOOKUP($D423,Cadastro!$C$4:$G$7,5,FALSE)),"")</f>
        <v>0.6</v>
      </c>
      <c r="J423" s="136" t="str">
        <f t="shared" si="102"/>
        <v/>
      </c>
      <c r="K423" s="34" t="str">
        <f t="shared" si="103"/>
        <v/>
      </c>
      <c r="L423" s="33" t="s">
        <v>26</v>
      </c>
      <c r="M423" s="33" t="s">
        <v>170</v>
      </c>
      <c r="N423" s="33" t="s">
        <v>34</v>
      </c>
      <c r="O423" s="29">
        <v>0.95486111111111116</v>
      </c>
      <c r="P423" s="29"/>
      <c r="Q423" s="35">
        <f t="shared" ca="1" si="104"/>
        <v>6.5884259311133064E-3</v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/>
      <c r="H424" s="134" t="str">
        <f>IFERROR(IF($G424="","",$G424*$S$432/$G$432/Cadastro!$E$33),"")</f>
        <v/>
      </c>
      <c r="I424" s="135">
        <f>IFERROR(IF($D424="","",VLOOKUP($D424,Cadastro!$C$4:$G$7,5,FALSE)),"")</f>
        <v>0.6</v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/>
      <c r="H425" s="134" t="str">
        <f>IFERROR(IF($G425="","",$G425*$S$432/$G$432/Cadastro!$E$33),"")</f>
        <v/>
      </c>
      <c r="I425" s="135">
        <f>IFERROR(IF($D425="","",VLOOKUP($D425,Cadastro!$C$4:$G$7,5,FALSE)),"")</f>
        <v>0.6</v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/>
      <c r="H426" s="134" t="str">
        <f>IFERROR(IF($G426="","",$G426*$S$432/$G$432/Cadastro!$E$33),"")</f>
        <v/>
      </c>
      <c r="I426" s="135">
        <f>IFERROR(IF($D426="","",VLOOKUP($D426,Cadastro!$C$4:$G$7,5,FALSE)),"")</f>
        <v>0.6</v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/>
      <c r="H427" s="134" t="str">
        <f>IFERROR(IF($G427="","",$G427*$S$432/$G$432/Cadastro!$E$33),"")</f>
        <v/>
      </c>
      <c r="I427" s="135">
        <f>IFERROR(IF($D427="","",VLOOKUP($D427,Cadastro!$C$4:$G$7,5,FALSE)),"")</f>
        <v>0.6</v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/>
      <c r="H428" s="134" t="str">
        <f>IFERROR(IF($G428="","",$G428*$S$432/$G$432/Cadastro!$E$33),"")</f>
        <v/>
      </c>
      <c r="I428" s="135">
        <f>IFERROR(IF($D428="","",VLOOKUP($D428,Cadastro!$C$4:$G$7,5,FALSE)),"")</f>
        <v>0.6</v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/>
      <c r="H429" s="134" t="str">
        <f>IFERROR(IF($G429="","",$G429*$S$432/$G$432/Cadastro!$E$33),"")</f>
        <v/>
      </c>
      <c r="I429" s="135">
        <f>IFERROR(IF($D429="","",VLOOKUP($D429,Cadastro!$C$4:$G$7,5,FALSE)),"")</f>
        <v>0.6</v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/>
      <c r="H430" s="134" t="str">
        <f>IFERROR(IF($G430="","",$G430*$S$432/$G$432/Cadastro!$E$33),"")</f>
        <v/>
      </c>
      <c r="I430" s="135">
        <f>IFERROR(IF($D430="","",VLOOKUP($D430,Cadastro!$C$4:$G$7,5,FALSE)),"")</f>
        <v>0.6</v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/>
      <c r="H431" s="137" t="str">
        <f>IFERROR(IF($G431="","",$G431*$S$432/$G$432/Cadastro!$E$33),"")</f>
        <v/>
      </c>
      <c r="I431" s="138">
        <f>IFERROR(IF($D431="","",VLOOKUP($D431,Cadastro!$C$4:$G$7,5,FALSE)),"")</f>
        <v>0.6</v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58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243.60000000000002</v>
      </c>
      <c r="L432" s="37"/>
      <c r="M432" s="37"/>
      <c r="N432" s="37"/>
      <c r="O432" s="61"/>
      <c r="P432" s="61"/>
      <c r="Q432" s="38">
        <f ca="1">IFERROR(SUM(Q420:Q431),"")</f>
        <v>3.506064815333565E-2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200</v>
      </c>
      <c r="H433" s="112">
        <f>IFERROR(H419+H432,"")</f>
        <v>627.40999999999985</v>
      </c>
      <c r="I433" s="116"/>
      <c r="J433" s="125">
        <f>IFERROR(J419+J432,"")</f>
        <v>90.347039999999993</v>
      </c>
      <c r="K433" s="40">
        <f>K419+K432</f>
        <v>840.00000000000011</v>
      </c>
      <c r="L433" s="41"/>
      <c r="M433" s="41"/>
      <c r="N433" s="41"/>
      <c r="O433" s="63"/>
      <c r="P433" s="63"/>
      <c r="Q433" s="42">
        <f ca="1">IFERROR(Q419+Q432,"")</f>
        <v>0.15033842593111346</v>
      </c>
      <c r="R433" s="40" t="s">
        <v>249</v>
      </c>
      <c r="S433" s="48">
        <f>IFERROR(S419+S432,"")</f>
        <v>627410</v>
      </c>
      <c r="T433" s="121">
        <f>IFERROR(J433,"")</f>
        <v>90.347039999999993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bvw+RGYaUQuFq9Nz3KeyxCGoE7oj3kds1lTfP/UkR9+s3IwCE9QDw5zVVtvRw8iwUwoh3tcyVO+EuOGXUPyC4A==" saltValue="MBjXyA7K/JEGpLssZ3ih0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2026-08-17T03:04:59Z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