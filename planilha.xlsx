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216" documentId="8_{AF585B22-221D-4780-BB9C-493D365A6A02}" xr6:coauthVersionLast="47" xr6:coauthVersionMax="47" xr10:uidLastSave="{F3DF3AEE-9CC6-4A04-83D0-0E85D779C3CE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<sst xmlns="http://schemas.openxmlformats.org/spreadsheetml/2006/main" count="7187" uniqueCount="342">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</sst>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1241480</v>
      </c>
      <c r="D20" s="8">
        <f>IFERROR('Linha 1'!O460,"")</f>
        <v>739430</v>
      </c>
      <c r="E20" s="8">
        <f>IFERROR('Linha 2'!O460,"")</f>
        <v>141330</v>
      </c>
      <c r="F20" s="8">
        <f>IFERROR('Linha 3'!O460,"")</f>
        <v>738370</v>
      </c>
      <c r="G20" s="9">
        <f t="shared" si="0"/>
        <v>1619130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49565442</v>
      </c>
      <c r="D35" s="13">
        <f>IFERROR(SUM(D4:D34),"")</f>
        <v>18504560</v>
      </c>
      <c r="E35" s="13">
        <f>IFERROR(SUM(E4:E34),"")</f>
        <v>11786760</v>
      </c>
      <c r="F35" s="13">
        <f>IFERROR(SUM(F4:F34),"")</f>
        <v>22776130</v>
      </c>
      <c r="G35" s="13">
        <f>IFERROR(SUM(G4:G34),"")</f>
        <v>53067450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19" sqref="J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/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34" activePane="bottomLeft" state="frozen"/>
      <selection pane="bottomLeft" activeCell="F447" sqref="F44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223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227</v>
      </c>
      <c r="O27" s="39">
        <v>1183060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227</v>
      </c>
      <c r="O54" s="39">
        <v>959290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227</v>
      </c>
      <c r="O81" s="39">
        <v>878050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227</v>
      </c>
      <c r="O108" s="39">
        <v>1700000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227</v>
      </c>
      <c r="O135" s="39">
        <v>862330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227</v>
      </c>
      <c r="O162" s="44">
        <v>1546080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227</v>
      </c>
      <c r="O189" s="39">
        <v>2355810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227</v>
      </c>
      <c r="O216" s="45">
        <v>2013260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227</v>
      </c>
      <c r="O243" s="39">
        <v>1545480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227</v>
      </c>
      <c r="O270" s="39">
        <v>1182690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238</v>
      </c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227</v>
      </c>
      <c r="O297" s="39">
        <v>1843460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240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227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241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241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241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241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227</v>
      </c>
      <c r="O324" s="39">
        <v>1940000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230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227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227</v>
      </c>
      <c r="O351" s="39">
        <v>701874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230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243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227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227</v>
      </c>
      <c r="O378" s="39">
        <v>1088710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230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244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245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227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246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227</v>
      </c>
      <c r="O405" s="39">
        <v>1202270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230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247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248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249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249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227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227</v>
      </c>
      <c r="O432" s="39">
        <v>1801910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230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227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251</v>
      </c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251</v>
      </c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251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251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251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251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251</v>
      </c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251</v>
      </c>
      <c r="F454" s="27"/>
      <c r="G454" s="28" t="str">
        <f>IF(F454="","",IF(#REF!="PC 17",F454*4.2,IF(#REF!="PC 19",F454*5,"")))</f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251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251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251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251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179</v>
      </c>
      <c r="G460" s="40">
        <f>G446+G459</f>
        <v>895</v>
      </c>
      <c r="H460" s="41"/>
      <c r="I460" s="41"/>
      <c r="J460" s="41"/>
      <c r="K460" s="41"/>
      <c r="L460" s="41"/>
      <c r="M460" s="42">
        <f ca="1">IFERROR(M446+M459,"")</f>
        <v>0.23750000000000004</v>
      </c>
      <c r="N460" s="40" t="s">
        <v>230</v>
      </c>
      <c r="O460" s="48">
        <f>IFERROR(O446+O459,"")</f>
        <v>1241480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59" t="s">
        <v>224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33" activePane="bottomLeft" state="frozen"/>
      <selection pane="bottomLeft" activeCell="E447" sqref="E44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227</v>
      </c>
      <c r="O27" s="78">
        <v>393200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251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85">
        <v>276360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227</v>
      </c>
      <c r="O81" s="54">
        <v>787860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227</v>
      </c>
      <c r="O108" s="54">
        <v>1087080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227</v>
      </c>
      <c r="O135" s="54">
        <v>794480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227</v>
      </c>
      <c r="O162" s="54">
        <v>882280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227</v>
      </c>
      <c r="O189" s="78"/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227</v>
      </c>
      <c r="O216" s="78">
        <v>648410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227</v>
      </c>
      <c r="O243" s="78">
        <v>849060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227</v>
      </c>
      <c r="O270" s="78">
        <v>625070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227</v>
      </c>
      <c r="O297" s="78">
        <v>761660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277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227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278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227</v>
      </c>
      <c r="O324" s="78">
        <v>524410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230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227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281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282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227</v>
      </c>
      <c r="O351" s="78">
        <v>598420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230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227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0.56462893518619239</v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0.72226782407508128</v>
      </c>
      <c r="N378" s="36" t="s">
        <v>227</v>
      </c>
      <c r="O378" s="78">
        <v>511980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0.83199004629730344</v>
      </c>
      <c r="N379" s="40" t="s">
        <v>230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266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283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227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284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242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227</v>
      </c>
      <c r="O405" s="78">
        <v>552440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230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227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0.54310115741100162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228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0.71393449074433502</v>
      </c>
      <c r="N432" s="36" t="s">
        <v>227</v>
      </c>
      <c r="O432" s="78">
        <v>484540</v>
      </c>
    </row>
    <row r="433" spans="1:15" ht="18" customHeight="1">
      <c r="A433" s="94" t="s">
        <v>229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0.85907337963322394</v>
      </c>
      <c r="N433" s="40" t="s">
        <v>230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287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227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/>
      <c r="E447" s="62" t="s">
        <v>224</v>
      </c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78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198</v>
      </c>
      <c r="G460" s="40">
        <f>G446+G459</f>
        <v>831.60000000000014</v>
      </c>
      <c r="H460" s="41"/>
      <c r="I460" s="41"/>
      <c r="J460" s="41"/>
      <c r="K460" s="41"/>
      <c r="L460" s="41"/>
      <c r="M460" s="42">
        <f ca="1">IFERROR(M446+M459,"")</f>
        <v>6.9444444444444475E-2</v>
      </c>
      <c r="N460" s="40" t="s">
        <v>230</v>
      </c>
      <c r="O460" s="84">
        <f>IFERROR(O446+O459,"")</f>
        <v>739430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78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78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78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78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78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78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78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78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78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78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33" zoomScale="50" zoomScaleNormal="50" workbookViewId="0">
      <selection activeCell="H475" sqref="H47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227</v>
      </c>
      <c r="O27" s="39">
        <v>308500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39">
        <v>124290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227</v>
      </c>
      <c r="O81" s="39">
        <v>396340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227</v>
      </c>
      <c r="O108" s="39">
        <v>41230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227</v>
      </c>
      <c r="O135" s="39">
        <v>381250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265</v>
      </c>
      <c r="K141" s="29">
        <v>0.71597222222222223</v>
      </c>
      <c r="L141" s="29" t="s">
        <v>295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227</v>
      </c>
      <c r="O162" s="39">
        <v>337120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297</v>
      </c>
      <c r="N166" s="27" t="s">
        <v>298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227</v>
      </c>
      <c r="O189" s="39">
        <v>747210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227</v>
      </c>
      <c r="O216" s="39">
        <v>468430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227</v>
      </c>
      <c r="O243" s="39">
        <v>575930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227</v>
      </c>
      <c r="O270" s="39">
        <v>483510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227</v>
      </c>
      <c r="O297" s="39">
        <v>487980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227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227</v>
      </c>
      <c r="O324" s="39">
        <v>609460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230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227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227</v>
      </c>
      <c r="O351" s="39">
        <v>437940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230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227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227</v>
      </c>
      <c r="O378" s="39">
        <v>473310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230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227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227</v>
      </c>
      <c r="O405" s="39">
        <v>507450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230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251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227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227</v>
      </c>
      <c r="O432" s="39">
        <v>229150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230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227</v>
      </c>
      <c r="O446" s="39">
        <v>141330</v>
      </c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35</v>
      </c>
      <c r="G460" s="40">
        <f>G446+G459</f>
        <v>147.00000000000003</v>
      </c>
      <c r="H460" s="41"/>
      <c r="I460" s="41"/>
      <c r="J460" s="41"/>
      <c r="K460" s="41"/>
      <c r="L460" s="41"/>
      <c r="M460" s="42">
        <f ca="1">IFERROR(M446+M459,"")</f>
        <v>0.19791666666666674</v>
      </c>
      <c r="N460" s="40" t="s">
        <v>230</v>
      </c>
      <c r="O460" s="48">
        <f>IFERROR(O446+O459,"")</f>
        <v>141330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33" activePane="bottomLeft" state="frozen"/>
      <selection pane="bottomLeft" activeCell="J447" sqref="J44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227</v>
      </c>
      <c r="O27" s="39">
        <v>202230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227</v>
      </c>
      <c r="O54" s="39">
        <v>473910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313</v>
      </c>
      <c r="L58" s="29">
        <v>0.54097222222222219</v>
      </c>
      <c r="M58" s="30" t="str">
        <f t="shared" ca="1" si="13"/>
        <v/>
      </c>
      <c r="N58" s="27" t="s">
        <v>314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227</v>
      </c>
      <c r="O81" s="39">
        <v>565120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227</v>
      </c>
      <c r="O108" s="39">
        <v>558590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0.55490671296865912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0.75421226852421475</v>
      </c>
      <c r="N135" s="36" t="s">
        <v>227</v>
      </c>
      <c r="O135" s="39">
        <v>729290</v>
      </c>
    </row>
    <row r="136" spans="1:18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1.1215733796353258</v>
      </c>
      <c r="N136" s="40" t="s">
        <v>230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227</v>
      </c>
      <c r="O162" s="39">
        <v>697320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251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227</v>
      </c>
      <c r="O189" s="39">
        <v>973580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227</v>
      </c>
      <c r="O216" s="45">
        <v>1060630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227</v>
      </c>
      <c r="O243" s="39">
        <v>982340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227</v>
      </c>
      <c r="O270" s="39">
        <v>1208450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227</v>
      </c>
      <c r="O297" s="39">
        <v>1049090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334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227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260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227</v>
      </c>
      <c r="O324" s="39">
        <v>1063720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230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226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227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336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227</v>
      </c>
      <c r="O351" s="39">
        <v>696140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230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226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227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227</v>
      </c>
      <c r="O378" s="39">
        <v>704750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230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338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325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227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339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340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227</v>
      </c>
      <c r="O405" s="39">
        <v>958130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230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227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341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227</v>
      </c>
      <c r="O432" s="39">
        <v>605220</v>
      </c>
    </row>
    <row r="433" spans="1:17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230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227</v>
      </c>
      <c r="O446" s="39">
        <v>738370</v>
      </c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/>
      <c r="M447" s="35">
        <f t="shared" ref="M447:M458" ca="1" si="100">IFERROR(IF(K447="","",IF(L447="",MOD(NOW()-K447,1),IF(L447&gt;=K447,L447-K447,L447+1-K447))),"")</f>
        <v>1.2545601857709698E-2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1.2545601857709698E-2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195</v>
      </c>
      <c r="G460" s="40">
        <f>G446+G459</f>
        <v>819</v>
      </c>
      <c r="H460" s="41"/>
      <c r="I460" s="41"/>
      <c r="J460" s="41"/>
      <c r="K460" s="63"/>
      <c r="L460" s="63"/>
      <c r="M460" s="42">
        <f ca="1">IFERROR(M446+M459,"")</f>
        <v>6.3240046302154296E-2</v>
      </c>
      <c r="N460" s="40" t="s">
        <v>230</v>
      </c>
      <c r="O460" s="48">
        <f>IFERROR(O446+O459,"")</f>
        <v>738370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2026-07-17T23:18:36Z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