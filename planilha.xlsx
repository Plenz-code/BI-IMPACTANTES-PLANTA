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77" documentId="8_{AF585B22-221D-4780-BB9C-493D365A6A02}" xr6:coauthVersionLast="47" xr6:coauthVersionMax="47" xr10:uidLastSave="{1EE73CEC-53C8-4208-BAB5-1885D1202B5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<sst xmlns="http://schemas.openxmlformats.org/spreadsheetml/2006/main" count="3105" uniqueCount="254">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</sst>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5" activePane="bottomLeft" state="frozen"/>
      <selection pane="bottomLeft" activeCell="F157" sqref="F1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190</v>
      </c>
      <c r="G162" s="36">
        <f>SUM(G150:G161)</f>
        <v>950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49" activePane="bottomLeft" state="frozen"/>
      <selection pane="bottomLeft" activeCell="F156" sqref="F1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121</v>
      </c>
      <c r="G162" s="36">
        <f>SUM(G150:G161)</f>
        <v>534.6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216</v>
      </c>
      <c r="G163" s="40">
        <f>G149+G162</f>
        <v>1009.6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43" activePane="bottomLeft" state="frozen"/>
      <selection pane="bottomLeft" activeCell="F157" sqref="F1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/>
      <c r="M150" s="30">
        <f t="shared" ref="M150:M161" ca="1" si="34">IFERROR(IF(K150="","",IF(L150="",MOD(NOW()-K150,1),IF(L150&gt;=K150,L150-K150,L150+1-K150))),"")</f>
        <v>2.3892129633168224E-2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68</v>
      </c>
      <c r="G162" s="36">
        <f>SUM(G150:G161)</f>
        <v>300</v>
      </c>
      <c r="H162" s="37"/>
      <c r="I162" s="37"/>
      <c r="J162" s="37"/>
      <c r="K162" s="37"/>
      <c r="L162" s="37"/>
      <c r="M162" s="38">
        <f ca="1">IFERROR(SUM(M150:M161),"")</f>
        <v>2.3892129633168224E-2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186</v>
      </c>
      <c r="G163" s="40">
        <f>G149+G162</f>
        <v>890</v>
      </c>
      <c r="H163" s="41"/>
      <c r="I163" s="41"/>
      <c r="J163" s="41"/>
      <c r="K163" s="41"/>
      <c r="L163" s="41"/>
      <c r="M163" s="42">
        <f ca="1">IFERROR(M149+M162,"")</f>
        <v>7.944768518872386E-2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7" activePane="bottomLeft" state="frozen"/>
      <selection pane="bottomLeft" activeCell="F157" sqref="F1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242</v>
      </c>
      <c r="L58" s="29">
        <v>0.54097222222222219</v>
      </c>
      <c r="M58" s="30" t="str">
        <f t="shared" ca="1" si="13"/>
        <v/>
      </c>
      <c r="N58" s="27" t="s">
        <v>243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0.8370865740798763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1.0363921296354319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1.403753240746543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110</v>
      </c>
      <c r="G162" s="36">
        <f>SUM(G150:G161)</f>
        <v>486.00000000000006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331</v>
      </c>
      <c r="G163" s="40">
        <f>G149+G162</f>
        <v>1591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2026-07-07T06:04:54Z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