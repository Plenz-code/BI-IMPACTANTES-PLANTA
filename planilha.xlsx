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93" documentId="8_{AF585B22-221D-4780-BB9C-493D365A6A02}" xr6:coauthVersionLast="47" xr6:coauthVersionMax="47" xr10:uidLastSave="{6834CD23-0B42-44E6-BCB1-6D2FAE46ABE6}"/>
  <bookViews>
    <workbookView xWindow="-110" yWindow="-110" windowWidth="25820" windowHeight="15500" tabRatio="500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<sst xmlns="http://schemas.openxmlformats.org/spreadsheetml/2006/main" count="5912" uniqueCount="314">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</sst>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D22" sqref="D22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6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6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6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96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96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96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96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96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96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96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96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96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96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96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96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96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96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96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96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96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96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96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96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96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96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96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96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96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96"/>
      <c r="I54" s="16"/>
      <c r="J54" s="16"/>
      <c r="K54" s="16" t="s">
        <v>196</v>
      </c>
      <c r="L54" s="16"/>
      <c r="M54" s="16"/>
    </row>
    <row r="55" spans="1:13" ht="15" customHeight="1">
      <c r="H55" s="96"/>
      <c r="I55" s="17"/>
      <c r="J55" s="17"/>
      <c r="K55" s="17" t="s">
        <v>197</v>
      </c>
      <c r="L55" s="17"/>
      <c r="M55" s="17"/>
    </row>
    <row r="56" spans="1:13" ht="15" customHeight="1">
      <c r="H56" s="96"/>
      <c r="I56" s="16"/>
      <c r="J56" s="16"/>
      <c r="K56" s="16" t="s">
        <v>198</v>
      </c>
      <c r="L56" s="16"/>
      <c r="M56" s="16"/>
    </row>
    <row r="57" spans="1:13" ht="15" customHeight="1">
      <c r="H57" s="96"/>
      <c r="I57" s="17"/>
      <c r="J57" s="17"/>
      <c r="K57" s="17" t="s">
        <v>50</v>
      </c>
      <c r="L57" s="17"/>
      <c r="M57" s="17"/>
    </row>
    <row r="58" spans="1:13" ht="15" customHeight="1">
      <c r="H58" s="96"/>
      <c r="I58" s="16"/>
      <c r="J58" s="16"/>
      <c r="K58" s="16" t="s">
        <v>199</v>
      </c>
      <c r="L58" s="16"/>
      <c r="M58" s="16"/>
    </row>
    <row r="59" spans="1:13" ht="15" customHeight="1">
      <c r="H59" s="96"/>
      <c r="I59" s="17"/>
      <c r="J59" s="17"/>
      <c r="K59" s="17" t="s">
        <v>200</v>
      </c>
      <c r="L59" s="17"/>
      <c r="M59" s="17"/>
    </row>
    <row r="60" spans="1:13" ht="15" customHeight="1">
      <c r="H60" s="96"/>
      <c r="I60" s="16"/>
      <c r="J60" s="16"/>
      <c r="K60" s="87" t="s">
        <v>105</v>
      </c>
      <c r="L60" s="16"/>
      <c r="M60" s="16"/>
    </row>
    <row r="61" spans="1:13" ht="15" customHeight="1">
      <c r="H61" s="96"/>
      <c r="I61" s="17"/>
      <c r="J61" s="17"/>
      <c r="K61" s="17" t="s">
        <v>201</v>
      </c>
      <c r="L61" s="17"/>
      <c r="M61" s="17"/>
    </row>
    <row r="62" spans="1:13" ht="15" customHeight="1">
      <c r="H62" s="96"/>
      <c r="I62" s="16"/>
      <c r="J62" s="16"/>
      <c r="K62" s="16" t="s">
        <v>202</v>
      </c>
      <c r="L62" s="16"/>
      <c r="M62" s="16"/>
    </row>
    <row r="63" spans="1:13" ht="15" customHeight="1">
      <c r="H63" s="96"/>
      <c r="I63" s="17"/>
      <c r="J63" s="17"/>
      <c r="K63" s="17" t="s">
        <v>203</v>
      </c>
      <c r="L63" s="17"/>
      <c r="M63" s="17"/>
    </row>
    <row r="64" spans="1:13" ht="15" customHeight="1">
      <c r="H64" s="96"/>
      <c r="I64" s="16"/>
      <c r="J64" s="16"/>
      <c r="K64" s="16" t="s">
        <v>204</v>
      </c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3" activePane="bottomLeft" state="frozen"/>
      <selection pane="bottomLeft" activeCell="I353" sqref="I3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11</v>
      </c>
      <c r="G365" s="36">
        <f>SUM(G353:G364)</f>
        <v>55</v>
      </c>
      <c r="H365" s="37"/>
      <c r="I365" s="37"/>
      <c r="J365" s="37"/>
      <c r="K365" s="37"/>
      <c r="L365" s="37"/>
      <c r="M365" s="38">
        <f ca="1">IFERROR(SUM(M353:M364),"")</f>
        <v>6.944444444444442E-2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55</v>
      </c>
      <c r="H379" s="41"/>
      <c r="I379" s="41"/>
      <c r="J379" s="41"/>
      <c r="K379" s="41"/>
      <c r="L379" s="41"/>
      <c r="M379" s="42">
        <f ca="1">IFERROR(M365+M378,"")</f>
        <v>6.944444444444442E-2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2" activePane="bottomLeft" state="frozen"/>
      <selection pane="bottomLeft" activeCell="J352" sqref="J3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26</v>
      </c>
      <c r="G365" s="36">
        <f>SUM(G353:G364)</f>
        <v>109.2</v>
      </c>
      <c r="H365" s="37"/>
      <c r="I365" s="37"/>
      <c r="J365" s="37"/>
      <c r="K365" s="37"/>
      <c r="L365" s="37"/>
      <c r="M365" s="38">
        <f ca="1">IFERROR(SUM(M353:M364),"")</f>
        <v>6.2499999999999778E-3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26</v>
      </c>
      <c r="G379" s="40">
        <f>G365+G378</f>
        <v>109.2</v>
      </c>
      <c r="H379" s="41"/>
      <c r="I379" s="41"/>
      <c r="J379" s="41"/>
      <c r="K379" s="41"/>
      <c r="L379" s="41"/>
      <c r="M379" s="42">
        <f ca="1">IFERROR(M365+M378,"")</f>
        <v>6.2499999999999778E-3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52" zoomScale="50" zoomScaleNormal="50" workbookViewId="0">
      <selection activeCell="J353" sqref="J3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218</v>
      </c>
      <c r="B338" s="102"/>
      <c r="C338" s="102"/>
      <c r="D338" s="102"/>
      <c r="E338" s="103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0.11100648148567416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218</v>
      </c>
      <c r="B365" s="102"/>
      <c r="C365" s="102"/>
      <c r="D365" s="102"/>
      <c r="E365" s="103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0.11100648148567416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0.11100648148567416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J397" sqref="J3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218</v>
      </c>
      <c r="B14" s="102"/>
      <c r="C14" s="102"/>
      <c r="D14" s="102"/>
      <c r="E14" s="10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220</v>
      </c>
      <c r="B27" s="102"/>
      <c r="C27" s="102"/>
      <c r="D27" s="102"/>
      <c r="E27" s="10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8" t="s">
        <v>221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218</v>
      </c>
      <c r="B41" s="102"/>
      <c r="C41" s="102"/>
      <c r="D41" s="102"/>
      <c r="E41" s="10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220</v>
      </c>
      <c r="B54" s="102"/>
      <c r="C54" s="102"/>
      <c r="D54" s="102"/>
      <c r="E54" s="10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8" t="s">
        <v>221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218</v>
      </c>
      <c r="B68" s="102"/>
      <c r="C68" s="102"/>
      <c r="D68" s="102"/>
      <c r="E68" s="10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220</v>
      </c>
      <c r="B81" s="102"/>
      <c r="C81" s="102"/>
      <c r="D81" s="102"/>
      <c r="E81" s="10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8" t="s">
        <v>221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218</v>
      </c>
      <c r="B95" s="102"/>
      <c r="C95" s="102"/>
      <c r="D95" s="102"/>
      <c r="E95" s="10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220</v>
      </c>
      <c r="B108" s="102"/>
      <c r="C108" s="102"/>
      <c r="D108" s="102"/>
      <c r="E108" s="10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8" t="s">
        <v>221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218</v>
      </c>
      <c r="B122" s="102"/>
      <c r="C122" s="102"/>
      <c r="D122" s="102"/>
      <c r="E122" s="10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0.15336759259662358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220</v>
      </c>
      <c r="B135" s="102"/>
      <c r="C135" s="102"/>
      <c r="D135" s="102"/>
      <c r="E135" s="10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0.35267314815217921</v>
      </c>
      <c r="N135" s="36" t="s">
        <v>219</v>
      </c>
      <c r="O135" s="39">
        <v>729290</v>
      </c>
    </row>
    <row r="136" spans="1:18" ht="18" customHeight="1">
      <c r="A136" s="98" t="s">
        <v>221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0.72003425926329023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218</v>
      </c>
      <c r="B149" s="102"/>
      <c r="C149" s="102"/>
      <c r="D149" s="102"/>
      <c r="E149" s="10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220</v>
      </c>
      <c r="B162" s="102"/>
      <c r="C162" s="102"/>
      <c r="D162" s="102"/>
      <c r="E162" s="10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8" t="s">
        <v>221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218</v>
      </c>
      <c r="B176" s="102"/>
      <c r="C176" s="102"/>
      <c r="D176" s="102"/>
      <c r="E176" s="10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220</v>
      </c>
      <c r="B189" s="102"/>
      <c r="C189" s="102"/>
      <c r="D189" s="102"/>
      <c r="E189" s="10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8" t="s">
        <v>221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218</v>
      </c>
      <c r="B203" s="102"/>
      <c r="C203" s="102"/>
      <c r="D203" s="102"/>
      <c r="E203" s="10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220</v>
      </c>
      <c r="B216" s="102"/>
      <c r="C216" s="102"/>
      <c r="D216" s="102"/>
      <c r="E216" s="10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8" t="s">
        <v>221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218</v>
      </c>
      <c r="B230" s="102"/>
      <c r="C230" s="102"/>
      <c r="D230" s="102"/>
      <c r="E230" s="10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220</v>
      </c>
      <c r="B243" s="102"/>
      <c r="C243" s="102"/>
      <c r="D243" s="102"/>
      <c r="E243" s="10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8" t="s">
        <v>221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218</v>
      </c>
      <c r="B257" s="102"/>
      <c r="C257" s="102"/>
      <c r="D257" s="102"/>
      <c r="E257" s="10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220</v>
      </c>
      <c r="B270" s="102"/>
      <c r="C270" s="102"/>
      <c r="D270" s="102"/>
      <c r="E270" s="10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8" t="s">
        <v>221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218</v>
      </c>
      <c r="B284" s="102"/>
      <c r="C284" s="102"/>
      <c r="D284" s="102"/>
      <c r="E284" s="10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220</v>
      </c>
      <c r="B297" s="102"/>
      <c r="C297" s="102"/>
      <c r="D297" s="102"/>
      <c r="E297" s="10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8" t="s">
        <v>221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218</v>
      </c>
      <c r="B311" s="102"/>
      <c r="C311" s="102"/>
      <c r="D311" s="102"/>
      <c r="E311" s="10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220</v>
      </c>
      <c r="B324" s="102"/>
      <c r="C324" s="102"/>
      <c r="D324" s="102"/>
      <c r="E324" s="10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8" t="s">
        <v>221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218</v>
      </c>
      <c r="B338" s="102"/>
      <c r="C338" s="102"/>
      <c r="D338" s="102"/>
      <c r="E338" s="103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220</v>
      </c>
      <c r="B351" s="102"/>
      <c r="C351" s="102"/>
      <c r="D351" s="102"/>
      <c r="E351" s="103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8" t="s">
        <v>221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</v>
      </c>
      <c r="G365" s="36">
        <f>SUM(G353:G364)</f>
        <v>46.2</v>
      </c>
      <c r="H365" s="37"/>
      <c r="I365" s="37"/>
      <c r="J365" s="37"/>
      <c r="K365" s="61"/>
      <c r="L365" s="61"/>
      <c r="M365" s="38">
        <f ca="1">IFERROR(SUM(M353:M364),"")</f>
        <v>5.5555555555555913E-3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220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8" t="s">
        <v>221</v>
      </c>
      <c r="B379" s="99"/>
      <c r="C379" s="99"/>
      <c r="D379" s="99"/>
      <c r="E379" s="100">
        <f>E365+E378</f>
        <v>0</v>
      </c>
      <c r="F379" s="40">
        <f>F365+F378</f>
        <v>11</v>
      </c>
      <c r="G379" s="40">
        <f>G365+G378</f>
        <v>46.2</v>
      </c>
      <c r="H379" s="41"/>
      <c r="I379" s="41"/>
      <c r="J379" s="41"/>
      <c r="K379" s="63"/>
      <c r="L379" s="63"/>
      <c r="M379" s="42">
        <f ca="1">IFERROR(M365+M378,"")</f>
        <v>5.5555555555555913E-3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218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220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8" t="s">
        <v>221</v>
      </c>
      <c r="B406" s="99"/>
      <c r="C406" s="99"/>
      <c r="D406" s="99"/>
      <c r="E406" s="10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218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220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8" t="s">
        <v>221</v>
      </c>
      <c r="B433" s="99"/>
      <c r="C433" s="99"/>
      <c r="D433" s="99"/>
      <c r="E433" s="10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218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220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8" t="s">
        <v>221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218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220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8" t="s">
        <v>221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218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220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8" t="s">
        <v>221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218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220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8" t="s">
        <v>221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218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1" t="s">
        <v>220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8" t="s">
        <v>221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218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220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8" t="s">
        <v>221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218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220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8" t="s">
        <v>221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218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220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8" t="s">
        <v>221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218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220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8" t="s">
        <v>221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218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220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8" t="s">
        <v>221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218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220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8" t="s">
        <v>221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218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220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8" t="s">
        <v>221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218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220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8" t="s">
        <v>221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218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220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8" t="s">
        <v>221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2026-07-14T13:40:13Z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