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574" documentId="13_ncr:1_{0A10D8D4-8450-4366-8075-B53B08E6B7EA}" xr6:coauthVersionLast="47" xr6:coauthVersionMax="47" xr10:uidLastSave="{81DF51F5-8118-45DC-A10D-85D4A22630DE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2" i="5"/>
  <c r="J382" i="5" s="1"/>
  <c r="H383" i="5"/>
  <c r="J383" i="5" s="1"/>
  <c r="H384" i="5"/>
  <c r="J384" i="5" s="1"/>
  <c r="H385" i="5"/>
  <c r="J385" i="5" s="1"/>
  <c r="H386" i="5"/>
  <c r="J386" i="5" s="1"/>
  <c r="H387" i="5"/>
  <c r="J387" i="5" s="1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2" i="4"/>
  <c r="J382" i="4" s="1"/>
  <c r="H383" i="4"/>
  <c r="J383" i="4" s="1"/>
  <c r="H384" i="4"/>
  <c r="J384" i="4" s="1"/>
  <c r="H385" i="4"/>
  <c r="J385" i="4" s="1"/>
  <c r="H386" i="4"/>
  <c r="J386" i="4" s="1"/>
  <c r="H387" i="4"/>
  <c r="J387" i="4" s="1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81" i="6" s="1"/>
  <c r="J38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80" i="5" l="1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<sst xmlns="http://schemas.openxmlformats.org/spreadsheetml/2006/main" count="6722" uniqueCount="349">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</sst>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1857.2764685373518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F382" sqref="F382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53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53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53</v>
      </c>
      <c r="D382" s="59" t="s">
        <v>29</v>
      </c>
      <c r="E382" s="20" t="s">
        <v>243</v>
      </c>
      <c r="F382" s="27"/>
      <c r="G382" s="28" t="str">
        <f>IF(F382="","",IF(E383="PC 17",F382*4.2,IF(E383="PC 19",F382*5,IF(E383="CB",F382*35,""))))</f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53</v>
      </c>
      <c r="D383" s="59" t="s">
        <v>29</v>
      </c>
      <c r="E383" s="59" t="s">
        <v>243</v>
      </c>
      <c r="F383" s="27"/>
      <c r="G383" s="34" t="str">
        <f>IF(F383="","",IF(#REF!="PC 17",F383*4.2,IF(#REF!="PC 19",F383*5,IF(#REF!="CB",F383*35,""))))</f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53</v>
      </c>
      <c r="D384" s="59" t="s">
        <v>29</v>
      </c>
      <c r="E384" s="59" t="s">
        <v>243</v>
      </c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53</v>
      </c>
      <c r="D385" s="59" t="s">
        <v>29</v>
      </c>
      <c r="E385" s="59" t="s">
        <v>243</v>
      </c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53</v>
      </c>
      <c r="D386" s="59" t="s">
        <v>29</v>
      </c>
      <c r="E386" s="59" t="s">
        <v>243</v>
      </c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53</v>
      </c>
      <c r="D387" s="59" t="s">
        <v>29</v>
      </c>
      <c r="E387" s="59" t="s">
        <v>243</v>
      </c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53</v>
      </c>
      <c r="D388" s="59" t="s">
        <v>29</v>
      </c>
      <c r="E388" s="59" t="s">
        <v>243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53</v>
      </c>
      <c r="D389" s="59" t="s">
        <v>29</v>
      </c>
      <c r="E389" s="59" t="s">
        <v>243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53</v>
      </c>
      <c r="D390" s="59" t="s">
        <v>29</v>
      </c>
      <c r="E390" s="59" t="s">
        <v>243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53</v>
      </c>
      <c r="D391" s="59" t="s">
        <v>29</v>
      </c>
      <c r="E391" s="59" t="s">
        <v>243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27</v>
      </c>
      <c r="G392" s="36">
        <f>SUM(G380:G391)</f>
        <v>135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27</v>
      </c>
      <c r="G406" s="40">
        <f>G392+G405</f>
        <v>135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49" activePane="bottomLeft" state="frozen"/>
      <selection pane="bottomLeft" activeCell="D391" sqref="D39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0.27850914351438405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0.41739803240327294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0.50212025462549525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 t="s">
        <v>259</v>
      </c>
      <c r="F380" s="140" t="str">
        <f>IFERROR(IF($D380="","",VLOOKUP($D380,Cadastro!$C$4:$E$7,3,FALSE)),"")</f>
        <v>b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 t="str">
        <f t="shared" ref="J380:J391" si="90">IFERROR(IF($H380="","",$H380*$F380*$I380),"")</f>
        <v/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82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37</v>
      </c>
      <c r="E381" s="108" t="s">
        <v>259</v>
      </c>
      <c r="F381" s="134" t="str">
        <f>IFERROR(IF($D381="","",VLOOKUP($D381,Cadastro!$C$4:$E$7,3,FALSE)),"")</f>
        <v>b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 t="str">
        <f t="shared" si="90"/>
        <v/>
      </c>
      <c r="K381" s="34">
        <f t="shared" si="91"/>
        <v>50.400000000000006</v>
      </c>
      <c r="L381" s="33" t="s">
        <v>27</v>
      </c>
      <c r="M381" s="33" t="s">
        <v>47</v>
      </c>
      <c r="N381" s="33" t="s">
        <v>44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90"/>
        <v/>
      </c>
      <c r="K382" s="28" t="str">
        <f t="shared" si="91"/>
        <v/>
      </c>
      <c r="L382" s="26" t="s">
        <v>27</v>
      </c>
      <c r="M382" s="26"/>
      <c r="N382" s="33" t="s">
        <v>82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29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121.80000000000001</v>
      </c>
      <c r="L392" s="37"/>
      <c r="M392" s="37"/>
      <c r="N392" s="37"/>
      <c r="O392" s="37"/>
      <c r="P392" s="37"/>
      <c r="Q392" s="38">
        <f ca="1">IFERROR(SUM(Q380:Q391),"")</f>
        <v>1.8749999999999989E-2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29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121.80000000000001</v>
      </c>
      <c r="L406" s="41"/>
      <c r="M406" s="41"/>
      <c r="N406" s="41"/>
      <c r="O406" s="41"/>
      <c r="P406" s="41"/>
      <c r="Q406" s="42">
        <f ca="1">IFERROR(Q392+Q405,"")</f>
        <v>1.8749999999999989E-2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82" sqref="G38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82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53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82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53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53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53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53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53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53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53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53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53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53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21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88.2</v>
      </c>
      <c r="L392" s="37"/>
      <c r="M392" s="37"/>
      <c r="N392" s="37"/>
      <c r="O392" s="37"/>
      <c r="P392" s="37"/>
      <c r="Q392" s="38">
        <f ca="1">IFERROR(SUM(Q380:Q391),"")</f>
        <v>1.1805555555555569E-2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21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88.2</v>
      </c>
      <c r="L406" s="41"/>
      <c r="M406" s="41"/>
      <c r="N406" s="41"/>
      <c r="O406" s="41"/>
      <c r="P406" s="41"/>
      <c r="Q406" s="42">
        <f ca="1">IFERROR(Q392+Q405,"")</f>
        <v>1.1805555555555569E-2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51" activePane="bottomLeft" state="frozen"/>
      <selection pane="bottomLeft" activeCell="G382" sqref="G38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65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122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122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33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138.60000000000002</v>
      </c>
      <c r="L392" s="37"/>
      <c r="M392" s="37"/>
      <c r="N392" s="37"/>
      <c r="O392" s="61"/>
      <c r="P392" s="61"/>
      <c r="Q392" s="38">
        <f ca="1">IFERROR(SUM(Q380:Q391),"")</f>
        <v>1.5277777777777779E-2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33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138.60000000000002</v>
      </c>
      <c r="L406" s="41"/>
      <c r="M406" s="41"/>
      <c r="N406" s="41"/>
      <c r="O406" s="63"/>
      <c r="P406" s="63"/>
      <c r="Q406" s="42">
        <f ca="1">IFERROR(Q392+Q405,"")</f>
        <v>1.5277777777777779E-2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2026-08-15T13:36:49Z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