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22" documentId="8_{AF585B22-221D-4780-BB9C-493D365A6A02}" xr6:coauthVersionLast="47" xr6:coauthVersionMax="47" xr10:uidLastSave="{97BE407F-088F-4922-89D4-AE0F55C4826D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<sst xmlns="http://schemas.openxmlformats.org/spreadsheetml/2006/main" count="10014" uniqueCount="391">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</sst>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L650" sqref="L6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/>
      <c r="M650" s="30">
        <f t="shared" ref="M650:M661" ca="1" si="145">IFERROR(IF(K650="","",IF(L650="",MOD(NOW()-K650,1),IF(L650&gt;=K650,L650-K650,L650+1-K650))),"")</f>
        <v>8.316898143675644E-3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308</v>
      </c>
      <c r="G662" s="36">
        <f>SUM(G650:G661)</f>
        <v>1540</v>
      </c>
      <c r="H662" s="37"/>
      <c r="I662" s="37"/>
      <c r="J662" s="37"/>
      <c r="K662" s="37"/>
      <c r="L662" s="37"/>
      <c r="M662" s="38">
        <f ca="1">IFERROR(SUM(M650:M661),"")</f>
        <v>8.316898143675644E-3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308</v>
      </c>
      <c r="G676" s="40">
        <f>G662+G675</f>
        <v>1540</v>
      </c>
      <c r="H676" s="41"/>
      <c r="I676" s="41"/>
      <c r="J676" s="41"/>
      <c r="K676" s="41"/>
      <c r="L676" s="41"/>
      <c r="M676" s="42">
        <f ca="1">IFERROR(M662+M675,"")</f>
        <v>8.316898143675644E-3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K656" sqref="K6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0.49234467592032161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0.64998356480921049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0.75970578703143266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0.47081689814513084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0.64165023147846423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0.78678912036735316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6.7800925899064168E-4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112</v>
      </c>
      <c r="G662" s="36">
        <f>SUM(G650:G661)</f>
        <v>478.40000000000003</v>
      </c>
      <c r="H662" s="37"/>
      <c r="I662" s="37"/>
      <c r="J662" s="37"/>
      <c r="K662" s="37"/>
      <c r="L662" s="37"/>
      <c r="M662" s="38">
        <f ca="1">IFERROR(SUM(M650:M661),"")</f>
        <v>0.13331689814787967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112</v>
      </c>
      <c r="G676" s="40">
        <f>G662+G675</f>
        <v>478.40000000000003</v>
      </c>
      <c r="H676" s="41"/>
      <c r="I676" s="41"/>
      <c r="J676" s="41"/>
      <c r="K676" s="41"/>
      <c r="L676" s="41"/>
      <c r="M676" s="42">
        <f ca="1">IFERROR(M662+M675,"")</f>
        <v>0.13331689814787967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N653" sqref="N6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271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94</v>
      </c>
      <c r="G662" s="36">
        <f>SUM(G650:G661)</f>
        <v>402.79999999999995</v>
      </c>
      <c r="H662" s="37"/>
      <c r="I662" s="37"/>
      <c r="J662" s="37"/>
      <c r="K662" s="37"/>
      <c r="L662" s="37"/>
      <c r="M662" s="38">
        <f ca="1">IFERROR(SUM(M650:M661),"")</f>
        <v>9.0972222222222232E-2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94</v>
      </c>
      <c r="G676" s="40">
        <f>G662+G675</f>
        <v>402.79999999999995</v>
      </c>
      <c r="H676" s="41"/>
      <c r="I676" s="41"/>
      <c r="J676" s="41"/>
      <c r="K676" s="41"/>
      <c r="L676" s="41"/>
      <c r="M676" s="42">
        <f ca="1">IFERROR(M662+M675,"")</f>
        <v>9.0972222222222232E-2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0.48262245370278833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0.68192800925834396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1.049289120369455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0.44026134259183891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0.44026134259183891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0.44026134259183891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2026-07-25T21:34:32Z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