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863" documentId="13_ncr:1_{0A10D8D4-8450-4366-8075-B53B08E6B7EA}" xr6:coauthVersionLast="47" xr6:coauthVersionMax="47" xr10:uidLastSave="{96913906-4F77-4299-99D0-7023913824E5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5" l="1"/>
  <c r="K406" i="6"/>
  <c r="G406" i="6"/>
  <c r="G406" i="5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6" i="5"/>
  <c r="J436" i="5" s="1"/>
  <c r="H437" i="5"/>
  <c r="J437" i="5" s="1"/>
  <c r="H438" i="5"/>
  <c r="J438" i="5" s="1"/>
  <c r="H439" i="5"/>
  <c r="J439" i="5" s="1"/>
  <c r="H440" i="5"/>
  <c r="J440" i="5" s="1"/>
  <c r="H441" i="5"/>
  <c r="J441" i="5" s="1"/>
  <c r="H442" i="5"/>
  <c r="J442" i="5" s="1"/>
  <c r="H443" i="5"/>
  <c r="J443" i="5" s="1"/>
  <c r="H444" i="5"/>
  <c r="J444" i="5" s="1"/>
  <c r="H445" i="5"/>
  <c r="J445" i="5" s="1"/>
  <c r="H825" i="4"/>
  <c r="J825" i="4" s="1"/>
  <c r="H826" i="4"/>
  <c r="J826" i="4" s="1"/>
  <c r="H827" i="4"/>
  <c r="J827" i="4" s="1"/>
  <c r="H828" i="4"/>
  <c r="J828" i="4" s="1"/>
  <c r="H829" i="4"/>
  <c r="J829" i="4" s="1"/>
  <c r="H830" i="4"/>
  <c r="J830" i="4" s="1"/>
  <c r="H831" i="4"/>
  <c r="J831" i="4" s="1"/>
  <c r="H832" i="4"/>
  <c r="J832" i="4" s="1"/>
  <c r="H833" i="4"/>
  <c r="J833" i="4" s="1"/>
  <c r="H834" i="4"/>
  <c r="J834" i="4" s="1"/>
  <c r="H835" i="4"/>
  <c r="J835" i="4" s="1"/>
  <c r="H836" i="4"/>
  <c r="J836" i="4" s="1"/>
  <c r="H812" i="4"/>
  <c r="J812" i="4" s="1"/>
  <c r="H813" i="4"/>
  <c r="J813" i="4" s="1"/>
  <c r="H814" i="4"/>
  <c r="J814" i="4" s="1"/>
  <c r="H815" i="4"/>
  <c r="J815" i="4" s="1"/>
  <c r="H816" i="4"/>
  <c r="J816" i="4" s="1"/>
  <c r="H817" i="4"/>
  <c r="J817" i="4" s="1"/>
  <c r="H818" i="4"/>
  <c r="J818" i="4" s="1"/>
  <c r="H819" i="4"/>
  <c r="J819" i="4" s="1"/>
  <c r="H820" i="4"/>
  <c r="J820" i="4" s="1"/>
  <c r="H821" i="4"/>
  <c r="J821" i="4" s="1"/>
  <c r="H822" i="4"/>
  <c r="J822" i="4" s="1"/>
  <c r="H823" i="4"/>
  <c r="J823" i="4" s="1"/>
  <c r="H798" i="4"/>
  <c r="J798" i="4" s="1"/>
  <c r="H799" i="4"/>
  <c r="J799" i="4" s="1"/>
  <c r="H800" i="4"/>
  <c r="J800" i="4" s="1"/>
  <c r="H801" i="4"/>
  <c r="J801" i="4" s="1"/>
  <c r="H802" i="4"/>
  <c r="J802" i="4" s="1"/>
  <c r="H803" i="4"/>
  <c r="J803" i="4" s="1"/>
  <c r="H804" i="4"/>
  <c r="J804" i="4" s="1"/>
  <c r="H805" i="4"/>
  <c r="J805" i="4" s="1"/>
  <c r="H806" i="4"/>
  <c r="J806" i="4" s="1"/>
  <c r="H807" i="4"/>
  <c r="J807" i="4" s="1"/>
  <c r="H808" i="4"/>
  <c r="J808" i="4" s="1"/>
  <c r="H809" i="4"/>
  <c r="J809" i="4" s="1"/>
  <c r="H785" i="4"/>
  <c r="J785" i="4" s="1"/>
  <c r="H786" i="4"/>
  <c r="J786" i="4" s="1"/>
  <c r="H787" i="4"/>
  <c r="J787" i="4" s="1"/>
  <c r="H788" i="4"/>
  <c r="J788" i="4" s="1"/>
  <c r="H789" i="4"/>
  <c r="J789" i="4" s="1"/>
  <c r="H790" i="4"/>
  <c r="J790" i="4" s="1"/>
  <c r="H791" i="4"/>
  <c r="J791" i="4" s="1"/>
  <c r="H792" i="4"/>
  <c r="J792" i="4" s="1"/>
  <c r="H793" i="4"/>
  <c r="J793" i="4" s="1"/>
  <c r="H794" i="4"/>
  <c r="J794" i="4" s="1"/>
  <c r="H795" i="4"/>
  <c r="J795" i="4" s="1"/>
  <c r="H796" i="4"/>
  <c r="J796" i="4" s="1"/>
  <c r="H771" i="4"/>
  <c r="J771" i="4" s="1"/>
  <c r="H772" i="4"/>
  <c r="J772" i="4" s="1"/>
  <c r="H773" i="4"/>
  <c r="J773" i="4" s="1"/>
  <c r="H774" i="4"/>
  <c r="J774" i="4" s="1"/>
  <c r="H775" i="4"/>
  <c r="J775" i="4" s="1"/>
  <c r="H776" i="4"/>
  <c r="J776" i="4" s="1"/>
  <c r="H777" i="4"/>
  <c r="J777" i="4" s="1"/>
  <c r="H778" i="4"/>
  <c r="J778" i="4" s="1"/>
  <c r="H779" i="4"/>
  <c r="J779" i="4" s="1"/>
  <c r="H780" i="4"/>
  <c r="J780" i="4" s="1"/>
  <c r="H781" i="4"/>
  <c r="J781" i="4" s="1"/>
  <c r="H782" i="4"/>
  <c r="J782" i="4" s="1"/>
  <c r="H758" i="4"/>
  <c r="J758" i="4" s="1"/>
  <c r="H759" i="4"/>
  <c r="J759" i="4" s="1"/>
  <c r="H760" i="4"/>
  <c r="J760" i="4" s="1"/>
  <c r="H761" i="4"/>
  <c r="J761" i="4" s="1"/>
  <c r="H762" i="4"/>
  <c r="J762" i="4" s="1"/>
  <c r="H763" i="4"/>
  <c r="J763" i="4" s="1"/>
  <c r="H764" i="4"/>
  <c r="J764" i="4" s="1"/>
  <c r="H765" i="4"/>
  <c r="J765" i="4" s="1"/>
  <c r="H766" i="4"/>
  <c r="J766" i="4" s="1"/>
  <c r="H767" i="4"/>
  <c r="J767" i="4" s="1"/>
  <c r="H768" i="4"/>
  <c r="J768" i="4" s="1"/>
  <c r="H769" i="4"/>
  <c r="J769" i="4" s="1"/>
  <c r="H744" i="4"/>
  <c r="J744" i="4" s="1"/>
  <c r="H745" i="4"/>
  <c r="J745" i="4" s="1"/>
  <c r="H746" i="4"/>
  <c r="J746" i="4" s="1"/>
  <c r="H747" i="4"/>
  <c r="J747" i="4" s="1"/>
  <c r="H748" i="4"/>
  <c r="J748" i="4" s="1"/>
  <c r="H749" i="4"/>
  <c r="J749" i="4" s="1"/>
  <c r="H750" i="4"/>
  <c r="J750" i="4" s="1"/>
  <c r="H751" i="4"/>
  <c r="J751" i="4" s="1"/>
  <c r="H752" i="4"/>
  <c r="J752" i="4" s="1"/>
  <c r="H753" i="4"/>
  <c r="J753" i="4" s="1"/>
  <c r="H754" i="4"/>
  <c r="J754" i="4" s="1"/>
  <c r="H755" i="4"/>
  <c r="J755" i="4" s="1"/>
  <c r="H731" i="4"/>
  <c r="J731" i="4" s="1"/>
  <c r="H732" i="4"/>
  <c r="J732" i="4" s="1"/>
  <c r="H733" i="4"/>
  <c r="J733" i="4" s="1"/>
  <c r="H734" i="4"/>
  <c r="J734" i="4" s="1"/>
  <c r="H735" i="4"/>
  <c r="J735" i="4" s="1"/>
  <c r="H736" i="4"/>
  <c r="J736" i="4" s="1"/>
  <c r="H737" i="4"/>
  <c r="J737" i="4" s="1"/>
  <c r="H738" i="4"/>
  <c r="J738" i="4" s="1"/>
  <c r="H739" i="4"/>
  <c r="J739" i="4" s="1"/>
  <c r="H740" i="4"/>
  <c r="J740" i="4" s="1"/>
  <c r="H741" i="4"/>
  <c r="J741" i="4" s="1"/>
  <c r="H742" i="4"/>
  <c r="J742" i="4" s="1"/>
  <c r="H717" i="4"/>
  <c r="J717" i="4" s="1"/>
  <c r="H718" i="4"/>
  <c r="J718" i="4" s="1"/>
  <c r="H719" i="4"/>
  <c r="J719" i="4" s="1"/>
  <c r="H720" i="4"/>
  <c r="J720" i="4" s="1"/>
  <c r="H721" i="4"/>
  <c r="J721" i="4" s="1"/>
  <c r="H722" i="4"/>
  <c r="J722" i="4" s="1"/>
  <c r="H723" i="4"/>
  <c r="J723" i="4" s="1"/>
  <c r="H724" i="4"/>
  <c r="J724" i="4" s="1"/>
  <c r="H725" i="4"/>
  <c r="J725" i="4" s="1"/>
  <c r="H726" i="4"/>
  <c r="J726" i="4" s="1"/>
  <c r="H727" i="4"/>
  <c r="J727" i="4" s="1"/>
  <c r="H728" i="4"/>
  <c r="J728" i="4" s="1"/>
  <c r="H704" i="4"/>
  <c r="J704" i="4" s="1"/>
  <c r="H705" i="4"/>
  <c r="J705" i="4" s="1"/>
  <c r="H706" i="4"/>
  <c r="J706" i="4" s="1"/>
  <c r="H707" i="4"/>
  <c r="J707" i="4" s="1"/>
  <c r="H708" i="4"/>
  <c r="J708" i="4" s="1"/>
  <c r="H709" i="4"/>
  <c r="J709" i="4" s="1"/>
  <c r="H710" i="4"/>
  <c r="J710" i="4" s="1"/>
  <c r="H711" i="4"/>
  <c r="J711" i="4" s="1"/>
  <c r="H712" i="4"/>
  <c r="J712" i="4" s="1"/>
  <c r="H713" i="4"/>
  <c r="J713" i="4" s="1"/>
  <c r="H714" i="4"/>
  <c r="J714" i="4" s="1"/>
  <c r="H715" i="4"/>
  <c r="J715" i="4" s="1"/>
  <c r="H690" i="4"/>
  <c r="J690" i="4" s="1"/>
  <c r="H691" i="4"/>
  <c r="J691" i="4" s="1"/>
  <c r="H692" i="4"/>
  <c r="J692" i="4" s="1"/>
  <c r="H693" i="4"/>
  <c r="J693" i="4" s="1"/>
  <c r="H694" i="4"/>
  <c r="J694" i="4" s="1"/>
  <c r="H695" i="4"/>
  <c r="J695" i="4" s="1"/>
  <c r="H696" i="4"/>
  <c r="J696" i="4" s="1"/>
  <c r="H697" i="4"/>
  <c r="J697" i="4" s="1"/>
  <c r="H698" i="4"/>
  <c r="J698" i="4" s="1"/>
  <c r="H699" i="4"/>
  <c r="J699" i="4" s="1"/>
  <c r="H700" i="4"/>
  <c r="J700" i="4" s="1"/>
  <c r="H701" i="4"/>
  <c r="J701" i="4" s="1"/>
  <c r="H677" i="4"/>
  <c r="J677" i="4" s="1"/>
  <c r="H678" i="4"/>
  <c r="J678" i="4" s="1"/>
  <c r="H679" i="4"/>
  <c r="J679" i="4" s="1"/>
  <c r="H680" i="4"/>
  <c r="J680" i="4" s="1"/>
  <c r="H681" i="4"/>
  <c r="J681" i="4" s="1"/>
  <c r="H682" i="4"/>
  <c r="J682" i="4" s="1"/>
  <c r="H683" i="4"/>
  <c r="J683" i="4" s="1"/>
  <c r="H684" i="4"/>
  <c r="J684" i="4" s="1"/>
  <c r="H685" i="4"/>
  <c r="J685" i="4" s="1"/>
  <c r="H686" i="4"/>
  <c r="J686" i="4" s="1"/>
  <c r="H687" i="4"/>
  <c r="J687" i="4" s="1"/>
  <c r="H688" i="4"/>
  <c r="J688" i="4" s="1"/>
  <c r="H663" i="4"/>
  <c r="J663" i="4" s="1"/>
  <c r="H664" i="4"/>
  <c r="J664" i="4" s="1"/>
  <c r="H665" i="4"/>
  <c r="J665" i="4" s="1"/>
  <c r="H666" i="4"/>
  <c r="J666" i="4" s="1"/>
  <c r="H667" i="4"/>
  <c r="J667" i="4" s="1"/>
  <c r="H668" i="4"/>
  <c r="J668" i="4" s="1"/>
  <c r="H669" i="4"/>
  <c r="J669" i="4" s="1"/>
  <c r="H670" i="4"/>
  <c r="J670" i="4" s="1"/>
  <c r="H671" i="4"/>
  <c r="J671" i="4" s="1"/>
  <c r="H672" i="4"/>
  <c r="J672" i="4" s="1"/>
  <c r="H673" i="4"/>
  <c r="J673" i="4" s="1"/>
  <c r="H674" i="4"/>
  <c r="J674" i="4" s="1"/>
  <c r="H650" i="4"/>
  <c r="J650" i="4" s="1"/>
  <c r="H651" i="4"/>
  <c r="J651" i="4" s="1"/>
  <c r="H652" i="4"/>
  <c r="J652" i="4" s="1"/>
  <c r="H653" i="4"/>
  <c r="J653" i="4" s="1"/>
  <c r="H654" i="4"/>
  <c r="J654" i="4" s="1"/>
  <c r="H655" i="4"/>
  <c r="J655" i="4" s="1"/>
  <c r="H656" i="4"/>
  <c r="J656" i="4" s="1"/>
  <c r="H657" i="4"/>
  <c r="J657" i="4" s="1"/>
  <c r="H658" i="4"/>
  <c r="J658" i="4" s="1"/>
  <c r="H659" i="4"/>
  <c r="J659" i="4" s="1"/>
  <c r="H660" i="4"/>
  <c r="J660" i="4" s="1"/>
  <c r="H661" i="4"/>
  <c r="J661" i="4" s="1"/>
  <c r="H636" i="4"/>
  <c r="J636" i="4" s="1"/>
  <c r="H637" i="4"/>
  <c r="J637" i="4" s="1"/>
  <c r="H638" i="4"/>
  <c r="J638" i="4" s="1"/>
  <c r="H639" i="4"/>
  <c r="J639" i="4" s="1"/>
  <c r="H640" i="4"/>
  <c r="J640" i="4" s="1"/>
  <c r="H641" i="4"/>
  <c r="J641" i="4" s="1"/>
  <c r="H642" i="4"/>
  <c r="J642" i="4" s="1"/>
  <c r="H643" i="4"/>
  <c r="J643" i="4" s="1"/>
  <c r="H644" i="4"/>
  <c r="J644" i="4" s="1"/>
  <c r="H645" i="4"/>
  <c r="J645" i="4" s="1"/>
  <c r="H646" i="4"/>
  <c r="J646" i="4" s="1"/>
  <c r="H647" i="4"/>
  <c r="J647" i="4" s="1"/>
  <c r="H623" i="4"/>
  <c r="J623" i="4" s="1"/>
  <c r="H624" i="4"/>
  <c r="J624" i="4" s="1"/>
  <c r="H625" i="4"/>
  <c r="J625" i="4" s="1"/>
  <c r="H626" i="4"/>
  <c r="J626" i="4" s="1"/>
  <c r="H627" i="4"/>
  <c r="J627" i="4" s="1"/>
  <c r="H628" i="4"/>
  <c r="J628" i="4" s="1"/>
  <c r="H629" i="4"/>
  <c r="J629" i="4" s="1"/>
  <c r="H630" i="4"/>
  <c r="J630" i="4" s="1"/>
  <c r="H631" i="4"/>
  <c r="J631" i="4" s="1"/>
  <c r="H632" i="4"/>
  <c r="J632" i="4" s="1"/>
  <c r="H633" i="4"/>
  <c r="J633" i="4" s="1"/>
  <c r="H634" i="4"/>
  <c r="J634" i="4" s="1"/>
  <c r="H609" i="4"/>
  <c r="J609" i="4" s="1"/>
  <c r="H610" i="4"/>
  <c r="J610" i="4" s="1"/>
  <c r="H611" i="4"/>
  <c r="J611" i="4" s="1"/>
  <c r="H612" i="4"/>
  <c r="J612" i="4" s="1"/>
  <c r="H613" i="4"/>
  <c r="J613" i="4" s="1"/>
  <c r="H614" i="4"/>
  <c r="J614" i="4" s="1"/>
  <c r="H615" i="4"/>
  <c r="J615" i="4" s="1"/>
  <c r="H616" i="4"/>
  <c r="J616" i="4" s="1"/>
  <c r="H617" i="4"/>
  <c r="J617" i="4" s="1"/>
  <c r="H618" i="4"/>
  <c r="J618" i="4" s="1"/>
  <c r="H619" i="4"/>
  <c r="J619" i="4" s="1"/>
  <c r="H620" i="4"/>
  <c r="J620" i="4" s="1"/>
  <c r="H596" i="4"/>
  <c r="J596" i="4" s="1"/>
  <c r="H597" i="4"/>
  <c r="J597" i="4" s="1"/>
  <c r="H598" i="4"/>
  <c r="J598" i="4" s="1"/>
  <c r="H599" i="4"/>
  <c r="J599" i="4" s="1"/>
  <c r="H600" i="4"/>
  <c r="J600" i="4" s="1"/>
  <c r="H601" i="4"/>
  <c r="J601" i="4" s="1"/>
  <c r="H602" i="4"/>
  <c r="J602" i="4" s="1"/>
  <c r="H603" i="4"/>
  <c r="J603" i="4" s="1"/>
  <c r="H604" i="4"/>
  <c r="J604" i="4" s="1"/>
  <c r="H605" i="4"/>
  <c r="J605" i="4" s="1"/>
  <c r="H606" i="4"/>
  <c r="J606" i="4" s="1"/>
  <c r="H607" i="4"/>
  <c r="J607" i="4" s="1"/>
  <c r="H582" i="4"/>
  <c r="J582" i="4" s="1"/>
  <c r="H583" i="4"/>
  <c r="J583" i="4" s="1"/>
  <c r="H584" i="4"/>
  <c r="J584" i="4" s="1"/>
  <c r="H585" i="4"/>
  <c r="J585" i="4" s="1"/>
  <c r="H586" i="4"/>
  <c r="J586" i="4" s="1"/>
  <c r="H587" i="4"/>
  <c r="J587" i="4" s="1"/>
  <c r="H588" i="4"/>
  <c r="J588" i="4" s="1"/>
  <c r="H589" i="4"/>
  <c r="J589" i="4" s="1"/>
  <c r="H590" i="4"/>
  <c r="J590" i="4" s="1"/>
  <c r="H591" i="4"/>
  <c r="J591" i="4" s="1"/>
  <c r="H592" i="4"/>
  <c r="J592" i="4" s="1"/>
  <c r="H593" i="4"/>
  <c r="J593" i="4" s="1"/>
  <c r="H569" i="4"/>
  <c r="J569" i="4" s="1"/>
  <c r="H570" i="4"/>
  <c r="J570" i="4" s="1"/>
  <c r="H571" i="4"/>
  <c r="J571" i="4" s="1"/>
  <c r="H572" i="4"/>
  <c r="J572" i="4" s="1"/>
  <c r="H573" i="4"/>
  <c r="J573" i="4" s="1"/>
  <c r="H574" i="4"/>
  <c r="J574" i="4" s="1"/>
  <c r="H575" i="4"/>
  <c r="J575" i="4" s="1"/>
  <c r="H576" i="4"/>
  <c r="J576" i="4" s="1"/>
  <c r="H577" i="4"/>
  <c r="J577" i="4" s="1"/>
  <c r="H578" i="4"/>
  <c r="J578" i="4" s="1"/>
  <c r="H579" i="4"/>
  <c r="J579" i="4" s="1"/>
  <c r="H580" i="4"/>
  <c r="J580" i="4" s="1"/>
  <c r="H555" i="4"/>
  <c r="J555" i="4" s="1"/>
  <c r="H556" i="4"/>
  <c r="J556" i="4" s="1"/>
  <c r="H557" i="4"/>
  <c r="J557" i="4" s="1"/>
  <c r="H558" i="4"/>
  <c r="J558" i="4" s="1"/>
  <c r="H559" i="4"/>
  <c r="J559" i="4" s="1"/>
  <c r="H560" i="4"/>
  <c r="J560" i="4" s="1"/>
  <c r="H561" i="4"/>
  <c r="J561" i="4" s="1"/>
  <c r="H562" i="4"/>
  <c r="J562" i="4" s="1"/>
  <c r="H563" i="4"/>
  <c r="J563" i="4" s="1"/>
  <c r="H564" i="4"/>
  <c r="J564" i="4" s="1"/>
  <c r="H565" i="4"/>
  <c r="J565" i="4" s="1"/>
  <c r="H566" i="4"/>
  <c r="J566" i="4" s="1"/>
  <c r="H542" i="4"/>
  <c r="J542" i="4" s="1"/>
  <c r="H543" i="4"/>
  <c r="J543" i="4" s="1"/>
  <c r="H544" i="4"/>
  <c r="J544" i="4" s="1"/>
  <c r="H545" i="4"/>
  <c r="J545" i="4" s="1"/>
  <c r="H546" i="4"/>
  <c r="J546" i="4" s="1"/>
  <c r="H547" i="4"/>
  <c r="J547" i="4" s="1"/>
  <c r="H548" i="4"/>
  <c r="J548" i="4" s="1"/>
  <c r="H549" i="4"/>
  <c r="J549" i="4" s="1"/>
  <c r="H550" i="4"/>
  <c r="J550" i="4" s="1"/>
  <c r="H551" i="4"/>
  <c r="J551" i="4" s="1"/>
  <c r="H552" i="4"/>
  <c r="J552" i="4" s="1"/>
  <c r="H553" i="4"/>
  <c r="J553" i="4" s="1"/>
  <c r="H528" i="4"/>
  <c r="J528" i="4" s="1"/>
  <c r="H529" i="4"/>
  <c r="J529" i="4" s="1"/>
  <c r="H530" i="4"/>
  <c r="J530" i="4" s="1"/>
  <c r="H531" i="4"/>
  <c r="J531" i="4" s="1"/>
  <c r="H532" i="4"/>
  <c r="J532" i="4" s="1"/>
  <c r="H533" i="4"/>
  <c r="J533" i="4" s="1"/>
  <c r="H534" i="4"/>
  <c r="J534" i="4" s="1"/>
  <c r="H535" i="4"/>
  <c r="J535" i="4" s="1"/>
  <c r="H536" i="4"/>
  <c r="J536" i="4" s="1"/>
  <c r="H537" i="4"/>
  <c r="J537" i="4" s="1"/>
  <c r="H538" i="4"/>
  <c r="J538" i="4" s="1"/>
  <c r="H539" i="4"/>
  <c r="J539" i="4" s="1"/>
  <c r="H515" i="4"/>
  <c r="J515" i="4" s="1"/>
  <c r="H516" i="4"/>
  <c r="J516" i="4" s="1"/>
  <c r="H517" i="4"/>
  <c r="J517" i="4" s="1"/>
  <c r="H518" i="4"/>
  <c r="J518" i="4" s="1"/>
  <c r="H519" i="4"/>
  <c r="J519" i="4" s="1"/>
  <c r="H520" i="4"/>
  <c r="J520" i="4" s="1"/>
  <c r="H521" i="4"/>
  <c r="J521" i="4" s="1"/>
  <c r="H522" i="4"/>
  <c r="J522" i="4" s="1"/>
  <c r="H523" i="4"/>
  <c r="J523" i="4" s="1"/>
  <c r="H524" i="4"/>
  <c r="J524" i="4" s="1"/>
  <c r="H525" i="4"/>
  <c r="J525" i="4" s="1"/>
  <c r="H526" i="4"/>
  <c r="J526" i="4" s="1"/>
  <c r="H501" i="4"/>
  <c r="J501" i="4" s="1"/>
  <c r="H502" i="4"/>
  <c r="J502" i="4" s="1"/>
  <c r="H503" i="4"/>
  <c r="J503" i="4" s="1"/>
  <c r="H504" i="4"/>
  <c r="J504" i="4" s="1"/>
  <c r="H505" i="4"/>
  <c r="J505" i="4" s="1"/>
  <c r="H506" i="4"/>
  <c r="J506" i="4" s="1"/>
  <c r="H507" i="4"/>
  <c r="J507" i="4" s="1"/>
  <c r="H508" i="4"/>
  <c r="J508" i="4" s="1"/>
  <c r="H509" i="4"/>
  <c r="J509" i="4" s="1"/>
  <c r="H510" i="4"/>
  <c r="J510" i="4" s="1"/>
  <c r="H511" i="4"/>
  <c r="J511" i="4" s="1"/>
  <c r="H512" i="4"/>
  <c r="J512" i="4" s="1"/>
  <c r="H488" i="4"/>
  <c r="J488" i="4" s="1"/>
  <c r="H489" i="4"/>
  <c r="J489" i="4" s="1"/>
  <c r="H490" i="4"/>
  <c r="J490" i="4" s="1"/>
  <c r="H491" i="4"/>
  <c r="J491" i="4" s="1"/>
  <c r="H492" i="4"/>
  <c r="J492" i="4" s="1"/>
  <c r="H493" i="4"/>
  <c r="J493" i="4" s="1"/>
  <c r="H494" i="4"/>
  <c r="J494" i="4" s="1"/>
  <c r="H495" i="4"/>
  <c r="J495" i="4" s="1"/>
  <c r="H496" i="4"/>
  <c r="J496" i="4" s="1"/>
  <c r="H497" i="4"/>
  <c r="J497" i="4" s="1"/>
  <c r="H498" i="4"/>
  <c r="J498" i="4" s="1"/>
  <c r="H499" i="4"/>
  <c r="J499" i="4" s="1"/>
  <c r="H474" i="4"/>
  <c r="J474" i="4" s="1"/>
  <c r="H475" i="4"/>
  <c r="J475" i="4" s="1"/>
  <c r="H476" i="4"/>
  <c r="J476" i="4" s="1"/>
  <c r="H477" i="4"/>
  <c r="J477" i="4" s="1"/>
  <c r="H478" i="4"/>
  <c r="J478" i="4" s="1"/>
  <c r="H479" i="4"/>
  <c r="J479" i="4" s="1"/>
  <c r="H480" i="4"/>
  <c r="J480" i="4" s="1"/>
  <c r="H481" i="4"/>
  <c r="J481" i="4" s="1"/>
  <c r="H482" i="4"/>
  <c r="J482" i="4" s="1"/>
  <c r="H483" i="4"/>
  <c r="J483" i="4" s="1"/>
  <c r="H484" i="4"/>
  <c r="J484" i="4" s="1"/>
  <c r="H485" i="4"/>
  <c r="J485" i="4" s="1"/>
  <c r="H461" i="4"/>
  <c r="J461" i="4" s="1"/>
  <c r="H462" i="4"/>
  <c r="J462" i="4" s="1"/>
  <c r="H463" i="4"/>
  <c r="J463" i="4" s="1"/>
  <c r="H464" i="4"/>
  <c r="J464" i="4" s="1"/>
  <c r="H465" i="4"/>
  <c r="J465" i="4" s="1"/>
  <c r="H466" i="4"/>
  <c r="J466" i="4" s="1"/>
  <c r="H467" i="4"/>
  <c r="J467" i="4" s="1"/>
  <c r="H468" i="4"/>
  <c r="J468" i="4" s="1"/>
  <c r="H469" i="4"/>
  <c r="J469" i="4" s="1"/>
  <c r="H470" i="4"/>
  <c r="J470" i="4" s="1"/>
  <c r="H471" i="4"/>
  <c r="J471" i="4" s="1"/>
  <c r="H472" i="4"/>
  <c r="J472" i="4" s="1"/>
  <c r="H447" i="4"/>
  <c r="J447" i="4" s="1"/>
  <c r="H448" i="4"/>
  <c r="J448" i="4" s="1"/>
  <c r="H449" i="4"/>
  <c r="J449" i="4" s="1"/>
  <c r="H450" i="4"/>
  <c r="J450" i="4" s="1"/>
  <c r="H451" i="4"/>
  <c r="J451" i="4" s="1"/>
  <c r="H452" i="4"/>
  <c r="J452" i="4" s="1"/>
  <c r="H453" i="4"/>
  <c r="J453" i="4" s="1"/>
  <c r="H454" i="4"/>
  <c r="J454" i="4" s="1"/>
  <c r="H455" i="4"/>
  <c r="J455" i="4" s="1"/>
  <c r="H456" i="4"/>
  <c r="J456" i="4" s="1"/>
  <c r="H457" i="4"/>
  <c r="J457" i="4" s="1"/>
  <c r="H458" i="4"/>
  <c r="J458" i="4" s="1"/>
  <c r="H436" i="4"/>
  <c r="J436" i="4" s="1"/>
  <c r="H437" i="4"/>
  <c r="J437" i="4" s="1"/>
  <c r="H438" i="4"/>
  <c r="J438" i="4" s="1"/>
  <c r="H439" i="4"/>
  <c r="J439" i="4" s="1"/>
  <c r="H440" i="4"/>
  <c r="J440" i="4" s="1"/>
  <c r="H441" i="4"/>
  <c r="J441" i="4" s="1"/>
  <c r="H442" i="4"/>
  <c r="J442" i="4" s="1"/>
  <c r="H443" i="4"/>
  <c r="J443" i="4" s="1"/>
  <c r="H444" i="4"/>
  <c r="J444" i="4" s="1"/>
  <c r="H445" i="4"/>
  <c r="J445" i="4" s="1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F307" i="4"/>
  <c r="F308" i="4"/>
  <c r="F309" i="4"/>
  <c r="F310" i="4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810" i="5"/>
  <c r="T810" i="5" s="1"/>
  <c r="J473" i="4"/>
  <c r="T473" i="4" s="1"/>
  <c r="J540" i="6"/>
  <c r="T540" i="6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824" i="5"/>
  <c r="T824" i="5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716" i="4"/>
  <c r="H608" i="4"/>
  <c r="H622" i="4" s="1"/>
  <c r="H702" i="4"/>
  <c r="H837" i="4"/>
  <c r="H756" i="4"/>
  <c r="H743" i="4"/>
  <c r="H757" i="4" s="1"/>
  <c r="H486" i="4"/>
  <c r="H581" i="4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797" i="6"/>
  <c r="H675" i="4"/>
  <c r="H797" i="5"/>
  <c r="H324" i="5"/>
  <c r="H797" i="4"/>
  <c r="H783" i="6"/>
  <c r="H675" i="6"/>
  <c r="H662" i="4"/>
  <c r="H783" i="5"/>
  <c r="H554" i="5"/>
  <c r="H459" i="4"/>
  <c r="H540" i="6"/>
  <c r="H810" i="4"/>
  <c r="H689" i="4"/>
  <c r="H810" i="5"/>
  <c r="H595" i="4" l="1"/>
  <c r="H838" i="4"/>
  <c r="T270" i="5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811" i="6"/>
  <c r="T811" i="6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514" i="6"/>
  <c r="H676" i="6"/>
  <c r="H487" i="5"/>
  <c r="H676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G406" i="4" s="1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34" i="6" l="1"/>
  <c r="H435" i="6"/>
  <c r="J435" i="6" s="1"/>
  <c r="H434" i="5"/>
  <c r="H435" i="5"/>
  <c r="J435" i="5" s="1"/>
  <c r="H434" i="4"/>
  <c r="H435" i="4"/>
  <c r="J435" i="4" s="1"/>
  <c r="J434" i="6"/>
  <c r="J446" i="6" s="1"/>
  <c r="H446" i="6"/>
  <c r="H460" i="6" s="1"/>
  <c r="J434" i="5"/>
  <c r="J446" i="5" s="1"/>
  <c r="H446" i="5"/>
  <c r="H460" i="5" s="1"/>
  <c r="J434" i="4"/>
  <c r="J446" i="4" s="1"/>
  <c r="H446" i="4"/>
  <c r="H460" i="4" s="1"/>
  <c r="H310" i="4"/>
  <c r="J310" i="4" s="1"/>
  <c r="H300" i="4"/>
  <c r="H301" i="4"/>
  <c r="H302" i="4"/>
  <c r="H303" i="4"/>
  <c r="H304" i="4"/>
  <c r="H305" i="4"/>
  <c r="H306" i="4"/>
  <c r="J306" i="4" s="1"/>
  <c r="H307" i="4"/>
  <c r="J307" i="4" s="1"/>
  <c r="H308" i="4"/>
  <c r="J308" i="4" s="1"/>
  <c r="H309" i="4"/>
  <c r="J309" i="4" s="1"/>
  <c r="H299" i="4"/>
  <c r="H312" i="4"/>
  <c r="J312" i="4" s="1"/>
  <c r="H313" i="4"/>
  <c r="H314" i="4"/>
  <c r="H315" i="4"/>
  <c r="H316" i="4"/>
  <c r="H317" i="4"/>
  <c r="H318" i="4"/>
  <c r="H319" i="4"/>
  <c r="H320" i="4"/>
  <c r="H321" i="4"/>
  <c r="H322" i="4"/>
  <c r="H323" i="4"/>
  <c r="H430" i="5"/>
  <c r="J430" i="5" s="1"/>
  <c r="H431" i="5"/>
  <c r="J431" i="5" s="1"/>
  <c r="H430" i="6"/>
  <c r="J430" i="6" s="1"/>
  <c r="H431" i="6"/>
  <c r="J431" i="6" s="1"/>
  <c r="H430" i="4"/>
  <c r="J430" i="4" s="1"/>
  <c r="H431" i="4"/>
  <c r="J431" i="4" s="1"/>
  <c r="H428" i="6"/>
  <c r="J428" i="6" s="1"/>
  <c r="H429" i="6"/>
  <c r="J429" i="6" s="1"/>
  <c r="H428" i="5"/>
  <c r="J428" i="5" s="1"/>
  <c r="H429" i="5"/>
  <c r="J429" i="5" s="1"/>
  <c r="H428" i="4"/>
  <c r="J428" i="4" s="1"/>
  <c r="H429" i="4"/>
  <c r="J429" i="4" s="1"/>
  <c r="H426" i="6"/>
  <c r="J426" i="6" s="1"/>
  <c r="H427" i="6"/>
  <c r="J427" i="6" s="1"/>
  <c r="H426" i="5"/>
  <c r="J426" i="5" s="1"/>
  <c r="H427" i="5"/>
  <c r="J427" i="5" s="1"/>
  <c r="H426" i="4"/>
  <c r="J426" i="4" s="1"/>
  <c r="H427" i="4"/>
  <c r="J427" i="4" s="1"/>
  <c r="H424" i="6"/>
  <c r="J424" i="6" s="1"/>
  <c r="H425" i="6"/>
  <c r="J425" i="6" s="1"/>
  <c r="H424" i="5"/>
  <c r="J424" i="5" s="1"/>
  <c r="H425" i="5"/>
  <c r="J425" i="5" s="1"/>
  <c r="H424" i="4"/>
  <c r="J424" i="4" s="1"/>
  <c r="H425" i="4"/>
  <c r="J425" i="4" s="1"/>
  <c r="H422" i="6"/>
  <c r="J422" i="6" s="1"/>
  <c r="H423" i="6"/>
  <c r="J423" i="6" s="1"/>
  <c r="H422" i="5"/>
  <c r="J422" i="5" s="1"/>
  <c r="H423" i="5"/>
  <c r="J423" i="5" s="1"/>
  <c r="H422" i="4"/>
  <c r="J422" i="4" s="1"/>
  <c r="H423" i="4"/>
  <c r="J423" i="4" s="1"/>
  <c r="H420" i="6"/>
  <c r="H421" i="6"/>
  <c r="J421" i="6" s="1"/>
  <c r="H420" i="5"/>
  <c r="H421" i="5"/>
  <c r="J421" i="5" s="1"/>
  <c r="H420" i="4"/>
  <c r="H421" i="4"/>
  <c r="J421" i="4" s="1"/>
  <c r="J420" i="6"/>
  <c r="J432" i="6" s="1"/>
  <c r="T432" i="6" s="1"/>
  <c r="H432" i="6"/>
  <c r="J420" i="5"/>
  <c r="J432" i="5" s="1"/>
  <c r="T432" i="5" s="1"/>
  <c r="H432" i="5"/>
  <c r="J420" i="4"/>
  <c r="J432" i="4" s="1"/>
  <c r="T432" i="4" s="1"/>
  <c r="H432" i="4"/>
  <c r="H417" i="6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T446" i="6" l="1"/>
  <c r="J460" i="6"/>
  <c r="T460" i="6" s="1"/>
  <c r="T446" i="5"/>
  <c r="J460" i="5"/>
  <c r="T460" i="5" s="1"/>
  <c r="T446" i="4"/>
  <c r="J460" i="4"/>
  <c r="T460" i="4" s="1"/>
  <c r="H20" i="1" s="1"/>
  <c r="J20" i="1" s="1"/>
  <c r="K406" i="4"/>
  <c r="H419" i="4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<sst xmlns="http://schemas.openxmlformats.org/spreadsheetml/2006/main" count="7518" uniqueCount="363">
  <si>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</si>
  <si>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</si>
  <si>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</si>
  <si>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</si>
  <si>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</si>
  <si>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</si>
  <si>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</si>
  <si>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</si>
  <si>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</si>
  <si>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</si>
  <si>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</si>
  <si>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</si>
  <si>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</si>
  <si>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</si>
  <si>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</si>
  <si>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</si>
  <si>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</si>
  <si>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</si>
  <si>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</si>
  <si>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</si>
  <si>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</si>
  <si>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</si>
  <si>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</si>
  <si>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</si>
  <si>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</si>
  <si>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</si>
  <si>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</si>
  <si>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</si>
  <si>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</si>
  <si>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</si>
  <si>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</si>
  <si>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</si>
  <si>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</si>
  <si>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</si>
  <si>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</si>
  <si>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</si>
  <si>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</si>
  <si>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</si>
  <si>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</si>
  <si>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</si>
  <si>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</si>
  <si>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</si>
  <si>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</si>
  <si>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</si>
  <si>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</si>
  <si>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</si>
  <si>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</si>
  <si>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</si>
  <si>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</si>
  <si>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</si>
  <si>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</si>
  <si>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</si>
  <si>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</si>
  <si>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</si>
  <si>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</si>
  <si>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</si>
  <si>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</si>
  <si>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</si>
  <si>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</si>
  <si>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</si>
  <si>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</si>
  <si>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</si>
  <si>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</si>
  <si>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</si>
  <si>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</si>
  <si>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</si>
  <si>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</si>
  <si>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</si>
  <si>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</si>
  <si>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</si>
  <si>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</si>
  <si>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</si>
  <si>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</si>
  <si>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</si>
  <si>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</si>
  <si>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</si>
  <si>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</si>
  <si>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</si>
  <si>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</si>
  <si>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</si>
  <si>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</si>
  <si>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</si>
  <si>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</si>
  <si>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</si>
  <si>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</si>
  <si>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</si>
  <si>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</si>
  <si>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</si>
  <si>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</si>
  <si>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</si>
  <si>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</si>
  <si>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</si>
  <si>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</si>
  <si>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</si>
  <si>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</si>
  <si>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</si>
  <si>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</si>
  <si>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</si>
  <si>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</si>
  <si>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</si>
  <si>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</si>
  <si>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</si>
  <si>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</si>
  <si>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</si>
  <si>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</si>
  <si>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</si>
  <si>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</si>
  <si>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</si>
  <si>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</si>
  <si>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</si>
  <si>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</si>
  <si>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</si>
  <si>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</si>
  <si>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</si>
  <si>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</si>
  <si>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</si>
  <si>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</si>
  <si>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</si>
  <si>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</si>
  <si>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</si>
  <si>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</si>
  <si>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</si>
  <si>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</si>
  <si>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</si>
  <si>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</si>
  <si>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</si>
  <si>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</si>
  <si>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</si>
  <si>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</si>
  <si>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</si>
  <si>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</si>
  <si>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</si>
  <si>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</si>
  <si>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</si>
  <si>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</si>
  <si>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</si>
  <si>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</si>
  <si>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</si>
  <si>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</si>
  <si>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</si>
  <si>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</si>
  <si>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</si>
  <si>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</si>
  <si>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</si>
  <si>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</si>
  <si>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</si>
  <si>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</si>
  <si>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</si>
  <si>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</si>
  <si>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</si>
  <si>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</si>
  <si>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</si>
  <si>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</si>
  <si>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</si>
  <si>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</si>
  <si>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</si>
  <si>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</si>
  <si>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</si>
  <si>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</si>
  <si>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</si>
  <si>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</si>
  <si>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</si>
  <si>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</si>
  <si>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</si>
  <si>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</si>
  <si>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</si>
  <si>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</si>
  <si>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</si>
  <si>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</si>
  <si>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</si>
  <si>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</si>
  <si>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</si>
  <si>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</si>
  <si>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</si>
  <si>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</si>
  <si>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</si>
  <si>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</si>
  <si>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</si>
  <si>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</si>
  <si>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</si>
  <si>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</si>
  <si>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</si>
  <si>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</si>
  <si>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</si>
  <si>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</si>
  <si>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</si>
  <si>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</si>
  <si>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</si>
  <si>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</si>
  <si>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</si>
  <si>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</si>
  <si>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</si>
  <si>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</si>
  <si>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</si>
  <si>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</si>
  <si>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</si>
  <si>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</si>
  <si>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</si>
  <si>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</si>
  <si>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</si>
  <si>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</si>
  <si>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</si>
  <si>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</si>
  <si>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</si>
  <si>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</si>
  <si>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</si>
  <si>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</si>
  <si>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</si>
  <si>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</si>
  <si>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</si>
  <si>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</si>
  <si>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</si>
  <si>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</si>
  <si>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</si>
  <si>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</si>
  <si>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</si>
  <si>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</si>
  <si>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</si>
  <si>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</si>
  <si>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</si>
  <si>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</si>
  <si>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</si>
  <si>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</si>
  <si>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</si>
  <si>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</si>
  <si>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</si>
  <si>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</si>
  <si>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</si>
  <si>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</si>
  <si>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</si>
  <si>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</si>
  <si>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</si>
  <si>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</si>
  <si>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</si>
  <si>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</si>
  <si>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</si>
  <si>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</si>
  <si>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</si>
  <si>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</si>
  <si>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</si>
  <si>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</si>
  <si>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</si>
  <si>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</si>
  <si>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</si>
  <si>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</si>
  <si>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</si>
  <si>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</si>
  <si>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</si>
  <si>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</si>
  <si>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</si>
  <si>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</si>
  <si>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</si>
  <si>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</si>
  <si>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</si>
  <si>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</si>
  <si>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</si>
  <si>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</si>
  <si>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</si>
  <si>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</si>
  <si>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</si>
  <si>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</si>
  <si>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</si>
  <si>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</si>
  <si>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</si>
  <si>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</si>
  <si>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</si>
  <si>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</si>
  <si>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</si>
  <si>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</si>
  <si>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</si>
  <si>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</si>
  <si>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</si>
  <si>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</si>
  <si>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</si>
  <si>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</si>
  <si>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</si>
  <si>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</si>
  <si>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</si>
  <si>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</si>
  <si>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</si>
  <si>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</si>
  <si>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</si>
  <si>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</si>
  <si>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</si>
  <si>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</si>
  <si>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</si>
  <si>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</si>
  <si>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</si>
  <si>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</si>
  <si>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</si>
  <si>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</si>
  <si>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</si>
  <si>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</si>
  <si>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</si>
  <si>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</si>
  <si>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</si>
  <si>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</si>
  <si>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</si>
  <si>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</si>
  <si>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</si>
  <si>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</si>
  <si>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</si>
  <si>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</si>
  <si>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</si>
  <si>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</si>
  <si>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</si>
  <si>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</si>
  <si>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</si>
  <si>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pc 17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</si>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</sst>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8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9" fillId="3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activeCell="F28" sqref="F28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8.5703125" customWidth="1"/>
    <col min="7" max="7" width="12.42578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>
        <v>1008.89</v>
      </c>
      <c r="J18" s="129">
        <f t="shared" si="1"/>
        <v>0.82232197134469875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3462210</v>
      </c>
      <c r="D19" s="11">
        <f>IFERROR('Linha 1'!S433,"")</f>
        <v>1289250</v>
      </c>
      <c r="E19" s="11">
        <f>IFERROR('Linha 2'!S433,"")</f>
        <v>627770</v>
      </c>
      <c r="F19" s="11">
        <f>IFERROR('Linha 3'!S433,"")</f>
        <v>1393440</v>
      </c>
      <c r="G19" s="12">
        <f t="shared" si="0"/>
        <v>3310460</v>
      </c>
      <c r="H19" s="96">
        <f>IFERROR('Linha 1'!T433+'Linha 2'!T433+'Linha 3'!T433,0)</f>
        <v>476.70623999999998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59854730</v>
      </c>
      <c r="D35" s="13">
        <f t="shared" si="2"/>
        <v>19537270</v>
      </c>
      <c r="E35" s="13">
        <f t="shared" si="2"/>
        <v>10062440</v>
      </c>
      <c r="F35" s="13">
        <f t="shared" si="2"/>
        <v>24902370</v>
      </c>
      <c r="G35" s="13">
        <f t="shared" si="2"/>
        <v>54502080</v>
      </c>
      <c r="H35" s="97">
        <f t="shared" si="2"/>
        <v>3687.0015327907322</v>
      </c>
      <c r="I35" s="97">
        <f>IFERROR(SUM(I4:I34),"")</f>
        <v>3412.1299999999997</v>
      </c>
      <c r="J35" s="130">
        <f>IFERROR(AVERAGE(J4:J34),"-")</f>
        <v>0.73940661175970868</v>
      </c>
      <c r="K35" s="157">
        <f>SUM(K4:K34)</f>
        <v>450.78</v>
      </c>
    </row>
  </sheetData>
  <sheetProtection algorithmName="SHA-512" hashValue="vpEPyIQ+isvhVNIhNXU5EEsbytcsu9Kt3n0qT2R0xzcP/yehSKOYg+oMKHRjbnTLVVLKhM6h/OPt0FoZ1a8srg==" saltValue="/7ZKhIhiYjEA6BCa9v2PBQ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404" activePane="bottomLeft" state="frozen"/>
      <selection pane="bottomLeft" activeCell="F436" sqref="F436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69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69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0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69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69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0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69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69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0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69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69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0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69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69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0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69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69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0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69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69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0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69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69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0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71" t="s">
        <v>244</v>
      </c>
      <c r="B230" s="172"/>
      <c r="C230" s="172"/>
      <c r="D230" s="172"/>
      <c r="E230" s="173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69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0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69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69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0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69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69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0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69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69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0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69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69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0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69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69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0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69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69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0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37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37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69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59" t="s">
        <v>243</v>
      </c>
      <c r="F420" s="27">
        <v>15</v>
      </c>
      <c r="G420" s="28">
        <f t="shared" ref="G420:G431" si="88">IF(F420="","",IF(E420="PC 17",F420*4.2,IF(E420="PC 19",F420*5,IF(E420="CB",F420*35,""))))</f>
        <v>75</v>
      </c>
      <c r="H420" s="26" t="s">
        <v>25</v>
      </c>
      <c r="I420" s="26" t="s">
        <v>30</v>
      </c>
      <c r="J420" s="26" t="s">
        <v>225</v>
      </c>
      <c r="K420" s="29">
        <v>0.79166666666666663</v>
      </c>
      <c r="L420" s="29">
        <v>0.81944444444444442</v>
      </c>
      <c r="M420" s="30">
        <f t="shared" ref="M420:M431" ca="1" si="89">IFERROR(IF(K420="","",IF(L420="",MOD(NOW()-K420,1),IF(L420&gt;=K420,L420-K420,L420+1-K420))),"")</f>
        <v>2.777777777777779E-2</v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 t="s">
        <v>28</v>
      </c>
      <c r="D421" s="59" t="s">
        <v>37</v>
      </c>
      <c r="E421" s="59" t="s">
        <v>243</v>
      </c>
      <c r="F421" s="27">
        <v>40</v>
      </c>
      <c r="G421" s="34">
        <f t="shared" si="88"/>
        <v>200</v>
      </c>
      <c r="H421" s="33" t="s">
        <v>27</v>
      </c>
      <c r="I421" s="33" t="s">
        <v>30</v>
      </c>
      <c r="J421" s="33" t="s">
        <v>141</v>
      </c>
      <c r="K421" s="29">
        <v>8.819444444444445E-2</v>
      </c>
      <c r="L421" s="29">
        <v>9.4444444444444442E-2</v>
      </c>
      <c r="M421" s="35">
        <f t="shared" ca="1" si="89"/>
        <v>6.2499999999999917E-3</v>
      </c>
      <c r="N421" s="46" t="s">
        <v>270</v>
      </c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 t="s">
        <v>28</v>
      </c>
      <c r="D422" s="59" t="s">
        <v>37</v>
      </c>
      <c r="E422" s="59" t="s">
        <v>243</v>
      </c>
      <c r="F422" s="27">
        <v>20</v>
      </c>
      <c r="G422" s="28">
        <f t="shared" si="88"/>
        <v>100</v>
      </c>
      <c r="H422" s="33" t="s">
        <v>27</v>
      </c>
      <c r="I422" s="33" t="s">
        <v>30</v>
      </c>
      <c r="J422" s="33" t="s">
        <v>141</v>
      </c>
      <c r="K422" s="29">
        <v>0.10972222222222222</v>
      </c>
      <c r="L422" s="29">
        <v>0.12152777777777778</v>
      </c>
      <c r="M422" s="30">
        <f t="shared" ca="1" si="89"/>
        <v>1.1805555555555555E-2</v>
      </c>
      <c r="N422" s="46" t="s">
        <v>270</v>
      </c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 t="s">
        <v>28</v>
      </c>
      <c r="D423" s="59" t="s">
        <v>37</v>
      </c>
      <c r="E423" s="59" t="s">
        <v>243</v>
      </c>
      <c r="F423" s="27">
        <v>20</v>
      </c>
      <c r="G423" s="34">
        <f t="shared" si="88"/>
        <v>100</v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 t="s">
        <v>28</v>
      </c>
      <c r="D424" s="59" t="s">
        <v>37</v>
      </c>
      <c r="E424" s="59" t="s">
        <v>243</v>
      </c>
      <c r="F424" s="27">
        <v>30</v>
      </c>
      <c r="G424" s="28">
        <f t="shared" si="88"/>
        <v>150</v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 t="s">
        <v>28</v>
      </c>
      <c r="D425" s="59" t="s">
        <v>37</v>
      </c>
      <c r="E425" s="59" t="s">
        <v>243</v>
      </c>
      <c r="F425" s="27">
        <v>20</v>
      </c>
      <c r="G425" s="34">
        <f t="shared" si="88"/>
        <v>100</v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 t="s">
        <v>28</v>
      </c>
      <c r="D426" s="59" t="s">
        <v>37</v>
      </c>
      <c r="E426" s="59" t="s">
        <v>243</v>
      </c>
      <c r="F426" s="27">
        <v>40</v>
      </c>
      <c r="G426" s="28">
        <f t="shared" si="88"/>
        <v>200</v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 t="s">
        <v>28</v>
      </c>
      <c r="D427" s="59" t="s">
        <v>37</v>
      </c>
      <c r="E427" s="59" t="s">
        <v>243</v>
      </c>
      <c r="F427" s="27">
        <v>20</v>
      </c>
      <c r="G427" s="34">
        <f t="shared" si="88"/>
        <v>100</v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 t="s">
        <v>28</v>
      </c>
      <c r="D428" s="59" t="s">
        <v>37</v>
      </c>
      <c r="E428" s="59" t="s">
        <v>243</v>
      </c>
      <c r="F428" s="27">
        <v>30</v>
      </c>
      <c r="G428" s="28">
        <f t="shared" si="88"/>
        <v>150</v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 t="s">
        <v>28</v>
      </c>
      <c r="D429" s="59" t="s">
        <v>37</v>
      </c>
      <c r="E429" s="59" t="s">
        <v>243</v>
      </c>
      <c r="F429" s="27">
        <v>25</v>
      </c>
      <c r="G429" s="34">
        <f t="shared" si="88"/>
        <v>125</v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 t="s">
        <v>28</v>
      </c>
      <c r="D430" s="59" t="s">
        <v>37</v>
      </c>
      <c r="E430" s="59" t="s">
        <v>243</v>
      </c>
      <c r="F430" s="27">
        <v>40</v>
      </c>
      <c r="G430" s="28">
        <f t="shared" si="88"/>
        <v>200</v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 t="s">
        <v>28</v>
      </c>
      <c r="D431" s="59" t="s">
        <v>37</v>
      </c>
      <c r="E431" s="59" t="s">
        <v>243</v>
      </c>
      <c r="F431" s="27">
        <v>35</v>
      </c>
      <c r="G431" s="34">
        <f t="shared" si="88"/>
        <v>175</v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69">
        <f>SUM(E420:E431)</f>
        <v>0</v>
      </c>
      <c r="F432" s="36">
        <f>SUM(F420:F431)</f>
        <v>335</v>
      </c>
      <c r="G432" s="36">
        <f>SUM(G420:G431)</f>
        <v>1675</v>
      </c>
      <c r="H432" s="37"/>
      <c r="I432" s="37"/>
      <c r="J432" s="37"/>
      <c r="K432" s="37"/>
      <c r="L432" s="37"/>
      <c r="M432" s="38">
        <f ca="1">IFERROR(SUM(M420:M431),"")</f>
        <v>4.5833333333333337E-2</v>
      </c>
      <c r="N432" s="36" t="s">
        <v>245</v>
      </c>
      <c r="O432" s="39">
        <v>2266710</v>
      </c>
    </row>
    <row r="433" spans="1:15" ht="18" customHeight="1">
      <c r="A433" s="160" t="s">
        <v>248</v>
      </c>
      <c r="B433" s="161"/>
      <c r="C433" s="161"/>
      <c r="D433" s="161"/>
      <c r="E433" s="170">
        <f>E419+E432</f>
        <v>0</v>
      </c>
      <c r="F433" s="40">
        <f>F419+F432</f>
        <v>545</v>
      </c>
      <c r="G433" s="40">
        <f>G419+G432</f>
        <v>2725</v>
      </c>
      <c r="H433" s="41"/>
      <c r="I433" s="41"/>
      <c r="J433" s="41"/>
      <c r="K433" s="41"/>
      <c r="L433" s="41"/>
      <c r="M433" s="42">
        <f ca="1">IFERROR(M419+M432,"")</f>
        <v>0.27847222222222223</v>
      </c>
      <c r="N433" s="40" t="s">
        <v>249</v>
      </c>
      <c r="O433" s="48">
        <f>IFERROR(O419+O432,"")</f>
        <v>3462210</v>
      </c>
    </row>
    <row r="434" spans="1:15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59" t="s">
        <v>243</v>
      </c>
      <c r="F434" s="27">
        <v>11</v>
      </c>
      <c r="G434" s="28">
        <f t="shared" ref="G434:G445" si="91">IF(F434="","",IF(E434="PC 17",F434*4.2,IF(E434="PC 19",F434*5,IF(E434="CB",F434*35,""))))</f>
        <v>55</v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 t="s">
        <v>52</v>
      </c>
      <c r="D435" s="59" t="s">
        <v>29</v>
      </c>
      <c r="E435" s="59" t="s">
        <v>243</v>
      </c>
      <c r="F435" s="27">
        <v>8</v>
      </c>
      <c r="G435" s="28">
        <f t="shared" si="91"/>
        <v>40</v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 t="s">
        <v>52</v>
      </c>
      <c r="D436" s="59" t="s">
        <v>29</v>
      </c>
      <c r="E436" s="59" t="s">
        <v>243</v>
      </c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 t="s">
        <v>52</v>
      </c>
      <c r="D437" s="59" t="s">
        <v>29</v>
      </c>
      <c r="E437" s="59" t="s">
        <v>243</v>
      </c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 t="s">
        <v>52</v>
      </c>
      <c r="D438" s="59" t="s">
        <v>29</v>
      </c>
      <c r="E438" s="59" t="s">
        <v>243</v>
      </c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 t="s">
        <v>52</v>
      </c>
      <c r="D439" s="59" t="s">
        <v>29</v>
      </c>
      <c r="E439" s="59" t="s">
        <v>243</v>
      </c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 t="s">
        <v>52</v>
      </c>
      <c r="D440" s="59" t="s">
        <v>29</v>
      </c>
      <c r="E440" s="59" t="s">
        <v>243</v>
      </c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 t="s">
        <v>52</v>
      </c>
      <c r="D441" s="59" t="s">
        <v>29</v>
      </c>
      <c r="E441" s="59" t="s">
        <v>243</v>
      </c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 t="s">
        <v>52</v>
      </c>
      <c r="D442" s="59" t="s">
        <v>29</v>
      </c>
      <c r="E442" s="59" t="s">
        <v>243</v>
      </c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 t="s">
        <v>52</v>
      </c>
      <c r="D443" s="59" t="s">
        <v>29</v>
      </c>
      <c r="E443" s="59" t="s">
        <v>243</v>
      </c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 t="s">
        <v>52</v>
      </c>
      <c r="D444" s="59" t="s">
        <v>29</v>
      </c>
      <c r="E444" s="59" t="s">
        <v>243</v>
      </c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 t="s">
        <v>52</v>
      </c>
      <c r="D445" s="59" t="s">
        <v>29</v>
      </c>
      <c r="E445" s="59" t="s">
        <v>243</v>
      </c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69">
        <f>SUM(E434:E445)</f>
        <v>0</v>
      </c>
      <c r="F446" s="36">
        <f>SUM(F434:F445)</f>
        <v>19</v>
      </c>
      <c r="G446" s="36">
        <f>SUM(G434:G445)</f>
        <v>95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69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0">
        <f>E446+E459</f>
        <v>0</v>
      </c>
      <c r="F460" s="40">
        <f>F446+F459</f>
        <v>19</v>
      </c>
      <c r="G460" s="40">
        <f>G446+G459</f>
        <v>95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69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69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0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69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69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0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69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69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0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69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69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0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69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69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0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69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69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0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69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69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0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69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69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0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69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69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0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69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69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0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69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69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0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69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69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0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69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69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4" t="s">
        <v>248</v>
      </c>
      <c r="B811" s="175"/>
      <c r="C811" s="175"/>
      <c r="D811" s="175"/>
      <c r="E811" s="176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69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69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0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zoomScale="80" zoomScaleNormal="80" zoomScaleSheetLayoutView="70" workbookViewId="0">
      <pane ySplit="1" topLeftCell="A395" activePane="bottomLeft" state="frozen"/>
      <selection pane="bottomLeft" activeCell="G436" sqref="G436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273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274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275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276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277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278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279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280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0.29589606481022201</v>
      </c>
      <c r="R53" s="46" t="s">
        <v>281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0.43478495369911091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0.51950717592133322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273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282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283</v>
      </c>
      <c r="Q96" s="30" t="str">
        <f t="shared" ref="Q96:Q107" ca="1" si="22">IFERROR(IF(O96="","",IF(P96="",MOD(NOW()-O96,1),IF(P96&gt;=O96,P96-O96,P96+1-O96))),"")</f>
        <v/>
      </c>
      <c r="R96" s="46" t="s">
        <v>284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285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286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287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288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289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290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291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292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289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293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294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287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282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295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296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297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71" t="s">
        <v>244</v>
      </c>
      <c r="B230" s="172"/>
      <c r="C230" s="172"/>
      <c r="D230" s="172"/>
      <c r="E230" s="172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298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299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300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301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302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294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289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282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303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304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305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24</v>
      </c>
      <c r="H420" s="140">
        <f>IFERROR(IF($G420="","",$G420*$S$432/$G$432/Cadastro!$E$33),"")</f>
        <v>98.023859649122812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14.115435789473684</v>
      </c>
      <c r="K420" s="28">
        <f t="shared" ref="K420:K431" si="103">IF(G420="","",IF(E420="PC 17",G420*4.2,IF(E420="PC 19",G420*5,IF(E420="CB",G420*24,""))))</f>
        <v>100.80000000000001</v>
      </c>
      <c r="L420" s="26" t="s">
        <v>27</v>
      </c>
      <c r="M420" s="26" t="s">
        <v>46</v>
      </c>
      <c r="N420" s="26" t="s">
        <v>63</v>
      </c>
      <c r="O420" s="29">
        <v>0.87291666666666667</v>
      </c>
      <c r="P420" s="29">
        <v>0.89722222222222225</v>
      </c>
      <c r="Q420" s="30">
        <f t="shared" ref="Q420:Q431" ca="1" si="104">IFERROR(IF(O420="","",IF(P420="",MOD(NOW()-O420,1),IF(P420&gt;=O420,P420-O420,P420+1-O420))),"")</f>
        <v>2.430555555555558E-2</v>
      </c>
      <c r="R420" s="46" t="s">
        <v>306</v>
      </c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13</v>
      </c>
      <c r="H421" s="134">
        <f>IFERROR(IF($G421="","",$G421*$S$432/$G$432/Cadastro!$E$33),"")</f>
        <v>53.096257309941521</v>
      </c>
      <c r="I421" s="135">
        <f>IFERROR(IF($D421="","",VLOOKUP($D421,Cadastro!$C$4:$G$7,5,FALSE)),"")</f>
        <v>0.6</v>
      </c>
      <c r="J421" s="136">
        <f t="shared" si="102"/>
        <v>7.6458610526315782</v>
      </c>
      <c r="K421" s="34">
        <f t="shared" si="103"/>
        <v>54.6</v>
      </c>
      <c r="L421" s="33" t="s">
        <v>25</v>
      </c>
      <c r="M421" s="33" t="s">
        <v>46</v>
      </c>
      <c r="N421" s="33" t="s">
        <v>164</v>
      </c>
      <c r="O421" s="29">
        <v>0.91666666666666663</v>
      </c>
      <c r="P421" s="29">
        <v>0.93402777777777779</v>
      </c>
      <c r="Q421" s="35">
        <f t="shared" ca="1" si="104"/>
        <v>1.736111111111116E-2</v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11</v>
      </c>
      <c r="H422" s="134">
        <f>IFERROR(IF($G422="","",$G422*$S$432/$G$432/Cadastro!$E$33),"")</f>
        <v>44.927602339181284</v>
      </c>
      <c r="I422" s="135">
        <f>IFERROR(IF($D422="","",VLOOKUP($D422,Cadastro!$C$4:$G$7,5,FALSE)),"")</f>
        <v>0.6</v>
      </c>
      <c r="J422" s="136">
        <f t="shared" si="102"/>
        <v>6.4695747368421044</v>
      </c>
      <c r="K422" s="28">
        <f t="shared" si="103"/>
        <v>46.2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4"/>
        <v>1.0416666666666741E-2</v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12</v>
      </c>
      <c r="H423" s="134">
        <f>IFERROR(IF($G423="","",$G423*$S$432/$G$432/Cadastro!$E$33),"")</f>
        <v>49.011929824561406</v>
      </c>
      <c r="I423" s="135">
        <f>IFERROR(IF($D423="","",VLOOKUP($D423,Cadastro!$C$4:$G$7,5,FALSE)),"")</f>
        <v>0.6</v>
      </c>
      <c r="J423" s="136">
        <f t="shared" si="102"/>
        <v>7.0577178947368422</v>
      </c>
      <c r="K423" s="34">
        <f t="shared" si="103"/>
        <v>50.400000000000006</v>
      </c>
      <c r="L423" s="33" t="s">
        <v>27</v>
      </c>
      <c r="M423" s="33" t="s">
        <v>46</v>
      </c>
      <c r="N423" s="33" t="s">
        <v>43</v>
      </c>
      <c r="O423" s="29">
        <v>2.9166666666666667E-2</v>
      </c>
      <c r="P423" s="29">
        <v>3.2638888888888891E-2</v>
      </c>
      <c r="Q423" s="35">
        <f t="shared" ca="1" si="104"/>
        <v>3.4722222222222238E-3</v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21</v>
      </c>
      <c r="H424" s="134">
        <f>IFERROR(IF($G424="","",$G424*$S$432/$G$432/Cadastro!$E$33),"")</f>
        <v>85.770877192982454</v>
      </c>
      <c r="I424" s="135">
        <f>IFERROR(IF($D424="","",VLOOKUP($D424,Cadastro!$C$4:$G$7,5,FALSE)),"")</f>
        <v>0.6</v>
      </c>
      <c r="J424" s="136">
        <f t="shared" si="102"/>
        <v>12.351006315789473</v>
      </c>
      <c r="K424" s="28">
        <f t="shared" si="103"/>
        <v>88.2</v>
      </c>
      <c r="L424" s="26" t="s">
        <v>27</v>
      </c>
      <c r="M424" s="26" t="s">
        <v>46</v>
      </c>
      <c r="N424" s="26" t="s">
        <v>43</v>
      </c>
      <c r="O424" s="29">
        <v>6.0416666666666667E-2</v>
      </c>
      <c r="P424" s="29">
        <v>6.3194444444444442E-2</v>
      </c>
      <c r="Q424" s="30">
        <f t="shared" ca="1" si="104"/>
        <v>2.7777777777777748E-3</v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12</v>
      </c>
      <c r="H425" s="134">
        <f>IFERROR(IF($G425="","",$G425*$S$432/$G$432/Cadastro!$E$33),"")</f>
        <v>49.011929824561406</v>
      </c>
      <c r="I425" s="135">
        <f>IFERROR(IF($D425="","",VLOOKUP($D425,Cadastro!$C$4:$G$7,5,FALSE)),"")</f>
        <v>0.6</v>
      </c>
      <c r="J425" s="136">
        <f t="shared" si="102"/>
        <v>7.0577178947368422</v>
      </c>
      <c r="K425" s="34">
        <f t="shared" si="103"/>
        <v>50.400000000000006</v>
      </c>
      <c r="L425" s="33" t="s">
        <v>27</v>
      </c>
      <c r="M425" s="33" t="s">
        <v>46</v>
      </c>
      <c r="N425" s="33" t="s">
        <v>43</v>
      </c>
      <c r="O425" s="29">
        <v>7.3611111111111113E-2</v>
      </c>
      <c r="P425" s="29">
        <v>7.5694444444444439E-2</v>
      </c>
      <c r="Q425" s="35">
        <f t="shared" ca="1" si="104"/>
        <v>2.0833333333333259E-3</v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17</v>
      </c>
      <c r="H426" s="134">
        <f>IFERROR(IF($G426="","",$G426*$S$432/$G$432/Cadastro!$E$33),"")</f>
        <v>69.433567251461994</v>
      </c>
      <c r="I426" s="135">
        <f>IFERROR(IF($D426="","",VLOOKUP($D426,Cadastro!$C$4:$G$7,5,FALSE)),"")</f>
        <v>0.6</v>
      </c>
      <c r="J426" s="136">
        <f t="shared" si="102"/>
        <v>9.9984336842105268</v>
      </c>
      <c r="K426" s="28">
        <f t="shared" si="103"/>
        <v>71.400000000000006</v>
      </c>
      <c r="L426" s="26" t="s">
        <v>26</v>
      </c>
      <c r="M426" s="26" t="s">
        <v>167</v>
      </c>
      <c r="N426" s="26" t="s">
        <v>34</v>
      </c>
      <c r="O426" s="29">
        <v>0.16180555555555556</v>
      </c>
      <c r="P426" s="29">
        <v>0.18055555555555555</v>
      </c>
      <c r="Q426" s="30">
        <f t="shared" ca="1" si="104"/>
        <v>1.8749999999999989E-2</v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16</v>
      </c>
      <c r="H427" s="134">
        <f>IFERROR(IF($G427="","",$G427*$S$432/$G$432/Cadastro!$E$33),"")</f>
        <v>65.349239766081865</v>
      </c>
      <c r="I427" s="135">
        <f>IFERROR(IF($D427="","",VLOOKUP($D427,Cadastro!$C$4:$G$7,5,FALSE)),"")</f>
        <v>0.6</v>
      </c>
      <c r="J427" s="136">
        <f t="shared" si="102"/>
        <v>9.4102905263157872</v>
      </c>
      <c r="K427" s="34">
        <f t="shared" si="103"/>
        <v>67.2</v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4</v>
      </c>
      <c r="H428" s="134">
        <f>IFERROR(IF($G428="","",$G428*$S$432/$G$432/Cadastro!$E$33),"")</f>
        <v>16.337309941520466</v>
      </c>
      <c r="I428" s="135">
        <f>IFERROR(IF($D428="","",VLOOKUP($D428,Cadastro!$C$4:$G$7,5,FALSE)),"")</f>
        <v>0.6</v>
      </c>
      <c r="J428" s="136">
        <f t="shared" si="102"/>
        <v>2.3525726315789468</v>
      </c>
      <c r="K428" s="28">
        <f t="shared" si="103"/>
        <v>16.8</v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13</v>
      </c>
      <c r="H429" s="134">
        <f>IFERROR(IF($G429="","",$G429*$S$432/$G$432/Cadastro!$E$33),"")</f>
        <v>53.096257309941521</v>
      </c>
      <c r="I429" s="135">
        <f>IFERROR(IF($D429="","",VLOOKUP($D429,Cadastro!$C$4:$G$7,5,FALSE)),"")</f>
        <v>0.6</v>
      </c>
      <c r="J429" s="136">
        <f t="shared" si="102"/>
        <v>7.6458610526315782</v>
      </c>
      <c r="K429" s="34">
        <f t="shared" si="103"/>
        <v>54.6</v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20</v>
      </c>
      <c r="H430" s="134">
        <f>IFERROR(IF($G430="","",$G430*$S$432/$G$432/Cadastro!$E$33),"")</f>
        <v>81.686549707602339</v>
      </c>
      <c r="I430" s="135">
        <f>IFERROR(IF($D430="","",VLOOKUP($D430,Cadastro!$C$4:$G$7,5,FALSE)),"")</f>
        <v>0.6</v>
      </c>
      <c r="J430" s="136">
        <f t="shared" si="102"/>
        <v>11.762863157894737</v>
      </c>
      <c r="K430" s="28">
        <f t="shared" si="103"/>
        <v>84</v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8</v>
      </c>
      <c r="H431" s="137">
        <f>IFERROR(IF($G431="","",$G431*$S$432/$G$432/Cadastro!$E$33),"")</f>
        <v>32.674619883040933</v>
      </c>
      <c r="I431" s="138">
        <f>IFERROR(IF($D431="","",VLOOKUP($D431,Cadastro!$C$4:$G$7,5,FALSE)),"")</f>
        <v>0.6</v>
      </c>
      <c r="J431" s="139">
        <f t="shared" si="102"/>
        <v>4.7051452631578936</v>
      </c>
      <c r="K431" s="34">
        <f t="shared" si="103"/>
        <v>33.6</v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171</v>
      </c>
      <c r="H432" s="111">
        <f>IFERROR(SUM(H420:H431),"")</f>
        <v>698.42000000000007</v>
      </c>
      <c r="I432" s="115"/>
      <c r="J432" s="124">
        <f>IFERROR(SUM(J420:J431),"")</f>
        <v>100.57248</v>
      </c>
      <c r="K432" s="36">
        <f>SUM(K420:K431)</f>
        <v>718.2</v>
      </c>
      <c r="L432" s="37"/>
      <c r="M432" s="37"/>
      <c r="N432" s="37"/>
      <c r="O432" s="37"/>
      <c r="P432" s="37"/>
      <c r="Q432" s="38">
        <f ca="1">IFERROR(SUM(Q420:Q431),"")</f>
        <v>7.9166666666666802E-2</v>
      </c>
      <c r="R432" s="36" t="s">
        <v>245</v>
      </c>
      <c r="S432" s="45">
        <v>698420</v>
      </c>
      <c r="T432" s="122">
        <f>IFERROR(J432,"")</f>
        <v>100.57248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318</v>
      </c>
      <c r="H433" s="112">
        <f>IFERROR(H419+H432,"")</f>
        <v>1289.25</v>
      </c>
      <c r="I433" s="116"/>
      <c r="J433" s="125">
        <f>IFERROR(J419+J432,"")</f>
        <v>185.65199999999999</v>
      </c>
      <c r="K433" s="40">
        <f>K419+K432</f>
        <v>1335.6000000000001</v>
      </c>
      <c r="L433" s="41"/>
      <c r="M433" s="41"/>
      <c r="N433" s="41"/>
      <c r="O433" s="41"/>
      <c r="P433" s="41"/>
      <c r="Q433" s="42">
        <f ca="1">IFERROR(Q419+Q432,"")</f>
        <v>0.17013888888888903</v>
      </c>
      <c r="R433" s="40" t="s">
        <v>249</v>
      </c>
      <c r="S433" s="143">
        <f>IFERROR(S419+S432,"")</f>
        <v>1289250</v>
      </c>
      <c r="T433" s="144">
        <f>IFERROR(J433,"")</f>
        <v>185.65199999999999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9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4" si="107">IF(G434="","",IF(E434="PC 17",G434*4.2,IF(E434="PC 19",G434*5,IF(E434="CB",G434*24,""))))</f>
        <v>37.800000000000004</v>
      </c>
      <c r="L434" s="26" t="s">
        <v>27</v>
      </c>
      <c r="M434" s="26" t="s">
        <v>46</v>
      </c>
      <c r="N434" s="26" t="s">
        <v>43</v>
      </c>
      <c r="O434" s="29">
        <v>0.32291666666666669</v>
      </c>
      <c r="P434" s="29">
        <v>0.34305555555555556</v>
      </c>
      <c r="Q434" s="30">
        <f t="shared" ref="Q434:Q445" ca="1" si="108">IFERROR(IF(O434="","",IF(P434="",MOD(NOW()-O434,1),IF(P434&gt;=O434,P434-O434,P434+1-O434))),"")</f>
        <v>2.0138888888888873E-2</v>
      </c>
      <c r="R434" s="46" t="s">
        <v>307</v>
      </c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8.4</v>
      </c>
      <c r="L435" s="33" t="s">
        <v>27</v>
      </c>
      <c r="M435" s="33" t="s">
        <v>145</v>
      </c>
      <c r="N435" s="33" t="s">
        <v>81</v>
      </c>
      <c r="O435" s="29">
        <v>0.36527777777777776</v>
      </c>
      <c r="P435" s="29">
        <v>0.38194444444444442</v>
      </c>
      <c r="Q435" s="35">
        <f t="shared" ca="1" si="108"/>
        <v>1.6666666666666663E-2</v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77" t="s">
        <v>308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>IF(G440="","",IF(E445="PC 17",G440*4.2,IF(E445="PC 19",G440*5,IF(E445="CB",G440*24,""))))</f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>IF(G445="","",IF(#REF!="PC 17",G445*4.2,IF(#REF!="PC 19",G445*5,IF(#REF!="CB",G445*24,""))))</f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11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46.2</v>
      </c>
      <c r="L446" s="37"/>
      <c r="M446" s="37"/>
      <c r="N446" s="37"/>
      <c r="O446" s="37"/>
      <c r="P446" s="37"/>
      <c r="Q446" s="38">
        <f ca="1">IFERROR(SUM(Q434:Q445),"")</f>
        <v>3.6805555555555536E-2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11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46.2</v>
      </c>
      <c r="L460" s="41"/>
      <c r="M460" s="41"/>
      <c r="N460" s="41"/>
      <c r="O460" s="41"/>
      <c r="P460" s="41"/>
      <c r="Q460" s="42">
        <f ca="1">IFERROR(Q446+Q459,"")</f>
        <v>3.6805555555555536E-2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29:F431 F440 E434:F439 E441:F512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D2:D439 D441:D838 D440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309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276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310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282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309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309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311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312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313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314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315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316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317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290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282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318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319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293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293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320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321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322</v>
      </c>
      <c r="Q222" s="30" t="str">
        <f t="shared" ca="1" si="49"/>
        <v/>
      </c>
      <c r="R222" s="27" t="s">
        <v>323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324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300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325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301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282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326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304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59.189421487603305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8.523276694214875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29.594710743801652</v>
      </c>
      <c r="I408" s="135">
        <f>IFERROR(IF($D408="","",VLOOKUP($D408,Cadastro!$C$4:$G$7,5,FALSE)),"")</f>
        <v>0.6</v>
      </c>
      <c r="J408" s="136">
        <f t="shared" si="96"/>
        <v>4.2616383471074375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327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44.392066115702484</v>
      </c>
      <c r="I409" s="135">
        <f>IFERROR(IF($D409="","",VLOOKUP($D409,Cadastro!$C$4:$G$7,5,FALSE)),"")</f>
        <v>0.6</v>
      </c>
      <c r="J409" s="136">
        <f t="shared" si="96"/>
        <v>6.392457520661158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33.294049586776865</v>
      </c>
      <c r="I410" s="135">
        <f>IFERROR(IF($D410="","",VLOOKUP($D410,Cadastro!$C$4:$G$7,5,FALSE)),"")</f>
        <v>0.6</v>
      </c>
      <c r="J410" s="136">
        <f t="shared" si="96"/>
        <v>4.7943431404958678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22.196033057851242</v>
      </c>
      <c r="I411" s="135">
        <f>IFERROR(IF($D411="","",VLOOKUP($D411,Cadastro!$C$4:$G$7,5,FALSE)),"")</f>
        <v>0.6</v>
      </c>
      <c r="J411" s="136">
        <f t="shared" si="96"/>
        <v>3.196228760330579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40.692727272727275</v>
      </c>
      <c r="I412" s="135">
        <f>IFERROR(IF($D412="","",VLOOKUP($D412,Cadastro!$C$4:$G$7,5,FALSE)),"")</f>
        <v>0.6</v>
      </c>
      <c r="J412" s="136">
        <f t="shared" si="96"/>
        <v>5.8597527272727268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51.790743801652887</v>
      </c>
      <c r="I413" s="135">
        <f>IFERROR(IF($D413="","",VLOOKUP($D413,Cadastro!$C$4:$G$7,5,FALSE)),"")</f>
        <v>0.6</v>
      </c>
      <c r="J413" s="136">
        <f t="shared" si="96"/>
        <v>7.4578671074380152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44.392066115702484</v>
      </c>
      <c r="I414" s="135">
        <f>IFERROR(IF($D414="","",VLOOKUP($D414,Cadastro!$C$4:$G$7,5,FALSE)),"")</f>
        <v>0.6</v>
      </c>
      <c r="J414" s="136">
        <f t="shared" si="96"/>
        <v>6.392457520661158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40.692727272727275</v>
      </c>
      <c r="I415" s="135">
        <f>IFERROR(IF($D415="","",VLOOKUP($D415,Cadastro!$C$4:$G$7,5,FALSE)),"")</f>
        <v>0.6</v>
      </c>
      <c r="J415" s="136">
        <f t="shared" si="96"/>
        <v>5.8597527272727268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62.888760330578513</v>
      </c>
      <c r="I416" s="135">
        <f>IFERROR(IF($D416="","",VLOOKUP($D416,Cadastro!$C$4:$G$7,5,FALSE)),"")</f>
        <v>0.6</v>
      </c>
      <c r="J416" s="136">
        <f t="shared" si="96"/>
        <v>9.0559814876033045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18.496694214876033</v>
      </c>
      <c r="I417" s="135">
        <f>IFERROR(IF($D417="","",VLOOKUP($D417,Cadastro!$C$4:$G$7,5,FALSE)),"")</f>
        <v>0.6</v>
      </c>
      <c r="J417" s="136">
        <f t="shared" si="96"/>
        <v>2.6635239669421487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447.62</v>
      </c>
      <c r="I419" s="114"/>
      <c r="J419" s="123">
        <f>IFERROR(SUM(J407:J418),"")</f>
        <v>64.457279999999997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>
        <v>447620</v>
      </c>
      <c r="T419" s="119">
        <f>IFERROR(J419,"")</f>
        <v>64.457279999999997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6</v>
      </c>
      <c r="H420" s="140">
        <f>IFERROR(IF($G420="","",$G420*$S$432/$G$432/Cadastro!$E$33),"")</f>
        <v>26.363414634146341</v>
      </c>
      <c r="I420" s="141">
        <f>IFERROR(IF($D420="","",VLOOKUP($D420,Cadastro!$C$4:$G$7,5,FALSE)),"")</f>
        <v>0.6</v>
      </c>
      <c r="J420" s="142">
        <f t="shared" ref="J420:J431" si="100">IFERROR(IF($H420="","",$H420*$F420*$I420),"")</f>
        <v>3.7963317073170728</v>
      </c>
      <c r="K420" s="28">
        <f t="shared" ref="K420:K431" si="101">IF(G420="","",IF(E420="PC 17",G420*4.2,IF(E420="PC 19",G420*5,IF(E420="CB",G420*24,""))))</f>
        <v>25.200000000000003</v>
      </c>
      <c r="L420" s="26" t="s">
        <v>27</v>
      </c>
      <c r="M420" s="26" t="s">
        <v>54</v>
      </c>
      <c r="N420" s="26" t="s">
        <v>63</v>
      </c>
      <c r="O420" s="29">
        <v>0.86875000000000002</v>
      </c>
      <c r="P420" s="29">
        <v>0.8979166666666667</v>
      </c>
      <c r="Q420" s="30">
        <f t="shared" ref="Q420:Q431" ca="1" si="102">IFERROR(IF(O420="","",IF(P420="",MOD(NOW()-O420,1),IF(P420&gt;=O420,P420-O420,P420+1-O420))),"")</f>
        <v>2.9166666666666674E-2</v>
      </c>
      <c r="R420" s="86" t="s">
        <v>328</v>
      </c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3</v>
      </c>
      <c r="H421" s="134">
        <f>IFERROR(IF($G421="","",$G421*$S$432/$G$432/Cadastro!$E$33),"")</f>
        <v>13.181707317073171</v>
      </c>
      <c r="I421" s="135">
        <f>IFERROR(IF($D421="","",VLOOKUP($D421,Cadastro!$C$4:$G$7,5,FALSE)),"")</f>
        <v>0.6</v>
      </c>
      <c r="J421" s="136">
        <f t="shared" si="100"/>
        <v>1.8981658536585364</v>
      </c>
      <c r="K421" s="34">
        <f t="shared" si="101"/>
        <v>12.600000000000001</v>
      </c>
      <c r="L421" s="33" t="s">
        <v>27</v>
      </c>
      <c r="M421" s="33" t="s">
        <v>54</v>
      </c>
      <c r="N421" s="33" t="s">
        <v>69</v>
      </c>
      <c r="O421" s="29">
        <v>0.9145833333333333</v>
      </c>
      <c r="P421" s="29">
        <v>0.95138888888888884</v>
      </c>
      <c r="Q421" s="85">
        <f t="shared" ca="1" si="102"/>
        <v>3.6805555555555536E-2</v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2</v>
      </c>
      <c r="H422" s="134">
        <f>IFERROR(IF($G422="","",$G422*$S$432/$G$432/Cadastro!$E$33),"")</f>
        <v>8.7878048780487799</v>
      </c>
      <c r="I422" s="135">
        <f>IFERROR(IF($D422="","",VLOOKUP($D422,Cadastro!$C$4:$G$7,5,FALSE)),"")</f>
        <v>0.6</v>
      </c>
      <c r="J422" s="136">
        <f t="shared" si="100"/>
        <v>1.265443902439024</v>
      </c>
      <c r="K422" s="28">
        <f t="shared" si="101"/>
        <v>8.4</v>
      </c>
      <c r="L422" s="26" t="s">
        <v>27</v>
      </c>
      <c r="M422" s="26" t="s">
        <v>165</v>
      </c>
      <c r="N422" s="26" t="s">
        <v>81</v>
      </c>
      <c r="O422" s="29">
        <v>0.99305555555555558</v>
      </c>
      <c r="P422" s="29">
        <v>3.472222222222222E-3</v>
      </c>
      <c r="Q422" s="30">
        <f t="shared" ca="1" si="102"/>
        <v>1.0416666666666741E-2</v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2</v>
      </c>
      <c r="H423" s="134">
        <f>IFERROR(IF($G423="","",$G423*$S$432/$G$432/Cadastro!$E$33),"")</f>
        <v>8.7878048780487799</v>
      </c>
      <c r="I423" s="135">
        <f>IFERROR(IF($D423="","",VLOOKUP($D423,Cadastro!$C$4:$G$7,5,FALSE)),"")</f>
        <v>0.6</v>
      </c>
      <c r="J423" s="136">
        <f t="shared" si="100"/>
        <v>1.265443902439024</v>
      </c>
      <c r="K423" s="34">
        <f t="shared" si="101"/>
        <v>8.4</v>
      </c>
      <c r="L423" s="33" t="s">
        <v>27</v>
      </c>
      <c r="M423" s="33" t="s">
        <v>54</v>
      </c>
      <c r="N423" s="33" t="s">
        <v>63</v>
      </c>
      <c r="O423" s="29">
        <v>9.0277777777777776E-2</v>
      </c>
      <c r="P423" s="29">
        <v>9.8611111111111108E-2</v>
      </c>
      <c r="Q423" s="35">
        <f t="shared" ca="1" si="102"/>
        <v>8.3333333333333315E-3</v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4</v>
      </c>
      <c r="H424" s="134">
        <f>IFERROR(IF($G424="","",$G424*$S$432/$G$432/Cadastro!$E$33),"")</f>
        <v>17.57560975609756</v>
      </c>
      <c r="I424" s="135">
        <f>IFERROR(IF($D424="","",VLOOKUP($D424,Cadastro!$C$4:$G$7,5,FALSE)),"")</f>
        <v>0.6</v>
      </c>
      <c r="J424" s="136">
        <f t="shared" si="100"/>
        <v>2.5308878048780481</v>
      </c>
      <c r="K424" s="28">
        <f t="shared" si="101"/>
        <v>16.8</v>
      </c>
      <c r="L424" s="26" t="s">
        <v>27</v>
      </c>
      <c r="M424" s="26" t="s">
        <v>54</v>
      </c>
      <c r="N424" s="26" t="s">
        <v>35</v>
      </c>
      <c r="O424" s="29">
        <v>0.25277777777777777</v>
      </c>
      <c r="P424" s="29">
        <v>0.26041666666666669</v>
      </c>
      <c r="Q424" s="30">
        <f t="shared" ca="1" si="102"/>
        <v>7.6388888888889173E-3</v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4</v>
      </c>
      <c r="H425" s="134">
        <f>IFERROR(IF($G425="","",$G425*$S$432/$G$432/Cadastro!$E$33),"")</f>
        <v>17.57560975609756</v>
      </c>
      <c r="I425" s="135">
        <f>IFERROR(IF($D425="","",VLOOKUP($D425,Cadastro!$C$4:$G$7,5,FALSE)),"")</f>
        <v>0.6</v>
      </c>
      <c r="J425" s="136">
        <f t="shared" si="100"/>
        <v>2.5308878048780481</v>
      </c>
      <c r="K425" s="34">
        <f t="shared" si="101"/>
        <v>16.8</v>
      </c>
      <c r="L425" s="33" t="s">
        <v>27</v>
      </c>
      <c r="M425" s="33" t="s">
        <v>165</v>
      </c>
      <c r="N425" s="33" t="s">
        <v>81</v>
      </c>
      <c r="O425" s="29">
        <v>0.2673611111111111</v>
      </c>
      <c r="P425" s="29">
        <v>0.28472222222222221</v>
      </c>
      <c r="Q425" s="35">
        <f t="shared" ca="1" si="102"/>
        <v>1.7361111111111105E-2</v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5</v>
      </c>
      <c r="H426" s="134">
        <f>IFERROR(IF($G426="","",$G426*$S$432/$G$432/Cadastro!$E$33),"")</f>
        <v>21.969512195121951</v>
      </c>
      <c r="I426" s="135">
        <f>IFERROR(IF($D426="","",VLOOKUP($D426,Cadastro!$C$4:$G$7,5,FALSE)),"")</f>
        <v>0.6</v>
      </c>
      <c r="J426" s="136">
        <f t="shared" si="100"/>
        <v>3.1636097560975607</v>
      </c>
      <c r="K426" s="28">
        <f t="shared" si="101"/>
        <v>21</v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4</v>
      </c>
      <c r="H427" s="134">
        <f>IFERROR(IF($G427="","",$G427*$S$432/$G$432/Cadastro!$E$33),"")</f>
        <v>17.57560975609756</v>
      </c>
      <c r="I427" s="135">
        <f>IFERROR(IF($D427="","",VLOOKUP($D427,Cadastro!$C$4:$G$7,5,FALSE)),"")</f>
        <v>0.6</v>
      </c>
      <c r="J427" s="136">
        <f t="shared" si="100"/>
        <v>2.5308878048780481</v>
      </c>
      <c r="K427" s="34">
        <f t="shared" si="101"/>
        <v>16.8</v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0</v>
      </c>
      <c r="H428" s="134">
        <f>IFERROR(IF($G428="","",$G428*$S$432/$G$432/Cadastro!$E$33),"")</f>
        <v>0</v>
      </c>
      <c r="I428" s="135">
        <f>IFERROR(IF($D428="","",VLOOKUP($D428,Cadastro!$C$4:$G$7,5,FALSE)),"")</f>
        <v>0.6</v>
      </c>
      <c r="J428" s="136">
        <f t="shared" si="100"/>
        <v>0</v>
      </c>
      <c r="K428" s="28">
        <f t="shared" si="101"/>
        <v>0</v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5</v>
      </c>
      <c r="H429" s="134">
        <f>IFERROR(IF($G429="","",$G429*$S$432/$G$432/Cadastro!$E$33),"")</f>
        <v>21.969512195121951</v>
      </c>
      <c r="I429" s="135">
        <f>IFERROR(IF($D429="","",VLOOKUP($D429,Cadastro!$C$4:$G$7,5,FALSE)),"")</f>
        <v>0.6</v>
      </c>
      <c r="J429" s="136">
        <f t="shared" si="100"/>
        <v>3.1636097560975607</v>
      </c>
      <c r="K429" s="34">
        <f t="shared" si="101"/>
        <v>21</v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6</v>
      </c>
      <c r="H430" s="134">
        <f>IFERROR(IF($G430="","",$G430*$S$432/$G$432/Cadastro!$E$33),"")</f>
        <v>26.363414634146341</v>
      </c>
      <c r="I430" s="135">
        <f>IFERROR(IF($D430="","",VLOOKUP($D430,Cadastro!$C$4:$G$7,5,FALSE)),"")</f>
        <v>0.6</v>
      </c>
      <c r="J430" s="136">
        <f t="shared" si="100"/>
        <v>3.7963317073170728</v>
      </c>
      <c r="K430" s="28">
        <f t="shared" si="101"/>
        <v>25.200000000000003</v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0</v>
      </c>
      <c r="H431" s="137">
        <f>IFERROR(IF($G431="","",$G431*$S$432/$G$432/Cadastro!$E$33),"")</f>
        <v>0</v>
      </c>
      <c r="I431" s="138">
        <f>IFERROR(IF($D431="","",VLOOKUP($D431,Cadastro!$C$4:$G$7,5,FALSE)),"")</f>
        <v>0.6</v>
      </c>
      <c r="J431" s="139">
        <f t="shared" si="100"/>
        <v>0</v>
      </c>
      <c r="K431" s="34">
        <f t="shared" si="101"/>
        <v>0</v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41</v>
      </c>
      <c r="H432" s="111">
        <f>IFERROR(SUM(H420:H431),"")</f>
        <v>180.15</v>
      </c>
      <c r="I432" s="115"/>
      <c r="J432" s="124">
        <f>IFERROR(SUM(J420:J431),"")</f>
        <v>25.941599999999998</v>
      </c>
      <c r="K432" s="36">
        <f>SUM(K420:K431)</f>
        <v>172.2</v>
      </c>
      <c r="L432" s="37"/>
      <c r="M432" s="37"/>
      <c r="N432" s="37"/>
      <c r="O432" s="37"/>
      <c r="P432" s="37"/>
      <c r="Q432" s="38">
        <f ca="1">IFERROR(SUM(Q420:Q431),"")</f>
        <v>0.1097222222222223</v>
      </c>
      <c r="R432" s="36" t="s">
        <v>245</v>
      </c>
      <c r="S432" s="39">
        <v>180150</v>
      </c>
      <c r="T432" s="119">
        <f>IFERROR(J432,"")</f>
        <v>25.941599999999998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162</v>
      </c>
      <c r="H433" s="112">
        <f>IFERROR(H419+H432,"")</f>
        <v>627.77</v>
      </c>
      <c r="I433" s="116"/>
      <c r="J433" s="125">
        <f>IFERROR(J419+J432,"")</f>
        <v>90.398879999999991</v>
      </c>
      <c r="K433" s="40">
        <f>K419+K432</f>
        <v>680.40000000000009</v>
      </c>
      <c r="L433" s="41"/>
      <c r="M433" s="41"/>
      <c r="N433" s="41"/>
      <c r="O433" s="41"/>
      <c r="P433" s="41"/>
      <c r="Q433" s="42">
        <f ca="1">IFERROR(Q419+Q432,"")</f>
        <v>0.18263888888888904</v>
      </c>
      <c r="R433" s="40" t="s">
        <v>249</v>
      </c>
      <c r="S433" s="48">
        <f>IFERROR(S419+S432,"")</f>
        <v>627770</v>
      </c>
      <c r="T433" s="121">
        <f>IFERROR(J433,"")</f>
        <v>90.398879999999991</v>
      </c>
    </row>
    <row r="434" spans="1:20" ht="15" customHeight="1">
      <c r="A434" s="67">
        <v>46251</v>
      </c>
      <c r="B434" s="25">
        <v>0.33333333333333298</v>
      </c>
      <c r="C434" s="26" t="s">
        <v>52</v>
      </c>
      <c r="D434" s="59" t="s">
        <v>29</v>
      </c>
      <c r="E434" s="108" t="s">
        <v>259</v>
      </c>
      <c r="F434" s="140">
        <f>IFERROR(IF($D434="","",VLOOKUP($D434,Cadastro!$C$4:$E$7,3,FALSE)),"")</f>
        <v>0.35</v>
      </c>
      <c r="G434" s="105">
        <v>6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4">IFERROR(IF($H434="","",$H434*$F434*$I434),"")</f>
        <v>0</v>
      </c>
      <c r="K434" s="28">
        <f t="shared" ref="K434:K445" si="105">IF(G434="","",IF(E434="PC 17",G434*4.2,IF(E434="PC 19",G434*5,IF(E434="CB",G434*24,""))))</f>
        <v>25.200000000000003</v>
      </c>
      <c r="L434" s="26" t="s">
        <v>27</v>
      </c>
      <c r="M434" s="26" t="s">
        <v>54</v>
      </c>
      <c r="N434" s="26" t="s">
        <v>63</v>
      </c>
      <c r="O434" s="29">
        <v>0.34513888888888888</v>
      </c>
      <c r="P434" s="29">
        <v>0.35486111111111113</v>
      </c>
      <c r="Q434" s="30">
        <f t="shared" ref="Q434:Q445" ca="1" si="106">IFERROR(IF(O434="","",IF(P434="",MOD(NOW()-O434,1),IF(P434&gt;=O434,P434-O434,P434+1-O434))),"")</f>
        <v>9.7222222222222432E-3</v>
      </c>
      <c r="R434" s="27" t="s">
        <v>329</v>
      </c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4"/>
        <v>0</v>
      </c>
      <c r="K435" s="28">
        <f t="shared" si="105"/>
        <v>12.600000000000001</v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9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37.800000000000004</v>
      </c>
      <c r="L446" s="37"/>
      <c r="M446" s="37"/>
      <c r="N446" s="37"/>
      <c r="O446" s="37"/>
      <c r="P446" s="37"/>
      <c r="Q446" s="38">
        <f ca="1">IFERROR(SUM(Q434:Q445),"")</f>
        <v>9.7222222222222432E-3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9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37.800000000000004</v>
      </c>
      <c r="L460" s="41"/>
      <c r="M460" s="41"/>
      <c r="N460" s="41"/>
      <c r="O460" s="41"/>
      <c r="P460" s="41"/>
      <c r="Q460" s="42">
        <f ca="1">IFERROR(Q446+Q459,"")</f>
        <v>9.7222222222222432E-3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43:E243"/>
    <mergeCell ref="A244:E244"/>
    <mergeCell ref="A270:E270"/>
    <mergeCell ref="A271:E271"/>
    <mergeCell ref="A284:E284"/>
    <mergeCell ref="A257:E257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tabSelected="1" zoomScale="85" zoomScaleNormal="85" workbookViewId="0">
      <pane ySplit="1" topLeftCell="A400" activePane="bottomLeft" state="frozen"/>
      <selection pane="bottomLeft" activeCell="G436" sqref="G436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271</v>
      </c>
      <c r="I1" s="133" t="s">
        <v>20</v>
      </c>
      <c r="J1" s="133" t="s">
        <v>272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272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330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279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309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331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332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333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334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335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336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309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309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337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338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282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309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339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340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290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341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342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343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344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345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346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347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348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349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350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351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352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353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354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355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356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357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358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304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359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360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44.183802816901405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6.3624676056338023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361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17.673521126760562</v>
      </c>
      <c r="I408" s="135">
        <f>IFERROR(IF($D408="","",VLOOKUP($D408,Cadastro!$C$4:$G$7,5,FALSE)),"")</f>
        <v>0.6</v>
      </c>
      <c r="J408" s="136">
        <f t="shared" si="98"/>
        <v>2.5449870422535206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35.347042253521124</v>
      </c>
      <c r="I409" s="135">
        <f>IFERROR(IF($D409="","",VLOOKUP($D409,Cadastro!$C$4:$G$7,5,FALSE)),"")</f>
        <v>0.6</v>
      </c>
      <c r="J409" s="136">
        <f t="shared" si="98"/>
        <v>5.0899740845070411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44.183802816901405</v>
      </c>
      <c r="I410" s="135">
        <f>IFERROR(IF($D410="","",VLOOKUP($D410,Cadastro!$C$4:$G$7,5,FALSE)),"")</f>
        <v>0.6</v>
      </c>
      <c r="J410" s="136">
        <f t="shared" si="98"/>
        <v>6.3624676056338023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83.949225352112663</v>
      </c>
      <c r="I411" s="135">
        <f>IFERROR(IF($D411="","",VLOOKUP($D411,Cadastro!$C$4:$G$7,5,FALSE)),"")</f>
        <v>0.6</v>
      </c>
      <c r="J411" s="136">
        <f t="shared" si="98"/>
        <v>12.088688450704224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119.29626760563382</v>
      </c>
      <c r="I412" s="135">
        <f>IFERROR(IF($D412="","",VLOOKUP($D412,Cadastro!$C$4:$G$7,5,FALSE)),"")</f>
        <v>0.6</v>
      </c>
      <c r="J412" s="136">
        <f t="shared" si="98"/>
        <v>17.178662535211267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79.530845070422544</v>
      </c>
      <c r="I413" s="135">
        <f>IFERROR(IF($D413="","",VLOOKUP($D413,Cadastro!$C$4:$G$7,5,FALSE)),"")</f>
        <v>0.6</v>
      </c>
      <c r="J413" s="136">
        <f t="shared" si="98"/>
        <v>11.452441690140846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44.183802816901405</v>
      </c>
      <c r="I414" s="135">
        <f>IFERROR(IF($D414="","",VLOOKUP($D414,Cadastro!$C$4:$G$7,5,FALSE)),"")</f>
        <v>0.6</v>
      </c>
      <c r="J414" s="136">
        <f t="shared" si="98"/>
        <v>6.3624676056338023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79.530845070422544</v>
      </c>
      <c r="I415" s="135">
        <f>IFERROR(IF($D415="","",VLOOKUP($D415,Cadastro!$C$4:$G$7,5,FALSE)),"")</f>
        <v>0.6</v>
      </c>
      <c r="J415" s="136">
        <f t="shared" si="98"/>
        <v>11.452441690140846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35.347042253521124</v>
      </c>
      <c r="I416" s="135">
        <f>IFERROR(IF($D416="","",VLOOKUP($D416,Cadastro!$C$4:$G$7,5,FALSE)),"")</f>
        <v>0.6</v>
      </c>
      <c r="J416" s="136">
        <f t="shared" si="98"/>
        <v>5.0899740845070411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8.836760563380281</v>
      </c>
      <c r="I417" s="135">
        <f>IFERROR(IF($D417="","",VLOOKUP($D417,Cadastro!$C$4:$G$7,5,FALSE)),"")</f>
        <v>0.6</v>
      </c>
      <c r="J417" s="136">
        <f t="shared" si="98"/>
        <v>1.2724935211267603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35.347042253521124</v>
      </c>
      <c r="I418" s="138">
        <f>IFERROR(IF($D418="","",VLOOKUP($D418,Cadastro!$C$4:$G$7,5,FALSE)),"")</f>
        <v>0.6</v>
      </c>
      <c r="J418" s="139">
        <f t="shared" si="98"/>
        <v>5.0899740845070411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627.40999999999985</v>
      </c>
      <c r="I419" s="114"/>
      <c r="J419" s="123">
        <f>IFERROR(SUM(J407:J418),"")</f>
        <v>90.347039999999993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>
        <v>627410</v>
      </c>
      <c r="T419" s="119">
        <f>IFERROR(J419,"")</f>
        <v>90.347039999999993</v>
      </c>
    </row>
    <row r="420" spans="1:20" ht="15" customHeight="1">
      <c r="A420" s="67">
        <v>46250</v>
      </c>
      <c r="B420" s="25">
        <v>0.83333333333333304</v>
      </c>
      <c r="C420" s="26" t="s">
        <v>28</v>
      </c>
      <c r="D420" s="59" t="s">
        <v>37</v>
      </c>
      <c r="E420" s="108" t="s">
        <v>259</v>
      </c>
      <c r="F420" s="140">
        <f>IFERROR(IF($D420="","",VLOOKUP($D420,Cadastro!$C$4:$E$7,3,FALSE)),"")</f>
        <v>0.24</v>
      </c>
      <c r="G420" s="105">
        <v>21</v>
      </c>
      <c r="H420" s="140">
        <f>IFERROR(IF($G420="","",$G420*$S$432/$G$432/Cadastro!$E$33),"")</f>
        <v>85.567180851063839</v>
      </c>
      <c r="I420" s="141">
        <f>IFERROR(IF($D420="","",VLOOKUP($D420,Cadastro!$C$4:$G$7,5,FALSE)),"")</f>
        <v>0.6</v>
      </c>
      <c r="J420" s="142">
        <f t="shared" ref="J420:J431" si="102">IFERROR(IF($H420="","",$H420*$F420*$I420),"")</f>
        <v>12.321674042553193</v>
      </c>
      <c r="K420" s="28">
        <f t="shared" ref="K420:K431" si="103">IF(G420="","",IF(E420="PC 17",G420*4.2,IF(E420="PC 19",G420*5,IF(E420="CB",G420*24,""))))</f>
        <v>88.2</v>
      </c>
      <c r="L420" s="26" t="s">
        <v>27</v>
      </c>
      <c r="M420" s="26" t="s">
        <v>64</v>
      </c>
      <c r="N420" s="26" t="s">
        <v>63</v>
      </c>
      <c r="O420" s="29">
        <v>0.82777777777777772</v>
      </c>
      <c r="P420" s="29">
        <v>0.84722222222222221</v>
      </c>
      <c r="Q420" s="30">
        <f t="shared" ref="Q420:Q431" ca="1" si="104">IFERROR(IF(O420="","",IF(P420="",MOD(NOW()-O420,1),IF(P420&gt;=O420,P420-O420,P420+1-O420))),"")</f>
        <v>1.9444444444444486E-2</v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 t="s">
        <v>28</v>
      </c>
      <c r="D421" s="59" t="s">
        <v>37</v>
      </c>
      <c r="E421" s="108" t="s">
        <v>259</v>
      </c>
      <c r="F421" s="134">
        <f>IFERROR(IF($D421="","",VLOOKUP($D421,Cadastro!$C$4:$E$7,3,FALSE)),"")</f>
        <v>0.24</v>
      </c>
      <c r="G421" s="105">
        <v>6</v>
      </c>
      <c r="H421" s="134">
        <f>IFERROR(IF($G421="","",$G421*$S$432/$G$432/Cadastro!$E$33),"")</f>
        <v>24.447765957446808</v>
      </c>
      <c r="I421" s="135">
        <f>IFERROR(IF($D421="","",VLOOKUP($D421,Cadastro!$C$4:$G$7,5,FALSE)),"")</f>
        <v>0.6</v>
      </c>
      <c r="J421" s="136">
        <f t="shared" si="102"/>
        <v>3.5204782978723399</v>
      </c>
      <c r="K421" s="34">
        <f t="shared" si="103"/>
        <v>25.200000000000003</v>
      </c>
      <c r="L421" s="33" t="s">
        <v>27</v>
      </c>
      <c r="M421" s="33" t="s">
        <v>59</v>
      </c>
      <c r="N421" s="33" t="s">
        <v>58</v>
      </c>
      <c r="O421" s="29">
        <v>0.85833333333333328</v>
      </c>
      <c r="P421" s="29">
        <v>0.86250000000000004</v>
      </c>
      <c r="Q421" s="35">
        <f t="shared" ca="1" si="104"/>
        <v>4.1666666666667629E-3</v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 t="s">
        <v>28</v>
      </c>
      <c r="D422" s="59" t="s">
        <v>37</v>
      </c>
      <c r="E422" s="108" t="s">
        <v>259</v>
      </c>
      <c r="F422" s="134">
        <f>IFERROR(IF($D422="","",VLOOKUP($D422,Cadastro!$C$4:$E$7,3,FALSE)),"")</f>
        <v>0.24</v>
      </c>
      <c r="G422" s="105">
        <v>31</v>
      </c>
      <c r="H422" s="134">
        <f>IFERROR(IF($G422="","",$G422*$S$432/$G$432/Cadastro!$E$33),"")</f>
        <v>126.3134574468085</v>
      </c>
      <c r="I422" s="135">
        <f>IFERROR(IF($D422="","",VLOOKUP($D422,Cadastro!$C$4:$G$7,5,FALSE)),"")</f>
        <v>0.6</v>
      </c>
      <c r="J422" s="136">
        <f t="shared" si="102"/>
        <v>18.189137872340421</v>
      </c>
      <c r="K422" s="28">
        <f t="shared" si="103"/>
        <v>130.20000000000002</v>
      </c>
      <c r="L422" s="26" t="s">
        <v>27</v>
      </c>
      <c r="M422" s="26" t="s">
        <v>64</v>
      </c>
      <c r="N422" s="26" t="s">
        <v>69</v>
      </c>
      <c r="O422" s="29">
        <v>0.93888888888888888</v>
      </c>
      <c r="P422" s="29">
        <v>0.94374999999999998</v>
      </c>
      <c r="Q422" s="30">
        <f t="shared" ca="1" si="104"/>
        <v>4.8611111111110938E-3</v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 t="s">
        <v>28</v>
      </c>
      <c r="D423" s="59" t="s">
        <v>37</v>
      </c>
      <c r="E423" s="108" t="s">
        <v>259</v>
      </c>
      <c r="F423" s="134">
        <f>IFERROR(IF($D423="","",VLOOKUP($D423,Cadastro!$C$4:$E$7,3,FALSE)),"")</f>
        <v>0.24</v>
      </c>
      <c r="G423" s="105">
        <v>16</v>
      </c>
      <c r="H423" s="134">
        <f>IFERROR(IF($G423="","",$G423*$S$432/$G$432/Cadastro!$E$33),"")</f>
        <v>65.194042553191494</v>
      </c>
      <c r="I423" s="135">
        <f>IFERROR(IF($D423="","",VLOOKUP($D423,Cadastro!$C$4:$G$7,5,FALSE)),"")</f>
        <v>0.6</v>
      </c>
      <c r="J423" s="136">
        <f t="shared" si="102"/>
        <v>9.3879421276595743</v>
      </c>
      <c r="K423" s="34">
        <f t="shared" si="103"/>
        <v>67.2</v>
      </c>
      <c r="L423" s="33" t="s">
        <v>26</v>
      </c>
      <c r="M423" s="33" t="s">
        <v>170</v>
      </c>
      <c r="N423" s="33" t="s">
        <v>34</v>
      </c>
      <c r="O423" s="29">
        <v>0.95486111111111116</v>
      </c>
      <c r="P423" s="29">
        <v>0.97916666666666663</v>
      </c>
      <c r="Q423" s="35">
        <f t="shared" ca="1" si="104"/>
        <v>2.4305555555555469E-2</v>
      </c>
      <c r="R423" s="27" t="s">
        <v>362</v>
      </c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 t="s">
        <v>28</v>
      </c>
      <c r="D424" s="59" t="s">
        <v>37</v>
      </c>
      <c r="E424" s="108" t="s">
        <v>259</v>
      </c>
      <c r="F424" s="134">
        <f>IFERROR(IF($D424="","",VLOOKUP($D424,Cadastro!$C$4:$E$7,3,FALSE)),"")</f>
        <v>0.24</v>
      </c>
      <c r="G424" s="105">
        <v>14</v>
      </c>
      <c r="H424" s="134">
        <f>IFERROR(IF($G424="","",$G424*$S$432/$G$432/Cadastro!$E$33),"")</f>
        <v>57.044787234042552</v>
      </c>
      <c r="I424" s="135">
        <f>IFERROR(IF($D424="","",VLOOKUP($D424,Cadastro!$C$4:$G$7,5,FALSE)),"")</f>
        <v>0.6</v>
      </c>
      <c r="J424" s="136">
        <f t="shared" si="102"/>
        <v>8.2144493617021279</v>
      </c>
      <c r="K424" s="28">
        <f t="shared" si="103"/>
        <v>58.800000000000004</v>
      </c>
      <c r="L424" s="26" t="s">
        <v>27</v>
      </c>
      <c r="M424" s="26" t="s">
        <v>64</v>
      </c>
      <c r="N424" s="26" t="s">
        <v>69</v>
      </c>
      <c r="O424" s="29">
        <v>1.5277777777777777E-2</v>
      </c>
      <c r="P424" s="29">
        <v>2.4305555555555556E-2</v>
      </c>
      <c r="Q424" s="30">
        <f t="shared" ca="1" si="104"/>
        <v>9.0277777777777787E-3</v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 t="s">
        <v>28</v>
      </c>
      <c r="D425" s="59" t="s">
        <v>37</v>
      </c>
      <c r="E425" s="108" t="s">
        <v>259</v>
      </c>
      <c r="F425" s="134">
        <f>IFERROR(IF($D425="","",VLOOKUP($D425,Cadastro!$C$4:$E$7,3,FALSE)),"")</f>
        <v>0.24</v>
      </c>
      <c r="G425" s="105">
        <v>13</v>
      </c>
      <c r="H425" s="134">
        <f>IFERROR(IF($G425="","",$G425*$S$432/$G$432/Cadastro!$E$33),"")</f>
        <v>52.970159574468084</v>
      </c>
      <c r="I425" s="135">
        <f>IFERROR(IF($D425="","",VLOOKUP($D425,Cadastro!$C$4:$G$7,5,FALSE)),"")</f>
        <v>0.6</v>
      </c>
      <c r="J425" s="136">
        <f t="shared" si="102"/>
        <v>7.6277029787234039</v>
      </c>
      <c r="K425" s="34">
        <f t="shared" si="103"/>
        <v>54.6</v>
      </c>
      <c r="L425" s="33" t="s">
        <v>27</v>
      </c>
      <c r="M425" s="33" t="s">
        <v>136</v>
      </c>
      <c r="N425" s="33" t="s">
        <v>121</v>
      </c>
      <c r="O425" s="29">
        <v>4.1666666666666664E-2</v>
      </c>
      <c r="P425" s="29">
        <v>4.9305555555555554E-2</v>
      </c>
      <c r="Q425" s="35">
        <f t="shared" ca="1" si="104"/>
        <v>7.6388888888888895E-3</v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 t="s">
        <v>28</v>
      </c>
      <c r="D426" s="59" t="s">
        <v>37</v>
      </c>
      <c r="E426" s="108" t="s">
        <v>259</v>
      </c>
      <c r="F426" s="134">
        <f>IFERROR(IF($D426="","",VLOOKUP($D426,Cadastro!$C$4:$E$7,3,FALSE)),"")</f>
        <v>0.24</v>
      </c>
      <c r="G426" s="105">
        <v>20</v>
      </c>
      <c r="H426" s="134">
        <f>IFERROR(IF($G426="","",$G426*$S$432/$G$432/Cadastro!$E$33),"")</f>
        <v>81.492553191489364</v>
      </c>
      <c r="I426" s="135">
        <f>IFERROR(IF($D426="","",VLOOKUP($D426,Cadastro!$C$4:$G$7,5,FALSE)),"")</f>
        <v>0.6</v>
      </c>
      <c r="J426" s="136">
        <f t="shared" si="102"/>
        <v>11.734927659574467</v>
      </c>
      <c r="K426" s="28">
        <f t="shared" si="103"/>
        <v>84</v>
      </c>
      <c r="L426" s="26" t="s">
        <v>27</v>
      </c>
      <c r="M426" s="26" t="s">
        <v>59</v>
      </c>
      <c r="N426" s="26" t="s">
        <v>69</v>
      </c>
      <c r="O426" s="29">
        <v>0.17916666666666667</v>
      </c>
      <c r="P426" s="29">
        <v>0.19305555555555556</v>
      </c>
      <c r="Q426" s="30">
        <f t="shared" ca="1" si="104"/>
        <v>1.3888888888888895E-2</v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 t="s">
        <v>28</v>
      </c>
      <c r="D427" s="59" t="s">
        <v>37</v>
      </c>
      <c r="E427" s="108" t="s">
        <v>259</v>
      </c>
      <c r="F427" s="134">
        <f>IFERROR(IF($D427="","",VLOOKUP($D427,Cadastro!$C$4:$E$7,3,FALSE)),"")</f>
        <v>0.24</v>
      </c>
      <c r="G427" s="105">
        <v>19</v>
      </c>
      <c r="H427" s="134">
        <f>IFERROR(IF($G427="","",$G427*$S$432/$G$432/Cadastro!$E$33),"")</f>
        <v>77.417925531914889</v>
      </c>
      <c r="I427" s="135">
        <f>IFERROR(IF($D427="","",VLOOKUP($D427,Cadastro!$C$4:$G$7,5,FALSE)),"")</f>
        <v>0.6</v>
      </c>
      <c r="J427" s="136">
        <f t="shared" si="102"/>
        <v>11.148181276595743</v>
      </c>
      <c r="K427" s="34">
        <f t="shared" si="103"/>
        <v>79.8</v>
      </c>
      <c r="L427" s="33" t="s">
        <v>26</v>
      </c>
      <c r="M427" s="33" t="s">
        <v>170</v>
      </c>
      <c r="N427" s="33" t="s">
        <v>34</v>
      </c>
      <c r="O427" s="29">
        <v>0.25138888888888888</v>
      </c>
      <c r="P427" s="29">
        <v>0.26250000000000001</v>
      </c>
      <c r="Q427" s="35">
        <f t="shared" ca="1" si="104"/>
        <v>1.1111111111111127E-2</v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 t="s">
        <v>28</v>
      </c>
      <c r="D428" s="59" t="s">
        <v>37</v>
      </c>
      <c r="E428" s="108" t="s">
        <v>259</v>
      </c>
      <c r="F428" s="134">
        <f>IFERROR(IF($D428="","",VLOOKUP($D428,Cadastro!$C$4:$E$7,3,FALSE)),"")</f>
        <v>0.24</v>
      </c>
      <c r="G428" s="105">
        <v>13</v>
      </c>
      <c r="H428" s="134">
        <f>IFERROR(IF($G428="","",$G428*$S$432/$G$432/Cadastro!$E$33),"")</f>
        <v>52.970159574468084</v>
      </c>
      <c r="I428" s="135">
        <f>IFERROR(IF($D428="","",VLOOKUP($D428,Cadastro!$C$4:$G$7,5,FALSE)),"")</f>
        <v>0.6</v>
      </c>
      <c r="J428" s="136">
        <f t="shared" si="102"/>
        <v>7.6277029787234039</v>
      </c>
      <c r="K428" s="28">
        <f t="shared" si="103"/>
        <v>54.6</v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 t="s">
        <v>28</v>
      </c>
      <c r="D429" s="59" t="s">
        <v>37</v>
      </c>
      <c r="E429" s="108" t="s">
        <v>259</v>
      </c>
      <c r="F429" s="134">
        <f>IFERROR(IF($D429="","",VLOOKUP($D429,Cadastro!$C$4:$E$7,3,FALSE)),"")</f>
        <v>0.24</v>
      </c>
      <c r="G429" s="105">
        <v>15</v>
      </c>
      <c r="H429" s="134">
        <f>IFERROR(IF($G429="","",$G429*$S$432/$G$432/Cadastro!$E$33),"")</f>
        <v>61.119414893617027</v>
      </c>
      <c r="I429" s="135">
        <f>IFERROR(IF($D429="","",VLOOKUP($D429,Cadastro!$C$4:$G$7,5,FALSE)),"")</f>
        <v>0.6</v>
      </c>
      <c r="J429" s="136">
        <f t="shared" si="102"/>
        <v>8.8011957446808502</v>
      </c>
      <c r="K429" s="34">
        <f t="shared" si="103"/>
        <v>63</v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 t="s">
        <v>28</v>
      </c>
      <c r="D430" s="59" t="s">
        <v>37</v>
      </c>
      <c r="E430" s="108" t="s">
        <v>259</v>
      </c>
      <c r="F430" s="134">
        <f>IFERROR(IF($D430="","",VLOOKUP($D430,Cadastro!$C$4:$E$7,3,FALSE)),"")</f>
        <v>0.24</v>
      </c>
      <c r="G430" s="105">
        <v>16</v>
      </c>
      <c r="H430" s="134">
        <f>IFERROR(IF($G430="","",$G430*$S$432/$G$432/Cadastro!$E$33),"")</f>
        <v>65.194042553191494</v>
      </c>
      <c r="I430" s="135">
        <f>IFERROR(IF($D430="","",VLOOKUP($D430,Cadastro!$C$4:$G$7,5,FALSE)),"")</f>
        <v>0.6</v>
      </c>
      <c r="J430" s="136">
        <f t="shared" si="102"/>
        <v>9.3879421276595743</v>
      </c>
      <c r="K430" s="28">
        <f t="shared" si="103"/>
        <v>67.2</v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 t="s">
        <v>28</v>
      </c>
      <c r="D431" s="59" t="s">
        <v>37</v>
      </c>
      <c r="E431" s="108" t="s">
        <v>259</v>
      </c>
      <c r="F431" s="137">
        <f>IFERROR(IF($D431="","",VLOOKUP($D431,Cadastro!$C$4:$E$7,3,FALSE)),"")</f>
        <v>0.24</v>
      </c>
      <c r="G431" s="105">
        <v>4</v>
      </c>
      <c r="H431" s="137">
        <f>IFERROR(IF($G431="","",$G431*$S$432/$G$432/Cadastro!$E$33),"")</f>
        <v>16.298510638297873</v>
      </c>
      <c r="I431" s="138">
        <f>IFERROR(IF($D431="","",VLOOKUP($D431,Cadastro!$C$4:$G$7,5,FALSE)),"")</f>
        <v>0.6</v>
      </c>
      <c r="J431" s="139">
        <f t="shared" si="102"/>
        <v>2.3469855319148936</v>
      </c>
      <c r="K431" s="34">
        <f t="shared" si="103"/>
        <v>16.8</v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188</v>
      </c>
      <c r="H432" s="111">
        <f>IFERROR(SUM(H420:H431),"")</f>
        <v>766.03</v>
      </c>
      <c r="I432" s="115"/>
      <c r="J432" s="124">
        <f>IFERROR(SUM(J420:J431),"")</f>
        <v>110.30832000000001</v>
      </c>
      <c r="K432" s="36">
        <f>SUM(K420:K431)</f>
        <v>789.6</v>
      </c>
      <c r="L432" s="37"/>
      <c r="M432" s="37"/>
      <c r="N432" s="37"/>
      <c r="O432" s="61"/>
      <c r="P432" s="61"/>
      <c r="Q432" s="38">
        <f ca="1">IFERROR(SUM(Q420:Q431),"")</f>
        <v>9.4444444444444497E-2</v>
      </c>
      <c r="R432" s="36" t="s">
        <v>245</v>
      </c>
      <c r="S432" s="39">
        <v>766030</v>
      </c>
      <c r="T432" s="119">
        <f>IFERROR(J432,"")</f>
        <v>110.30832000000001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330</v>
      </c>
      <c r="H433" s="112">
        <f>IFERROR(H419+H432,"")</f>
        <v>1393.4399999999998</v>
      </c>
      <c r="I433" s="116"/>
      <c r="J433" s="125">
        <f>IFERROR(J419+J432,"")</f>
        <v>200.65536</v>
      </c>
      <c r="K433" s="40">
        <f>K419+K432</f>
        <v>1386</v>
      </c>
      <c r="L433" s="41"/>
      <c r="M433" s="41"/>
      <c r="N433" s="41"/>
      <c r="O433" s="63"/>
      <c r="P433" s="63"/>
      <c r="Q433" s="42">
        <f ca="1">IFERROR(Q419+Q432,"")</f>
        <v>0.20972222222222231</v>
      </c>
      <c r="R433" s="40" t="s">
        <v>249</v>
      </c>
      <c r="S433" s="48">
        <f>IFERROR(S419+S432,"")</f>
        <v>1393440</v>
      </c>
      <c r="T433" s="121">
        <f>IFERROR(J433,"")</f>
        <v>200.65536</v>
      </c>
    </row>
    <row r="434" spans="1:21" ht="15" customHeight="1">
      <c r="A434" s="67">
        <v>46251</v>
      </c>
      <c r="B434" s="25">
        <v>0.33333333333333298</v>
      </c>
      <c r="C434" s="26" t="s">
        <v>52</v>
      </c>
      <c r="D434" s="59" t="s">
        <v>37</v>
      </c>
      <c r="E434" s="108" t="s">
        <v>259</v>
      </c>
      <c r="F434" s="140">
        <f>IFERROR(IF($D434="","",VLOOKUP($D434,Cadastro!$C$4:$E$7,3,FALSE)),"")</f>
        <v>0.24</v>
      </c>
      <c r="G434" s="105">
        <v>18</v>
      </c>
      <c r="H434" s="140">
        <f>IFERROR(IF($G434="","",$G434*$S$446/$G$446/Cadastro!$E$33),"")</f>
        <v>0</v>
      </c>
      <c r="I434" s="141">
        <f>IFERROR(IF($D434="","",VLOOKUP($D434,Cadastro!$C$4:$G$7,5,FALSE)),"")</f>
        <v>0.6</v>
      </c>
      <c r="J434" s="142">
        <f t="shared" ref="J434:J445" si="106">IFERROR(IF($H434="","",$H434*$F434*$I434),"")</f>
        <v>0</v>
      </c>
      <c r="K434" s="28">
        <f t="shared" ref="K434:K445" si="107">IF(G434="","",IF(E434="PC 17",G434*4.2,IF(E434="PC 19",G434*5,IF(E434="CB",G434*24,""))))</f>
        <v>75.600000000000009</v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 t="s">
        <v>52</v>
      </c>
      <c r="D435" s="59" t="s">
        <v>29</v>
      </c>
      <c r="E435" s="108" t="s">
        <v>259</v>
      </c>
      <c r="F435" s="134">
        <f>IFERROR(IF($D435="","",VLOOKUP($D435,Cadastro!$C$4:$E$7,3,FALSE)),"")</f>
        <v>0.35</v>
      </c>
      <c r="G435" s="105">
        <v>23</v>
      </c>
      <c r="H435" s="134">
        <f>IFERROR(IF($G435="","",$G435*$S$446/$G$446/Cadastro!$E$33),"")</f>
        <v>0</v>
      </c>
      <c r="I435" s="135">
        <f>IFERROR(IF($D435="","",VLOOKUP($D435,Cadastro!$C$4:$G$7,5,FALSE)),"")</f>
        <v>0.6</v>
      </c>
      <c r="J435" s="136">
        <f t="shared" si="106"/>
        <v>0</v>
      </c>
      <c r="K435" s="28">
        <f t="shared" si="107"/>
        <v>96.600000000000009</v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 t="s">
        <v>52</v>
      </c>
      <c r="D436" s="59" t="s">
        <v>29</v>
      </c>
      <c r="E436" s="108" t="s">
        <v>259</v>
      </c>
      <c r="F436" s="134">
        <f>IFERROR(IF($D436="","",VLOOKUP($D436,Cadastro!$C$4:$E$7,3,FALSE)),"")</f>
        <v>0.35</v>
      </c>
      <c r="G436" s="105"/>
      <c r="H436" s="134" t="str">
        <f>IFERROR(IF($G436="","",$G436*$S$446/$G$446/Cadastro!$E$33),"")</f>
        <v/>
      </c>
      <c r="I436" s="135">
        <f>IFERROR(IF($D436="","",VLOOKUP($D436,Cadastro!$C$4:$G$7,5,FALSE)),"")</f>
        <v>0.6</v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 t="s">
        <v>52</v>
      </c>
      <c r="D437" s="59" t="s">
        <v>29</v>
      </c>
      <c r="E437" s="108" t="s">
        <v>259</v>
      </c>
      <c r="F437" s="134">
        <f>IFERROR(IF($D437="","",VLOOKUP($D437,Cadastro!$C$4:$E$7,3,FALSE)),"")</f>
        <v>0.35</v>
      </c>
      <c r="G437" s="105"/>
      <c r="H437" s="134" t="str">
        <f>IFERROR(IF($G437="","",$G437*$S$446/$G$446/Cadastro!$E$33),"")</f>
        <v/>
      </c>
      <c r="I437" s="135">
        <f>IFERROR(IF($D437="","",VLOOKUP($D437,Cadastro!$C$4:$G$7,5,FALSE)),"")</f>
        <v>0.6</v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 t="s">
        <v>52</v>
      </c>
      <c r="D438" s="59" t="s">
        <v>29</v>
      </c>
      <c r="E438" s="108" t="s">
        <v>259</v>
      </c>
      <c r="F438" s="134">
        <f>IFERROR(IF($D438="","",VLOOKUP($D438,Cadastro!$C$4:$E$7,3,FALSE)),"")</f>
        <v>0.35</v>
      </c>
      <c r="G438" s="105"/>
      <c r="H438" s="134" t="str">
        <f>IFERROR(IF($G438="","",$G438*$S$446/$G$446/Cadastro!$E$33),"")</f>
        <v/>
      </c>
      <c r="I438" s="135">
        <f>IFERROR(IF($D438="","",VLOOKUP($D438,Cadastro!$C$4:$G$7,5,FALSE)),"")</f>
        <v>0.6</v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 t="s">
        <v>52</v>
      </c>
      <c r="D439" s="59" t="s">
        <v>29</v>
      </c>
      <c r="E439" s="108" t="s">
        <v>259</v>
      </c>
      <c r="F439" s="134">
        <f>IFERROR(IF($D439="","",VLOOKUP($D439,Cadastro!$C$4:$E$7,3,FALSE)),"")</f>
        <v>0.35</v>
      </c>
      <c r="G439" s="105"/>
      <c r="H439" s="134" t="str">
        <f>IFERROR(IF($G439="","",$G439*$S$446/$G$446/Cadastro!$E$33),"")</f>
        <v/>
      </c>
      <c r="I439" s="135">
        <f>IFERROR(IF($D439="","",VLOOKUP($D439,Cadastro!$C$4:$G$7,5,FALSE)),"")</f>
        <v>0.6</v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 t="s">
        <v>52</v>
      </c>
      <c r="D440" s="59" t="s">
        <v>29</v>
      </c>
      <c r="E440" s="108" t="s">
        <v>259</v>
      </c>
      <c r="F440" s="134">
        <f>IFERROR(IF($D440="","",VLOOKUP($D440,Cadastro!$C$4:$E$7,3,FALSE)),"")</f>
        <v>0.35</v>
      </c>
      <c r="G440" s="105"/>
      <c r="H440" s="134" t="str">
        <f>IFERROR(IF($G440="","",$G440*$S$446/$G$446/Cadastro!$E$33),"")</f>
        <v/>
      </c>
      <c r="I440" s="135">
        <f>IFERROR(IF($D440="","",VLOOKUP($D440,Cadastro!$C$4:$G$7,5,FALSE)),"")</f>
        <v>0.6</v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 t="s">
        <v>52</v>
      </c>
      <c r="D441" s="59" t="s">
        <v>29</v>
      </c>
      <c r="E441" s="108" t="s">
        <v>259</v>
      </c>
      <c r="F441" s="134">
        <f>IFERROR(IF($D441="","",VLOOKUP($D441,Cadastro!$C$4:$E$7,3,FALSE)),"")</f>
        <v>0.35</v>
      </c>
      <c r="G441" s="105"/>
      <c r="H441" s="134" t="str">
        <f>IFERROR(IF($G441="","",$G441*$S$446/$G$446/Cadastro!$E$33),"")</f>
        <v/>
      </c>
      <c r="I441" s="135">
        <f>IFERROR(IF($D441="","",VLOOKUP($D441,Cadastro!$C$4:$G$7,5,FALSE)),"")</f>
        <v>0.6</v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 t="s">
        <v>52</v>
      </c>
      <c r="D442" s="59" t="s">
        <v>29</v>
      </c>
      <c r="E442" s="108" t="s">
        <v>259</v>
      </c>
      <c r="F442" s="134">
        <f>IFERROR(IF($D442="","",VLOOKUP($D442,Cadastro!$C$4:$E$7,3,FALSE)),"")</f>
        <v>0.35</v>
      </c>
      <c r="G442" s="105"/>
      <c r="H442" s="134" t="str">
        <f>IFERROR(IF($G442="","",$G442*$S$446/$G$446/Cadastro!$E$33),"")</f>
        <v/>
      </c>
      <c r="I442" s="135">
        <f>IFERROR(IF($D442="","",VLOOKUP($D442,Cadastro!$C$4:$G$7,5,FALSE)),"")</f>
        <v>0.6</v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 t="s">
        <v>52</v>
      </c>
      <c r="D443" s="59" t="s">
        <v>29</v>
      </c>
      <c r="E443" s="108" t="s">
        <v>259</v>
      </c>
      <c r="F443" s="134">
        <f>IFERROR(IF($D443="","",VLOOKUP($D443,Cadastro!$C$4:$E$7,3,FALSE)),"")</f>
        <v>0.35</v>
      </c>
      <c r="G443" s="105"/>
      <c r="H443" s="134" t="str">
        <f>IFERROR(IF($G443="","",$G443*$S$446/$G$446/Cadastro!$E$33),"")</f>
        <v/>
      </c>
      <c r="I443" s="135">
        <f>IFERROR(IF($D443="","",VLOOKUP($D443,Cadastro!$C$4:$G$7,5,FALSE)),"")</f>
        <v>0.6</v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 t="s">
        <v>52</v>
      </c>
      <c r="D444" s="59" t="s">
        <v>29</v>
      </c>
      <c r="E444" s="108" t="s">
        <v>259</v>
      </c>
      <c r="F444" s="134">
        <f>IFERROR(IF($D444="","",VLOOKUP($D444,Cadastro!$C$4:$E$7,3,FALSE)),"")</f>
        <v>0.35</v>
      </c>
      <c r="G444" s="105"/>
      <c r="H444" s="134" t="str">
        <f>IFERROR(IF($G444="","",$G444*$S$446/$G$446/Cadastro!$E$33),"")</f>
        <v/>
      </c>
      <c r="I444" s="135">
        <f>IFERROR(IF($D444="","",VLOOKUP($D444,Cadastro!$C$4:$G$7,5,FALSE)),"")</f>
        <v>0.6</v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 t="s">
        <v>52</v>
      </c>
      <c r="D445" s="59" t="s">
        <v>29</v>
      </c>
      <c r="E445" s="108" t="s">
        <v>259</v>
      </c>
      <c r="F445" s="137">
        <f>IFERROR(IF($D445="","",VLOOKUP($D445,Cadastro!$C$4:$E$7,3,FALSE)),"")</f>
        <v>0.35</v>
      </c>
      <c r="G445" s="105"/>
      <c r="H445" s="137" t="str">
        <f>IFERROR(IF($G445="","",$G445*$S$446/$G$446/Cadastro!$E$33),"")</f>
        <v/>
      </c>
      <c r="I445" s="138">
        <f>IFERROR(IF($D445="","",VLOOKUP($D445,Cadastro!$C$4:$G$7,5,FALSE)),"")</f>
        <v>0.6</v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41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172.20000000000002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41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172.20000000000002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2026-08-17T14:01:38Z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