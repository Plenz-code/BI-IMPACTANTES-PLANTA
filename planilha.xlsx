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05" documentId="13_ncr:1_{A6DBCFB4-28D9-4249-9038-216934055CA6}" xr6:coauthVersionLast="47" xr6:coauthVersionMax="47" xr10:uidLastSave="{79DC6A7F-547D-4FF8-BDA5-F111633AC6DC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<sst xmlns="http://schemas.openxmlformats.org/spreadsheetml/2006/main" count="11022" uniqueCount="445">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</sst>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42" activePane="bottomLeft" state="frozen"/>
      <selection pane="bottomLeft" activeCell="L664" sqref="L66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40</v>
      </c>
      <c r="G675" s="2">
        <f>SUM(G663:G674)</f>
        <v>200</v>
      </c>
      <c r="H675" s="71"/>
      <c r="I675" s="71"/>
      <c r="J675" s="71"/>
      <c r="K675" s="71"/>
      <c r="L675" s="71"/>
      <c r="M675" s="72">
        <f ca="1">IFERROR(SUM(M663:M674),"")</f>
        <v>7.6388888888888618E-3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367</v>
      </c>
      <c r="G676" s="1">
        <f>G662+G675</f>
        <v>1835</v>
      </c>
      <c r="H676" s="75"/>
      <c r="I676" s="75"/>
      <c r="J676" s="75"/>
      <c r="K676" s="75"/>
      <c r="L676" s="75"/>
      <c r="M676" s="76">
        <f ca="1">IFERROR(M662+M675,"")</f>
        <v>0.14305555555555549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G664" sqref="G664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0.73004930555180181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0.86893819444068954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0.95366041666291235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/>
      <c r="Q663" s="70">
        <f t="shared" ref="Q663:Q674" ca="1" si="176">IFERROR(IF(O663="","",IF(P663="",MOD(NOW()-O663,1),IF(P663&gt;=O663,P663-O663,P663+1-O663))),"")</f>
        <v>5.4354861109459307E-2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29.400000000000002</v>
      </c>
      <c r="L675" s="71"/>
      <c r="M675" s="71"/>
      <c r="N675" s="71"/>
      <c r="O675" s="71"/>
      <c r="P675" s="71"/>
      <c r="Q675" s="72">
        <f ca="1">IFERROR(SUM(Q663:Q674),"")</f>
        <v>5.4354861109459307E-2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74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310.8</v>
      </c>
      <c r="L676" s="75"/>
      <c r="M676" s="75"/>
      <c r="N676" s="75"/>
      <c r="O676" s="75"/>
      <c r="P676" s="75"/>
      <c r="Q676" s="76">
        <f ca="1">IFERROR(Q662+Q675,"")</f>
        <v>0.41893819444279262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64" sqref="G664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373</v>
      </c>
      <c r="Q222" s="65" t="str">
        <f t="shared" ca="1" si="49"/>
        <v/>
      </c>
      <c r="R222" s="62" t="s">
        <v>374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5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21</v>
      </c>
      <c r="L675" s="71"/>
      <c r="M675" s="71"/>
      <c r="N675" s="71"/>
      <c r="O675" s="71"/>
      <c r="P675" s="71"/>
      <c r="Q675" s="72">
        <f ca="1">IFERROR(SUM(Q663:Q674),"")</f>
        <v>4.0277777777777857E-2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29.4</v>
      </c>
      <c r="L676" s="75"/>
      <c r="M676" s="75"/>
      <c r="N676" s="75"/>
      <c r="O676" s="75"/>
      <c r="P676" s="75"/>
      <c r="Q676" s="76">
        <f ca="1">IFERROR(Q662+Q675,"")</f>
        <v>0.4958333333333334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64" sqref="G664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391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392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393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394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395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396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397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398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399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400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401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402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403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404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405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406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407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408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409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410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411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412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413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414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415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416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417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418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419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420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421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422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423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424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418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425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426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427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428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429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430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431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432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433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434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417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418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435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436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437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438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417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439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434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440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441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442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443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444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15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63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145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619.4</v>
      </c>
      <c r="L676" s="75"/>
      <c r="M676" s="75"/>
      <c r="N676" s="75"/>
      <c r="O676" s="134"/>
      <c r="P676" s="134"/>
      <c r="Q676" s="76">
        <f ca="1">IFERROR(Q662+Q675,"")</f>
        <v>0.26458333333333323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2026-08-26T00:28:18Z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