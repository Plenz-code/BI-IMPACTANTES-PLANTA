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86" documentId="13_ncr:1_{0A10D8D4-8450-4366-8075-B53B08E6B7EA}" xr6:coauthVersionLast="47" xr6:coauthVersionMax="47" xr10:uidLastSave="{0CB60065-9E08-4DB6-8AA8-D7E91AA6248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8" i="6" l="1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<sst xmlns="http://schemas.openxmlformats.org/spreadsheetml/2006/main" count="7520" uniqueCount="363">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</sst>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1" activePane="bottomLeft" state="frozen"/>
      <selection pane="bottomLeft" activeCell="F440" sqref="F44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K434" s="29">
        <v>0.52638888888888891</v>
      </c>
      <c r="L434" s="29"/>
      <c r="M434" s="30">
        <f t="shared" ref="M434:M445" ca="1" si="92">IFERROR(IF(K434="","",IF(L434="",MOD(NOW()-K434,1),IF(L434&gt;=K434,L434-K434,L434+1-K434))),"")</f>
        <v>1.759918981406372E-2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102</v>
      </c>
      <c r="G446" s="36">
        <f>SUM(G434:G445)</f>
        <v>510</v>
      </c>
      <c r="H446" s="37"/>
      <c r="I446" s="37"/>
      <c r="J446" s="37"/>
      <c r="K446" s="37"/>
      <c r="L446" s="37"/>
      <c r="M446" s="38">
        <f ca="1">IFERROR(SUM(M434:M445),"")</f>
        <v>1.759918981406372E-2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102</v>
      </c>
      <c r="G460" s="40">
        <f>G446+G459</f>
        <v>510</v>
      </c>
      <c r="H460" s="41"/>
      <c r="I460" s="41"/>
      <c r="J460" s="41"/>
      <c r="K460" s="41"/>
      <c r="L460" s="41"/>
      <c r="M460" s="42">
        <f ca="1">IFERROR(M446+M459,"")</f>
        <v>1.759918981406372E-2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allowBlank="1" showErrorMessage="1" errorTitle="Valor inválido" error="Selecione PC 17 ou PC 19 da lista." sqref="E15:E26 E2:E13 E454:E838 E29:E229 E231:E310 E312:E381 E383:E452" xr:uid="{997D648D-8B8D-4608-8680-D36F97031004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900 J2:J434" xr:uid="{CAD48489-D534-460E-998B-4291DED28366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5D255000-831F-4FEE-9FF6-2A9D4DB0CAEC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688A391B-1D47-4A28-A5AA-78C8B551994F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7B9F7A4A-0427-4263-B294-2FAAA3AB5A74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9C84FF90-6936-433C-A27D-71F689C077BB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892B80A9-C9F6-474B-A316-4F1D74267CF1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pane="bottomLeft" activeCell="G440" sqref="G44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0.42246030092064757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0.56134918980953641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0.64607141203175877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59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247.8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59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247.8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176.4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176.4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40" sqref="G44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554.40000000000009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554.40000000000009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2026-08-17T17:04:57Z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