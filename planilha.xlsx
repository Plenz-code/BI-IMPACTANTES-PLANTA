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26" documentId="13_ncr:1_{0A10D8D4-8450-4366-8075-B53B08E6B7EA}" xr6:coauthVersionLast="47" xr6:coauthVersionMax="47" xr10:uidLastSave="{FB84D9CB-CA67-4BC0-A6F3-3BD63A92B0B3}"/>
  <bookViews>
    <workbookView xWindow="-28920" yWindow="-6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4" i="6"/>
  <c r="J394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4" i="5"/>
  <c r="J394" i="5" s="1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4" i="4"/>
  <c r="J394" i="4" s="1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H393" i="6" s="1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H393" i="5" s="1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H393" i="4" s="1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393" i="6" l="1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<sst xmlns="http://schemas.openxmlformats.org/spreadsheetml/2006/main" count="6904" uniqueCount="351">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</sst>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K394" sqref="K39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/>
      <c r="M393" s="35">
        <f t="shared" ref="M393:M404" ca="1" si="83">IFERROR(IF(K393="","",IF(L393="",MOD(NOW()-K393,1),IF(L393&gt;=K393,L393-K393,L393+1-K393))),"")</f>
        <v>2.9866666671296116E-2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45</v>
      </c>
      <c r="G405" s="36">
        <f>SUM(G393:G404)</f>
        <v>225</v>
      </c>
      <c r="H405" s="37"/>
      <c r="I405" s="37"/>
      <c r="J405" s="37"/>
      <c r="K405" s="37"/>
      <c r="L405" s="37"/>
      <c r="M405" s="38">
        <f ca="1">IFERROR(SUM(M393:M404),"")</f>
        <v>2.9866666671296116E-2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325</v>
      </c>
      <c r="G406" s="40">
        <f>G392+G405</f>
        <v>1640</v>
      </c>
      <c r="H406" s="41"/>
      <c r="I406" s="41"/>
      <c r="J406" s="41"/>
      <c r="K406" s="41"/>
      <c r="L406" s="41"/>
      <c r="M406" s="42">
        <f ca="1">IFERROR(M392+M405,"")</f>
        <v>2.9866666671296116E-2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N393" sqref="N39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0.75556111110927304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0.89444999999816188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0.97917222222038425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/>
      <c r="Q393" s="35">
        <f t="shared" ref="Q393:Q404" ca="1" si="96">IFERROR(IF(O393="","",IF(P393="",MOD(NOW()-O393,1),IF(P393&gt;=O393,P393-O393,P393+1-O393))),"")</f>
        <v>5.5611111092730425E-3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84</v>
      </c>
      <c r="L405" s="37"/>
      <c r="M405" s="37"/>
      <c r="N405" s="37"/>
      <c r="O405" s="37"/>
      <c r="P405" s="37"/>
      <c r="Q405" s="38">
        <f ca="1">IFERROR(SUM(Q393:Q404),"")</f>
        <v>5.5611111092730425E-3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781.20000000000016</v>
      </c>
      <c r="L406" s="41"/>
      <c r="M406" s="41"/>
      <c r="N406" s="41"/>
      <c r="O406" s="41"/>
      <c r="P406" s="41"/>
      <c r="Q406" s="42">
        <f ca="1">IFERROR(Q392+Q405,"")</f>
        <v>7.778333333149523E-2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E404" sqref="E40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37.800000000000004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394.8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N396" sqref="N39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0.24931111111072823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0.3138944444440615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/>
      <c r="H394" s="134" t="str">
        <f>IFERROR(IF($G394="","",$G394*$S$405/$G$405/Cadastro!$E$33),"")</f>
        <v/>
      </c>
      <c r="I394" s="135">
        <f>IFERROR(IF($D394="","",VLOOKUP($D394,Cadastro!$C$4:$G$7,5,FALSE)),"")</f>
        <v>0.6</v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54.6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153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642.6</v>
      </c>
      <c r="L406" s="41"/>
      <c r="M406" s="41"/>
      <c r="N406" s="41"/>
      <c r="O406" s="63"/>
      <c r="P406" s="63"/>
      <c r="Q406" s="42">
        <f ca="1">IFERROR(Q392+Q405,"")</f>
        <v>0.3138944444440615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2026-08-16T01:03:29Z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