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60" documentId="8_{AF585B22-221D-4780-BB9C-493D365A6A02}" xr6:coauthVersionLast="47" xr6:coauthVersionMax="47" xr10:uidLastSave="{7367556E-D1C8-46B8-9473-CF5E72B1D0C5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<sst xmlns="http://schemas.openxmlformats.org/spreadsheetml/2006/main" count="1843" uniqueCount="214">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</sst>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3740390</v>
      </c>
      <c r="D35" s="13">
        <f>IFERROR(SUM(D4:D34),"")</f>
        <v>1648560</v>
      </c>
      <c r="E35" s="13">
        <f>IFERROR(SUM(E4:E34),"")</f>
        <v>930910</v>
      </c>
      <c r="F35" s="13">
        <f>IFERROR(SUM(F4:F34),"")</f>
        <v>1308200</v>
      </c>
      <c r="G35" s="13">
        <f>IFERROR(SUM(G4:G34),"")</f>
        <v>3887670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6" activePane="bottomLeft" state="frozen"/>
      <selection pane="bottomLeft" activeCell="F63" sqref="F6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191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191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191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191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191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217</v>
      </c>
      <c r="G68" s="36">
        <f>SUM(G56:G67)</f>
        <v>1085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217</v>
      </c>
      <c r="G82" s="40">
        <f>G68+G81</f>
        <v>1085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2" activePane="bottomLeft" state="frozen"/>
      <selection pane="bottomLeft" activeCell="N59" sqref="N5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194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92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/>
      <c r="M58" s="35">
        <f t="shared" ca="1" si="13"/>
        <v>0.16649062500073342</v>
      </c>
      <c r="N58" s="46" t="s">
        <v>203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0.29496284722295557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0.29496284722295557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49" activePane="bottomLeft" state="frozen"/>
      <selection pane="bottomLeft" activeCell="L58" sqref="L5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38</v>
      </c>
      <c r="E56" s="59" t="s">
        <v>199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38</v>
      </c>
      <c r="E57" s="59" t="s">
        <v>199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38</v>
      </c>
      <c r="E58" s="59" t="s">
        <v>199</v>
      </c>
      <c r="F58" s="27">
        <v>0</v>
      </c>
      <c r="G58" s="28">
        <f t="shared" si="12"/>
        <v>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38</v>
      </c>
      <c r="E59" s="59" t="s">
        <v>199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199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199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46</v>
      </c>
      <c r="G68" s="36">
        <f>SUM(G56:G67)</f>
        <v>193.2</v>
      </c>
      <c r="H68" s="37"/>
      <c r="I68" s="37"/>
      <c r="J68" s="37"/>
      <c r="K68" s="37"/>
      <c r="L68" s="37"/>
      <c r="M68" s="38">
        <f ca="1">IFERROR(SUM(M56:M67),"")</f>
        <v>6.458333333333327E-2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46</v>
      </c>
      <c r="G82" s="40">
        <f>G68+G81</f>
        <v>193.2</v>
      </c>
      <c r="H82" s="41"/>
      <c r="I82" s="41"/>
      <c r="J82" s="41"/>
      <c r="K82" s="41"/>
      <c r="L82" s="41"/>
      <c r="M82" s="42">
        <f ca="1">IFERROR(M68+M81,"")</f>
        <v>6.458333333333327E-2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39" activePane="bottomLeft" state="frozen"/>
      <selection pane="bottomLeft" activeCell="F62" sqref="F6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212</v>
      </c>
      <c r="L58" s="29">
        <v>0.54097222222222219</v>
      </c>
      <c r="M58" s="30" t="str">
        <f t="shared" ca="1" si="13"/>
        <v/>
      </c>
      <c r="N58" s="27" t="s">
        <v>213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31</v>
      </c>
      <c r="G59" s="34">
        <f t="shared" si="12"/>
        <v>130.20000000000002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112</v>
      </c>
      <c r="G68" s="36">
        <f>SUM(G56:G67)</f>
        <v>470.40000000000009</v>
      </c>
      <c r="H68" s="37"/>
      <c r="I68" s="37"/>
      <c r="J68" s="37"/>
      <c r="K68" s="61"/>
      <c r="L68" s="61"/>
      <c r="M68" s="38">
        <f ca="1">IFERROR(SUM(M56:M67),"")</f>
        <v>2.9861111111111116E-2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112</v>
      </c>
      <c r="G82" s="40">
        <f>G68+G81</f>
        <v>470.40000000000009</v>
      </c>
      <c r="H82" s="41"/>
      <c r="I82" s="41"/>
      <c r="J82" s="41"/>
      <c r="K82" s="63"/>
      <c r="L82" s="63"/>
      <c r="M82" s="42">
        <f ca="1">IFERROR(M68+M81,"")</f>
        <v>2.9861111111111116E-2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2026-07-03T18:45:35Z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