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" documentId="13_ncr:1_{A6DBCFB4-28D9-4249-9038-216934055CA6}" xr6:coauthVersionLast="47" xr6:coauthVersionMax="47" xr10:uidLastSave="{22A953DC-35B8-4471-B0B8-BBD26545FCB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J492" i="4" s="1"/>
  <c r="F492" i="4"/>
  <c r="Q491" i="4"/>
  <c r="K491" i="4"/>
  <c r="I491" i="4"/>
  <c r="H491" i="4"/>
  <c r="J491" i="4" s="1"/>
  <c r="F491" i="4"/>
  <c r="Q490" i="4"/>
  <c r="K490" i="4"/>
  <c r="I490" i="4"/>
  <c r="H490" i="4"/>
  <c r="J490" i="4" s="1"/>
  <c r="F490" i="4"/>
  <c r="Q489" i="4"/>
  <c r="K489" i="4"/>
  <c r="I489" i="4"/>
  <c r="H489" i="4"/>
  <c r="J489" i="4" s="1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702" i="6" l="1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<sst xmlns="http://schemas.openxmlformats.org/spreadsheetml/2006/main" count="8419" uniqueCount="394">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</sst>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3" sqref="F49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/>
      <c r="G493" s="69" t="str">
        <f t="shared" si="106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57</v>
      </c>
      <c r="G500" s="2">
        <f>SUM(G488:G499)</f>
        <v>285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57</v>
      </c>
      <c r="G514" s="1">
        <f>G500+G513</f>
        <v>285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K492" sqref="K49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0.39273078703263309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0.53161967592152082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0.61634189814374363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274</v>
      </c>
      <c r="F488" s="101">
        <f>IFERROR(IF($D488="","",VLOOKUP($D488,Cadastro!$C$4:$E$7,3,FALSE())),"")</f>
        <v>0.35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31</v>
      </c>
      <c r="E489" s="87" t="s">
        <v>274</v>
      </c>
      <c r="F489" s="88">
        <f>IFERROR(IF($D489="","",VLOOKUP($D489,Cadastro!$C$4:$E$7,3,FALSE())),"")</f>
        <v>0.35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31</v>
      </c>
      <c r="E490" s="87" t="s">
        <v>274</v>
      </c>
      <c r="F490" s="88">
        <f>IFERROR(IF($D490="","",VLOOKUP($D490,Cadastro!$C$4:$E$7,3,FALSE())),"")</f>
        <v>0.35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31</v>
      </c>
      <c r="E491" s="87" t="s">
        <v>274</v>
      </c>
      <c r="F491" s="88">
        <f>IFERROR(IF($D491="","",VLOOKUP($D491,Cadastro!$C$4:$E$7,3,FALSE())),"")</f>
        <v>0.35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31</v>
      </c>
      <c r="E492" s="87" t="s">
        <v>274</v>
      </c>
      <c r="F492" s="88">
        <f>IFERROR(IF($D492="","",VLOOKUP($D492,Cadastro!$C$4:$E$7,3,FALSE())),"")</f>
        <v>0.35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46.2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31</v>
      </c>
      <c r="E493" s="87" t="s">
        <v>274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31</v>
      </c>
      <c r="E494" s="87" t="s">
        <v>274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31</v>
      </c>
      <c r="E495" s="87" t="s">
        <v>274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31</v>
      </c>
      <c r="E496" s="87" t="s">
        <v>274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31</v>
      </c>
      <c r="E497" s="87" t="s">
        <v>274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31</v>
      </c>
      <c r="E498" s="87" t="s">
        <v>274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52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218.40000000000003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52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218.40000000000003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1" activePane="bottomLeft" state="frozen"/>
      <selection pane="bottomLeft" activeCell="G493" sqref="G4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274</v>
      </c>
      <c r="F488" s="101">
        <f>IFERROR(IF($D488="","",VLOOKUP($D488,Cadastro!$C$4:$E$7,3,FALSE())),"")</f>
        <v>0.35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/>
      <c r="M488" s="61"/>
      <c r="N488" s="61"/>
      <c r="O488" s="65"/>
      <c r="P488" s="65"/>
      <c r="Q488" s="66" t="str">
        <f t="shared" ref="Q488:Q499" ca="1" si="121">IFERROR(IF(O488="","",IF(P488="",MOD(NOW()-O488,1),IF(P488&gt;=O488,P488-O488,P488+1-O488))),"")</f>
        <v/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31</v>
      </c>
      <c r="E489" s="87" t="s">
        <v>274</v>
      </c>
      <c r="F489" s="88">
        <f>IFERROR(IF($D489="","",VLOOKUP($D489,Cadastro!$C$4:$E$7,3,FALSE())),"")</f>
        <v>0.35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31</v>
      </c>
      <c r="E490" s="87" t="s">
        <v>274</v>
      </c>
      <c r="F490" s="88">
        <f>IFERROR(IF($D490="","",VLOOKUP($D490,Cadastro!$C$4:$E$7,3,FALSE())),"")</f>
        <v>0.35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31</v>
      </c>
      <c r="E491" s="87" t="s">
        <v>274</v>
      </c>
      <c r="F491" s="88">
        <f>IFERROR(IF($D491="","",VLOOKUP($D491,Cadastro!$C$4:$E$7,3,FALSE())),"")</f>
        <v>0.35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31</v>
      </c>
      <c r="E492" s="87" t="s">
        <v>274</v>
      </c>
      <c r="F492" s="88">
        <f>IFERROR(IF($D492="","",VLOOKUP($D492,Cadastro!$C$4:$E$7,3,FALSE())),"")</f>
        <v>0.35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21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31</v>
      </c>
      <c r="E493" s="124" t="s">
        <v>274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31</v>
      </c>
      <c r="E494" s="87" t="s">
        <v>274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31</v>
      </c>
      <c r="E495" s="87" t="s">
        <v>274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31</v>
      </c>
      <c r="E496" s="87" t="s">
        <v>274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31</v>
      </c>
      <c r="E497" s="87" t="s">
        <v>274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31</v>
      </c>
      <c r="E498" s="87" t="s">
        <v>274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113.4</v>
      </c>
      <c r="L500" s="72"/>
      <c r="M500" s="72"/>
      <c r="N500" s="72"/>
      <c r="O500" s="72"/>
      <c r="P500" s="72"/>
      <c r="Q500" s="73">
        <f ca="1">IFERROR(SUM(Q488:Q499),"")</f>
        <v>0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113.4</v>
      </c>
      <c r="L514" s="76"/>
      <c r="M514" s="76"/>
      <c r="N514" s="76"/>
      <c r="O514" s="76"/>
      <c r="P514" s="76"/>
      <c r="Q514" s="77">
        <f ca="1">IFERROR(Q500+Q513,"")</f>
        <v>0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2" sqref="G49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/>
      <c r="M489" s="70"/>
      <c r="N489" s="70"/>
      <c r="O489" s="65"/>
      <c r="P489" s="65"/>
      <c r="Q489" s="71" t="str">
        <f ca="1">IFERROR(IF(O489="","",IF(P489="",MOD(NOW()-O489,1),IF(P489&gt;=O489,P489-O489,P489+1-O489))),"")</f>
        <v/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2"/>
        <v/>
      </c>
      <c r="K492" s="64" t="str">
        <f t="shared" si="123"/>
        <v/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68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285.60000000000002</v>
      </c>
      <c r="L500" s="72"/>
      <c r="M500" s="72"/>
      <c r="N500" s="72"/>
      <c r="O500" s="134"/>
      <c r="P500" s="134"/>
      <c r="Q500" s="73">
        <f ca="1">IFERROR(SUM(Q488:Q499),"")</f>
        <v>1.1805555555554959E-2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68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285.60000000000002</v>
      </c>
      <c r="L514" s="76"/>
      <c r="M514" s="76"/>
      <c r="N514" s="76"/>
      <c r="O514" s="135"/>
      <c r="P514" s="135"/>
      <c r="Q514" s="77">
        <f ca="1">IFERROR(Q500+Q513,"")</f>
        <v>1.1805555555554959E-2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2026-08-19T16:20:44Z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