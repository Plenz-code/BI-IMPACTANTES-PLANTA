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27" documentId="8_{AF585B22-221D-4780-BB9C-493D365A6A02}" xr6:coauthVersionLast="47" xr6:coauthVersionMax="47" xr10:uidLastSave="{E3487F4A-DF00-49EB-9F05-B1C3616E32A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<sst xmlns="http://schemas.openxmlformats.org/spreadsheetml/2006/main" count="10723" uniqueCount="402">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</sst>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5" sqref="F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8</v>
      </c>
      <c r="G716" s="36">
        <f>SUM(G704:G715)</f>
        <v>40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8</v>
      </c>
      <c r="G730" s="40">
        <f>G716+G729</f>
        <v>40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K705" sqref="K7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0.12399722221744014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0.28163611110632902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0.39135833332855119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0.10246944444224937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0.27330277777558276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0.41844166666447163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12" t="s">
        <v>257</v>
      </c>
      <c r="F680" s="113"/>
      <c r="G680" s="114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232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11</v>
      </c>
      <c r="G704" s="28">
        <f t="shared" ref="G704:G715" si="156">IF(F704="","",IF(E704="PC 17",F704*4.2,IF(E704="PC 19",F704*5,"")))</f>
        <v>46.2</v>
      </c>
      <c r="H704" s="26"/>
      <c r="I704" s="26"/>
      <c r="J704" s="26"/>
      <c r="K704" s="29">
        <v>0.35486111111111113</v>
      </c>
      <c r="L704" s="29"/>
      <c r="M704" s="30">
        <f t="shared" ref="M704:M715" ca="1" si="157">IFERROR(IF(K704="","",IF(L704="",MOD(NOW()-K704,1),IF(L704&gt;=K704,L704-K704,L704+1-K704))),"")</f>
        <v>8.7194444422493689E-3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11</v>
      </c>
      <c r="G716" s="36">
        <f>SUM(G704:G715)</f>
        <v>46.2</v>
      </c>
      <c r="H716" s="37"/>
      <c r="I716" s="37"/>
      <c r="J716" s="37"/>
      <c r="K716" s="37"/>
      <c r="L716" s="37"/>
      <c r="M716" s="38">
        <f ca="1">IFERROR(SUM(M704:M715),"")</f>
        <v>8.7194444422493689E-3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11</v>
      </c>
      <c r="G730" s="40">
        <f>G716+G729</f>
        <v>46.2</v>
      </c>
      <c r="H730" s="41"/>
      <c r="I730" s="41"/>
      <c r="J730" s="41"/>
      <c r="K730" s="41"/>
      <c r="L730" s="41"/>
      <c r="M730" s="42">
        <f ca="1">IFERROR(M716+M729,"")</f>
        <v>8.7194444422493689E-3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9" zoomScale="50" zoomScaleNormal="50" workbookViewId="0">
      <selection activeCell="H704" sqref="H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8</v>
      </c>
      <c r="G704" s="28">
        <f t="shared" ref="G704:G715" si="156">IF(F704="","",IF(E704="PC 17",F704*4.2,IF(E704="PC 19",F704*5,"")))</f>
        <v>33.6</v>
      </c>
      <c r="H704" s="26"/>
      <c r="I704" s="26"/>
      <c r="J704" s="26"/>
      <c r="K704" s="29">
        <v>0.35486111111111113</v>
      </c>
      <c r="L704" s="29"/>
      <c r="M704" s="30">
        <f t="shared" ref="M704:M715" ca="1" si="157">IFERROR(IF(K704="","",IF(L704="",MOD(NOW()-K704,1),IF(L704&gt;=K704,L704-K704,L704+1-K704))),"")</f>
        <v>8.7194444422493689E-3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8</v>
      </c>
      <c r="G716" s="36">
        <f>SUM(G704:G715)</f>
        <v>33.6</v>
      </c>
      <c r="H716" s="37"/>
      <c r="I716" s="37"/>
      <c r="J716" s="37"/>
      <c r="K716" s="37"/>
      <c r="L716" s="37"/>
      <c r="M716" s="38">
        <f ca="1">IFERROR(SUM(M704:M715),"")</f>
        <v>8.7194444422493689E-3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8</v>
      </c>
      <c r="G730" s="40">
        <f>G716+G729</f>
        <v>33.6</v>
      </c>
      <c r="H730" s="41"/>
      <c r="I730" s="41"/>
      <c r="J730" s="41"/>
      <c r="K730" s="41"/>
      <c r="L730" s="41"/>
      <c r="M730" s="42">
        <f ca="1">IFERROR(M716+M729,"")</f>
        <v>8.7194444422493689E-3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J705" sqref="J7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0.11427499999990687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0.31358055555546249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0.68094166666657352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159</v>
      </c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7.1913888888957445E-2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 t="s">
        <v>17</v>
      </c>
      <c r="I705" s="33" t="s">
        <v>137</v>
      </c>
      <c r="J705" s="33" t="s">
        <v>49</v>
      </c>
      <c r="K705" s="29">
        <v>0.35486111111111113</v>
      </c>
      <c r="L705" s="29"/>
      <c r="M705" s="35">
        <f t="shared" ca="1" si="157"/>
        <v>8.7194444422493689E-3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2</v>
      </c>
      <c r="G716" s="36">
        <f>SUM(G704:G715)</f>
        <v>8.4</v>
      </c>
      <c r="H716" s="37"/>
      <c r="I716" s="37"/>
      <c r="J716" s="37"/>
      <c r="K716" s="61"/>
      <c r="L716" s="61"/>
      <c r="M716" s="38">
        <f ca="1">IFERROR(SUM(M704:M715),"")</f>
        <v>8.0633333331206813E-2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2</v>
      </c>
      <c r="G730" s="40">
        <f>G716+G729</f>
        <v>8.4</v>
      </c>
      <c r="H730" s="41"/>
      <c r="I730" s="41"/>
      <c r="J730" s="41"/>
      <c r="K730" s="63"/>
      <c r="L730" s="63"/>
      <c r="M730" s="42">
        <f ca="1">IFERROR(M716+M729,"")</f>
        <v>8.0633333331206813E-2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2026-07-27T12:44:20Z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