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41" documentId="8_{AF585B22-221D-4780-BB9C-493D365A6A02}" xr6:coauthVersionLast="47" xr6:coauthVersionMax="47" xr10:uidLastSave="{9C62630B-03F1-4D88-9059-0116211FD3A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<sst xmlns="http://schemas.openxmlformats.org/spreadsheetml/2006/main" count="5144" uniqueCount="298">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</sst>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7" sqref="F30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125.5</v>
      </c>
      <c r="G311" s="36">
        <f>SUM(G299:G310)</f>
        <v>627.5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125.5</v>
      </c>
      <c r="G325" s="40">
        <f>G311+G324</f>
        <v>627.5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72" activePane="bottomLeft" state="frozen"/>
      <selection pane="bottomLeft" activeCell="J303" sqref="J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18</v>
      </c>
      <c r="G302" s="28">
        <f t="shared" si="66"/>
        <v>75.600000000000009</v>
      </c>
      <c r="H302" s="26" t="s">
        <v>17</v>
      </c>
      <c r="I302" s="26" t="s">
        <v>80</v>
      </c>
      <c r="J302" s="26" t="s">
        <v>49</v>
      </c>
      <c r="K302" s="29">
        <v>0.61250000000000004</v>
      </c>
      <c r="L302" s="29"/>
      <c r="M302" s="30">
        <f t="shared" ca="1" si="67"/>
        <v>1.2482060184993315E-2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/>
      <c r="M303" s="35">
        <f t="shared" ca="1" si="67"/>
        <v>1.2482060184993315E-2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52</v>
      </c>
      <c r="G311" s="36">
        <f>SUM(G299:G310)</f>
        <v>218.4</v>
      </c>
      <c r="H311" s="37"/>
      <c r="I311" s="37"/>
      <c r="J311" s="37"/>
      <c r="K311" s="37"/>
      <c r="L311" s="37"/>
      <c r="M311" s="38">
        <f ca="1">IFERROR(SUM(M299:M310),"")</f>
        <v>8.6075231481097692E-2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52</v>
      </c>
      <c r="G325" s="40">
        <f>G311+G324</f>
        <v>218.4</v>
      </c>
      <c r="H325" s="41"/>
      <c r="I325" s="41"/>
      <c r="J325" s="41"/>
      <c r="K325" s="41"/>
      <c r="L325" s="41"/>
      <c r="M325" s="42">
        <f ca="1">IFERROR(M311+M324,"")</f>
        <v>8.6075231481097692E-2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J302" sqref="J3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265</v>
      </c>
      <c r="N166" s="27" t="s">
        <v>266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/>
      <c r="M302" s="30">
        <f t="shared" ca="1" si="67"/>
        <v>1.2482060184993315E-2</v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36</v>
      </c>
      <c r="G311" s="36">
        <f>SUM(G299:G310)</f>
        <v>151.20000000000002</v>
      </c>
      <c r="H311" s="37"/>
      <c r="I311" s="37"/>
      <c r="J311" s="37"/>
      <c r="K311" s="37"/>
      <c r="L311" s="37"/>
      <c r="M311" s="38">
        <f ca="1">IFERROR(SUM(M299:M310),"")</f>
        <v>5.2065393518326619E-2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36</v>
      </c>
      <c r="G325" s="40">
        <f>G311+G324</f>
        <v>151.20000000000002</v>
      </c>
      <c r="H325" s="41"/>
      <c r="I325" s="41"/>
      <c r="J325" s="41"/>
      <c r="K325" s="41"/>
      <c r="L325" s="41"/>
      <c r="M325" s="42">
        <f ca="1">IFERROR(M311+M324,"")</f>
        <v>5.2065393518326619E-2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H302" sqref="H3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276</v>
      </c>
      <c r="L58" s="29">
        <v>0.54097222222222219</v>
      </c>
      <c r="M58" s="30" t="str">
        <f t="shared" ca="1" si="13"/>
        <v/>
      </c>
      <c r="N58" s="27" t="s">
        <v>277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0.37567650463461177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0.5749820601901674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0.94234317130127843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231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/>
      <c r="M301" s="35">
        <f t="shared" ca="1" si="67"/>
        <v>2.4287615742650814E-2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10</v>
      </c>
      <c r="G311" s="36">
        <f>SUM(G299:G310)</f>
        <v>42</v>
      </c>
      <c r="H311" s="37"/>
      <c r="I311" s="37"/>
      <c r="J311" s="37"/>
      <c r="K311" s="61"/>
      <c r="L311" s="61"/>
      <c r="M311" s="38">
        <f ca="1">IFERROR(SUM(M299:M310),"")</f>
        <v>0.26317650463153974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</v>
      </c>
      <c r="G325" s="40">
        <f>G311+G324</f>
        <v>42</v>
      </c>
      <c r="H325" s="41"/>
      <c r="I325" s="41"/>
      <c r="J325" s="41"/>
      <c r="K325" s="63"/>
      <c r="L325" s="63"/>
      <c r="M325" s="42">
        <f ca="1">IFERROR(M311+M324,"")</f>
        <v>0.26317650463153974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2026-07-12T19:00:01Z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