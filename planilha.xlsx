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97" documentId="13_ncr:1_{A6DBCFB4-28D9-4249-9038-216934055CA6}" xr6:coauthVersionLast="47" xr6:coauthVersionMax="47" xr10:uidLastSave="{6EB8774E-8C1B-44C6-9FEA-98E87578168F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07" i="6" l="1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I515" i="4"/>
  <c r="H515" i="4"/>
  <c r="F515" i="4"/>
  <c r="S514" i="4"/>
  <c r="D22" i="1" s="1"/>
  <c r="G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12" i="4" l="1"/>
  <c r="J510" i="5"/>
  <c r="J512" i="6"/>
  <c r="J510" i="6"/>
  <c r="J507" i="5"/>
  <c r="J512" i="5"/>
  <c r="K527" i="6"/>
  <c r="K541" i="6" s="1"/>
  <c r="K527" i="5"/>
  <c r="K541" i="5" s="1"/>
  <c r="K527" i="4"/>
  <c r="K541" i="4" s="1"/>
  <c r="M500" i="3"/>
  <c r="Q527" i="5"/>
  <c r="Q149" i="6"/>
  <c r="Q459" i="4"/>
  <c r="Q432" i="5"/>
  <c r="G527" i="3"/>
  <c r="G541" i="3" s="1"/>
  <c r="Q770" i="5"/>
  <c r="Q216" i="4"/>
  <c r="M824" i="3"/>
  <c r="Q351" i="5"/>
  <c r="M581" i="3"/>
  <c r="Q689" i="5"/>
  <c r="Q203" i="6"/>
  <c r="Q581" i="6"/>
  <c r="M446" i="3"/>
  <c r="Q108" i="4"/>
  <c r="Q284" i="4"/>
  <c r="Q203" i="5"/>
  <c r="Q419" i="5"/>
  <c r="Q162" i="6"/>
  <c r="Q405" i="6"/>
  <c r="Q729" i="6"/>
  <c r="Q162" i="4"/>
  <c r="Q527" i="4"/>
  <c r="Q689" i="4"/>
  <c r="M203" i="3"/>
  <c r="Q14" i="6"/>
  <c r="M378" i="3"/>
  <c r="Q230" i="4"/>
  <c r="M459" i="3"/>
  <c r="Q284" i="5"/>
  <c r="Q68" i="6"/>
  <c r="M257" i="3"/>
  <c r="Q486" i="6"/>
  <c r="Q716" i="6"/>
  <c r="Q824" i="4"/>
  <c r="Q567" i="5"/>
  <c r="Q122" i="6"/>
  <c r="Q473" i="6"/>
  <c r="Q243" i="4"/>
  <c r="Q567" i="6"/>
  <c r="Q824" i="6"/>
  <c r="Q108" i="5"/>
  <c r="Q297" i="4"/>
  <c r="Q338" i="4"/>
  <c r="Q419" i="4"/>
  <c r="M405" i="3"/>
  <c r="Q27" i="6"/>
  <c r="Q621" i="6"/>
  <c r="Q297" i="5"/>
  <c r="Q473" i="5"/>
  <c r="Q837" i="5"/>
  <c r="Q81" i="6"/>
  <c r="Q230" i="6"/>
  <c r="Q459" i="6"/>
  <c r="Q27" i="4"/>
  <c r="Q716" i="5"/>
  <c r="Q797" i="5"/>
  <c r="Q135" i="6"/>
  <c r="Q284" i="6"/>
  <c r="Q108" i="6"/>
  <c r="Q257" i="6"/>
  <c r="Q324" i="6"/>
  <c r="Q500" i="6"/>
  <c r="Q176" i="4"/>
  <c r="Q500" i="4"/>
  <c r="M554" i="3"/>
  <c r="M756" i="3"/>
  <c r="Q68" i="4"/>
  <c r="Q405" i="4"/>
  <c r="Q743" i="4"/>
  <c r="Q378" i="5"/>
  <c r="Q608" i="6"/>
  <c r="Q810" i="6"/>
  <c r="Q81" i="4"/>
  <c r="Q648" i="4"/>
  <c r="M419" i="3"/>
  <c r="Q189" i="6"/>
  <c r="Q446" i="6"/>
  <c r="Q527" i="6"/>
  <c r="Q311" i="4"/>
  <c r="Q729" i="4"/>
  <c r="M351" i="3"/>
  <c r="Q324" i="5"/>
  <c r="Q702" i="5"/>
  <c r="Q783" i="5"/>
  <c r="Q41" i="6"/>
  <c r="Q203" i="4"/>
  <c r="Q392" i="4"/>
  <c r="M41" i="3"/>
  <c r="M108" i="3"/>
  <c r="Q473" i="4"/>
  <c r="M176" i="3"/>
  <c r="Q189" i="5"/>
  <c r="Q365" i="5"/>
  <c r="Q446" i="5"/>
  <c r="Q432" i="6"/>
  <c r="Q513" i="6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Q352" i="5" l="1"/>
  <c r="Q811" i="5"/>
  <c r="Q541" i="5"/>
  <c r="J513" i="6"/>
  <c r="T513" i="6" s="1"/>
  <c r="J513" i="5"/>
  <c r="T513" i="5" s="1"/>
  <c r="M352" i="3"/>
  <c r="M163" i="3"/>
  <c r="J513" i="4"/>
  <c r="T513" i="4" s="1"/>
  <c r="Q433" i="5"/>
  <c r="Q163" i="4"/>
  <c r="Q109" i="4"/>
  <c r="Q163" i="6"/>
  <c r="Q244" i="4"/>
  <c r="M595" i="3"/>
  <c r="Q460" i="4"/>
  <c r="Q217" i="4"/>
  <c r="Q379" i="5"/>
  <c r="M217" i="3"/>
  <c r="M730" i="3"/>
  <c r="Q28" i="4"/>
  <c r="Q487" i="6"/>
  <c r="M838" i="3"/>
  <c r="Q217" i="6"/>
  <c r="Q298" i="5"/>
  <c r="Q622" i="6"/>
  <c r="Q730" i="5"/>
  <c r="Q109" i="6"/>
  <c r="Q217" i="5"/>
  <c r="Q379" i="6"/>
  <c r="M514" i="3"/>
  <c r="M379" i="3"/>
  <c r="Q676" i="4"/>
  <c r="Q136" i="6"/>
  <c r="Q568" i="5"/>
  <c r="Q325" i="5"/>
  <c r="Q55" i="6"/>
  <c r="Q784" i="5"/>
  <c r="M568" i="3"/>
  <c r="Q757" i="5"/>
  <c r="Q136" i="5"/>
  <c r="Q838" i="4"/>
  <c r="Q325" i="6"/>
  <c r="Q568" i="4"/>
  <c r="Q838" i="6"/>
  <c r="Q271" i="6"/>
  <c r="M541" i="3"/>
  <c r="Q730" i="4"/>
  <c r="Q28" i="6"/>
  <c r="Q811" i="6"/>
  <c r="Q325" i="4"/>
  <c r="Q298" i="6"/>
  <c r="Q595" i="5"/>
  <c r="Q541" i="6"/>
  <c r="Q109" i="5"/>
  <c r="M460" i="3"/>
  <c r="Q649" i="5"/>
  <c r="Q379" i="4"/>
  <c r="Q271" i="5"/>
  <c r="Q649" i="4"/>
  <c r="Q190" i="6"/>
  <c r="Q757" i="6"/>
  <c r="Q514" i="4"/>
  <c r="M244" i="3"/>
  <c r="M298" i="3"/>
  <c r="Q703" i="4"/>
  <c r="Q757" i="4"/>
  <c r="M109" i="3"/>
  <c r="Q541" i="4"/>
  <c r="Q82" i="6"/>
  <c r="Q622" i="4"/>
  <c r="Q406" i="4"/>
  <c r="Q595" i="4"/>
  <c r="M55" i="3"/>
  <c r="Q838" i="5"/>
  <c r="M784" i="3"/>
  <c r="M325" i="3"/>
  <c r="Q514" i="6"/>
  <c r="Q487" i="5"/>
  <c r="Q703" i="6"/>
  <c r="M271" i="3"/>
  <c r="Q244" i="6"/>
  <c r="Q568" i="6"/>
  <c r="Q190" i="4"/>
  <c r="Q82" i="4"/>
  <c r="Q784" i="4"/>
  <c r="M190" i="3"/>
  <c r="Q190" i="5"/>
  <c r="Q433" i="6"/>
  <c r="Q406" i="6"/>
  <c r="Q298" i="4"/>
  <c r="M757" i="3"/>
  <c r="Q352" i="4"/>
  <c r="Q649" i="6"/>
  <c r="M136" i="3"/>
  <c r="Q406" i="5"/>
  <c r="Q487" i="4"/>
  <c r="Q460" i="6"/>
  <c r="Q730" i="6"/>
  <c r="Q460" i="5"/>
  <c r="M811" i="3"/>
  <c r="M433" i="3"/>
  <c r="Q433" i="4"/>
  <c r="M406" i="3"/>
  <c r="Q595" i="6"/>
  <c r="Q70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<sst xmlns="http://schemas.openxmlformats.org/spreadsheetml/2006/main" count="8810" uniqueCount="400">
  <si>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</si>
  <si>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</si>
  <si>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</si>
  <si>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</si>
  <si>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</si>
  <si>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</si>
  <si>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</si>
  <si>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</si>
  <si>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</si>
  <si>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</si>
  <si>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</si>
  <si>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</si>
  <si>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</si>
  <si>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</si>
  <si>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</si>
  <si>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</si>
  <si>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</si>
  <si>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</si>
  <si>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</si>
  <si>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</si>
  <si>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</si>
  <si>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</si>
  <si>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</si>
  <si>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</si>
  <si>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</si>
  <si>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</si>
  <si>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</si>
  <si>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</si>
  <si>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</si>
  <si>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</si>
  <si>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</si>
  <si>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</si>
  <si>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</si>
  <si>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</si>
  <si>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</si>
  <si>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</si>
  <si>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</si>
  <si>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</si>
  <si>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</si>
  <si>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</si>
  <si>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</si>
  <si>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</si>
  <si>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</si>
  <si>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</si>
  <si>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</si>
  <si>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</si>
  <si>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</si>
  <si>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</si>
  <si>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</si>
  <si>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</si>
  <si>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</si>
  <si>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</si>
  <si>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</si>
  <si>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</si>
  <si>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</si>
  <si>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</si>
  <si>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</si>
  <si>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</si>
  <si>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</si>
  <si>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</si>
  <si>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</si>
  <si>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</si>
  <si>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</si>
  <si>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</si>
  <si>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</si>
  <si>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</si>
  <si>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</si>
  <si>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</si>
  <si>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</si>
  <si>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</si>
  <si>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</si>
  <si>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</si>
  <si>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</si>
  <si>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</si>
  <si>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</si>
  <si>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</si>
  <si>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</si>
  <si>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</si>
  <si>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</si>
  <si>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</si>
  <si>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</si>
  <si>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</si>
  <si>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</si>
  <si>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</si>
  <si>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</si>
  <si>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</si>
  <si>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</si>
  <si>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</si>
  <si>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</si>
  <si>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</si>
  <si>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</si>
  <si>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</si>
  <si>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</si>
  <si>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</si>
  <si>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</si>
  <si>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</si>
  <si>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</si>
  <si>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</si>
  <si>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</si>
  <si>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</si>
  <si>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</si>
  <si>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</si>
  <si>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</si>
  <si>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</si>
  <si>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</si>
  <si>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</si>
  <si>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</si>
  <si>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</si>
  <si>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</si>
  <si>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</si>
  <si>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</si>
  <si>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</si>
  <si>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</si>
  <si>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</si>
  <si>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</si>
  <si>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</si>
  <si>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</si>
  <si>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</si>
  <si>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</si>
  <si>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</si>
  <si>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</si>
  <si>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</si>
  <si>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</si>
  <si>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</si>
  <si>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</si>
  <si>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</si>
  <si>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</si>
  <si>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</si>
  <si>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</si>
  <si>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</si>
  <si>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</si>
  <si>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</si>
  <si>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</si>
  <si>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</si>
  <si>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</si>
  <si>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</si>
  <si>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</si>
  <si>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</si>
  <si>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</si>
  <si>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</si>
  <si>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</si>
  <si>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</si>
  <si>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</si>
  <si>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</si>
  <si>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</si>
  <si>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</si>
  <si>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</si>
  <si>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</si>
  <si>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</si>
  <si>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</si>
  <si>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</si>
  <si>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</si>
  <si>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</si>
  <si>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</si>
  <si>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</si>
  <si>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</si>
  <si>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</si>
  <si>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</si>
  <si>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</si>
  <si>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</si>
  <si>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</si>
  <si>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</si>
  <si>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</si>
  <si>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</si>
  <si>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</si>
  <si>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</si>
  <si>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</si>
  <si>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</si>
  <si>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</si>
  <si>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</si>
  <si>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</si>
  <si>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</si>
  <si>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</si>
  <si>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</si>
  <si>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</si>
  <si>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</si>
  <si>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</si>
  <si>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</si>
  <si>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</si>
  <si>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</si>
  <si>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</si>
  <si>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</si>
  <si>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</si>
  <si>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</si>
  <si>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</si>
  <si>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</si>
  <si>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</si>
  <si>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</si>
  <si>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</si>
  <si>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</si>
  <si>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</si>
  <si>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</si>
  <si>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</si>
  <si>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</si>
  <si>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</si>
  <si>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</si>
  <si>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</si>
  <si>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</si>
  <si>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</si>
  <si>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</si>
  <si>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</si>
  <si>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</si>
  <si>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</si>
  <si>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</si>
  <si>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</si>
  <si>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</si>
  <si>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</si>
  <si>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</si>
  <si>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</si>
  <si>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</si>
  <si>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</si>
  <si>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</si>
  <si>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</si>
  <si>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</si>
  <si>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</si>
  <si>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</si>
  <si>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</si>
  <si>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</si>
  <si>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</si>
  <si>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</si>
  <si>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</si>
  <si>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</si>
  <si>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</si>
  <si>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</si>
  <si>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</si>
  <si>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</si>
  <si>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</si>
  <si>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</si>
  <si>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</si>
  <si>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</si>
  <si>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</si>
  <si>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</si>
  <si>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</si>
  <si>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</si>
  <si>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</si>
  <si>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</si>
  <si>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</si>
  <si>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</si>
  <si>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</si>
  <si>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</si>
  <si>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</si>
  <si>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</si>
  <si>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</si>
  <si>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</si>
  <si>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</si>
  <si>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</si>
  <si>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</si>
  <si>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</si>
  <si>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</si>
  <si>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</si>
  <si>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</si>
  <si>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</si>
  <si>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</si>
  <si>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</si>
  <si>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</si>
  <si>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</si>
  <si>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</si>
  <si>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</si>
  <si>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</si>
  <si>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</si>
  <si>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</si>
  <si>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</si>
  <si>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</si>
  <si>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</si>
  <si>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</si>
  <si>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</si>
  <si>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</si>
  <si>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</si>
  <si>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</si>
  <si>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</si>
  <si>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</si>
  <si>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</si>
  <si>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</si>
  <si>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</si>
  <si>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</si>
  <si>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</si>
  <si>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</si>
  <si>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</si>
  <si>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</si>
  <si>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</si>
  <si>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</si>
  <si>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</si>
  <si>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</si>
  <si>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</si>
  <si>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</si>
  <si>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</si>
  <si>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</si>
  <si>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</si>
  <si>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</si>
  <si>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</si>
  <si>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</si>
  <si>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</si>
  <si>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</si>
  <si>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</si>
  <si>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</si>
  <si>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</si>
  <si>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</si>
  <si>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</si>
  <si>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</si>
  <si>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</si>
  <si>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</si>
  <si>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</si>
  <si>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</si>
  <si>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</si>
  <si>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</si>
  <si>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</si>
  <si>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</si>
  <si>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</si>
  <si>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</si>
  <si>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</si>
  <si>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</si>
  <si>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</si>
  <si>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</si>
  <si>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</si>
  <si>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</si>
  <si>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</si>
  <si>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</si>
  <si>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</si>
  <si>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</si>
  <si>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</si>
  <si>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</si>
  <si>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</si>
  <si>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</si>
  <si>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</si>
  <si>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</si>
  <si>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</si>
  <si>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</si>
  <si>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</si>
  <si>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</si>
  <si>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</si>
  <si>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</si>
  <si>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</si>
  <si>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</si>
  <si>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</si>
  <si>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</si>
  <si>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</si>
  <si>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</si>
  <si>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</si>
  <si>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</si>
  <si>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</si>
  <si>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</si>
  <si>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</si>
  <si>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</si>
  <si>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</si>
  <si>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</si>
  <si>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</si>
  <si>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</si>
  <si>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</si>
  <si>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</si>
  <si>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</si>
  <si>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</si>
  <si>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</si>
  <si>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</si>
  <si>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</si>
  <si>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</si>
  <si>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</si>
  <si>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</si>
  <si>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</si>
  <si>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</si>
  <si>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</si>
  <si>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</si>
  <si>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</si>
  <si>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</si>
  <si>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</si>
  <si>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</si>
  <si>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</si>
  <si>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</si>
  <si>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</si>
  <si>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</si>
  <si>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</si>
  <si>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</si>
  <si>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</si>
  <si>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</si>
  <si>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</si>
  <si>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</si>
  <si>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</si>
  <si>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</si>
  <si>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</si>
  <si>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</si>
  <si>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</si>
  <si>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</si>
  <si>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</si>
  <si>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</si>
  <si>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</si>
  <si>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</si>
  <si>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</si>
  <si>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</si>
  <si>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</si>
  <si>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</si>
  <si>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</si>
  <si>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</si>
  <si>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</si>
  <si>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</si>
  <si>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</si>
  <si>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</si>
  <si>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</si>
  <si>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</si>
  <si>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</si>
  <si>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</si>
  <si>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PC 17;PC 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</si>
</sst>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6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activeCell="B1" sqref="B1"/>
      <selection pane="bottomLeft" activeCell="G22" sqref="G22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8.554687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8.5546875" customWidth="1"/>
  </cols>
  <sheetData>
    <row r="1" spans="1:12" ht="31.5" customHeight="1" x14ac:dyDescent="0.3">
      <c r="A1" s="157" t="s">
        <v>0</v>
      </c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</row>
    <row r="2" spans="1:12" ht="30" customHeight="1" x14ac:dyDescent="0.3">
      <c r="A2" s="158"/>
      <c r="B2" s="15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0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21"/>
      <c r="J23" s="22" t="str">
        <f t="shared" si="1"/>
        <v>-</v>
      </c>
      <c r="K23" s="22"/>
      <c r="L23" s="28">
        <f>IFERROR(INDEX('Britador Móvel'!$F:$F,3*A23+1),"")</f>
        <v>0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 x14ac:dyDescent="0.3">
      <c r="A35" s="159" t="s">
        <v>16</v>
      </c>
      <c r="B35" s="159"/>
      <c r="C35" s="30">
        <f t="shared" ref="C35:I35" si="2">IFERROR(SUM(C4:C34),"")</f>
        <v>71829610</v>
      </c>
      <c r="D35" s="30">
        <f t="shared" si="2"/>
        <v>23300530</v>
      </c>
      <c r="E35" s="30">
        <f t="shared" si="2"/>
        <v>12268060</v>
      </c>
      <c r="F35" s="30">
        <f t="shared" si="2"/>
        <v>29707410</v>
      </c>
      <c r="G35" s="30">
        <f t="shared" si="2"/>
        <v>65276000</v>
      </c>
      <c r="H35" s="31">
        <f t="shared" si="2"/>
        <v>5486.9907825806804</v>
      </c>
      <c r="I35" s="31">
        <f t="shared" si="2"/>
        <v>4625.8500000000004</v>
      </c>
      <c r="J35" s="32">
        <f>IFERROR(AVERAGE(J4:J34),"-")</f>
        <v>0.73181916023220261</v>
      </c>
      <c r="K35" s="33">
        <f>SUM(K4:K34)</f>
        <v>450.78</v>
      </c>
      <c r="L35" s="34">
        <f>IFERROR(SUM(L4:L34),"")</f>
        <v>3105</v>
      </c>
    </row>
    <row r="36" spans="1:12" ht="15" customHeight="1" x14ac:dyDescent="0.3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60" t="s">
        <v>17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  <c r="M1" s="161"/>
      <c r="N1" s="162" t="s">
        <v>18</v>
      </c>
      <c r="O1" s="162"/>
      <c r="P1" s="162"/>
      <c r="Q1" s="162"/>
      <c r="R1" s="162"/>
    </row>
    <row r="2" spans="1:18" ht="4.5" customHeight="1" x14ac:dyDescent="0.3">
      <c r="M2" s="161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 x14ac:dyDescent="0.3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 x14ac:dyDescent="0.3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 x14ac:dyDescent="0.3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 x14ac:dyDescent="0.3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1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 x14ac:dyDescent="0.3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1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 x14ac:dyDescent="0.3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1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 x14ac:dyDescent="0.3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1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1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 x14ac:dyDescent="0.3">
      <c r="A12" s="37"/>
      <c r="C12" s="37"/>
      <c r="J12" s="37"/>
      <c r="L12" s="37" t="s">
        <v>84</v>
      </c>
      <c r="M12" s="161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 x14ac:dyDescent="0.3">
      <c r="A13" s="40"/>
      <c r="C13" s="40"/>
      <c r="J13" s="40"/>
      <c r="L13" s="40" t="s">
        <v>89</v>
      </c>
      <c r="M13" s="161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 x14ac:dyDescent="0.3">
      <c r="A14" s="37"/>
      <c r="C14" s="37"/>
      <c r="J14" s="37"/>
      <c r="L14" s="37" t="s">
        <v>94</v>
      </c>
      <c r="M14" s="161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 x14ac:dyDescent="0.3">
      <c r="A15" s="40"/>
      <c r="C15" s="40"/>
      <c r="J15" s="40"/>
      <c r="L15" s="40" t="s">
        <v>100</v>
      </c>
      <c r="M15" s="161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 x14ac:dyDescent="0.3">
      <c r="A16" s="37"/>
      <c r="C16" s="37"/>
      <c r="J16" s="37"/>
      <c r="L16" s="37" t="s">
        <v>106</v>
      </c>
      <c r="M16" s="161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 x14ac:dyDescent="0.3">
      <c r="A17" s="40"/>
      <c r="C17" s="40"/>
      <c r="J17" s="40"/>
      <c r="L17" s="40" t="s">
        <v>112</v>
      </c>
      <c r="M17" s="161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 x14ac:dyDescent="0.3">
      <c r="A18" s="37"/>
      <c r="C18" s="37"/>
      <c r="J18" s="37"/>
      <c r="L18" s="37" t="s">
        <v>118</v>
      </c>
      <c r="M18" s="161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 x14ac:dyDescent="0.3">
      <c r="A19" s="40"/>
      <c r="C19" s="40"/>
      <c r="J19" s="40"/>
      <c r="L19" s="40" t="s">
        <v>124</v>
      </c>
      <c r="M19" s="161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 x14ac:dyDescent="0.3">
      <c r="A20" s="37"/>
      <c r="C20" s="37"/>
      <c r="J20" s="37"/>
      <c r="L20" s="37" t="s">
        <v>129</v>
      </c>
      <c r="M20" s="161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 x14ac:dyDescent="0.3">
      <c r="A21" s="40"/>
      <c r="C21" s="40"/>
      <c r="J21" s="40"/>
      <c r="L21" s="40" t="s">
        <v>133</v>
      </c>
      <c r="M21" s="161"/>
      <c r="N21" s="40"/>
      <c r="O21" s="40"/>
      <c r="P21" s="40" t="s">
        <v>134</v>
      </c>
      <c r="Q21" s="40"/>
      <c r="R21" s="40" t="s">
        <v>135</v>
      </c>
    </row>
    <row r="22" spans="1:18" ht="15.75" customHeight="1" x14ac:dyDescent="0.3">
      <c r="A22" s="37"/>
      <c r="C22" s="37"/>
      <c r="J22" s="37"/>
      <c r="L22" s="37" t="s">
        <v>136</v>
      </c>
      <c r="M22" s="161"/>
      <c r="N22" s="37"/>
      <c r="O22" s="37"/>
      <c r="P22" s="37" t="s">
        <v>137</v>
      </c>
      <c r="Q22" s="37"/>
      <c r="R22" s="37" t="s">
        <v>138</v>
      </c>
    </row>
    <row r="23" spans="1:18" ht="15.75" customHeight="1" x14ac:dyDescent="0.3">
      <c r="A23" s="40"/>
      <c r="C23" s="40"/>
      <c r="J23" s="40"/>
      <c r="L23" s="40" t="s">
        <v>139</v>
      </c>
      <c r="M23" s="161"/>
      <c r="N23" s="40"/>
      <c r="O23" s="40"/>
      <c r="P23" s="40" t="s">
        <v>140</v>
      </c>
      <c r="Q23" s="40"/>
      <c r="R23" s="40" t="s">
        <v>141</v>
      </c>
    </row>
    <row r="24" spans="1:18" ht="15.75" customHeight="1" x14ac:dyDescent="0.3">
      <c r="A24" s="37"/>
      <c r="C24" s="37"/>
      <c r="J24" s="37"/>
      <c r="L24" s="37" t="s">
        <v>142</v>
      </c>
      <c r="M24" s="161"/>
      <c r="N24" s="37"/>
      <c r="O24" s="37"/>
      <c r="P24" s="37" t="s">
        <v>143</v>
      </c>
      <c r="Q24" s="37"/>
      <c r="R24" s="37" t="s">
        <v>144</v>
      </c>
    </row>
    <row r="25" spans="1:18" ht="15.75" customHeight="1" x14ac:dyDescent="0.3">
      <c r="A25" s="40"/>
      <c r="C25" s="40"/>
      <c r="J25" s="40"/>
      <c r="L25" s="40" t="s">
        <v>145</v>
      </c>
      <c r="M25" s="161"/>
      <c r="N25" s="40"/>
      <c r="O25" s="40"/>
      <c r="P25" s="40" t="s">
        <v>146</v>
      </c>
      <c r="Q25" s="40"/>
      <c r="R25" s="40" t="s">
        <v>147</v>
      </c>
    </row>
    <row r="26" spans="1:18" ht="15.75" customHeight="1" x14ac:dyDescent="0.3">
      <c r="A26" s="37"/>
      <c r="C26" s="37"/>
      <c r="J26" s="37"/>
      <c r="L26" s="37" t="s">
        <v>148</v>
      </c>
      <c r="M26" s="161"/>
      <c r="N26" s="37"/>
      <c r="O26" s="37"/>
      <c r="P26" s="37" t="s">
        <v>149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150</v>
      </c>
      <c r="M27" s="161"/>
      <c r="N27" s="40"/>
      <c r="O27" s="40"/>
      <c r="P27" s="40" t="s">
        <v>141</v>
      </c>
      <c r="Q27" s="40"/>
      <c r="R27" s="40" t="s">
        <v>71</v>
      </c>
    </row>
    <row r="28" spans="1:18" ht="15.75" customHeight="1" x14ac:dyDescent="0.3">
      <c r="A28" s="37"/>
      <c r="C28" s="37"/>
      <c r="J28" s="37"/>
      <c r="L28" s="37" t="s">
        <v>151</v>
      </c>
      <c r="M28" s="161"/>
      <c r="N28" s="37"/>
      <c r="O28" s="37"/>
      <c r="P28" s="37" t="s">
        <v>144</v>
      </c>
      <c r="Q28" s="37"/>
      <c r="R28" s="37" t="s">
        <v>152</v>
      </c>
    </row>
    <row r="29" spans="1:18" ht="15.75" customHeight="1" x14ac:dyDescent="0.3">
      <c r="A29" s="40"/>
      <c r="C29" s="40"/>
      <c r="J29" s="40"/>
      <c r="L29" s="40" t="s">
        <v>153</v>
      </c>
      <c r="M29" s="161"/>
      <c r="N29" s="40"/>
      <c r="O29" s="40"/>
      <c r="P29" s="40" t="s">
        <v>154</v>
      </c>
      <c r="Q29" s="40"/>
      <c r="R29" s="40" t="s">
        <v>155</v>
      </c>
    </row>
    <row r="30" spans="1:18" ht="15.75" customHeight="1" x14ac:dyDescent="0.3">
      <c r="A30" s="37"/>
      <c r="C30" s="37"/>
      <c r="J30" s="37"/>
      <c r="L30" s="37" t="s">
        <v>156</v>
      </c>
      <c r="M30" s="161"/>
      <c r="N30" s="37"/>
      <c r="O30" s="37"/>
      <c r="P30" s="37" t="s">
        <v>157</v>
      </c>
      <c r="Q30" s="37"/>
      <c r="R30" s="37" t="s">
        <v>158</v>
      </c>
    </row>
    <row r="31" spans="1:18" ht="15.75" customHeight="1" x14ac:dyDescent="0.3">
      <c r="A31" s="40"/>
      <c r="C31" s="40"/>
      <c r="J31" s="40"/>
      <c r="L31" s="40" t="s">
        <v>159</v>
      </c>
      <c r="M31" s="161"/>
      <c r="N31" s="40"/>
      <c r="O31" s="40"/>
      <c r="P31" s="40" t="s">
        <v>160</v>
      </c>
      <c r="Q31" s="40"/>
      <c r="R31" s="40" t="s">
        <v>161</v>
      </c>
    </row>
    <row r="32" spans="1:18" ht="15.75" customHeight="1" x14ac:dyDescent="0.3">
      <c r="A32" s="37"/>
      <c r="C32" s="37"/>
      <c r="J32" s="37"/>
      <c r="L32" s="37" t="s">
        <v>162</v>
      </c>
      <c r="M32" s="161"/>
      <c r="N32" s="37"/>
      <c r="O32" s="37"/>
      <c r="P32" s="37" t="s">
        <v>163</v>
      </c>
      <c r="Q32" s="37"/>
      <c r="R32" t="s">
        <v>164</v>
      </c>
    </row>
    <row r="33" spans="1:18" ht="15.75" customHeight="1" x14ac:dyDescent="0.3">
      <c r="A33" s="40"/>
      <c r="C33" s="50" t="s">
        <v>165</v>
      </c>
      <c r="E33" s="51">
        <v>1000</v>
      </c>
      <c r="J33" s="40"/>
      <c r="L33" s="40" t="s">
        <v>166</v>
      </c>
      <c r="M33" s="161"/>
      <c r="N33" s="40"/>
      <c r="O33" s="40"/>
      <c r="P33" s="40" t="s">
        <v>167</v>
      </c>
      <c r="Q33" s="40"/>
      <c r="R33" s="40" t="s">
        <v>29</v>
      </c>
    </row>
    <row r="34" spans="1:18" ht="15.75" customHeight="1" x14ac:dyDescent="0.3">
      <c r="A34" s="37"/>
      <c r="C34" s="37"/>
      <c r="J34" s="37"/>
      <c r="L34" s="37" t="s">
        <v>168</v>
      </c>
      <c r="M34" s="161"/>
      <c r="N34" s="37"/>
      <c r="O34" s="37"/>
      <c r="P34" s="37" t="s">
        <v>88</v>
      </c>
      <c r="Q34" s="37"/>
      <c r="R34" s="37" t="s">
        <v>169</v>
      </c>
    </row>
    <row r="35" spans="1:18" ht="15.75" customHeight="1" x14ac:dyDescent="0.3">
      <c r="A35" s="40"/>
      <c r="C35" s="40"/>
      <c r="J35" s="40"/>
      <c r="L35" s="40" t="s">
        <v>170</v>
      </c>
      <c r="M35" s="161"/>
      <c r="N35" s="40"/>
      <c r="O35" s="40"/>
      <c r="P35" s="40" t="s">
        <v>171</v>
      </c>
      <c r="Q35" s="40"/>
      <c r="R35" s="40" t="s">
        <v>172</v>
      </c>
    </row>
    <row r="36" spans="1:18" ht="15.75" customHeight="1" x14ac:dyDescent="0.3">
      <c r="A36" s="37"/>
      <c r="C36" s="37"/>
      <c r="J36" s="37"/>
      <c r="L36" s="37" t="s">
        <v>173</v>
      </c>
      <c r="M36" s="161"/>
      <c r="N36" s="37"/>
      <c r="O36" s="37"/>
      <c r="P36" s="37" t="s">
        <v>174</v>
      </c>
      <c r="Q36" s="37"/>
      <c r="R36" s="37" t="s">
        <v>175</v>
      </c>
    </row>
    <row r="37" spans="1:18" ht="15.75" customHeight="1" x14ac:dyDescent="0.3">
      <c r="A37" s="40"/>
      <c r="C37" s="40"/>
      <c r="J37" s="40"/>
      <c r="L37" s="40" t="s">
        <v>176</v>
      </c>
      <c r="M37" s="161"/>
      <c r="N37" s="40"/>
      <c r="O37" s="40"/>
      <c r="P37" s="40" t="s">
        <v>177</v>
      </c>
      <c r="Q37" s="40"/>
      <c r="R37" s="40" t="s">
        <v>178</v>
      </c>
    </row>
    <row r="38" spans="1:18" ht="15.75" customHeight="1" x14ac:dyDescent="0.3">
      <c r="A38" s="37"/>
      <c r="C38" s="37"/>
      <c r="J38" s="37"/>
      <c r="L38" s="37" t="s">
        <v>179</v>
      </c>
      <c r="M38" s="161"/>
      <c r="N38" s="37"/>
      <c r="O38" s="37"/>
      <c r="P38" s="37" t="s">
        <v>180</v>
      </c>
      <c r="Q38" s="37"/>
      <c r="R38" s="37" t="s">
        <v>181</v>
      </c>
    </row>
    <row r="39" spans="1:18" ht="15.75" customHeight="1" x14ac:dyDescent="0.3">
      <c r="A39" s="40"/>
      <c r="C39" s="40"/>
      <c r="J39" s="40"/>
      <c r="L39" s="40"/>
      <c r="M39" s="161"/>
      <c r="N39" s="40"/>
      <c r="O39" s="40"/>
      <c r="P39" s="40" t="s">
        <v>182</v>
      </c>
      <c r="Q39" s="40"/>
      <c r="R39" s="40" t="s">
        <v>183</v>
      </c>
    </row>
    <row r="40" spans="1:18" ht="15.75" customHeight="1" x14ac:dyDescent="0.3">
      <c r="A40" s="37"/>
      <c r="C40" s="37"/>
      <c r="J40" s="37"/>
      <c r="L40" s="37"/>
      <c r="M40" s="161"/>
      <c r="N40" s="37"/>
      <c r="O40" s="37"/>
      <c r="P40" s="37" t="s">
        <v>184</v>
      </c>
      <c r="Q40" s="37"/>
      <c r="R40" s="37" t="s">
        <v>185</v>
      </c>
    </row>
    <row r="41" spans="1:18" ht="15.75" customHeight="1" x14ac:dyDescent="0.3">
      <c r="A41" s="40"/>
      <c r="C41" s="40"/>
      <c r="J41" s="40"/>
      <c r="L41" s="40"/>
      <c r="M41" s="161"/>
      <c r="N41" s="40"/>
      <c r="O41" s="40"/>
      <c r="P41" s="40" t="s">
        <v>186</v>
      </c>
      <c r="Q41" s="40"/>
      <c r="R41" s="40" t="s">
        <v>187</v>
      </c>
    </row>
    <row r="42" spans="1:18" ht="15.75" customHeight="1" x14ac:dyDescent="0.3">
      <c r="A42" s="37"/>
      <c r="C42" s="37"/>
      <c r="J42" s="37"/>
      <c r="L42" s="37"/>
      <c r="M42" s="161"/>
      <c r="N42" s="37"/>
      <c r="O42" s="37"/>
      <c r="P42" s="37" t="s">
        <v>188</v>
      </c>
      <c r="Q42" s="37"/>
      <c r="R42" s="37" t="s">
        <v>189</v>
      </c>
    </row>
    <row r="43" spans="1:18" ht="15.75" customHeight="1" x14ac:dyDescent="0.3">
      <c r="A43" s="40"/>
      <c r="C43" s="40"/>
      <c r="J43" s="40"/>
      <c r="L43" s="40"/>
      <c r="M43" s="161"/>
      <c r="N43" s="40"/>
      <c r="O43" s="40"/>
      <c r="P43" s="40" t="s">
        <v>190</v>
      </c>
      <c r="Q43" s="40"/>
      <c r="R43" s="40" t="s">
        <v>191</v>
      </c>
    </row>
    <row r="44" spans="1:18" ht="15.75" customHeight="1" x14ac:dyDescent="0.3">
      <c r="A44" s="37"/>
      <c r="C44" s="37"/>
      <c r="J44" s="37"/>
      <c r="L44" s="37"/>
      <c r="M44" s="161"/>
      <c r="N44" s="37"/>
      <c r="O44" s="37"/>
      <c r="P44" s="37" t="s">
        <v>192</v>
      </c>
      <c r="Q44" s="37"/>
      <c r="R44" s="37" t="s">
        <v>193</v>
      </c>
    </row>
    <row r="45" spans="1:18" ht="15.75" customHeight="1" x14ac:dyDescent="0.3">
      <c r="A45" s="40"/>
      <c r="C45" s="40"/>
      <c r="J45" s="40"/>
      <c r="L45" s="40"/>
      <c r="M45" s="161"/>
      <c r="N45" s="40"/>
      <c r="O45" s="40"/>
      <c r="P45" s="40" t="s">
        <v>194</v>
      </c>
      <c r="Q45" s="40"/>
      <c r="R45" s="40" t="s">
        <v>195</v>
      </c>
    </row>
    <row r="46" spans="1:18" ht="15.75" customHeight="1" x14ac:dyDescent="0.3">
      <c r="A46" s="37"/>
      <c r="C46" s="37"/>
      <c r="J46" s="37"/>
      <c r="L46" s="37"/>
      <c r="M46" s="161"/>
      <c r="N46" s="37"/>
      <c r="O46" s="37"/>
      <c r="P46" s="37" t="s">
        <v>196</v>
      </c>
      <c r="Q46" s="37"/>
      <c r="R46" s="37" t="s">
        <v>197</v>
      </c>
    </row>
    <row r="47" spans="1:18" ht="15.75" customHeight="1" x14ac:dyDescent="0.3">
      <c r="A47" s="40"/>
      <c r="C47" s="40"/>
      <c r="J47" s="40"/>
      <c r="L47" s="40"/>
      <c r="M47" s="161"/>
      <c r="N47" s="40"/>
      <c r="O47" s="40"/>
      <c r="P47" s="40" t="s">
        <v>198</v>
      </c>
      <c r="Q47" s="40"/>
      <c r="R47" s="40" t="s">
        <v>199</v>
      </c>
    </row>
    <row r="48" spans="1:18" ht="15.75" customHeight="1" x14ac:dyDescent="0.3">
      <c r="A48" s="37"/>
      <c r="C48" s="37"/>
      <c r="J48" s="37"/>
      <c r="L48" s="37"/>
      <c r="M48" s="161"/>
      <c r="N48" s="37"/>
      <c r="O48" s="37"/>
      <c r="P48" s="37" t="s">
        <v>200</v>
      </c>
      <c r="Q48" s="37"/>
      <c r="R48" s="37" t="s">
        <v>201</v>
      </c>
    </row>
    <row r="49" spans="1:18" ht="18" customHeight="1" x14ac:dyDescent="0.3">
      <c r="M49" s="161"/>
      <c r="N49" s="40"/>
      <c r="O49" s="40"/>
      <c r="P49" s="40" t="s">
        <v>202</v>
      </c>
      <c r="Q49" s="40"/>
      <c r="R49" s="40" t="s">
        <v>203</v>
      </c>
    </row>
    <row r="50" spans="1:18" ht="21" customHeight="1" x14ac:dyDescent="0.3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1"/>
      <c r="N50" s="37"/>
      <c r="O50" s="37"/>
      <c r="P50" s="37" t="s">
        <v>205</v>
      </c>
      <c r="Q50" s="37"/>
      <c r="R50" s="37" t="s">
        <v>206</v>
      </c>
    </row>
    <row r="51" spans="1:18" ht="24" customHeight="1" x14ac:dyDescent="0.3">
      <c r="M51" s="161"/>
      <c r="N51" s="40"/>
      <c r="O51" s="40"/>
      <c r="P51" s="40" t="s">
        <v>207</v>
      </c>
      <c r="Q51" s="40"/>
      <c r="R51" s="40" t="s">
        <v>208</v>
      </c>
    </row>
    <row r="52" spans="1:18" ht="24" customHeight="1" x14ac:dyDescent="0.3">
      <c r="M52" s="161"/>
      <c r="N52" s="37"/>
      <c r="O52" s="37"/>
      <c r="P52" s="37" t="s">
        <v>209</v>
      </c>
      <c r="Q52" s="37"/>
      <c r="R52" s="37" t="s">
        <v>210</v>
      </c>
    </row>
    <row r="53" spans="1:18" ht="36" customHeight="1" x14ac:dyDescent="0.3">
      <c r="M53" s="161"/>
      <c r="N53" s="40"/>
      <c r="O53" s="40"/>
      <c r="P53" s="40" t="s">
        <v>211</v>
      </c>
      <c r="Q53" s="40"/>
      <c r="R53" s="40" t="s">
        <v>212</v>
      </c>
    </row>
    <row r="54" spans="1:18" ht="15" customHeight="1" x14ac:dyDescent="0.3">
      <c r="M54" s="161"/>
      <c r="N54" s="37"/>
      <c r="O54" s="37"/>
      <c r="P54" s="37" t="s">
        <v>213</v>
      </c>
      <c r="Q54" s="37"/>
      <c r="R54" s="37" t="s">
        <v>214</v>
      </c>
    </row>
    <row r="55" spans="1:18" ht="15" customHeight="1" x14ac:dyDescent="0.3">
      <c r="M55" s="161"/>
      <c r="N55" s="40"/>
      <c r="O55" s="40"/>
      <c r="P55" s="40" t="s">
        <v>215</v>
      </c>
      <c r="Q55" s="40"/>
      <c r="R55" s="40" t="s">
        <v>216</v>
      </c>
    </row>
    <row r="56" spans="1:18" ht="15" customHeight="1" x14ac:dyDescent="0.3">
      <c r="M56" s="161"/>
      <c r="N56" s="37"/>
      <c r="O56" s="37"/>
      <c r="P56" s="37" t="s">
        <v>217</v>
      </c>
      <c r="Q56" s="37"/>
      <c r="R56" s="37" t="s">
        <v>218</v>
      </c>
    </row>
    <row r="57" spans="1:18" ht="15" customHeight="1" x14ac:dyDescent="0.3">
      <c r="M57" s="161"/>
      <c r="N57" s="40"/>
      <c r="O57" s="40"/>
      <c r="P57" s="40" t="s">
        <v>59</v>
      </c>
      <c r="Q57" s="40"/>
      <c r="R57" s="40" t="s">
        <v>219</v>
      </c>
    </row>
    <row r="58" spans="1:18" ht="15" customHeight="1" x14ac:dyDescent="0.3">
      <c r="M58" s="161"/>
      <c r="N58" s="37"/>
      <c r="O58" s="37"/>
      <c r="P58" s="37" t="s">
        <v>220</v>
      </c>
      <c r="Q58" s="37"/>
      <c r="R58" s="37" t="s">
        <v>221</v>
      </c>
    </row>
    <row r="59" spans="1:18" ht="15" customHeight="1" x14ac:dyDescent="0.3">
      <c r="M59" s="161"/>
      <c r="N59" s="40"/>
      <c r="O59" s="40"/>
      <c r="P59" s="40" t="s">
        <v>222</v>
      </c>
      <c r="Q59" s="40"/>
      <c r="R59" s="40"/>
    </row>
    <row r="60" spans="1:18" ht="15" customHeight="1" x14ac:dyDescent="0.3">
      <c r="M60" s="161"/>
      <c r="N60" s="37"/>
      <c r="O60" s="37"/>
      <c r="P60" s="53" t="s">
        <v>114</v>
      </c>
      <c r="Q60" s="37"/>
      <c r="R60" s="37"/>
    </row>
    <row r="61" spans="1:18" ht="15" customHeight="1" x14ac:dyDescent="0.3">
      <c r="M61" s="161"/>
      <c r="N61" s="40"/>
      <c r="O61" s="40"/>
      <c r="P61" s="40" t="s">
        <v>223</v>
      </c>
      <c r="Q61" s="40"/>
      <c r="R61" s="40"/>
    </row>
    <row r="62" spans="1:18" ht="15" customHeight="1" x14ac:dyDescent="0.3">
      <c r="M62" s="161"/>
      <c r="N62" s="37"/>
      <c r="O62" s="37"/>
      <c r="P62" s="37" t="s">
        <v>224</v>
      </c>
      <c r="Q62" s="37"/>
      <c r="R62" s="37"/>
    </row>
    <row r="63" spans="1:18" ht="15" customHeight="1" x14ac:dyDescent="0.3">
      <c r="M63" s="161"/>
      <c r="N63" s="40"/>
      <c r="O63" s="40"/>
      <c r="P63" s="40" t="s">
        <v>225</v>
      </c>
      <c r="Q63" s="40"/>
      <c r="R63" s="40"/>
    </row>
    <row r="64" spans="1:18" ht="15" customHeight="1" x14ac:dyDescent="0.3">
      <c r="M64" s="161"/>
      <c r="N64" s="37"/>
      <c r="O64" s="37"/>
      <c r="P64" s="37" t="s">
        <v>226</v>
      </c>
      <c r="Q64" s="37"/>
      <c r="R64" s="37"/>
    </row>
    <row r="65" spans="13:18" ht="15" customHeight="1" x14ac:dyDescent="0.3">
      <c r="M65" s="161"/>
      <c r="N65" s="40"/>
      <c r="O65" s="40"/>
      <c r="P65" s="40" t="s">
        <v>227</v>
      </c>
      <c r="Q65" s="40"/>
      <c r="R65" s="40"/>
    </row>
    <row r="66" spans="13:18" ht="15" customHeight="1" x14ac:dyDescent="0.3">
      <c r="M66" s="161"/>
      <c r="N66" s="37"/>
      <c r="O66" s="37"/>
      <c r="P66" s="37" t="s">
        <v>228</v>
      </c>
      <c r="Q66" s="37"/>
      <c r="R66" s="37"/>
    </row>
    <row r="67" spans="13:18" ht="15" customHeight="1" x14ac:dyDescent="0.3">
      <c r="M67" s="161"/>
      <c r="N67" s="40"/>
      <c r="O67" s="40"/>
      <c r="P67" s="40" t="s">
        <v>229</v>
      </c>
      <c r="Q67" s="40"/>
      <c r="R67" s="40"/>
    </row>
    <row r="68" spans="13:18" ht="15" customHeight="1" x14ac:dyDescent="0.3">
      <c r="M68" s="161"/>
      <c r="N68" s="37"/>
      <c r="O68" s="37"/>
      <c r="P68" s="37" t="s">
        <v>230</v>
      </c>
      <c r="Q68" s="37"/>
      <c r="R68" s="37"/>
    </row>
    <row r="69" spans="13:18" ht="15" customHeight="1" x14ac:dyDescent="0.3">
      <c r="M69" s="161"/>
      <c r="N69" s="40"/>
      <c r="O69" s="40"/>
      <c r="P69" s="40" t="s">
        <v>231</v>
      </c>
      <c r="Q69" s="40"/>
      <c r="R69" s="40"/>
    </row>
    <row r="70" spans="13:18" ht="15" customHeight="1" x14ac:dyDescent="0.3">
      <c r="M70" s="161"/>
      <c r="N70" s="37"/>
      <c r="O70" s="37"/>
      <c r="P70" s="37" t="s">
        <v>232</v>
      </c>
      <c r="Q70" s="37"/>
      <c r="R70" s="37"/>
    </row>
    <row r="71" spans="13:18" ht="15" customHeight="1" x14ac:dyDescent="0.3">
      <c r="M71" s="161"/>
      <c r="N71" s="40"/>
      <c r="O71" s="40"/>
      <c r="P71" s="40" t="s">
        <v>233</v>
      </c>
      <c r="Q71" s="40"/>
      <c r="R71" s="40"/>
    </row>
    <row r="72" spans="13:18" ht="15" customHeight="1" x14ac:dyDescent="0.3">
      <c r="M72" s="161"/>
      <c r="N72" s="37"/>
      <c r="O72" s="37"/>
      <c r="P72" s="37" t="s">
        <v>234</v>
      </c>
      <c r="Q72" s="37"/>
      <c r="R72" s="37"/>
    </row>
    <row r="73" spans="13:18" ht="15" customHeight="1" x14ac:dyDescent="0.3">
      <c r="M73" s="161"/>
      <c r="N73" s="40"/>
      <c r="O73" s="40"/>
      <c r="P73" s="40" t="s">
        <v>235</v>
      </c>
      <c r="Q73" s="40"/>
      <c r="R73" s="40"/>
    </row>
    <row r="74" spans="13:18" ht="15" customHeight="1" x14ac:dyDescent="0.3">
      <c r="M74" s="161"/>
      <c r="N74" s="37"/>
      <c r="O74" s="37"/>
      <c r="P74" s="37" t="s">
        <v>236</v>
      </c>
      <c r="Q74" s="37"/>
      <c r="R74" s="37"/>
    </row>
    <row r="75" spans="13:18" ht="15" customHeight="1" x14ac:dyDescent="0.3">
      <c r="M75" s="161"/>
      <c r="N75" s="40"/>
      <c r="O75" s="40"/>
      <c r="P75" s="40" t="s">
        <v>237</v>
      </c>
      <c r="Q75" s="40"/>
      <c r="R75" s="40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 x14ac:dyDescent="0.3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 x14ac:dyDescent="0.3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 x14ac:dyDescent="0.3">
      <c r="A4" s="163" t="s">
        <v>249</v>
      </c>
      <c r="B4" s="163"/>
      <c r="C4" s="163"/>
      <c r="D4" s="163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 x14ac:dyDescent="0.3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 x14ac:dyDescent="0.3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 x14ac:dyDescent="0.3">
      <c r="A7" s="163" t="s">
        <v>249</v>
      </c>
      <c r="B7" s="163"/>
      <c r="C7" s="163"/>
      <c r="D7" s="163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 x14ac:dyDescent="0.3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 x14ac:dyDescent="0.3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 x14ac:dyDescent="0.3">
      <c r="A10" s="163" t="s">
        <v>249</v>
      </c>
      <c r="B10" s="163"/>
      <c r="C10" s="163"/>
      <c r="D10" s="163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 x14ac:dyDescent="0.3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 x14ac:dyDescent="0.3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 x14ac:dyDescent="0.3">
      <c r="A13" s="163" t="s">
        <v>249</v>
      </c>
      <c r="B13" s="163"/>
      <c r="C13" s="163"/>
      <c r="D13" s="163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 x14ac:dyDescent="0.3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 x14ac:dyDescent="0.3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 x14ac:dyDescent="0.3">
      <c r="A16" s="163" t="s">
        <v>249</v>
      </c>
      <c r="B16" s="163"/>
      <c r="C16" s="163"/>
      <c r="D16" s="163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 x14ac:dyDescent="0.3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 x14ac:dyDescent="0.3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 x14ac:dyDescent="0.3">
      <c r="A19" s="163" t="s">
        <v>249</v>
      </c>
      <c r="B19" s="163"/>
      <c r="C19" s="163"/>
      <c r="D19" s="163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 x14ac:dyDescent="0.3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 x14ac:dyDescent="0.3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 x14ac:dyDescent="0.3">
      <c r="A22" s="163" t="s">
        <v>249</v>
      </c>
      <c r="B22" s="163"/>
      <c r="C22" s="163"/>
      <c r="D22" s="163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 x14ac:dyDescent="0.3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 x14ac:dyDescent="0.3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 x14ac:dyDescent="0.3">
      <c r="A25" s="163" t="s">
        <v>249</v>
      </c>
      <c r="B25" s="163"/>
      <c r="C25" s="163"/>
      <c r="D25" s="163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 x14ac:dyDescent="0.3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 x14ac:dyDescent="0.3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 x14ac:dyDescent="0.3">
      <c r="A28" s="163" t="s">
        <v>249</v>
      </c>
      <c r="B28" s="163"/>
      <c r="C28" s="163"/>
      <c r="D28" s="163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 x14ac:dyDescent="0.3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 x14ac:dyDescent="0.3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 x14ac:dyDescent="0.3">
      <c r="A31" s="163" t="s">
        <v>249</v>
      </c>
      <c r="B31" s="163"/>
      <c r="C31" s="163"/>
      <c r="D31" s="163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 x14ac:dyDescent="0.3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 x14ac:dyDescent="0.3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 x14ac:dyDescent="0.3">
      <c r="A34" s="163" t="s">
        <v>249</v>
      </c>
      <c r="B34" s="163"/>
      <c r="C34" s="163"/>
      <c r="D34" s="163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 x14ac:dyDescent="0.3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 x14ac:dyDescent="0.3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 x14ac:dyDescent="0.3">
      <c r="A37" s="163" t="s">
        <v>249</v>
      </c>
      <c r="B37" s="163"/>
      <c r="C37" s="163"/>
      <c r="D37" s="163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 x14ac:dyDescent="0.3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 x14ac:dyDescent="0.3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 x14ac:dyDescent="0.3">
      <c r="A40" s="163" t="s">
        <v>249</v>
      </c>
      <c r="B40" s="163"/>
      <c r="C40" s="163"/>
      <c r="D40" s="163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 x14ac:dyDescent="0.3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 x14ac:dyDescent="0.3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 x14ac:dyDescent="0.3">
      <c r="A43" s="163" t="s">
        <v>249</v>
      </c>
      <c r="B43" s="163"/>
      <c r="C43" s="163"/>
      <c r="D43" s="163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 x14ac:dyDescent="0.3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 x14ac:dyDescent="0.3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 x14ac:dyDescent="0.3">
      <c r="A46" s="163" t="s">
        <v>249</v>
      </c>
      <c r="B46" s="163"/>
      <c r="C46" s="163"/>
      <c r="D46" s="163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 x14ac:dyDescent="0.3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 x14ac:dyDescent="0.3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 x14ac:dyDescent="0.3">
      <c r="A49" s="163" t="s">
        <v>249</v>
      </c>
      <c r="B49" s="163"/>
      <c r="C49" s="163"/>
      <c r="D49" s="163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 x14ac:dyDescent="0.3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 x14ac:dyDescent="0.3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 x14ac:dyDescent="0.3">
      <c r="A52" s="163" t="s">
        <v>249</v>
      </c>
      <c r="B52" s="163"/>
      <c r="C52" s="163"/>
      <c r="D52" s="163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 x14ac:dyDescent="0.3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 x14ac:dyDescent="0.3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 x14ac:dyDescent="0.3">
      <c r="A55" s="163" t="s">
        <v>249</v>
      </c>
      <c r="B55" s="163"/>
      <c r="C55" s="163"/>
      <c r="D55" s="163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 x14ac:dyDescent="0.3">
      <c r="A56" s="139">
        <v>46253</v>
      </c>
      <c r="B56" s="140" t="s">
        <v>247</v>
      </c>
      <c r="C56" s="141">
        <v>0.79166666666666696</v>
      </c>
      <c r="D56" s="140"/>
      <c r="E56" s="140"/>
      <c r="F56" s="142" t="str">
        <f>IF(E56="","",E56*1.5*1.8)</f>
        <v/>
      </c>
      <c r="G56" s="140"/>
      <c r="H56" s="140"/>
      <c r="I56" s="143" t="str">
        <f>IFERROR(IF(G56="","",F56/G56),"")</f>
        <v/>
      </c>
      <c r="J56" s="140"/>
      <c r="K56" s="140"/>
    </row>
    <row r="57" spans="1:11" ht="15.75" customHeight="1" x14ac:dyDescent="0.3">
      <c r="A57" s="144">
        <v>46253</v>
      </c>
      <c r="B57" s="145" t="s">
        <v>248</v>
      </c>
      <c r="C57" s="146">
        <v>0.29166666666666702</v>
      </c>
      <c r="D57" s="145"/>
      <c r="E57" s="145"/>
      <c r="F57" s="147" t="str">
        <f>IF(E57="","",E57*1.5*1.8)</f>
        <v/>
      </c>
      <c r="G57" s="145"/>
      <c r="H57" s="145"/>
      <c r="I57" s="148" t="str">
        <f>IFERROR(IF(G57="","",F57/G57),"")</f>
        <v/>
      </c>
      <c r="J57" s="145"/>
      <c r="K57" s="145"/>
    </row>
    <row r="58" spans="1:11" ht="18" customHeight="1" x14ac:dyDescent="0.3">
      <c r="A58" s="163" t="s">
        <v>249</v>
      </c>
      <c r="B58" s="163"/>
      <c r="C58" s="163"/>
      <c r="D58" s="163"/>
      <c r="E58" s="149">
        <f>SUM(E56:E57)</f>
        <v>0</v>
      </c>
      <c r="F58" s="150">
        <f>IFERROR(SUM(F56:F57),"")</f>
        <v>0</v>
      </c>
      <c r="G58" s="150">
        <f>SUM(G56:G57)</f>
        <v>0</v>
      </c>
      <c r="H58" s="150">
        <f>SUM(H56:H57)</f>
        <v>0</v>
      </c>
      <c r="I58" s="151" t="str">
        <f>IFERROR(IF(G58=0,"",F58/G58),"")</f>
        <v/>
      </c>
      <c r="J58" s="152"/>
      <c r="K58" s="152"/>
    </row>
    <row r="59" spans="1:11" ht="15.75" customHeight="1" x14ac:dyDescent="0.3">
      <c r="A59" s="139">
        <v>46254</v>
      </c>
      <c r="B59" s="140" t="s">
        <v>247</v>
      </c>
      <c r="C59" s="141">
        <v>0.79166666666666696</v>
      </c>
      <c r="D59" s="140"/>
      <c r="E59" s="140"/>
      <c r="F59" s="142" t="str">
        <f>IF(E59="","",E59*1.5*1.8)</f>
        <v/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 x14ac:dyDescent="0.3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 x14ac:dyDescent="0.3">
      <c r="A61" s="163" t="s">
        <v>249</v>
      </c>
      <c r="B61" s="163"/>
      <c r="C61" s="163"/>
      <c r="D61" s="163"/>
      <c r="E61" s="149">
        <f>SUM(E59:E60)</f>
        <v>0</v>
      </c>
      <c r="F61" s="150">
        <f>IFERROR(SUM(F59:F60),"")</f>
        <v>0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 x14ac:dyDescent="0.3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 x14ac:dyDescent="0.3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 x14ac:dyDescent="0.3">
      <c r="A64" s="163" t="s">
        <v>249</v>
      </c>
      <c r="B64" s="163"/>
      <c r="C64" s="163"/>
      <c r="D64" s="163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 x14ac:dyDescent="0.3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 x14ac:dyDescent="0.3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 x14ac:dyDescent="0.3">
      <c r="A67" s="163" t="s">
        <v>249</v>
      </c>
      <c r="B67" s="163"/>
      <c r="C67" s="163"/>
      <c r="D67" s="163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 x14ac:dyDescent="0.3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 x14ac:dyDescent="0.3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 x14ac:dyDescent="0.3">
      <c r="A70" s="163" t="s">
        <v>249</v>
      </c>
      <c r="B70" s="163"/>
      <c r="C70" s="163"/>
      <c r="D70" s="163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 x14ac:dyDescent="0.3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 x14ac:dyDescent="0.3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 x14ac:dyDescent="0.3">
      <c r="A73" s="163" t="s">
        <v>249</v>
      </c>
      <c r="B73" s="163"/>
      <c r="C73" s="163"/>
      <c r="D73" s="163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 x14ac:dyDescent="0.3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 x14ac:dyDescent="0.3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 x14ac:dyDescent="0.3">
      <c r="A76" s="163" t="s">
        <v>249</v>
      </c>
      <c r="B76" s="163"/>
      <c r="C76" s="163"/>
      <c r="D76" s="163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 x14ac:dyDescent="0.3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 x14ac:dyDescent="0.3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 x14ac:dyDescent="0.3">
      <c r="A79" s="163" t="s">
        <v>249</v>
      </c>
      <c r="B79" s="163"/>
      <c r="C79" s="163"/>
      <c r="D79" s="163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 x14ac:dyDescent="0.3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 x14ac:dyDescent="0.3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 x14ac:dyDescent="0.3">
      <c r="A82" s="163" t="s">
        <v>249</v>
      </c>
      <c r="B82" s="163"/>
      <c r="C82" s="163"/>
      <c r="D82" s="163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 x14ac:dyDescent="0.3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 x14ac:dyDescent="0.3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 x14ac:dyDescent="0.3">
      <c r="A85" s="163" t="s">
        <v>249</v>
      </c>
      <c r="B85" s="163"/>
      <c r="C85" s="163"/>
      <c r="D85" s="163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 x14ac:dyDescent="0.3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 x14ac:dyDescent="0.3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 x14ac:dyDescent="0.3">
      <c r="A88" s="163" t="s">
        <v>249</v>
      </c>
      <c r="B88" s="163"/>
      <c r="C88" s="163"/>
      <c r="D88" s="163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 x14ac:dyDescent="0.3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 x14ac:dyDescent="0.3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 x14ac:dyDescent="0.3">
      <c r="A91" s="163" t="s">
        <v>249</v>
      </c>
      <c r="B91" s="163"/>
      <c r="C91" s="163"/>
      <c r="D91" s="163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 x14ac:dyDescent="0.3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 x14ac:dyDescent="0.3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 x14ac:dyDescent="0.3">
      <c r="A94" s="163" t="s">
        <v>249</v>
      </c>
      <c r="B94" s="163"/>
      <c r="C94" s="163"/>
      <c r="D94" s="163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93" activePane="bottomLeft" state="frozen"/>
      <selection pane="bottomLeft" activeCell="H509" sqref="H509"/>
    </sheetView>
  </sheetViews>
  <sheetFormatPr defaultColWidth="8.5546875" defaultRowHeight="14.4" x14ac:dyDescent="0.3"/>
  <cols>
    <col min="1" max="1" width="18.10937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8671875" style="54" customWidth="1"/>
    <col min="8" max="8" width="33.109375" style="54" customWidth="1"/>
    <col min="9" max="9" width="23.44140625" style="54" customWidth="1"/>
    <col min="10" max="10" width="43.109375" style="54" customWidth="1"/>
    <col min="11" max="11" width="14" style="54" customWidth="1"/>
    <col min="12" max="12" width="13.109375" style="55" customWidth="1"/>
    <col min="13" max="13" width="14" style="54" customWidth="1"/>
    <col min="14" max="14" width="37.33203125" style="54" customWidth="1"/>
    <col min="15" max="15" width="19.88671875" customWidth="1"/>
  </cols>
  <sheetData>
    <row r="1" spans="1:15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 x14ac:dyDescent="0.3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 x14ac:dyDescent="0.3">
      <c r="A14" s="155" t="s">
        <v>260</v>
      </c>
      <c r="B14" s="155"/>
      <c r="C14" s="155"/>
      <c r="D14" s="155"/>
      <c r="E14" s="15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 x14ac:dyDescent="0.3">
      <c r="A27" s="155" t="s">
        <v>263</v>
      </c>
      <c r="B27" s="155"/>
      <c r="C27" s="155"/>
      <c r="D27" s="155"/>
      <c r="E27" s="15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 x14ac:dyDescent="0.3">
      <c r="A28" s="156" t="s">
        <v>249</v>
      </c>
      <c r="B28" s="156"/>
      <c r="C28" s="156"/>
      <c r="D28" s="156"/>
      <c r="E28" s="15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 x14ac:dyDescent="0.3">
      <c r="A41" s="155" t="s">
        <v>260</v>
      </c>
      <c r="B41" s="155"/>
      <c r="C41" s="155"/>
      <c r="D41" s="155"/>
      <c r="E41" s="15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 x14ac:dyDescent="0.3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 x14ac:dyDescent="0.3">
      <c r="A54" s="155" t="s">
        <v>263</v>
      </c>
      <c r="B54" s="155"/>
      <c r="C54" s="155"/>
      <c r="D54" s="155"/>
      <c r="E54" s="15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 x14ac:dyDescent="0.3">
      <c r="A55" s="156" t="s">
        <v>249</v>
      </c>
      <c r="B55" s="156"/>
      <c r="C55" s="156"/>
      <c r="D55" s="156"/>
      <c r="E55" s="15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 x14ac:dyDescent="0.3">
      <c r="A68" s="155" t="s">
        <v>260</v>
      </c>
      <c r="B68" s="155"/>
      <c r="C68" s="155"/>
      <c r="D68" s="155"/>
      <c r="E68" s="15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 x14ac:dyDescent="0.3">
      <c r="A81" s="155" t="s">
        <v>263</v>
      </c>
      <c r="B81" s="155"/>
      <c r="C81" s="155"/>
      <c r="D81" s="155"/>
      <c r="E81" s="15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 x14ac:dyDescent="0.3">
      <c r="A82" s="156" t="s">
        <v>249</v>
      </c>
      <c r="B82" s="156"/>
      <c r="C82" s="156"/>
      <c r="D82" s="156"/>
      <c r="E82" s="15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 x14ac:dyDescent="0.3">
      <c r="A95" s="155" t="s">
        <v>260</v>
      </c>
      <c r="B95" s="155"/>
      <c r="C95" s="155"/>
      <c r="D95" s="155"/>
      <c r="E95" s="15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 x14ac:dyDescent="0.3">
      <c r="A108" s="155" t="s">
        <v>263</v>
      </c>
      <c r="B108" s="155"/>
      <c r="C108" s="155"/>
      <c r="D108" s="155"/>
      <c r="E108" s="15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 x14ac:dyDescent="0.3">
      <c r="A109" s="156" t="s">
        <v>249</v>
      </c>
      <c r="B109" s="156"/>
      <c r="C109" s="156"/>
      <c r="D109" s="156"/>
      <c r="E109" s="15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 x14ac:dyDescent="0.3">
      <c r="A122" s="155" t="s">
        <v>260</v>
      </c>
      <c r="B122" s="155"/>
      <c r="C122" s="155"/>
      <c r="D122" s="155"/>
      <c r="E122" s="15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 x14ac:dyDescent="0.3">
      <c r="A135" s="155" t="s">
        <v>263</v>
      </c>
      <c r="B135" s="155"/>
      <c r="C135" s="155"/>
      <c r="D135" s="155"/>
      <c r="E135" s="15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 x14ac:dyDescent="0.3">
      <c r="A136" s="156" t="s">
        <v>249</v>
      </c>
      <c r="B136" s="156"/>
      <c r="C136" s="156"/>
      <c r="D136" s="156"/>
      <c r="E136" s="15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 x14ac:dyDescent="0.35">
      <c r="A149" s="155" t="s">
        <v>260</v>
      </c>
      <c r="B149" s="155"/>
      <c r="C149" s="155"/>
      <c r="D149" s="155"/>
      <c r="E149" s="15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 x14ac:dyDescent="0.35">
      <c r="A162" s="155" t="s">
        <v>263</v>
      </c>
      <c r="B162" s="155"/>
      <c r="C162" s="155"/>
      <c r="D162" s="155"/>
      <c r="E162" s="15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 x14ac:dyDescent="0.3">
      <c r="A163" s="156" t="s">
        <v>249</v>
      </c>
      <c r="B163" s="156"/>
      <c r="C163" s="156"/>
      <c r="D163" s="156"/>
      <c r="E163" s="15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 x14ac:dyDescent="0.3">
      <c r="A176" s="155" t="s">
        <v>260</v>
      </c>
      <c r="B176" s="155"/>
      <c r="C176" s="155"/>
      <c r="D176" s="155"/>
      <c r="E176" s="15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 x14ac:dyDescent="0.3">
      <c r="A189" s="155" t="s">
        <v>263</v>
      </c>
      <c r="B189" s="155"/>
      <c r="C189" s="155"/>
      <c r="D189" s="155"/>
      <c r="E189" s="15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 x14ac:dyDescent="0.3">
      <c r="A190" s="156" t="s">
        <v>249</v>
      </c>
      <c r="B190" s="156"/>
      <c r="C190" s="156"/>
      <c r="D190" s="156"/>
      <c r="E190" s="15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 x14ac:dyDescent="0.3">
      <c r="A203" s="155" t="s">
        <v>260</v>
      </c>
      <c r="B203" s="155"/>
      <c r="C203" s="155"/>
      <c r="D203" s="155"/>
      <c r="E203" s="15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 x14ac:dyDescent="0.3">
      <c r="A216" s="155" t="s">
        <v>263</v>
      </c>
      <c r="B216" s="155"/>
      <c r="C216" s="155"/>
      <c r="D216" s="155"/>
      <c r="E216" s="15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 x14ac:dyDescent="0.3">
      <c r="A217" s="156" t="s">
        <v>249</v>
      </c>
      <c r="B217" s="156"/>
      <c r="C217" s="156"/>
      <c r="D217" s="156"/>
      <c r="E217" s="15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 x14ac:dyDescent="0.3">
      <c r="A230" s="155" t="s">
        <v>260</v>
      </c>
      <c r="B230" s="155"/>
      <c r="C230" s="155"/>
      <c r="D230" s="155"/>
      <c r="E230" s="15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 x14ac:dyDescent="0.3">
      <c r="A243" s="155" t="s">
        <v>263</v>
      </c>
      <c r="B243" s="155"/>
      <c r="C243" s="155"/>
      <c r="D243" s="155"/>
      <c r="E243" s="15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 x14ac:dyDescent="0.3">
      <c r="A244" s="156" t="s">
        <v>249</v>
      </c>
      <c r="B244" s="156"/>
      <c r="C244" s="156"/>
      <c r="D244" s="156"/>
      <c r="E244" s="15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 x14ac:dyDescent="0.3">
      <c r="A257" s="155" t="s">
        <v>260</v>
      </c>
      <c r="B257" s="155"/>
      <c r="C257" s="155"/>
      <c r="D257" s="155"/>
      <c r="E257" s="15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 x14ac:dyDescent="0.3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 x14ac:dyDescent="0.3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 x14ac:dyDescent="0.3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 x14ac:dyDescent="0.3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 x14ac:dyDescent="0.3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 x14ac:dyDescent="0.3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 x14ac:dyDescent="0.3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 x14ac:dyDescent="0.3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 x14ac:dyDescent="0.3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 x14ac:dyDescent="0.3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 x14ac:dyDescent="0.3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 x14ac:dyDescent="0.3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 x14ac:dyDescent="0.3">
      <c r="A270" s="155" t="s">
        <v>263</v>
      </c>
      <c r="B270" s="155"/>
      <c r="C270" s="155"/>
      <c r="D270" s="155"/>
      <c r="E270" s="15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 x14ac:dyDescent="0.3">
      <c r="A271" s="156" t="s">
        <v>249</v>
      </c>
      <c r="B271" s="156"/>
      <c r="C271" s="156"/>
      <c r="D271" s="156"/>
      <c r="E271" s="15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 x14ac:dyDescent="0.3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 x14ac:dyDescent="0.3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 x14ac:dyDescent="0.3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 x14ac:dyDescent="0.3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 x14ac:dyDescent="0.3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 x14ac:dyDescent="0.3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 x14ac:dyDescent="0.3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 x14ac:dyDescent="0.3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 x14ac:dyDescent="0.3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 x14ac:dyDescent="0.3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 x14ac:dyDescent="0.3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 x14ac:dyDescent="0.3">
      <c r="A284" s="155" t="s">
        <v>260</v>
      </c>
      <c r="B284" s="155"/>
      <c r="C284" s="155"/>
      <c r="D284" s="155"/>
      <c r="E284" s="15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 x14ac:dyDescent="0.3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 x14ac:dyDescent="0.3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 x14ac:dyDescent="0.3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 x14ac:dyDescent="0.3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 x14ac:dyDescent="0.3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 x14ac:dyDescent="0.3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 x14ac:dyDescent="0.3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 x14ac:dyDescent="0.3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 x14ac:dyDescent="0.3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 x14ac:dyDescent="0.3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 x14ac:dyDescent="0.3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 x14ac:dyDescent="0.3">
      <c r="A297" s="155" t="s">
        <v>263</v>
      </c>
      <c r="B297" s="155"/>
      <c r="C297" s="155"/>
      <c r="D297" s="155"/>
      <c r="E297" s="15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 x14ac:dyDescent="0.3">
      <c r="A298" s="156" t="s">
        <v>249</v>
      </c>
      <c r="B298" s="156"/>
      <c r="C298" s="156"/>
      <c r="D298" s="156"/>
      <c r="E298" s="15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 x14ac:dyDescent="0.3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 x14ac:dyDescent="0.3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 x14ac:dyDescent="0.3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 x14ac:dyDescent="0.3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 x14ac:dyDescent="0.3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 x14ac:dyDescent="0.3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 x14ac:dyDescent="0.3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 x14ac:dyDescent="0.3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 x14ac:dyDescent="0.3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 x14ac:dyDescent="0.3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 x14ac:dyDescent="0.3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 x14ac:dyDescent="0.3">
      <c r="A311" s="155" t="s">
        <v>260</v>
      </c>
      <c r="B311" s="155"/>
      <c r="C311" s="155"/>
      <c r="D311" s="155"/>
      <c r="E311" s="15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 x14ac:dyDescent="0.3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 x14ac:dyDescent="0.3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 x14ac:dyDescent="0.3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 x14ac:dyDescent="0.3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 x14ac:dyDescent="0.3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 x14ac:dyDescent="0.3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 x14ac:dyDescent="0.3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 x14ac:dyDescent="0.3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 x14ac:dyDescent="0.3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 x14ac:dyDescent="0.3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 x14ac:dyDescent="0.3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 x14ac:dyDescent="0.3">
      <c r="A324" s="155" t="s">
        <v>263</v>
      </c>
      <c r="B324" s="155"/>
      <c r="C324" s="155"/>
      <c r="D324" s="155"/>
      <c r="E324" s="15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 x14ac:dyDescent="0.3">
      <c r="A325" s="156" t="s">
        <v>249</v>
      </c>
      <c r="B325" s="156"/>
      <c r="C325" s="156"/>
      <c r="D325" s="156"/>
      <c r="E325" s="15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 x14ac:dyDescent="0.3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 x14ac:dyDescent="0.3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 x14ac:dyDescent="0.3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 x14ac:dyDescent="0.3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 x14ac:dyDescent="0.3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 x14ac:dyDescent="0.3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 x14ac:dyDescent="0.3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 x14ac:dyDescent="0.3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 x14ac:dyDescent="0.3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 x14ac:dyDescent="0.3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 x14ac:dyDescent="0.3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 x14ac:dyDescent="0.3">
      <c r="A338" s="155" t="s">
        <v>260</v>
      </c>
      <c r="B338" s="155"/>
      <c r="C338" s="155"/>
      <c r="D338" s="155"/>
      <c r="E338" s="15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 x14ac:dyDescent="0.3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 x14ac:dyDescent="0.3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 x14ac:dyDescent="0.3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 x14ac:dyDescent="0.3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 x14ac:dyDescent="0.3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 x14ac:dyDescent="0.3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 x14ac:dyDescent="0.3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 x14ac:dyDescent="0.3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 x14ac:dyDescent="0.3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 x14ac:dyDescent="0.3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 x14ac:dyDescent="0.3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 x14ac:dyDescent="0.3">
      <c r="A351" s="155" t="s">
        <v>263</v>
      </c>
      <c r="B351" s="155"/>
      <c r="C351" s="155"/>
      <c r="D351" s="155"/>
      <c r="E351" s="15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 x14ac:dyDescent="0.3">
      <c r="A352" s="156" t="s">
        <v>249</v>
      </c>
      <c r="B352" s="156"/>
      <c r="C352" s="156"/>
      <c r="D352" s="156"/>
      <c r="E352" s="15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 x14ac:dyDescent="0.3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 x14ac:dyDescent="0.3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 x14ac:dyDescent="0.3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 x14ac:dyDescent="0.3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 x14ac:dyDescent="0.3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 x14ac:dyDescent="0.3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 x14ac:dyDescent="0.3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 x14ac:dyDescent="0.3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 x14ac:dyDescent="0.3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 x14ac:dyDescent="0.3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 x14ac:dyDescent="0.3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 x14ac:dyDescent="0.3">
      <c r="A365" s="155" t="s">
        <v>260</v>
      </c>
      <c r="B365" s="155"/>
      <c r="C365" s="155"/>
      <c r="D365" s="155"/>
      <c r="E365" s="15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 x14ac:dyDescent="0.3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 x14ac:dyDescent="0.3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 x14ac:dyDescent="0.3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 x14ac:dyDescent="0.3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 x14ac:dyDescent="0.3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 x14ac:dyDescent="0.3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 x14ac:dyDescent="0.3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 x14ac:dyDescent="0.3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 x14ac:dyDescent="0.3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 x14ac:dyDescent="0.3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 x14ac:dyDescent="0.3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 x14ac:dyDescent="0.3">
      <c r="A378" s="155" t="s">
        <v>263</v>
      </c>
      <c r="B378" s="155"/>
      <c r="C378" s="155"/>
      <c r="D378" s="155"/>
      <c r="E378" s="15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 x14ac:dyDescent="0.3">
      <c r="A379" s="156" t="s">
        <v>249</v>
      </c>
      <c r="B379" s="156"/>
      <c r="C379" s="156"/>
      <c r="D379" s="156"/>
      <c r="E379" s="15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 x14ac:dyDescent="0.3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 x14ac:dyDescent="0.3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 x14ac:dyDescent="0.3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 x14ac:dyDescent="0.3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 x14ac:dyDescent="0.3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 x14ac:dyDescent="0.3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 x14ac:dyDescent="0.3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 x14ac:dyDescent="0.3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 x14ac:dyDescent="0.3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 x14ac:dyDescent="0.3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 x14ac:dyDescent="0.3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 x14ac:dyDescent="0.3">
      <c r="A392" s="155" t="s">
        <v>260</v>
      </c>
      <c r="B392" s="155"/>
      <c r="C392" s="155"/>
      <c r="D392" s="155"/>
      <c r="E392" s="15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 x14ac:dyDescent="0.3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 x14ac:dyDescent="0.3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 x14ac:dyDescent="0.3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 x14ac:dyDescent="0.3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 x14ac:dyDescent="0.3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 x14ac:dyDescent="0.3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 x14ac:dyDescent="0.3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 x14ac:dyDescent="0.3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 x14ac:dyDescent="0.3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 x14ac:dyDescent="0.3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 x14ac:dyDescent="0.3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 x14ac:dyDescent="0.3">
      <c r="A405" s="155" t="s">
        <v>263</v>
      </c>
      <c r="B405" s="155"/>
      <c r="C405" s="155"/>
      <c r="D405" s="155"/>
      <c r="E405" s="15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 x14ac:dyDescent="0.3">
      <c r="A406" s="156" t="s">
        <v>249</v>
      </c>
      <c r="B406" s="156"/>
      <c r="C406" s="156"/>
      <c r="D406" s="156"/>
      <c r="E406" s="15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 x14ac:dyDescent="0.3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 x14ac:dyDescent="0.3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 x14ac:dyDescent="0.3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 x14ac:dyDescent="0.3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 x14ac:dyDescent="0.3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 x14ac:dyDescent="0.3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 x14ac:dyDescent="0.3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 x14ac:dyDescent="0.3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 x14ac:dyDescent="0.3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 x14ac:dyDescent="0.3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 x14ac:dyDescent="0.3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 x14ac:dyDescent="0.3">
      <c r="A419" s="155" t="s">
        <v>260</v>
      </c>
      <c r="B419" s="155"/>
      <c r="C419" s="155"/>
      <c r="D419" s="155"/>
      <c r="E419" s="15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 x14ac:dyDescent="0.3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 x14ac:dyDescent="0.3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 x14ac:dyDescent="0.3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 x14ac:dyDescent="0.3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 x14ac:dyDescent="0.3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 x14ac:dyDescent="0.3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 x14ac:dyDescent="0.3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 x14ac:dyDescent="0.3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 x14ac:dyDescent="0.3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 x14ac:dyDescent="0.3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 x14ac:dyDescent="0.3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 x14ac:dyDescent="0.3">
      <c r="A432" s="155" t="s">
        <v>263</v>
      </c>
      <c r="B432" s="155"/>
      <c r="C432" s="155"/>
      <c r="D432" s="155"/>
      <c r="E432" s="15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 x14ac:dyDescent="0.3">
      <c r="A433" s="156" t="s">
        <v>249</v>
      </c>
      <c r="B433" s="156"/>
      <c r="C433" s="156"/>
      <c r="D433" s="156"/>
      <c r="E433" s="15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 x14ac:dyDescent="0.3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 x14ac:dyDescent="0.3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 x14ac:dyDescent="0.3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 x14ac:dyDescent="0.3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 x14ac:dyDescent="0.3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 x14ac:dyDescent="0.3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 x14ac:dyDescent="0.3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 x14ac:dyDescent="0.3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 x14ac:dyDescent="0.3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 x14ac:dyDescent="0.3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 x14ac:dyDescent="0.3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 x14ac:dyDescent="0.3">
      <c r="A446" s="155" t="s">
        <v>260</v>
      </c>
      <c r="B446" s="155"/>
      <c r="C446" s="155"/>
      <c r="D446" s="155"/>
      <c r="E446" s="15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 x14ac:dyDescent="0.3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 x14ac:dyDescent="0.3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 x14ac:dyDescent="0.3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 x14ac:dyDescent="0.3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 x14ac:dyDescent="0.3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 x14ac:dyDescent="0.3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 x14ac:dyDescent="0.3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 x14ac:dyDescent="0.3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 x14ac:dyDescent="0.3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 x14ac:dyDescent="0.3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 x14ac:dyDescent="0.3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 x14ac:dyDescent="0.3">
      <c r="A459" s="155" t="s">
        <v>263</v>
      </c>
      <c r="B459" s="155"/>
      <c r="C459" s="155"/>
      <c r="D459" s="155"/>
      <c r="E459" s="15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 x14ac:dyDescent="0.3">
      <c r="A460" s="156" t="s">
        <v>249</v>
      </c>
      <c r="B460" s="156"/>
      <c r="C460" s="156"/>
      <c r="D460" s="156"/>
      <c r="E460" s="15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 x14ac:dyDescent="0.3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 x14ac:dyDescent="0.3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 x14ac:dyDescent="0.3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 x14ac:dyDescent="0.3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 x14ac:dyDescent="0.3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 x14ac:dyDescent="0.3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 x14ac:dyDescent="0.3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 x14ac:dyDescent="0.3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 x14ac:dyDescent="0.3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 x14ac:dyDescent="0.3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 x14ac:dyDescent="0.3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 x14ac:dyDescent="0.3">
      <c r="A473" s="155" t="s">
        <v>260</v>
      </c>
      <c r="B473" s="155"/>
      <c r="C473" s="155"/>
      <c r="D473" s="155"/>
      <c r="E473" s="15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 x14ac:dyDescent="0.3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 x14ac:dyDescent="0.3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 x14ac:dyDescent="0.3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 x14ac:dyDescent="0.3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 x14ac:dyDescent="0.3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 x14ac:dyDescent="0.3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 x14ac:dyDescent="0.3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 x14ac:dyDescent="0.3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 x14ac:dyDescent="0.3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 x14ac:dyDescent="0.3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 x14ac:dyDescent="0.3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 x14ac:dyDescent="0.3">
      <c r="A486" s="155" t="s">
        <v>263</v>
      </c>
      <c r="B486" s="155"/>
      <c r="C486" s="155"/>
      <c r="D486" s="155"/>
      <c r="E486" s="15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 x14ac:dyDescent="0.3">
      <c r="A487" s="156" t="s">
        <v>249</v>
      </c>
      <c r="B487" s="156"/>
      <c r="C487" s="156"/>
      <c r="D487" s="156"/>
      <c r="E487" s="15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 x14ac:dyDescent="0.3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 x14ac:dyDescent="0.3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 x14ac:dyDescent="0.3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 x14ac:dyDescent="0.3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 x14ac:dyDescent="0.3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 x14ac:dyDescent="0.3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 x14ac:dyDescent="0.3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 x14ac:dyDescent="0.3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 x14ac:dyDescent="0.3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 x14ac:dyDescent="0.3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 x14ac:dyDescent="0.3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 x14ac:dyDescent="0.3">
      <c r="A500" s="155" t="s">
        <v>260</v>
      </c>
      <c r="B500" s="155"/>
      <c r="C500" s="155"/>
      <c r="D500" s="155"/>
      <c r="E500" s="15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 x14ac:dyDescent="0.3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 x14ac:dyDescent="0.3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 x14ac:dyDescent="0.3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 x14ac:dyDescent="0.3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 x14ac:dyDescent="0.3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 x14ac:dyDescent="0.3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 x14ac:dyDescent="0.3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 x14ac:dyDescent="0.3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 x14ac:dyDescent="0.3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 x14ac:dyDescent="0.3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 x14ac:dyDescent="0.3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 x14ac:dyDescent="0.3">
      <c r="A513" s="155" t="s">
        <v>263</v>
      </c>
      <c r="B513" s="155"/>
      <c r="C513" s="155"/>
      <c r="D513" s="155"/>
      <c r="E513" s="15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 x14ac:dyDescent="0.3">
      <c r="A514" s="156" t="s">
        <v>249</v>
      </c>
      <c r="B514" s="156"/>
      <c r="C514" s="156"/>
      <c r="D514" s="156"/>
      <c r="E514" s="15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/>
      <c r="G515" s="69" t="str">
        <f t="shared" ref="G515:G526" si="110">IF(F515="","",IF(E515="PC 17",F515*4.2,IF(E515="PC 19",F515*5,IF(E515="CB",F515*35,""))))</f>
        <v/>
      </c>
      <c r="H515" s="70"/>
      <c r="I515" s="70"/>
      <c r="J515" s="70"/>
      <c r="K515" s="65"/>
      <c r="L515" s="65"/>
      <c r="M515" s="71" t="str">
        <f t="shared" ref="M515:M526" ca="1" si="111">IFERROR(IF(K515="","",IF(L515="",MOD(NOW()-K515,1),IF(L515&gt;=K515,L515-K515,L515+1-K515))),"")</f>
        <v/>
      </c>
      <c r="N515" s="80"/>
      <c r="O515" s="81"/>
    </row>
    <row r="516" spans="1:15" ht="15" customHeight="1" x14ac:dyDescent="0.3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/>
      <c r="G516" s="64" t="str">
        <f t="shared" si="110"/>
        <v/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 x14ac:dyDescent="0.3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/>
      <c r="G517" s="69" t="str">
        <f t="shared" si="110"/>
        <v/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 x14ac:dyDescent="0.3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/>
      <c r="G518" s="64" t="str">
        <f t="shared" si="110"/>
        <v/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 x14ac:dyDescent="0.3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/>
      <c r="G519" s="69" t="str">
        <f t="shared" si="110"/>
        <v/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 x14ac:dyDescent="0.3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259</v>
      </c>
      <c r="F520" s="63"/>
      <c r="G520" s="64" t="str">
        <f t="shared" si="110"/>
        <v/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 x14ac:dyDescent="0.3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259</v>
      </c>
      <c r="F521" s="63"/>
      <c r="G521" s="69" t="str">
        <f t="shared" si="110"/>
        <v/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 x14ac:dyDescent="0.3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259</v>
      </c>
      <c r="F522" s="63"/>
      <c r="G522" s="64" t="str">
        <f t="shared" si="110"/>
        <v/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 x14ac:dyDescent="0.3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259</v>
      </c>
      <c r="F523" s="63"/>
      <c r="G523" s="69" t="str">
        <f t="shared" si="110"/>
        <v/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 x14ac:dyDescent="0.3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259</v>
      </c>
      <c r="F524" s="63"/>
      <c r="G524" s="64" t="str">
        <f t="shared" si="110"/>
        <v/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 x14ac:dyDescent="0.3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259</v>
      </c>
      <c r="F525" s="63"/>
      <c r="G525" s="69" t="str">
        <f t="shared" si="110"/>
        <v/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 x14ac:dyDescent="0.3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259</v>
      </c>
      <c r="F526" s="63"/>
      <c r="G526" s="64" t="str">
        <f t="shared" si="110"/>
        <v/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 x14ac:dyDescent="0.3">
      <c r="A527" s="155" t="s">
        <v>260</v>
      </c>
      <c r="B527" s="155"/>
      <c r="C527" s="155"/>
      <c r="D527" s="155"/>
      <c r="E527" s="155"/>
      <c r="F527" s="2">
        <f>SUM(F515:F526)</f>
        <v>0</v>
      </c>
      <c r="G527" s="2">
        <f>SUM(G515:G526)</f>
        <v>0</v>
      </c>
      <c r="H527" s="72"/>
      <c r="I527" s="72"/>
      <c r="J527" s="72"/>
      <c r="K527" s="72"/>
      <c r="L527" s="72"/>
      <c r="M527" s="73">
        <f ca="1">IFERROR(SUM(M515:M526),"")</f>
        <v>0</v>
      </c>
      <c r="N527" s="2" t="s">
        <v>261</v>
      </c>
      <c r="O527" s="74"/>
    </row>
    <row r="528" spans="1:15" ht="15" customHeight="1" x14ac:dyDescent="0.3">
      <c r="A528" s="59">
        <v>46254</v>
      </c>
      <c r="B528" s="60">
        <v>0.83333333333333304</v>
      </c>
      <c r="C528" s="61"/>
      <c r="D528" s="62"/>
      <c r="E528" s="62"/>
      <c r="F528" s="63"/>
      <c r="G528" s="64" t="str">
        <f t="shared" ref="G528:G539" si="113">IF(F528="","",IF(E528="PC 17",F528*4.2,IF(E528="PC 19",F528*5,IF(E528="CB",F528*35,""))))</f>
        <v/>
      </c>
      <c r="H528" s="61"/>
      <c r="I528" s="61"/>
      <c r="J528" s="61"/>
      <c r="K528" s="65"/>
      <c r="L528" s="65"/>
      <c r="M528" s="66"/>
      <c r="N528" s="80"/>
      <c r="O528" s="81"/>
    </row>
    <row r="529" spans="1:15" ht="15" customHeight="1" x14ac:dyDescent="0.3">
      <c r="A529" s="18">
        <v>46254</v>
      </c>
      <c r="B529" s="68">
        <f t="shared" ref="B529:B539" si="114">B528+TIME(0,60,0)</f>
        <v>0.87499999999999967</v>
      </c>
      <c r="C529" s="61"/>
      <c r="D529" s="62"/>
      <c r="E529" s="62"/>
      <c r="F529" s="63"/>
      <c r="G529" s="69" t="str">
        <f t="shared" si="113"/>
        <v/>
      </c>
      <c r="H529" s="70"/>
      <c r="I529" s="70"/>
      <c r="J529" s="70"/>
      <c r="K529" s="65"/>
      <c r="L529" s="65"/>
      <c r="M529" s="71" t="str">
        <f t="shared" ref="M529:M539" ca="1" si="115">IFERROR(IF(K529="","",IF(L529="",MOD(NOW()-K529,1),IF(L529&gt;=K529,L529-K529,L529+1-K529))),"")</f>
        <v/>
      </c>
      <c r="N529" s="80"/>
      <c r="O529" s="81"/>
    </row>
    <row r="530" spans="1:15" ht="15" customHeight="1" x14ac:dyDescent="0.3">
      <c r="A530" s="59">
        <v>46254</v>
      </c>
      <c r="B530" s="60">
        <f t="shared" si="114"/>
        <v>0.9166666666666663</v>
      </c>
      <c r="C530" s="61"/>
      <c r="D530" s="62"/>
      <c r="E530" s="62"/>
      <c r="F530" s="63"/>
      <c r="G530" s="64" t="str">
        <f t="shared" si="113"/>
        <v/>
      </c>
      <c r="H530" s="61"/>
      <c r="I530" s="61"/>
      <c r="J530" s="61"/>
      <c r="K530" s="65"/>
      <c r="L530" s="65"/>
      <c r="M530" s="66" t="str">
        <f t="shared" ca="1" si="115"/>
        <v/>
      </c>
      <c r="N530" s="80"/>
      <c r="O530" s="81"/>
    </row>
    <row r="531" spans="1:15" ht="15" customHeight="1" x14ac:dyDescent="0.3">
      <c r="A531" s="18">
        <v>46254</v>
      </c>
      <c r="B531" s="68">
        <f t="shared" si="114"/>
        <v>0.95833333333333293</v>
      </c>
      <c r="C531" s="61"/>
      <c r="D531" s="62"/>
      <c r="E531" s="62"/>
      <c r="F531" s="63"/>
      <c r="G531" s="69" t="str">
        <f t="shared" si="113"/>
        <v/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 x14ac:dyDescent="0.3">
      <c r="A532" s="59">
        <v>46254</v>
      </c>
      <c r="B532" s="60">
        <f t="shared" si="114"/>
        <v>0.99999999999999956</v>
      </c>
      <c r="C532" s="61"/>
      <c r="D532" s="62"/>
      <c r="E532" s="62"/>
      <c r="F532" s="63"/>
      <c r="G532" s="64" t="str">
        <f t="shared" si="113"/>
        <v/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 x14ac:dyDescent="0.3">
      <c r="A533" s="18">
        <v>46254</v>
      </c>
      <c r="B533" s="68">
        <f t="shared" si="114"/>
        <v>1.0416666666666663</v>
      </c>
      <c r="C533" s="61"/>
      <c r="D533" s="62"/>
      <c r="E533" s="62"/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 x14ac:dyDescent="0.3">
      <c r="A534" s="59">
        <v>46254</v>
      </c>
      <c r="B534" s="60">
        <f t="shared" si="114"/>
        <v>1.083333333333333</v>
      </c>
      <c r="C534" s="61"/>
      <c r="D534" s="62"/>
      <c r="E534" s="62"/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 x14ac:dyDescent="0.3">
      <c r="A535" s="18">
        <v>46254</v>
      </c>
      <c r="B535" s="68">
        <f t="shared" si="114"/>
        <v>1.1249999999999998</v>
      </c>
      <c r="C535" s="61"/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 x14ac:dyDescent="0.3">
      <c r="A536" s="59">
        <v>46254</v>
      </c>
      <c r="B536" s="60">
        <f t="shared" si="114"/>
        <v>1.1666666666666665</v>
      </c>
      <c r="C536" s="61"/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 x14ac:dyDescent="0.3">
      <c r="A537" s="18">
        <v>46254</v>
      </c>
      <c r="B537" s="68">
        <f t="shared" si="114"/>
        <v>1.2083333333333333</v>
      </c>
      <c r="C537" s="61"/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 x14ac:dyDescent="0.3">
      <c r="A538" s="59">
        <v>46254</v>
      </c>
      <c r="B538" s="60">
        <f t="shared" si="114"/>
        <v>1.25</v>
      </c>
      <c r="C538" s="61"/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 x14ac:dyDescent="0.3">
      <c r="A539" s="18">
        <v>46254</v>
      </c>
      <c r="B539" s="68">
        <f t="shared" si="114"/>
        <v>1.2916666666666667</v>
      </c>
      <c r="C539" s="61"/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 x14ac:dyDescent="0.3">
      <c r="A540" s="155" t="s">
        <v>263</v>
      </c>
      <c r="B540" s="155"/>
      <c r="C540" s="155"/>
      <c r="D540" s="155"/>
      <c r="E540" s="155"/>
      <c r="F540" s="2">
        <f>SUM(F528:F539)</f>
        <v>0</v>
      </c>
      <c r="G540" s="2">
        <f>SUM(G528:G539)</f>
        <v>0</v>
      </c>
      <c r="H540" s="72"/>
      <c r="I540" s="72"/>
      <c r="J540" s="72"/>
      <c r="K540" s="72"/>
      <c r="L540" s="72"/>
      <c r="M540" s="73">
        <f ca="1">IFERROR(SUM(M528:M539),"")</f>
        <v>0</v>
      </c>
      <c r="N540" s="2" t="s">
        <v>261</v>
      </c>
      <c r="O540" s="74"/>
    </row>
    <row r="541" spans="1:15" ht="18" customHeight="1" x14ac:dyDescent="0.3">
      <c r="A541" s="156" t="s">
        <v>249</v>
      </c>
      <c r="B541" s="156"/>
      <c r="C541" s="156"/>
      <c r="D541" s="156"/>
      <c r="E541" s="156"/>
      <c r="F541" s="1">
        <f>F527+F540</f>
        <v>0</v>
      </c>
      <c r="G541" s="1">
        <f>G527+G540</f>
        <v>0</v>
      </c>
      <c r="H541" s="76"/>
      <c r="I541" s="76"/>
      <c r="J541" s="76"/>
      <c r="K541" s="76"/>
      <c r="L541" s="76"/>
      <c r="M541" s="77">
        <f ca="1">IFERROR(M527+M540,"")</f>
        <v>0</v>
      </c>
      <c r="N541" s="1" t="s">
        <v>264</v>
      </c>
      <c r="O541" s="82">
        <f>IFERROR(O527+O540,"")</f>
        <v>0</v>
      </c>
    </row>
    <row r="542" spans="1:15" ht="15" customHeight="1" x14ac:dyDescent="0.3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 x14ac:dyDescent="0.3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 x14ac:dyDescent="0.3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 x14ac:dyDescent="0.3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 x14ac:dyDescent="0.3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 x14ac:dyDescent="0.3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 x14ac:dyDescent="0.3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 x14ac:dyDescent="0.3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 x14ac:dyDescent="0.3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 x14ac:dyDescent="0.3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 x14ac:dyDescent="0.3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 x14ac:dyDescent="0.3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 x14ac:dyDescent="0.3">
      <c r="A554" s="155" t="s">
        <v>260</v>
      </c>
      <c r="B554" s="155"/>
      <c r="C554" s="155"/>
      <c r="D554" s="155"/>
      <c r="E554" s="15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 x14ac:dyDescent="0.3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 x14ac:dyDescent="0.3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 x14ac:dyDescent="0.3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 x14ac:dyDescent="0.3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 x14ac:dyDescent="0.3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 x14ac:dyDescent="0.3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 x14ac:dyDescent="0.3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 x14ac:dyDescent="0.3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 x14ac:dyDescent="0.3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 x14ac:dyDescent="0.3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 x14ac:dyDescent="0.3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 x14ac:dyDescent="0.3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 x14ac:dyDescent="0.3">
      <c r="A567" s="155" t="s">
        <v>263</v>
      </c>
      <c r="B567" s="155"/>
      <c r="C567" s="155"/>
      <c r="D567" s="155"/>
      <c r="E567" s="15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 x14ac:dyDescent="0.3">
      <c r="A568" s="156" t="s">
        <v>249</v>
      </c>
      <c r="B568" s="156"/>
      <c r="C568" s="156"/>
      <c r="D568" s="156"/>
      <c r="E568" s="15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 x14ac:dyDescent="0.3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 x14ac:dyDescent="0.3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 x14ac:dyDescent="0.3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 x14ac:dyDescent="0.3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 x14ac:dyDescent="0.3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 x14ac:dyDescent="0.3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 x14ac:dyDescent="0.3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 x14ac:dyDescent="0.3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 x14ac:dyDescent="0.3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 x14ac:dyDescent="0.3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 x14ac:dyDescent="0.3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 x14ac:dyDescent="0.3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 x14ac:dyDescent="0.3">
      <c r="A581" s="155" t="s">
        <v>260</v>
      </c>
      <c r="B581" s="155"/>
      <c r="C581" s="155"/>
      <c r="D581" s="155"/>
      <c r="E581" s="15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 x14ac:dyDescent="0.3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 x14ac:dyDescent="0.3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 x14ac:dyDescent="0.3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 x14ac:dyDescent="0.3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 x14ac:dyDescent="0.3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 x14ac:dyDescent="0.3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 x14ac:dyDescent="0.3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 x14ac:dyDescent="0.3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 x14ac:dyDescent="0.3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 x14ac:dyDescent="0.3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 x14ac:dyDescent="0.3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 x14ac:dyDescent="0.3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 x14ac:dyDescent="0.3">
      <c r="A594" s="155" t="s">
        <v>263</v>
      </c>
      <c r="B594" s="155"/>
      <c r="C594" s="155"/>
      <c r="D594" s="155"/>
      <c r="E594" s="15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 x14ac:dyDescent="0.3">
      <c r="A595" s="156" t="s">
        <v>249</v>
      </c>
      <c r="B595" s="156"/>
      <c r="C595" s="156"/>
      <c r="D595" s="156"/>
      <c r="E595" s="15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 x14ac:dyDescent="0.3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 x14ac:dyDescent="0.3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 x14ac:dyDescent="0.3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 x14ac:dyDescent="0.3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 x14ac:dyDescent="0.3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 x14ac:dyDescent="0.3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 x14ac:dyDescent="0.3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 x14ac:dyDescent="0.3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 x14ac:dyDescent="0.3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 x14ac:dyDescent="0.3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 x14ac:dyDescent="0.3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 x14ac:dyDescent="0.3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 x14ac:dyDescent="0.3">
      <c r="A608" s="155" t="s">
        <v>260</v>
      </c>
      <c r="B608" s="155"/>
      <c r="C608" s="155"/>
      <c r="D608" s="155"/>
      <c r="E608" s="15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 x14ac:dyDescent="0.3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 x14ac:dyDescent="0.3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 x14ac:dyDescent="0.3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 x14ac:dyDescent="0.3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 x14ac:dyDescent="0.3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 x14ac:dyDescent="0.3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 x14ac:dyDescent="0.3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 x14ac:dyDescent="0.3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 x14ac:dyDescent="0.3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 x14ac:dyDescent="0.3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 x14ac:dyDescent="0.3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 x14ac:dyDescent="0.3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 x14ac:dyDescent="0.3">
      <c r="A621" s="155" t="s">
        <v>263</v>
      </c>
      <c r="B621" s="155"/>
      <c r="C621" s="155"/>
      <c r="D621" s="155"/>
      <c r="E621" s="15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 x14ac:dyDescent="0.3">
      <c r="A622" s="156" t="s">
        <v>249</v>
      </c>
      <c r="B622" s="156"/>
      <c r="C622" s="156"/>
      <c r="D622" s="156"/>
      <c r="E622" s="15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 x14ac:dyDescent="0.3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 x14ac:dyDescent="0.3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 x14ac:dyDescent="0.3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 x14ac:dyDescent="0.3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 x14ac:dyDescent="0.3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 x14ac:dyDescent="0.3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 x14ac:dyDescent="0.3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 x14ac:dyDescent="0.3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 x14ac:dyDescent="0.3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 x14ac:dyDescent="0.3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 x14ac:dyDescent="0.3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 x14ac:dyDescent="0.3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 x14ac:dyDescent="0.3">
      <c r="A635" s="155" t="s">
        <v>260</v>
      </c>
      <c r="B635" s="155"/>
      <c r="C635" s="155"/>
      <c r="D635" s="155"/>
      <c r="E635" s="15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 x14ac:dyDescent="0.3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 x14ac:dyDescent="0.3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 x14ac:dyDescent="0.3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 x14ac:dyDescent="0.3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 x14ac:dyDescent="0.3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 x14ac:dyDescent="0.3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 x14ac:dyDescent="0.3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 x14ac:dyDescent="0.3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 x14ac:dyDescent="0.3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 x14ac:dyDescent="0.3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 x14ac:dyDescent="0.3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 x14ac:dyDescent="0.3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 x14ac:dyDescent="0.3">
      <c r="A648" s="155" t="s">
        <v>263</v>
      </c>
      <c r="B648" s="155"/>
      <c r="C648" s="155"/>
      <c r="D648" s="155"/>
      <c r="E648" s="15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 x14ac:dyDescent="0.3">
      <c r="A649" s="156" t="s">
        <v>249</v>
      </c>
      <c r="B649" s="156"/>
      <c r="C649" s="156"/>
      <c r="D649" s="156"/>
      <c r="E649" s="15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 x14ac:dyDescent="0.3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 x14ac:dyDescent="0.3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 x14ac:dyDescent="0.3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 x14ac:dyDescent="0.3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 x14ac:dyDescent="0.3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 x14ac:dyDescent="0.3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 x14ac:dyDescent="0.3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 x14ac:dyDescent="0.3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 x14ac:dyDescent="0.3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 x14ac:dyDescent="0.3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 x14ac:dyDescent="0.3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 x14ac:dyDescent="0.3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 x14ac:dyDescent="0.3">
      <c r="A662" s="155" t="s">
        <v>260</v>
      </c>
      <c r="B662" s="155"/>
      <c r="C662" s="155"/>
      <c r="D662" s="155"/>
      <c r="E662" s="15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 x14ac:dyDescent="0.3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 x14ac:dyDescent="0.3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 x14ac:dyDescent="0.3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 x14ac:dyDescent="0.3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 x14ac:dyDescent="0.3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 x14ac:dyDescent="0.3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 x14ac:dyDescent="0.3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 x14ac:dyDescent="0.3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 x14ac:dyDescent="0.3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 x14ac:dyDescent="0.3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 x14ac:dyDescent="0.3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 x14ac:dyDescent="0.3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 x14ac:dyDescent="0.3">
      <c r="A675" s="155" t="s">
        <v>263</v>
      </c>
      <c r="B675" s="155"/>
      <c r="C675" s="155"/>
      <c r="D675" s="155"/>
      <c r="E675" s="15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 x14ac:dyDescent="0.3">
      <c r="A676" s="156" t="s">
        <v>249</v>
      </c>
      <c r="B676" s="156"/>
      <c r="C676" s="156"/>
      <c r="D676" s="156"/>
      <c r="E676" s="15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 x14ac:dyDescent="0.3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 x14ac:dyDescent="0.3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 x14ac:dyDescent="0.3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 x14ac:dyDescent="0.3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 x14ac:dyDescent="0.3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 x14ac:dyDescent="0.3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 x14ac:dyDescent="0.3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 x14ac:dyDescent="0.3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 x14ac:dyDescent="0.3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 x14ac:dyDescent="0.3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 x14ac:dyDescent="0.3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 x14ac:dyDescent="0.3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 x14ac:dyDescent="0.3">
      <c r="A689" s="155" t="s">
        <v>260</v>
      </c>
      <c r="B689" s="155"/>
      <c r="C689" s="155"/>
      <c r="D689" s="155"/>
      <c r="E689" s="15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 x14ac:dyDescent="0.3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 x14ac:dyDescent="0.3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 x14ac:dyDescent="0.3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 x14ac:dyDescent="0.3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 x14ac:dyDescent="0.3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 x14ac:dyDescent="0.3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 x14ac:dyDescent="0.3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 x14ac:dyDescent="0.3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 x14ac:dyDescent="0.3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 x14ac:dyDescent="0.3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 x14ac:dyDescent="0.3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 x14ac:dyDescent="0.3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 x14ac:dyDescent="0.3">
      <c r="A702" s="155" t="s">
        <v>263</v>
      </c>
      <c r="B702" s="155"/>
      <c r="C702" s="155"/>
      <c r="D702" s="155"/>
      <c r="E702" s="15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 x14ac:dyDescent="0.3">
      <c r="A703" s="156" t="s">
        <v>249</v>
      </c>
      <c r="B703" s="156"/>
      <c r="C703" s="156"/>
      <c r="D703" s="156"/>
      <c r="E703" s="15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 x14ac:dyDescent="0.3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 x14ac:dyDescent="0.3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 x14ac:dyDescent="0.3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 x14ac:dyDescent="0.3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 x14ac:dyDescent="0.3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 x14ac:dyDescent="0.3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 x14ac:dyDescent="0.3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 x14ac:dyDescent="0.3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 x14ac:dyDescent="0.3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 x14ac:dyDescent="0.3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 x14ac:dyDescent="0.3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 x14ac:dyDescent="0.3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 x14ac:dyDescent="0.3">
      <c r="A716" s="155" t="s">
        <v>260</v>
      </c>
      <c r="B716" s="155"/>
      <c r="C716" s="155"/>
      <c r="D716" s="155"/>
      <c r="E716" s="15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 x14ac:dyDescent="0.3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 x14ac:dyDescent="0.3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 x14ac:dyDescent="0.3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 x14ac:dyDescent="0.3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 x14ac:dyDescent="0.3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 x14ac:dyDescent="0.3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 x14ac:dyDescent="0.3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 x14ac:dyDescent="0.3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 x14ac:dyDescent="0.3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 x14ac:dyDescent="0.3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 x14ac:dyDescent="0.3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 x14ac:dyDescent="0.3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 x14ac:dyDescent="0.3">
      <c r="A729" s="155" t="s">
        <v>263</v>
      </c>
      <c r="B729" s="155"/>
      <c r="C729" s="155"/>
      <c r="D729" s="155"/>
      <c r="E729" s="15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 x14ac:dyDescent="0.3">
      <c r="A730" s="156" t="s">
        <v>249</v>
      </c>
      <c r="B730" s="156"/>
      <c r="C730" s="156"/>
      <c r="D730" s="156"/>
      <c r="E730" s="15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 x14ac:dyDescent="0.3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 x14ac:dyDescent="0.3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 x14ac:dyDescent="0.3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 x14ac:dyDescent="0.3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 x14ac:dyDescent="0.3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 x14ac:dyDescent="0.3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 x14ac:dyDescent="0.3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 x14ac:dyDescent="0.3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 x14ac:dyDescent="0.3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 x14ac:dyDescent="0.3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 x14ac:dyDescent="0.3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 x14ac:dyDescent="0.3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 x14ac:dyDescent="0.3">
      <c r="A743" s="155" t="s">
        <v>260</v>
      </c>
      <c r="B743" s="155"/>
      <c r="C743" s="155"/>
      <c r="D743" s="155"/>
      <c r="E743" s="15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 x14ac:dyDescent="0.3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 x14ac:dyDescent="0.3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 x14ac:dyDescent="0.3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 x14ac:dyDescent="0.3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 x14ac:dyDescent="0.3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 x14ac:dyDescent="0.3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 x14ac:dyDescent="0.3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 x14ac:dyDescent="0.3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 x14ac:dyDescent="0.3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 x14ac:dyDescent="0.3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 x14ac:dyDescent="0.3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 x14ac:dyDescent="0.3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 x14ac:dyDescent="0.3">
      <c r="A756" s="155" t="s">
        <v>263</v>
      </c>
      <c r="B756" s="155"/>
      <c r="C756" s="155"/>
      <c r="D756" s="155"/>
      <c r="E756" s="15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 x14ac:dyDescent="0.3">
      <c r="A757" s="156" t="s">
        <v>249</v>
      </c>
      <c r="B757" s="156"/>
      <c r="C757" s="156"/>
      <c r="D757" s="156"/>
      <c r="E757" s="15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 x14ac:dyDescent="0.3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 x14ac:dyDescent="0.3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 x14ac:dyDescent="0.3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 x14ac:dyDescent="0.3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 x14ac:dyDescent="0.3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 x14ac:dyDescent="0.3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 x14ac:dyDescent="0.3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 x14ac:dyDescent="0.3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 x14ac:dyDescent="0.3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 x14ac:dyDescent="0.3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 x14ac:dyDescent="0.3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 x14ac:dyDescent="0.3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 x14ac:dyDescent="0.3">
      <c r="A770" s="155" t="s">
        <v>260</v>
      </c>
      <c r="B770" s="155"/>
      <c r="C770" s="155"/>
      <c r="D770" s="155"/>
      <c r="E770" s="15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 x14ac:dyDescent="0.3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 x14ac:dyDescent="0.3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 x14ac:dyDescent="0.3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 x14ac:dyDescent="0.3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 x14ac:dyDescent="0.3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 x14ac:dyDescent="0.3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 x14ac:dyDescent="0.3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 x14ac:dyDescent="0.3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 x14ac:dyDescent="0.3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 x14ac:dyDescent="0.3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 x14ac:dyDescent="0.3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 x14ac:dyDescent="0.3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 x14ac:dyDescent="0.3">
      <c r="A783" s="155" t="s">
        <v>263</v>
      </c>
      <c r="B783" s="155"/>
      <c r="C783" s="155"/>
      <c r="D783" s="155"/>
      <c r="E783" s="15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 x14ac:dyDescent="0.3">
      <c r="A784" s="156" t="s">
        <v>249</v>
      </c>
      <c r="B784" s="156"/>
      <c r="C784" s="156"/>
      <c r="D784" s="156"/>
      <c r="E784" s="15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 x14ac:dyDescent="0.3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 x14ac:dyDescent="0.3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 x14ac:dyDescent="0.3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 x14ac:dyDescent="0.3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 x14ac:dyDescent="0.3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 x14ac:dyDescent="0.3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 x14ac:dyDescent="0.3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 x14ac:dyDescent="0.3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 x14ac:dyDescent="0.3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 x14ac:dyDescent="0.3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 x14ac:dyDescent="0.3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 x14ac:dyDescent="0.3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 x14ac:dyDescent="0.3">
      <c r="A797" s="155" t="s">
        <v>260</v>
      </c>
      <c r="B797" s="155"/>
      <c r="C797" s="155"/>
      <c r="D797" s="155"/>
      <c r="E797" s="15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 x14ac:dyDescent="0.3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 x14ac:dyDescent="0.3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 x14ac:dyDescent="0.3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 x14ac:dyDescent="0.3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 x14ac:dyDescent="0.3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 x14ac:dyDescent="0.3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 x14ac:dyDescent="0.3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 x14ac:dyDescent="0.3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 x14ac:dyDescent="0.3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 x14ac:dyDescent="0.3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 x14ac:dyDescent="0.3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 x14ac:dyDescent="0.3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 x14ac:dyDescent="0.3">
      <c r="A810" s="155" t="s">
        <v>263</v>
      </c>
      <c r="B810" s="155"/>
      <c r="C810" s="155"/>
      <c r="D810" s="155"/>
      <c r="E810" s="15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 x14ac:dyDescent="0.3">
      <c r="A811" s="156" t="s">
        <v>249</v>
      </c>
      <c r="B811" s="156"/>
      <c r="C811" s="156"/>
      <c r="D811" s="156"/>
      <c r="E811" s="15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 x14ac:dyDescent="0.3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 x14ac:dyDescent="0.3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 x14ac:dyDescent="0.3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 x14ac:dyDescent="0.3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 x14ac:dyDescent="0.3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 x14ac:dyDescent="0.3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 x14ac:dyDescent="0.3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 x14ac:dyDescent="0.3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 x14ac:dyDescent="0.3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 x14ac:dyDescent="0.3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 x14ac:dyDescent="0.3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 x14ac:dyDescent="0.3">
      <c r="A824" s="155" t="s">
        <v>260</v>
      </c>
      <c r="B824" s="155"/>
      <c r="C824" s="155"/>
      <c r="D824" s="155"/>
      <c r="E824" s="15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 x14ac:dyDescent="0.3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 x14ac:dyDescent="0.3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 x14ac:dyDescent="0.3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 x14ac:dyDescent="0.3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 x14ac:dyDescent="0.3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 x14ac:dyDescent="0.3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 x14ac:dyDescent="0.3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 x14ac:dyDescent="0.3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 x14ac:dyDescent="0.3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 x14ac:dyDescent="0.3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 x14ac:dyDescent="0.3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 x14ac:dyDescent="0.3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 x14ac:dyDescent="0.3">
      <c r="A837" s="155" t="s">
        <v>263</v>
      </c>
      <c r="B837" s="155"/>
      <c r="C837" s="155"/>
      <c r="D837" s="155"/>
      <c r="E837" s="15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 x14ac:dyDescent="0.3">
      <c r="A838" s="156" t="s">
        <v>249</v>
      </c>
      <c r="B838" s="156"/>
      <c r="C838" s="156"/>
      <c r="D838" s="156"/>
      <c r="E838" s="15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488" activePane="bottomLeft" state="frozen"/>
      <selection pane="bottomLeft" activeCell="L510" sqref="L510"/>
    </sheetView>
  </sheetViews>
  <sheetFormatPr defaultColWidth="8.5546875" defaultRowHeight="14.4" x14ac:dyDescent="0.3"/>
  <cols>
    <col min="1" max="1" width="15.5546875" style="85" customWidth="1"/>
    <col min="2" max="2" width="9" style="54" customWidth="1"/>
    <col min="3" max="3" width="14" style="54" customWidth="1"/>
    <col min="4" max="5" width="16.109375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9" width="16.109375" style="54" hidden="1" customWidth="1"/>
    <col min="10" max="10" width="13.88671875" style="54" hidden="1" customWidth="1"/>
    <col min="11" max="11" width="14" style="54" customWidth="1"/>
    <col min="12" max="12" width="31.109375" style="54" customWidth="1"/>
    <col min="13" max="13" width="29.109375" style="54" customWidth="1"/>
    <col min="14" max="14" width="48.5546875" style="54" customWidth="1"/>
    <col min="15" max="15" width="15.44140625" style="54" customWidth="1"/>
    <col min="16" max="16" width="12" style="55" customWidth="1"/>
    <col min="17" max="17" width="15.5546875" style="54" customWidth="1"/>
    <col min="18" max="18" width="48.5546875" style="54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297</v>
      </c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298</v>
      </c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299</v>
      </c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300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301</v>
      </c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 x14ac:dyDescent="0.3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 x14ac:dyDescent="0.3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 x14ac:dyDescent="0.3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 x14ac:dyDescent="0.3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 x14ac:dyDescent="0.3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 x14ac:dyDescent="0.3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 x14ac:dyDescent="0.3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 x14ac:dyDescent="0.3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 x14ac:dyDescent="0.3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 x14ac:dyDescent="0.3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 x14ac:dyDescent="0.3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302</v>
      </c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303</v>
      </c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304</v>
      </c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0.17913912036601687</v>
      </c>
      <c r="R53" s="80" t="s">
        <v>305</v>
      </c>
      <c r="S53" s="67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0.3180280092549046</v>
      </c>
      <c r="R54" s="2" t="s">
        <v>261</v>
      </c>
      <c r="S54" s="113">
        <v>352430</v>
      </c>
      <c r="T54" s="114"/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0.40275023147712741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 x14ac:dyDescent="0.3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 x14ac:dyDescent="0.3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 x14ac:dyDescent="0.3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 x14ac:dyDescent="0.3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 x14ac:dyDescent="0.3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 x14ac:dyDescent="0.3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 x14ac:dyDescent="0.3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297</v>
      </c>
      <c r="S63" s="67"/>
    </row>
    <row r="64" spans="1:20" ht="15" customHeight="1" x14ac:dyDescent="0.3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 x14ac:dyDescent="0.3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 x14ac:dyDescent="0.3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 x14ac:dyDescent="0.3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 x14ac:dyDescent="0.4">
      <c r="A68" s="164" t="s">
        <v>260</v>
      </c>
      <c r="B68" s="164"/>
      <c r="C68" s="164"/>
      <c r="D68" s="164"/>
      <c r="E68" s="164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 x14ac:dyDescent="0.3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 x14ac:dyDescent="0.3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 x14ac:dyDescent="0.3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 x14ac:dyDescent="0.3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 x14ac:dyDescent="0.3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 x14ac:dyDescent="0.3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 x14ac:dyDescent="0.3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306</v>
      </c>
      <c r="S76" s="67"/>
    </row>
    <row r="77" spans="1:20" ht="15" customHeight="1" x14ac:dyDescent="0.3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 x14ac:dyDescent="0.3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 x14ac:dyDescent="0.3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 x14ac:dyDescent="0.3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 x14ac:dyDescent="0.4">
      <c r="A81" s="164" t="s">
        <v>263</v>
      </c>
      <c r="B81" s="164"/>
      <c r="C81" s="164"/>
      <c r="D81" s="164"/>
      <c r="E81" s="164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 x14ac:dyDescent="0.4">
      <c r="A95" s="164" t="s">
        <v>260</v>
      </c>
      <c r="B95" s="164"/>
      <c r="C95" s="164"/>
      <c r="D95" s="164"/>
      <c r="E95" s="164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307</v>
      </c>
      <c r="Q96" s="66" t="str">
        <f t="shared" ref="Q96:Q107" ca="1" si="22">IFERROR(IF(O96="","",IF(P96="",MOD(NOW()-O96,1),IF(P96&gt;=O96,P96-O96,P96+1-O96))),"")</f>
        <v/>
      </c>
      <c r="R96" s="80" t="s">
        <v>308</v>
      </c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309</v>
      </c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310</v>
      </c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 x14ac:dyDescent="0.4">
      <c r="A108" s="164" t="s">
        <v>263</v>
      </c>
      <c r="B108" s="164"/>
      <c r="C108" s="164"/>
      <c r="D108" s="164"/>
      <c r="E108" s="164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311</v>
      </c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 x14ac:dyDescent="0.4">
      <c r="A122" s="164" t="s">
        <v>260</v>
      </c>
      <c r="B122" s="164"/>
      <c r="C122" s="164"/>
      <c r="D122" s="164"/>
      <c r="E122" s="164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 x14ac:dyDescent="0.4">
      <c r="A135" s="164" t="s">
        <v>263</v>
      </c>
      <c r="B135" s="164"/>
      <c r="C135" s="164"/>
      <c r="D135" s="164"/>
      <c r="E135" s="164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312</v>
      </c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313</v>
      </c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314</v>
      </c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 x14ac:dyDescent="0.4">
      <c r="A149" s="164" t="s">
        <v>260</v>
      </c>
      <c r="B149" s="164"/>
      <c r="C149" s="164"/>
      <c r="D149" s="164"/>
      <c r="E149" s="164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 x14ac:dyDescent="0.4">
      <c r="A162" s="164" t="s">
        <v>263</v>
      </c>
      <c r="B162" s="164"/>
      <c r="C162" s="164"/>
      <c r="D162" s="164"/>
      <c r="E162" s="164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316</v>
      </c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313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317</v>
      </c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318</v>
      </c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311</v>
      </c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306</v>
      </c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319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320</v>
      </c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321</v>
      </c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 x14ac:dyDescent="0.3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322</v>
      </c>
      <c r="S326" s="81"/>
    </row>
    <row r="327" spans="1:20" ht="15" customHeight="1" x14ac:dyDescent="0.3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 x14ac:dyDescent="0.3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323</v>
      </c>
      <c r="S328" s="81"/>
    </row>
    <row r="329" spans="1:20" ht="15" customHeight="1" x14ac:dyDescent="0.3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324</v>
      </c>
      <c r="S329" s="81"/>
    </row>
    <row r="330" spans="1:20" ht="15" customHeight="1" x14ac:dyDescent="0.3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 x14ac:dyDescent="0.3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325</v>
      </c>
      <c r="S331" s="81"/>
    </row>
    <row r="332" spans="1:20" ht="15" customHeight="1" x14ac:dyDescent="0.3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326</v>
      </c>
      <c r="S332" s="81"/>
    </row>
    <row r="333" spans="1:20" ht="15" customHeight="1" x14ac:dyDescent="0.3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 x14ac:dyDescent="0.3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 x14ac:dyDescent="0.3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 x14ac:dyDescent="0.3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 x14ac:dyDescent="0.3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318</v>
      </c>
      <c r="S341" s="81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313</v>
      </c>
      <c r="S343" s="81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306</v>
      </c>
      <c r="S353" s="81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 x14ac:dyDescent="0.3">
      <c r="A365" s="164" t="s">
        <v>260</v>
      </c>
      <c r="B365" s="164"/>
      <c r="C365" s="164"/>
      <c r="D365" s="164"/>
      <c r="E365" s="164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327</v>
      </c>
      <c r="S367" s="81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328</v>
      </c>
      <c r="S385" s="81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329</v>
      </c>
      <c r="S396" s="81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330</v>
      </c>
      <c r="S420" s="81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 x14ac:dyDescent="0.3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 x14ac:dyDescent="0.3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331</v>
      </c>
      <c r="S434" s="81"/>
    </row>
    <row r="435" spans="1:20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332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 x14ac:dyDescent="0.3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 x14ac:dyDescent="0.3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 x14ac:dyDescent="0.3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 x14ac:dyDescent="0.3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 x14ac:dyDescent="0.3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333</v>
      </c>
      <c r="S452" s="81"/>
    </row>
    <row r="453" spans="1:20" ht="15" customHeight="1" x14ac:dyDescent="0.3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334</v>
      </c>
      <c r="S453" s="81"/>
    </row>
    <row r="454" spans="1:20" ht="15" customHeight="1" x14ac:dyDescent="0.3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 x14ac:dyDescent="0.3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 x14ac:dyDescent="0.3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 x14ac:dyDescent="0.3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 x14ac:dyDescent="0.3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335</v>
      </c>
      <c r="S465" s="81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336</v>
      </c>
      <c r="S476" s="81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337</v>
      </c>
      <c r="S479" s="81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313</v>
      </c>
      <c r="S488" s="81"/>
    </row>
    <row r="489" spans="1:20" ht="15" customHeight="1" x14ac:dyDescent="0.3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 x14ac:dyDescent="0.3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 x14ac:dyDescent="0.3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 x14ac:dyDescent="0.3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 x14ac:dyDescent="0.3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 x14ac:dyDescent="0.3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 x14ac:dyDescent="0.3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 x14ac:dyDescent="0.3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 x14ac:dyDescent="0.3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 x14ac:dyDescent="0.3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 x14ac:dyDescent="0.3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 x14ac:dyDescent="0.3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 x14ac:dyDescent="0.3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32">IFERROR(IF(O515="","",IF(P515="",MOD(NOW()-O515,1),IF(P515&gt;=O515,P515-O515,P515+1-O515))),"")</f>
        <v/>
      </c>
      <c r="R515" s="80"/>
      <c r="S515" s="81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80"/>
      <c r="S516" s="81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80"/>
      <c r="S517" s="81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80"/>
      <c r="S518" s="81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80"/>
      <c r="S519" s="81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83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80"/>
      <c r="S528" s="81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80"/>
      <c r="S529" s="81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80"/>
      <c r="S530" s="81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80"/>
      <c r="S531" s="81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80"/>
      <c r="S532" s="81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 x14ac:dyDescent="0.3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 x14ac:dyDescent="0.3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 x14ac:dyDescent="0.3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 x14ac:dyDescent="0.3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 x14ac:dyDescent="0.3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 x14ac:dyDescent="0.3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 x14ac:dyDescent="0.3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 x14ac:dyDescent="0.3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 x14ac:dyDescent="0.3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 x14ac:dyDescent="0.3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 x14ac:dyDescent="0.3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487" activePane="bottomLeft" state="frozen"/>
      <selection pane="bottomLeft" activeCell="D501" sqref="D501:D512"/>
    </sheetView>
  </sheetViews>
  <sheetFormatPr defaultColWidth="8.5546875" defaultRowHeight="14.4" x14ac:dyDescent="0.3"/>
  <cols>
    <col min="1" max="1" width="15.44140625" style="85" customWidth="1"/>
    <col min="2" max="2" width="9" style="54" customWidth="1"/>
    <col min="3" max="3" width="14" style="54" customWidth="1"/>
    <col min="4" max="5" width="16" style="54" customWidth="1"/>
    <col min="6" max="6" width="13.88671875" style="54" hidden="1" customWidth="1"/>
    <col min="7" max="7" width="13" style="54" customWidth="1"/>
    <col min="8" max="8" width="15.88671875" style="54" hidden="1" customWidth="1"/>
    <col min="9" max="10" width="13.88671875" style="54" hidden="1" customWidth="1"/>
    <col min="11" max="11" width="14" style="54" customWidth="1"/>
    <col min="12" max="12" width="32.88671875" style="54" customWidth="1"/>
    <col min="13" max="13" width="30.44140625" style="54" customWidth="1"/>
    <col min="14" max="14" width="46.44140625" style="54" customWidth="1"/>
    <col min="15" max="15" width="12" style="54" customWidth="1"/>
    <col min="16" max="16" width="16.44140625" style="55" customWidth="1"/>
    <col min="17" max="17" width="14" style="54" customWidth="1"/>
    <col min="18" max="18" width="56.5546875" style="54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 x14ac:dyDescent="0.3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338</v>
      </c>
      <c r="S15" s="67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300</v>
      </c>
      <c r="S18" s="67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339</v>
      </c>
      <c r="S19" s="67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306</v>
      </c>
      <c r="S42" s="67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338</v>
      </c>
      <c r="S43" s="67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338</v>
      </c>
      <c r="S50" s="67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340</v>
      </c>
      <c r="S62" s="67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 x14ac:dyDescent="0.3">
      <c r="A68" s="164" t="s">
        <v>260</v>
      </c>
      <c r="B68" s="164"/>
      <c r="C68" s="164"/>
      <c r="D68" s="164"/>
      <c r="E68" s="164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341</v>
      </c>
      <c r="S69" s="67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 x14ac:dyDescent="0.3">
      <c r="A81" s="164" t="s">
        <v>263</v>
      </c>
      <c r="B81" s="164"/>
      <c r="C81" s="164"/>
      <c r="D81" s="164"/>
      <c r="E81" s="164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342</v>
      </c>
      <c r="S83" s="67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343</v>
      </c>
      <c r="S84" s="67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 x14ac:dyDescent="0.3">
      <c r="A95" s="164" t="s">
        <v>260</v>
      </c>
      <c r="B95" s="164"/>
      <c r="C95" s="164"/>
      <c r="D95" s="164"/>
      <c r="E95" s="164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344</v>
      </c>
      <c r="S97" s="67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 x14ac:dyDescent="0.3">
      <c r="A108" s="164" t="s">
        <v>263</v>
      </c>
      <c r="B108" s="164"/>
      <c r="C108" s="164"/>
      <c r="D108" s="164"/>
      <c r="E108" s="164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 x14ac:dyDescent="0.3">
      <c r="A122" s="164" t="s">
        <v>260</v>
      </c>
      <c r="B122" s="164"/>
      <c r="C122" s="164"/>
      <c r="D122" s="164"/>
      <c r="E122" s="164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 x14ac:dyDescent="0.3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 x14ac:dyDescent="0.3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345</v>
      </c>
      <c r="S125" s="67"/>
    </row>
    <row r="126" spans="1:20" ht="15" customHeight="1" x14ac:dyDescent="0.3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 x14ac:dyDescent="0.3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 x14ac:dyDescent="0.3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 x14ac:dyDescent="0.3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 x14ac:dyDescent="0.3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 x14ac:dyDescent="0.3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 x14ac:dyDescent="0.3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 x14ac:dyDescent="0.3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 x14ac:dyDescent="0.3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 x14ac:dyDescent="0.3">
      <c r="A135" s="164" t="s">
        <v>263</v>
      </c>
      <c r="B135" s="164"/>
      <c r="C135" s="164"/>
      <c r="D135" s="164"/>
      <c r="E135" s="164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346</v>
      </c>
      <c r="S137" s="67"/>
    </row>
    <row r="138" spans="1:20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314</v>
      </c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64" t="s">
        <v>260</v>
      </c>
      <c r="B149" s="164"/>
      <c r="C149" s="164"/>
      <c r="D149" s="164"/>
      <c r="E149" s="164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306</v>
      </c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64" t="s">
        <v>263</v>
      </c>
      <c r="B162" s="164"/>
      <c r="C162" s="164"/>
      <c r="D162" s="164"/>
      <c r="E162" s="164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347</v>
      </c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348</v>
      </c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317</v>
      </c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317</v>
      </c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349</v>
      </c>
      <c r="S205" s="81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350</v>
      </c>
      <c r="S221" s="81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351</v>
      </c>
      <c r="Q222" s="66" t="str">
        <f t="shared" ca="1" si="49"/>
        <v/>
      </c>
      <c r="R222" s="63" t="s">
        <v>352</v>
      </c>
      <c r="S222" s="81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353</v>
      </c>
      <c r="S245" s="81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 x14ac:dyDescent="0.3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 x14ac:dyDescent="0.3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 x14ac:dyDescent="0.3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 x14ac:dyDescent="0.3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 x14ac:dyDescent="0.3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 x14ac:dyDescent="0.3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 x14ac:dyDescent="0.3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 x14ac:dyDescent="0.3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 x14ac:dyDescent="0.3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 x14ac:dyDescent="0.3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 x14ac:dyDescent="0.3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 x14ac:dyDescent="0.3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 x14ac:dyDescent="0.3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 x14ac:dyDescent="0.3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 x14ac:dyDescent="0.3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 x14ac:dyDescent="0.3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 x14ac:dyDescent="0.3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 x14ac:dyDescent="0.3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 x14ac:dyDescent="0.3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 x14ac:dyDescent="0.3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 x14ac:dyDescent="0.3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 x14ac:dyDescent="0.3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 x14ac:dyDescent="0.3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 x14ac:dyDescent="0.3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 x14ac:dyDescent="0.3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 x14ac:dyDescent="0.3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 x14ac:dyDescent="0.3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 x14ac:dyDescent="0.3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 x14ac:dyDescent="0.3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 x14ac:dyDescent="0.3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 x14ac:dyDescent="0.3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 x14ac:dyDescent="0.3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 x14ac:dyDescent="0.3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 x14ac:dyDescent="0.3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 x14ac:dyDescent="0.3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 x14ac:dyDescent="0.3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 x14ac:dyDescent="0.3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 x14ac:dyDescent="0.3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 x14ac:dyDescent="0.3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 x14ac:dyDescent="0.3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 x14ac:dyDescent="0.3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 x14ac:dyDescent="0.3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 x14ac:dyDescent="0.3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 x14ac:dyDescent="0.3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 x14ac:dyDescent="0.3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 x14ac:dyDescent="0.3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 x14ac:dyDescent="0.3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 x14ac:dyDescent="0.3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 x14ac:dyDescent="0.3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 x14ac:dyDescent="0.3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 x14ac:dyDescent="0.3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 x14ac:dyDescent="0.3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 x14ac:dyDescent="0.3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 x14ac:dyDescent="0.3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 x14ac:dyDescent="0.3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324</v>
      </c>
      <c r="S326" s="81"/>
    </row>
    <row r="327" spans="1:20" ht="15" customHeight="1" x14ac:dyDescent="0.3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354</v>
      </c>
      <c r="S327" s="81"/>
    </row>
    <row r="328" spans="1:20" ht="15" customHeight="1" x14ac:dyDescent="0.3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 x14ac:dyDescent="0.3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325</v>
      </c>
      <c r="S329" s="81"/>
    </row>
    <row r="330" spans="1:20" ht="15" customHeight="1" x14ac:dyDescent="0.3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 x14ac:dyDescent="0.3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 x14ac:dyDescent="0.3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 x14ac:dyDescent="0.3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 x14ac:dyDescent="0.3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 x14ac:dyDescent="0.3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 x14ac:dyDescent="0.3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 x14ac:dyDescent="0.3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 x14ac:dyDescent="0.3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 x14ac:dyDescent="0.3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 x14ac:dyDescent="0.3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 x14ac:dyDescent="0.3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 x14ac:dyDescent="0.3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 x14ac:dyDescent="0.3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 x14ac:dyDescent="0.3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 x14ac:dyDescent="0.3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 x14ac:dyDescent="0.3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 x14ac:dyDescent="0.3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 x14ac:dyDescent="0.3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 x14ac:dyDescent="0.3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306</v>
      </c>
      <c r="S354" s="81"/>
    </row>
    <row r="355" spans="1:20" ht="15" customHeight="1" x14ac:dyDescent="0.3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 x14ac:dyDescent="0.3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 x14ac:dyDescent="0.3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 x14ac:dyDescent="0.3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 x14ac:dyDescent="0.3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 x14ac:dyDescent="0.3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 x14ac:dyDescent="0.3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 x14ac:dyDescent="0.3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 x14ac:dyDescent="0.3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 x14ac:dyDescent="0.3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 x14ac:dyDescent="0.3">
      <c r="A365" s="164" t="s">
        <v>260</v>
      </c>
      <c r="B365" s="164"/>
      <c r="C365" s="164"/>
      <c r="D365" s="164"/>
      <c r="E365" s="164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 x14ac:dyDescent="0.3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 x14ac:dyDescent="0.3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 x14ac:dyDescent="0.3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 x14ac:dyDescent="0.3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 x14ac:dyDescent="0.3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 x14ac:dyDescent="0.3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 x14ac:dyDescent="0.3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 x14ac:dyDescent="0.3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 x14ac:dyDescent="0.3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 x14ac:dyDescent="0.3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 x14ac:dyDescent="0.3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 x14ac:dyDescent="0.3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 x14ac:dyDescent="0.3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 x14ac:dyDescent="0.3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355</v>
      </c>
      <c r="S383" s="81"/>
    </row>
    <row r="384" spans="1:20" ht="15" customHeight="1" x14ac:dyDescent="0.3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328</v>
      </c>
      <c r="S384" s="81"/>
    </row>
    <row r="385" spans="1:20" ht="15" customHeight="1" x14ac:dyDescent="0.3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 x14ac:dyDescent="0.3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 x14ac:dyDescent="0.3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 x14ac:dyDescent="0.3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 x14ac:dyDescent="0.3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 x14ac:dyDescent="0.3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 x14ac:dyDescent="0.3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 x14ac:dyDescent="0.3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 x14ac:dyDescent="0.3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 x14ac:dyDescent="0.3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 x14ac:dyDescent="0.3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 x14ac:dyDescent="0.3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 x14ac:dyDescent="0.3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 x14ac:dyDescent="0.3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 x14ac:dyDescent="0.3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 x14ac:dyDescent="0.3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 x14ac:dyDescent="0.3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 x14ac:dyDescent="0.3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 x14ac:dyDescent="0.3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356</v>
      </c>
      <c r="S408" s="81"/>
    </row>
    <row r="409" spans="1:20" ht="15" customHeight="1" x14ac:dyDescent="0.3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 x14ac:dyDescent="0.3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 x14ac:dyDescent="0.3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 x14ac:dyDescent="0.3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 x14ac:dyDescent="0.3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 x14ac:dyDescent="0.3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 x14ac:dyDescent="0.3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 x14ac:dyDescent="0.3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 x14ac:dyDescent="0.3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 x14ac:dyDescent="0.3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357</v>
      </c>
    </row>
    <row r="421" spans="1:20" ht="15" customHeight="1" x14ac:dyDescent="0.3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 x14ac:dyDescent="0.3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 x14ac:dyDescent="0.3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 x14ac:dyDescent="0.3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 x14ac:dyDescent="0.3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 x14ac:dyDescent="0.3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 x14ac:dyDescent="0.3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 x14ac:dyDescent="0.3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 x14ac:dyDescent="0.3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 x14ac:dyDescent="0.3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 x14ac:dyDescent="0.3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 x14ac:dyDescent="0.3">
      <c r="A432" s="164" t="s">
        <v>263</v>
      </c>
      <c r="B432" s="164"/>
      <c r="C432" s="164"/>
      <c r="D432" s="164"/>
      <c r="E432" s="164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 x14ac:dyDescent="0.3">
      <c r="A433" s="165" t="s">
        <v>249</v>
      </c>
      <c r="B433" s="165"/>
      <c r="C433" s="165"/>
      <c r="D433" s="165"/>
      <c r="E433" s="165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358</v>
      </c>
      <c r="S434" s="81"/>
    </row>
    <row r="435" spans="1:20" ht="15" customHeight="1" x14ac:dyDescent="0.3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 x14ac:dyDescent="0.3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358</v>
      </c>
      <c r="S436" s="81"/>
    </row>
    <row r="437" spans="1:20" ht="15" customHeight="1" x14ac:dyDescent="0.3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 x14ac:dyDescent="0.3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 x14ac:dyDescent="0.3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 x14ac:dyDescent="0.3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 x14ac:dyDescent="0.3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 x14ac:dyDescent="0.3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 x14ac:dyDescent="0.3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 x14ac:dyDescent="0.3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 x14ac:dyDescent="0.3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 x14ac:dyDescent="0.3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 x14ac:dyDescent="0.3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359</v>
      </c>
      <c r="S449" s="81"/>
    </row>
    <row r="450" spans="1:20" ht="15" customHeight="1" x14ac:dyDescent="0.3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 x14ac:dyDescent="0.3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 x14ac:dyDescent="0.3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 x14ac:dyDescent="0.3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 x14ac:dyDescent="0.3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 x14ac:dyDescent="0.3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 x14ac:dyDescent="0.3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 x14ac:dyDescent="0.3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 x14ac:dyDescent="0.3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 x14ac:dyDescent="0.3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 x14ac:dyDescent="0.3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 x14ac:dyDescent="0.3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 x14ac:dyDescent="0.3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 x14ac:dyDescent="0.3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 x14ac:dyDescent="0.3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 x14ac:dyDescent="0.3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 x14ac:dyDescent="0.3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 x14ac:dyDescent="0.3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 x14ac:dyDescent="0.3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 x14ac:dyDescent="0.3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306</v>
      </c>
      <c r="S474" s="81"/>
    </row>
    <row r="475" spans="1:20" ht="15" customHeight="1" x14ac:dyDescent="0.3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 x14ac:dyDescent="0.3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 x14ac:dyDescent="0.3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360</v>
      </c>
      <c r="S477" s="81"/>
    </row>
    <row r="478" spans="1:20" ht="15" customHeight="1" x14ac:dyDescent="0.3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 x14ac:dyDescent="0.3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 x14ac:dyDescent="0.3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 x14ac:dyDescent="0.3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 x14ac:dyDescent="0.3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 x14ac:dyDescent="0.3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 x14ac:dyDescent="0.3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 x14ac:dyDescent="0.3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 x14ac:dyDescent="0.3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 x14ac:dyDescent="0.3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 x14ac:dyDescent="0.3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 x14ac:dyDescent="0.3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 x14ac:dyDescent="0.3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 x14ac:dyDescent="0.3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 x14ac:dyDescent="0.3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 x14ac:dyDescent="0.3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 x14ac:dyDescent="0.3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345</v>
      </c>
      <c r="S497" s="81"/>
    </row>
    <row r="498" spans="1:20" ht="15" customHeight="1" x14ac:dyDescent="0.3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 x14ac:dyDescent="0.3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361</v>
      </c>
      <c r="S501" s="81"/>
    </row>
    <row r="502" spans="1:20" ht="15" customHeight="1" x14ac:dyDescent="0.3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 x14ac:dyDescent="0.3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 x14ac:dyDescent="0.3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 x14ac:dyDescent="0.3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362</v>
      </c>
      <c r="S505" s="81"/>
    </row>
    <row r="506" spans="1:20" ht="15" customHeight="1" x14ac:dyDescent="0.3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 x14ac:dyDescent="0.3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 x14ac:dyDescent="0.3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 x14ac:dyDescent="0.3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 x14ac:dyDescent="0.3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 x14ac:dyDescent="0.3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 x14ac:dyDescent="0.3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 x14ac:dyDescent="0.3">
      <c r="A513" s="164" t="s">
        <v>263</v>
      </c>
      <c r="B513" s="164"/>
      <c r="C513" s="164"/>
      <c r="D513" s="164"/>
      <c r="E513" s="164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 x14ac:dyDescent="0.3">
      <c r="A514" s="165" t="s">
        <v>249</v>
      </c>
      <c r="B514" s="165"/>
      <c r="C514" s="165"/>
      <c r="D514" s="165"/>
      <c r="E514" s="165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399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27">IFERROR(IF($H515="","",$H515*$F515*$I515),"")</f>
        <v/>
      </c>
      <c r="K515" s="69" t="str">
        <f t="shared" ref="K515:K526" si="128">IF(G515="","",IF(E515="PC 17",G515*4.2,IF(E515="PC 19",G515*5,IF(E515="CB",G515*24,""))))</f>
        <v/>
      </c>
      <c r="L515" s="70"/>
      <c r="M515" s="70"/>
      <c r="N515" s="70"/>
      <c r="O515" s="65"/>
      <c r="P515" s="65"/>
      <c r="Q515" s="71" t="str">
        <f t="shared" ref="Q515:Q526" ca="1" si="129">IFERROR(IF(O515="","",IF(P515="",MOD(NOW()-O515,1),IF(P515&gt;=O515,P515-O515,P515+1-O515))),"")</f>
        <v/>
      </c>
      <c r="R515" s="63"/>
      <c r="S515" s="81"/>
    </row>
    <row r="516" spans="1:20" ht="15" customHeight="1" x14ac:dyDescent="0.3">
      <c r="A516" s="59">
        <v>46254</v>
      </c>
      <c r="B516" s="60">
        <f t="shared" ref="B516:B526" si="130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27"/>
        <v/>
      </c>
      <c r="K516" s="64" t="str">
        <f t="shared" si="128"/>
        <v/>
      </c>
      <c r="L516" s="70"/>
      <c r="M516" s="61"/>
      <c r="N516" s="70"/>
      <c r="O516" s="65"/>
      <c r="P516" s="65"/>
      <c r="Q516" s="66" t="str">
        <f t="shared" ca="1" si="129"/>
        <v/>
      </c>
      <c r="R516" s="63"/>
      <c r="S516" s="81"/>
    </row>
    <row r="517" spans="1:20" ht="15" customHeight="1" x14ac:dyDescent="0.3">
      <c r="A517" s="18">
        <v>46254</v>
      </c>
      <c r="B517" s="68">
        <f t="shared" si="130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27"/>
        <v/>
      </c>
      <c r="K517" s="69" t="str">
        <f t="shared" si="128"/>
        <v/>
      </c>
      <c r="L517" s="70"/>
      <c r="M517" s="70"/>
      <c r="N517" s="70"/>
      <c r="O517" s="65"/>
      <c r="P517" s="65"/>
      <c r="Q517" s="71" t="str">
        <f t="shared" ca="1" si="129"/>
        <v/>
      </c>
      <c r="R517" s="63"/>
      <c r="S517" s="81"/>
    </row>
    <row r="518" spans="1:20" ht="15" customHeight="1" x14ac:dyDescent="0.3">
      <c r="A518" s="59">
        <v>46254</v>
      </c>
      <c r="B518" s="60">
        <f t="shared" si="130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27"/>
        <v/>
      </c>
      <c r="K518" s="64" t="str">
        <f t="shared" si="128"/>
        <v/>
      </c>
      <c r="L518" s="70"/>
      <c r="M518" s="61"/>
      <c r="N518" s="61"/>
      <c r="O518" s="65"/>
      <c r="P518" s="65"/>
      <c r="Q518" s="66" t="str">
        <f t="shared" ca="1" si="129"/>
        <v/>
      </c>
      <c r="R518" s="63"/>
      <c r="S518" s="81"/>
    </row>
    <row r="519" spans="1:20" ht="15" customHeight="1" x14ac:dyDescent="0.3">
      <c r="A519" s="18">
        <v>46254</v>
      </c>
      <c r="B519" s="68">
        <f t="shared" si="130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27"/>
        <v/>
      </c>
      <c r="K519" s="69" t="str">
        <f t="shared" si="128"/>
        <v/>
      </c>
      <c r="L519" s="70"/>
      <c r="M519" s="70"/>
      <c r="N519" s="70"/>
      <c r="O519" s="65"/>
      <c r="P519" s="65"/>
      <c r="Q519" s="71" t="str">
        <f t="shared" ca="1" si="129"/>
        <v/>
      </c>
      <c r="R519" s="63"/>
      <c r="S519" s="81"/>
    </row>
    <row r="520" spans="1:20" ht="15" customHeight="1" x14ac:dyDescent="0.3">
      <c r="A520" s="59">
        <v>46254</v>
      </c>
      <c r="B520" s="60">
        <f t="shared" si="130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27"/>
        <v/>
      </c>
      <c r="K520" s="64" t="str">
        <f t="shared" si="128"/>
        <v/>
      </c>
      <c r="L520" s="61"/>
      <c r="M520" s="61"/>
      <c r="N520" s="61"/>
      <c r="O520" s="65"/>
      <c r="P520" s="65"/>
      <c r="Q520" s="66" t="str">
        <f t="shared" ca="1" si="129"/>
        <v/>
      </c>
      <c r="R520" s="63"/>
      <c r="S520" s="81"/>
    </row>
    <row r="521" spans="1:20" ht="15" customHeight="1" x14ac:dyDescent="0.3">
      <c r="A521" s="18">
        <v>46254</v>
      </c>
      <c r="B521" s="68">
        <f t="shared" si="130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27"/>
        <v/>
      </c>
      <c r="K521" s="69" t="str">
        <f t="shared" si="128"/>
        <v/>
      </c>
      <c r="L521" s="70"/>
      <c r="M521" s="70"/>
      <c r="N521" s="70"/>
      <c r="O521" s="65"/>
      <c r="P521" s="65"/>
      <c r="Q521" s="71" t="str">
        <f t="shared" ca="1" si="129"/>
        <v/>
      </c>
      <c r="R521" s="63"/>
      <c r="S521" s="81"/>
    </row>
    <row r="522" spans="1:20" ht="15" customHeight="1" x14ac:dyDescent="0.3">
      <c r="A522" s="59">
        <v>46254</v>
      </c>
      <c r="B522" s="60">
        <f t="shared" si="130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27"/>
        <v/>
      </c>
      <c r="K522" s="64" t="str">
        <f t="shared" si="128"/>
        <v/>
      </c>
      <c r="L522" s="61"/>
      <c r="M522" s="61"/>
      <c r="N522" s="61"/>
      <c r="O522" s="65"/>
      <c r="P522" s="65"/>
      <c r="Q522" s="66" t="str">
        <f t="shared" ca="1" si="129"/>
        <v/>
      </c>
      <c r="R522" s="63"/>
      <c r="S522" s="81"/>
    </row>
    <row r="523" spans="1:20" ht="15" customHeight="1" x14ac:dyDescent="0.3">
      <c r="A523" s="18">
        <v>46254</v>
      </c>
      <c r="B523" s="68">
        <f t="shared" si="130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27"/>
        <v/>
      </c>
      <c r="K523" s="69" t="str">
        <f t="shared" si="128"/>
        <v/>
      </c>
      <c r="L523" s="70"/>
      <c r="M523" s="70"/>
      <c r="N523" s="70"/>
      <c r="O523" s="65"/>
      <c r="P523" s="65"/>
      <c r="Q523" s="71" t="str">
        <f t="shared" ca="1" si="129"/>
        <v/>
      </c>
      <c r="R523" s="63"/>
      <c r="S523" s="81"/>
    </row>
    <row r="524" spans="1:20" ht="15" customHeight="1" x14ac:dyDescent="0.3">
      <c r="A524" s="59">
        <v>46254</v>
      </c>
      <c r="B524" s="60">
        <f t="shared" si="130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27"/>
        <v/>
      </c>
      <c r="K524" s="64" t="str">
        <f t="shared" si="128"/>
        <v/>
      </c>
      <c r="L524" s="61"/>
      <c r="M524" s="61"/>
      <c r="N524" s="61"/>
      <c r="O524" s="65"/>
      <c r="P524" s="65"/>
      <c r="Q524" s="66" t="str">
        <f t="shared" ca="1" si="129"/>
        <v/>
      </c>
      <c r="R524" s="63"/>
      <c r="S524" s="81"/>
    </row>
    <row r="525" spans="1:20" ht="15" customHeight="1" x14ac:dyDescent="0.3">
      <c r="A525" s="18">
        <v>46254</v>
      </c>
      <c r="B525" s="68">
        <f t="shared" si="130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27"/>
        <v/>
      </c>
      <c r="K525" s="69" t="str">
        <f t="shared" si="128"/>
        <v/>
      </c>
      <c r="L525" s="70"/>
      <c r="M525" s="70"/>
      <c r="N525" s="70"/>
      <c r="O525" s="65"/>
      <c r="P525" s="65"/>
      <c r="Q525" s="71" t="str">
        <f t="shared" ca="1" si="129"/>
        <v/>
      </c>
      <c r="R525" s="63"/>
      <c r="S525" s="81"/>
    </row>
    <row r="526" spans="1:20" ht="15" customHeight="1" x14ac:dyDescent="0.3">
      <c r="A526" s="59">
        <v>46254</v>
      </c>
      <c r="B526" s="60">
        <f t="shared" si="130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27"/>
        <v/>
      </c>
      <c r="K526" s="64" t="str">
        <f t="shared" si="128"/>
        <v/>
      </c>
      <c r="L526" s="61"/>
      <c r="M526" s="61"/>
      <c r="N526" s="61"/>
      <c r="O526" s="65"/>
      <c r="P526" s="65"/>
      <c r="Q526" s="66" t="str">
        <f t="shared" ca="1" si="129"/>
        <v/>
      </c>
      <c r="R526" s="63"/>
      <c r="S526" s="81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72"/>
      <c r="P527" s="72"/>
      <c r="Q527" s="73">
        <f ca="1">IFERROR(SUM(Q515:Q526),"")</f>
        <v>0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1">IFERROR(IF($H528="","",$H528*$F528*$I528),"")</f>
        <v/>
      </c>
      <c r="K528" s="64" t="str">
        <f t="shared" ref="K528:K539" si="132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3">IFERROR(IF(O528="","",IF(P528="",MOD(NOW()-O528,1),IF(P528&gt;=O528,P528-O528,P528+1-O528))),"")</f>
        <v/>
      </c>
      <c r="R528" s="63"/>
      <c r="S528" s="81"/>
    </row>
    <row r="529" spans="1:20" ht="15" customHeight="1" x14ac:dyDescent="0.3">
      <c r="A529" s="18">
        <v>46254</v>
      </c>
      <c r="B529" s="68">
        <f t="shared" ref="B529:B539" si="134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1"/>
        <v/>
      </c>
      <c r="K529" s="69" t="str">
        <f t="shared" si="132"/>
        <v/>
      </c>
      <c r="L529" s="70"/>
      <c r="M529" s="70"/>
      <c r="N529" s="70"/>
      <c r="O529" s="65"/>
      <c r="P529" s="65"/>
      <c r="Q529" s="71" t="str">
        <f t="shared" ca="1" si="133"/>
        <v/>
      </c>
      <c r="R529" s="63"/>
      <c r="S529" s="81"/>
    </row>
    <row r="530" spans="1:20" ht="15" customHeight="1" x14ac:dyDescent="0.3">
      <c r="A530" s="59">
        <v>46254</v>
      </c>
      <c r="B530" s="60">
        <f t="shared" si="134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1"/>
        <v/>
      </c>
      <c r="K530" s="64" t="str">
        <f t="shared" si="132"/>
        <v/>
      </c>
      <c r="L530" s="61"/>
      <c r="M530" s="61"/>
      <c r="N530" s="61"/>
      <c r="O530" s="65"/>
      <c r="P530" s="65"/>
      <c r="Q530" s="66" t="str">
        <f t="shared" ca="1" si="133"/>
        <v/>
      </c>
      <c r="R530" s="63"/>
      <c r="S530" s="81"/>
    </row>
    <row r="531" spans="1:20" ht="15" customHeight="1" x14ac:dyDescent="0.3">
      <c r="A531" s="18">
        <v>46254</v>
      </c>
      <c r="B531" s="68">
        <f t="shared" si="134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1"/>
        <v/>
      </c>
      <c r="K531" s="69" t="str">
        <f t="shared" si="132"/>
        <v/>
      </c>
      <c r="L531" s="70"/>
      <c r="M531" s="70"/>
      <c r="N531" s="70"/>
      <c r="O531" s="65"/>
      <c r="P531" s="65"/>
      <c r="Q531" s="71" t="str">
        <f t="shared" ca="1" si="133"/>
        <v/>
      </c>
      <c r="R531" s="63"/>
      <c r="S531" s="81"/>
    </row>
    <row r="532" spans="1:20" ht="15" customHeight="1" x14ac:dyDescent="0.3">
      <c r="A532" s="59">
        <v>46254</v>
      </c>
      <c r="B532" s="60">
        <f t="shared" si="134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1"/>
        <v/>
      </c>
      <c r="K532" s="64" t="str">
        <f t="shared" si="132"/>
        <v/>
      </c>
      <c r="L532" s="61"/>
      <c r="M532" s="61"/>
      <c r="N532" s="61"/>
      <c r="O532" s="65"/>
      <c r="P532" s="65"/>
      <c r="Q532" s="66" t="str">
        <f t="shared" ca="1" si="133"/>
        <v/>
      </c>
      <c r="R532" s="63"/>
      <c r="S532" s="81"/>
    </row>
    <row r="533" spans="1:20" ht="15" customHeight="1" x14ac:dyDescent="0.3">
      <c r="A533" s="18">
        <v>46254</v>
      </c>
      <c r="B533" s="68">
        <f t="shared" si="134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 x14ac:dyDescent="0.3">
      <c r="A534" s="59">
        <v>46254</v>
      </c>
      <c r="B534" s="60">
        <f t="shared" si="134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 x14ac:dyDescent="0.3">
      <c r="A535" s="18">
        <v>46254</v>
      </c>
      <c r="B535" s="68">
        <f t="shared" si="134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 x14ac:dyDescent="0.3">
      <c r="A536" s="59">
        <v>46254</v>
      </c>
      <c r="B536" s="60">
        <f t="shared" si="134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 x14ac:dyDescent="0.3">
      <c r="A537" s="18">
        <v>46254</v>
      </c>
      <c r="B537" s="68">
        <f t="shared" si="134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 x14ac:dyDescent="0.3">
      <c r="A538" s="59">
        <v>46254</v>
      </c>
      <c r="B538" s="60">
        <f t="shared" si="134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 x14ac:dyDescent="0.3">
      <c r="A539" s="18">
        <v>46254</v>
      </c>
      <c r="B539" s="68">
        <f t="shared" si="134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72"/>
      <c r="P540" s="72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76"/>
      <c r="P541" s="76"/>
      <c r="Q541" s="77">
        <f ca="1">IFERROR(Q527+Q540,"")</f>
        <v>0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 x14ac:dyDescent="0.3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 x14ac:dyDescent="0.3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 x14ac:dyDescent="0.3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 x14ac:dyDescent="0.3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 x14ac:dyDescent="0.3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 x14ac:dyDescent="0.3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 x14ac:dyDescent="0.3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 x14ac:dyDescent="0.3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 x14ac:dyDescent="0.3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 x14ac:dyDescent="0.3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 x14ac:dyDescent="0.3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 x14ac:dyDescent="0.3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 x14ac:dyDescent="0.3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 x14ac:dyDescent="0.3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 x14ac:dyDescent="0.3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 x14ac:dyDescent="0.3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 x14ac:dyDescent="0.3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 x14ac:dyDescent="0.3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 x14ac:dyDescent="0.3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 x14ac:dyDescent="0.3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 x14ac:dyDescent="0.3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 x14ac:dyDescent="0.3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 x14ac:dyDescent="0.3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 x14ac:dyDescent="0.3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 x14ac:dyDescent="0.3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 x14ac:dyDescent="0.3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 x14ac:dyDescent="0.3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 x14ac:dyDescent="0.3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 x14ac:dyDescent="0.3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 x14ac:dyDescent="0.3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 x14ac:dyDescent="0.3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 x14ac:dyDescent="0.3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 x14ac:dyDescent="0.3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 x14ac:dyDescent="0.3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 x14ac:dyDescent="0.3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 x14ac:dyDescent="0.3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 x14ac:dyDescent="0.3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 x14ac:dyDescent="0.3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 x14ac:dyDescent="0.3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 x14ac:dyDescent="0.3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 x14ac:dyDescent="0.3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 x14ac:dyDescent="0.3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 x14ac:dyDescent="0.3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 x14ac:dyDescent="0.3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 x14ac:dyDescent="0.3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 x14ac:dyDescent="0.3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 x14ac:dyDescent="0.3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 x14ac:dyDescent="0.3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 x14ac:dyDescent="0.3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 x14ac:dyDescent="0.3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 x14ac:dyDescent="0.3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 x14ac:dyDescent="0.3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 x14ac:dyDescent="0.3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 x14ac:dyDescent="0.3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 x14ac:dyDescent="0.3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 x14ac:dyDescent="0.3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 x14ac:dyDescent="0.3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 x14ac:dyDescent="0.3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 x14ac:dyDescent="0.3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 x14ac:dyDescent="0.3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 x14ac:dyDescent="0.3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 x14ac:dyDescent="0.3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 x14ac:dyDescent="0.3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 x14ac:dyDescent="0.3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 x14ac:dyDescent="0.3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 x14ac:dyDescent="0.3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 x14ac:dyDescent="0.3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 x14ac:dyDescent="0.3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 x14ac:dyDescent="0.3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 x14ac:dyDescent="0.3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 x14ac:dyDescent="0.3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 x14ac:dyDescent="0.3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 x14ac:dyDescent="0.3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 x14ac:dyDescent="0.3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 x14ac:dyDescent="0.3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 x14ac:dyDescent="0.3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 x14ac:dyDescent="0.3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 x14ac:dyDescent="0.3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 x14ac:dyDescent="0.3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 x14ac:dyDescent="0.3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 x14ac:dyDescent="0.3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 x14ac:dyDescent="0.3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 x14ac:dyDescent="0.3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 x14ac:dyDescent="0.3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 x14ac:dyDescent="0.3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 x14ac:dyDescent="0.3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 x14ac:dyDescent="0.3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 x14ac:dyDescent="0.3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 x14ac:dyDescent="0.3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 x14ac:dyDescent="0.3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 x14ac:dyDescent="0.3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 x14ac:dyDescent="0.3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 x14ac:dyDescent="0.3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 x14ac:dyDescent="0.3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 x14ac:dyDescent="0.3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 x14ac:dyDescent="0.3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 x14ac:dyDescent="0.3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 x14ac:dyDescent="0.3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 x14ac:dyDescent="0.3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 x14ac:dyDescent="0.3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 x14ac:dyDescent="0.3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 x14ac:dyDescent="0.3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 x14ac:dyDescent="0.3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 x14ac:dyDescent="0.3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 x14ac:dyDescent="0.3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 x14ac:dyDescent="0.3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 x14ac:dyDescent="0.3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 x14ac:dyDescent="0.3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 x14ac:dyDescent="0.3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 x14ac:dyDescent="0.3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 x14ac:dyDescent="0.3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 x14ac:dyDescent="0.3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 x14ac:dyDescent="0.3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 x14ac:dyDescent="0.3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 x14ac:dyDescent="0.3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 x14ac:dyDescent="0.3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 x14ac:dyDescent="0.3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 x14ac:dyDescent="0.3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 x14ac:dyDescent="0.3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 x14ac:dyDescent="0.3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 x14ac:dyDescent="0.3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 x14ac:dyDescent="0.3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 x14ac:dyDescent="0.3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 x14ac:dyDescent="0.3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 x14ac:dyDescent="0.3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 x14ac:dyDescent="0.3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 x14ac:dyDescent="0.3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 x14ac:dyDescent="0.3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 x14ac:dyDescent="0.3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 x14ac:dyDescent="0.3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 x14ac:dyDescent="0.3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 x14ac:dyDescent="0.3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 x14ac:dyDescent="0.3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 x14ac:dyDescent="0.3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 x14ac:dyDescent="0.3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 x14ac:dyDescent="0.3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 x14ac:dyDescent="0.3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 x14ac:dyDescent="0.3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 x14ac:dyDescent="0.3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 x14ac:dyDescent="0.3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 x14ac:dyDescent="0.3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 x14ac:dyDescent="0.3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 x14ac:dyDescent="0.3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 x14ac:dyDescent="0.3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 x14ac:dyDescent="0.3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 x14ac:dyDescent="0.3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 x14ac:dyDescent="0.3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 x14ac:dyDescent="0.3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 x14ac:dyDescent="0.3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 x14ac:dyDescent="0.3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 x14ac:dyDescent="0.3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 x14ac:dyDescent="0.3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 x14ac:dyDescent="0.3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 x14ac:dyDescent="0.3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 x14ac:dyDescent="0.3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 x14ac:dyDescent="0.3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 x14ac:dyDescent="0.3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 x14ac:dyDescent="0.3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 x14ac:dyDescent="0.3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 x14ac:dyDescent="0.3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 x14ac:dyDescent="0.3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 x14ac:dyDescent="0.3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 x14ac:dyDescent="0.3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 x14ac:dyDescent="0.3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 x14ac:dyDescent="0.3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 x14ac:dyDescent="0.3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 x14ac:dyDescent="0.3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 x14ac:dyDescent="0.3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 x14ac:dyDescent="0.3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 x14ac:dyDescent="0.3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 x14ac:dyDescent="0.3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 x14ac:dyDescent="0.3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 x14ac:dyDescent="0.3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 x14ac:dyDescent="0.3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 x14ac:dyDescent="0.3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 x14ac:dyDescent="0.3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 x14ac:dyDescent="0.3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 x14ac:dyDescent="0.3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 x14ac:dyDescent="0.3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 x14ac:dyDescent="0.3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 x14ac:dyDescent="0.3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 x14ac:dyDescent="0.3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 x14ac:dyDescent="0.3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 x14ac:dyDescent="0.3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 x14ac:dyDescent="0.3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 x14ac:dyDescent="0.3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 x14ac:dyDescent="0.3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 x14ac:dyDescent="0.3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 x14ac:dyDescent="0.3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 x14ac:dyDescent="0.3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 x14ac:dyDescent="0.3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 x14ac:dyDescent="0.3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 x14ac:dyDescent="0.3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 x14ac:dyDescent="0.3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 x14ac:dyDescent="0.3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 x14ac:dyDescent="0.3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 x14ac:dyDescent="0.3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 x14ac:dyDescent="0.3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 x14ac:dyDescent="0.3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 x14ac:dyDescent="0.3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 x14ac:dyDescent="0.3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 x14ac:dyDescent="0.3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 x14ac:dyDescent="0.3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 x14ac:dyDescent="0.3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 x14ac:dyDescent="0.3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 x14ac:dyDescent="0.3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 x14ac:dyDescent="0.3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 x14ac:dyDescent="0.3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 x14ac:dyDescent="0.3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 x14ac:dyDescent="0.3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 x14ac:dyDescent="0.3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 x14ac:dyDescent="0.3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 x14ac:dyDescent="0.3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 x14ac:dyDescent="0.3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 x14ac:dyDescent="0.3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 x14ac:dyDescent="0.3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 x14ac:dyDescent="0.3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 x14ac:dyDescent="0.3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 x14ac:dyDescent="0.3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 x14ac:dyDescent="0.3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 x14ac:dyDescent="0.3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 x14ac:dyDescent="0.3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 x14ac:dyDescent="0.3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 x14ac:dyDescent="0.3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 x14ac:dyDescent="0.3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 x14ac:dyDescent="0.3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 x14ac:dyDescent="0.3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 x14ac:dyDescent="0.3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 x14ac:dyDescent="0.3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 x14ac:dyDescent="0.3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 x14ac:dyDescent="0.3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 x14ac:dyDescent="0.3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 x14ac:dyDescent="0.3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 x14ac:dyDescent="0.3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 x14ac:dyDescent="0.3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 x14ac:dyDescent="0.3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 x14ac:dyDescent="0.3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 x14ac:dyDescent="0.3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 x14ac:dyDescent="0.3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 x14ac:dyDescent="0.3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 x14ac:dyDescent="0.3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 x14ac:dyDescent="0.3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3hmlhIcUQV7Y6ENVl+tFI7NIhDBthph4zxvmVh6MTWWMhnR4Eb53YRgxkPHZd5tz5f68fercbK+rQBiJRqvCwQ==" saltValue="vb34SkKuNHTnGQz24y/YF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4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5" zoomScaleNormal="85" workbookViewId="0">
      <pane ySplit="1" topLeftCell="A492" activePane="bottomLeft" state="frozen"/>
      <selection pane="bottomLeft" activeCell="D512" sqref="D501:D512"/>
    </sheetView>
  </sheetViews>
  <sheetFormatPr defaultColWidth="8.5546875" defaultRowHeight="14.4" x14ac:dyDescent="0.3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8671875" style="131" hidden="1" customWidth="1"/>
    <col min="7" max="7" width="13" style="131" customWidth="1"/>
    <col min="8" max="8" width="15.88671875" style="131" hidden="1" customWidth="1"/>
    <col min="9" max="10" width="13.88671875" style="131" hidden="1" customWidth="1"/>
    <col min="11" max="11" width="14" style="131" customWidth="1"/>
    <col min="12" max="12" width="36" style="131" customWidth="1"/>
    <col min="13" max="13" width="25.109375" style="131" customWidth="1"/>
    <col min="14" max="14" width="42.109375" style="131" customWidth="1"/>
    <col min="15" max="15" width="18.44140625" style="131" customWidth="1"/>
    <col min="16" max="16" width="14" style="132" customWidth="1"/>
    <col min="17" max="17" width="14" style="131" customWidth="1"/>
    <col min="18" max="18" width="64.88671875" style="131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295</v>
      </c>
      <c r="I1" s="86" t="s">
        <v>22</v>
      </c>
      <c r="J1" s="86" t="s">
        <v>296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296</v>
      </c>
    </row>
    <row r="2" spans="1:20" ht="15" customHeight="1" x14ac:dyDescent="0.3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 x14ac:dyDescent="0.3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 x14ac:dyDescent="0.3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 x14ac:dyDescent="0.3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 x14ac:dyDescent="0.3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 x14ac:dyDescent="0.3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 x14ac:dyDescent="0.3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 x14ac:dyDescent="0.3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 x14ac:dyDescent="0.3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 x14ac:dyDescent="0.3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 x14ac:dyDescent="0.3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 x14ac:dyDescent="0.3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 x14ac:dyDescent="0.3">
      <c r="A14" s="164" t="s">
        <v>260</v>
      </c>
      <c r="B14" s="164"/>
      <c r="C14" s="164"/>
      <c r="D14" s="164"/>
      <c r="E14" s="164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 x14ac:dyDescent="0.3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 x14ac:dyDescent="0.3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363</v>
      </c>
      <c r="S16" s="133"/>
    </row>
    <row r="17" spans="1:20" ht="15" customHeight="1" x14ac:dyDescent="0.3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303</v>
      </c>
      <c r="S17" s="133"/>
    </row>
    <row r="18" spans="1:20" ht="15" customHeight="1" x14ac:dyDescent="0.3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338</v>
      </c>
      <c r="S18" s="133"/>
    </row>
    <row r="19" spans="1:20" ht="15" customHeight="1" x14ac:dyDescent="0.3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364</v>
      </c>
      <c r="S19" s="133"/>
    </row>
    <row r="20" spans="1:20" ht="15" customHeight="1" x14ac:dyDescent="0.3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 x14ac:dyDescent="0.3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 x14ac:dyDescent="0.3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365</v>
      </c>
      <c r="S22" s="133"/>
    </row>
    <row r="23" spans="1:20" ht="15" customHeight="1" x14ac:dyDescent="0.3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 x14ac:dyDescent="0.3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 x14ac:dyDescent="0.3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 x14ac:dyDescent="0.3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 x14ac:dyDescent="0.3">
      <c r="A27" s="164" t="s">
        <v>263</v>
      </c>
      <c r="B27" s="164"/>
      <c r="C27" s="164"/>
      <c r="D27" s="164"/>
      <c r="E27" s="164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 x14ac:dyDescent="0.3">
      <c r="A28" s="165" t="s">
        <v>249</v>
      </c>
      <c r="B28" s="165"/>
      <c r="C28" s="165"/>
      <c r="D28" s="165"/>
      <c r="E28" s="165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 x14ac:dyDescent="0.3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 x14ac:dyDescent="0.3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 x14ac:dyDescent="0.3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 x14ac:dyDescent="0.3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 x14ac:dyDescent="0.3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 x14ac:dyDescent="0.3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 x14ac:dyDescent="0.3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 x14ac:dyDescent="0.3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 x14ac:dyDescent="0.3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 x14ac:dyDescent="0.3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 x14ac:dyDescent="0.3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 x14ac:dyDescent="0.3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 x14ac:dyDescent="0.3">
      <c r="A41" s="164" t="s">
        <v>260</v>
      </c>
      <c r="B41" s="164"/>
      <c r="C41" s="164"/>
      <c r="D41" s="164"/>
      <c r="E41" s="164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 x14ac:dyDescent="0.3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 x14ac:dyDescent="0.3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 x14ac:dyDescent="0.3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 x14ac:dyDescent="0.3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366</v>
      </c>
      <c r="S45" s="133"/>
    </row>
    <row r="46" spans="1:20" ht="15" customHeight="1" x14ac:dyDescent="0.3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 x14ac:dyDescent="0.3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 x14ac:dyDescent="0.3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 x14ac:dyDescent="0.3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 x14ac:dyDescent="0.3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 x14ac:dyDescent="0.3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 x14ac:dyDescent="0.3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 x14ac:dyDescent="0.3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 x14ac:dyDescent="0.3">
      <c r="A54" s="164" t="s">
        <v>263</v>
      </c>
      <c r="B54" s="164"/>
      <c r="C54" s="164"/>
      <c r="D54" s="164"/>
      <c r="E54" s="164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 x14ac:dyDescent="0.3">
      <c r="A55" s="165" t="s">
        <v>249</v>
      </c>
      <c r="B55" s="165"/>
      <c r="C55" s="165"/>
      <c r="D55" s="165"/>
      <c r="E55" s="165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 x14ac:dyDescent="0.3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 x14ac:dyDescent="0.3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 x14ac:dyDescent="0.3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 x14ac:dyDescent="0.3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367</v>
      </c>
      <c r="S59" s="133"/>
    </row>
    <row r="60" spans="1:20" ht="15" customHeight="1" x14ac:dyDescent="0.3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368</v>
      </c>
      <c r="S60" s="133"/>
    </row>
    <row r="61" spans="1:20" ht="15" customHeight="1" x14ac:dyDescent="0.3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 x14ac:dyDescent="0.3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 x14ac:dyDescent="0.3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 x14ac:dyDescent="0.3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 x14ac:dyDescent="0.3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 x14ac:dyDescent="0.3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 x14ac:dyDescent="0.3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 x14ac:dyDescent="0.3">
      <c r="A68" s="164" t="s">
        <v>260</v>
      </c>
      <c r="B68" s="164"/>
      <c r="C68" s="164"/>
      <c r="D68" s="164"/>
      <c r="E68" s="164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 x14ac:dyDescent="0.3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369</v>
      </c>
      <c r="S69" s="133"/>
    </row>
    <row r="70" spans="1:20" ht="15" customHeight="1" x14ac:dyDescent="0.3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 x14ac:dyDescent="0.3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 x14ac:dyDescent="0.3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338</v>
      </c>
      <c r="S72" s="133"/>
    </row>
    <row r="73" spans="1:20" ht="15" customHeight="1" x14ac:dyDescent="0.3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 x14ac:dyDescent="0.3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 x14ac:dyDescent="0.3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 x14ac:dyDescent="0.3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 x14ac:dyDescent="0.3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 x14ac:dyDescent="0.3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 x14ac:dyDescent="0.3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 x14ac:dyDescent="0.3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 x14ac:dyDescent="0.3">
      <c r="A81" s="164" t="s">
        <v>263</v>
      </c>
      <c r="B81" s="164"/>
      <c r="C81" s="164"/>
      <c r="D81" s="164"/>
      <c r="E81" s="164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 x14ac:dyDescent="0.3">
      <c r="A82" s="165" t="s">
        <v>249</v>
      </c>
      <c r="B82" s="165"/>
      <c r="C82" s="165"/>
      <c r="D82" s="165"/>
      <c r="E82" s="165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 x14ac:dyDescent="0.3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 x14ac:dyDescent="0.3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 x14ac:dyDescent="0.3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 x14ac:dyDescent="0.3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 x14ac:dyDescent="0.3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 x14ac:dyDescent="0.3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 x14ac:dyDescent="0.3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 x14ac:dyDescent="0.3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 x14ac:dyDescent="0.3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 x14ac:dyDescent="0.3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 x14ac:dyDescent="0.3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 x14ac:dyDescent="0.3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 x14ac:dyDescent="0.3">
      <c r="A95" s="164" t="s">
        <v>260</v>
      </c>
      <c r="B95" s="164"/>
      <c r="C95" s="164"/>
      <c r="D95" s="164"/>
      <c r="E95" s="164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 x14ac:dyDescent="0.3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 x14ac:dyDescent="0.3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338</v>
      </c>
      <c r="S97" s="133"/>
    </row>
    <row r="98" spans="1:20" ht="15" customHeight="1" x14ac:dyDescent="0.3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 x14ac:dyDescent="0.3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 x14ac:dyDescent="0.3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 x14ac:dyDescent="0.3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 x14ac:dyDescent="0.3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 x14ac:dyDescent="0.3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 x14ac:dyDescent="0.3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 x14ac:dyDescent="0.3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 x14ac:dyDescent="0.3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 x14ac:dyDescent="0.3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 x14ac:dyDescent="0.3">
      <c r="A108" s="164" t="s">
        <v>263</v>
      </c>
      <c r="B108" s="164"/>
      <c r="C108" s="164"/>
      <c r="D108" s="164"/>
      <c r="E108" s="164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 x14ac:dyDescent="0.3">
      <c r="A109" s="165" t="s">
        <v>249</v>
      </c>
      <c r="B109" s="165"/>
      <c r="C109" s="165"/>
      <c r="D109" s="165"/>
      <c r="E109" s="165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 x14ac:dyDescent="0.3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 x14ac:dyDescent="0.3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 x14ac:dyDescent="0.3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 x14ac:dyDescent="0.3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 x14ac:dyDescent="0.3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370</v>
      </c>
      <c r="S114" s="133"/>
    </row>
    <row r="115" spans="1:20" ht="15" customHeight="1" x14ac:dyDescent="0.3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 x14ac:dyDescent="0.3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 x14ac:dyDescent="0.3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 x14ac:dyDescent="0.3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 x14ac:dyDescent="0.3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 x14ac:dyDescent="0.3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 x14ac:dyDescent="0.3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 x14ac:dyDescent="0.3">
      <c r="A122" s="164" t="s">
        <v>260</v>
      </c>
      <c r="B122" s="164"/>
      <c r="C122" s="164"/>
      <c r="D122" s="164"/>
      <c r="E122" s="164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 x14ac:dyDescent="0.3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 x14ac:dyDescent="0.3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371</v>
      </c>
      <c r="S124" s="133"/>
    </row>
    <row r="125" spans="1:20" ht="15" customHeight="1" x14ac:dyDescent="0.3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 x14ac:dyDescent="0.3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 x14ac:dyDescent="0.3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306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 x14ac:dyDescent="0.3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 x14ac:dyDescent="0.3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338</v>
      </c>
      <c r="S129" s="133"/>
    </row>
    <row r="130" spans="1:22" ht="15" customHeight="1" x14ac:dyDescent="0.3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 x14ac:dyDescent="0.3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 x14ac:dyDescent="0.3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 x14ac:dyDescent="0.3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 x14ac:dyDescent="0.3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 x14ac:dyDescent="0.3">
      <c r="A135" s="164" t="s">
        <v>263</v>
      </c>
      <c r="B135" s="164"/>
      <c r="C135" s="164"/>
      <c r="D135" s="164"/>
      <c r="E135" s="164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 x14ac:dyDescent="0.3">
      <c r="A136" s="165" t="s">
        <v>249</v>
      </c>
      <c r="B136" s="165"/>
      <c r="C136" s="165"/>
      <c r="D136" s="165"/>
      <c r="E136" s="165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 x14ac:dyDescent="0.3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 x14ac:dyDescent="0.3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372</v>
      </c>
      <c r="S138" s="67"/>
    </row>
    <row r="139" spans="1:22" ht="15" customHeight="1" x14ac:dyDescent="0.3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373</v>
      </c>
      <c r="S139" s="67"/>
    </row>
    <row r="140" spans="1:22" ht="15" customHeight="1" x14ac:dyDescent="0.3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 x14ac:dyDescent="0.3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 x14ac:dyDescent="0.3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 x14ac:dyDescent="0.3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 x14ac:dyDescent="0.3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 x14ac:dyDescent="0.3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 x14ac:dyDescent="0.3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314</v>
      </c>
      <c r="S146" s="67"/>
    </row>
    <row r="147" spans="1:20" ht="15" customHeight="1" x14ac:dyDescent="0.3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 x14ac:dyDescent="0.3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 x14ac:dyDescent="0.3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 x14ac:dyDescent="0.3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374</v>
      </c>
      <c r="S150" s="67"/>
    </row>
    <row r="151" spans="1:20" ht="15" customHeight="1" x14ac:dyDescent="0.3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375</v>
      </c>
      <c r="S151" s="67"/>
    </row>
    <row r="152" spans="1:20" ht="15" customHeight="1" x14ac:dyDescent="0.3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 x14ac:dyDescent="0.3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 x14ac:dyDescent="0.3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 x14ac:dyDescent="0.3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 x14ac:dyDescent="0.3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 x14ac:dyDescent="0.3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 x14ac:dyDescent="0.3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 x14ac:dyDescent="0.3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 x14ac:dyDescent="0.3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 x14ac:dyDescent="0.3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 x14ac:dyDescent="0.3">
      <c r="A162" s="164" t="s">
        <v>263</v>
      </c>
      <c r="B162" s="164"/>
      <c r="C162" s="164"/>
      <c r="D162" s="164"/>
      <c r="E162" s="164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 x14ac:dyDescent="0.3">
      <c r="A163" s="165" t="s">
        <v>249</v>
      </c>
      <c r="B163" s="165"/>
      <c r="C163" s="165"/>
      <c r="D163" s="165"/>
      <c r="E163" s="165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 x14ac:dyDescent="0.3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 x14ac:dyDescent="0.3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 x14ac:dyDescent="0.3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 x14ac:dyDescent="0.3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 x14ac:dyDescent="0.3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 x14ac:dyDescent="0.3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376</v>
      </c>
      <c r="S170" s="67"/>
    </row>
    <row r="171" spans="1:20" ht="15" customHeight="1" x14ac:dyDescent="0.3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 x14ac:dyDescent="0.3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 x14ac:dyDescent="0.3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 x14ac:dyDescent="0.3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 x14ac:dyDescent="0.3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 x14ac:dyDescent="0.3">
      <c r="A176" s="164" t="s">
        <v>260</v>
      </c>
      <c r="B176" s="164"/>
      <c r="C176" s="164"/>
      <c r="D176" s="164"/>
      <c r="E176" s="164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 x14ac:dyDescent="0.3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377</v>
      </c>
      <c r="S177" s="67"/>
    </row>
    <row r="178" spans="1:20" ht="15" customHeight="1" x14ac:dyDescent="0.3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 x14ac:dyDescent="0.3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 x14ac:dyDescent="0.3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 x14ac:dyDescent="0.3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 x14ac:dyDescent="0.3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 x14ac:dyDescent="0.3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 x14ac:dyDescent="0.3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 x14ac:dyDescent="0.3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 x14ac:dyDescent="0.3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 x14ac:dyDescent="0.3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 x14ac:dyDescent="0.3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 x14ac:dyDescent="0.3">
      <c r="A189" s="164" t="s">
        <v>263</v>
      </c>
      <c r="B189" s="164"/>
      <c r="C189" s="164"/>
      <c r="D189" s="164"/>
      <c r="E189" s="164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 x14ac:dyDescent="0.3">
      <c r="A190" s="165" t="s">
        <v>249</v>
      </c>
      <c r="B190" s="165"/>
      <c r="C190" s="165"/>
      <c r="D190" s="165"/>
      <c r="E190" s="165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 x14ac:dyDescent="0.3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378</v>
      </c>
      <c r="S192" s="67"/>
    </row>
    <row r="193" spans="1:20" ht="15" customHeight="1" x14ac:dyDescent="0.3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 x14ac:dyDescent="0.3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 x14ac:dyDescent="0.3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 x14ac:dyDescent="0.3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 x14ac:dyDescent="0.3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 x14ac:dyDescent="0.3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 x14ac:dyDescent="0.3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 x14ac:dyDescent="0.3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 x14ac:dyDescent="0.3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 x14ac:dyDescent="0.3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 x14ac:dyDescent="0.3">
      <c r="A203" s="164" t="s">
        <v>260</v>
      </c>
      <c r="B203" s="164"/>
      <c r="C203" s="164"/>
      <c r="D203" s="164"/>
      <c r="E203" s="164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 x14ac:dyDescent="0.3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379</v>
      </c>
      <c r="S204" s="133"/>
    </row>
    <row r="205" spans="1:20" ht="15" customHeight="1" x14ac:dyDescent="0.3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380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 x14ac:dyDescent="0.3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381</v>
      </c>
      <c r="S206" s="133"/>
    </row>
    <row r="207" spans="1:20" ht="15" customHeight="1" x14ac:dyDescent="0.3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 x14ac:dyDescent="0.3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 x14ac:dyDescent="0.3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 x14ac:dyDescent="0.3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 x14ac:dyDescent="0.3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 x14ac:dyDescent="0.3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 x14ac:dyDescent="0.3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 x14ac:dyDescent="0.3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 x14ac:dyDescent="0.3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 x14ac:dyDescent="0.3">
      <c r="A216" s="164" t="s">
        <v>263</v>
      </c>
      <c r="B216" s="164"/>
      <c r="C216" s="164"/>
      <c r="D216" s="164"/>
      <c r="E216" s="164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 x14ac:dyDescent="0.3">
      <c r="A217" s="165" t="s">
        <v>249</v>
      </c>
      <c r="B217" s="165"/>
      <c r="C217" s="165"/>
      <c r="D217" s="165"/>
      <c r="E217" s="165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 x14ac:dyDescent="0.3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 x14ac:dyDescent="0.3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 x14ac:dyDescent="0.3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382</v>
      </c>
      <c r="S220" s="133"/>
    </row>
    <row r="221" spans="1:20" ht="15" customHeight="1" x14ac:dyDescent="0.3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383</v>
      </c>
      <c r="S221" s="133"/>
    </row>
    <row r="222" spans="1:20" ht="15" customHeight="1" x14ac:dyDescent="0.3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 x14ac:dyDescent="0.3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 x14ac:dyDescent="0.3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 x14ac:dyDescent="0.3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 x14ac:dyDescent="0.3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 x14ac:dyDescent="0.3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 x14ac:dyDescent="0.3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 x14ac:dyDescent="0.3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 x14ac:dyDescent="0.3">
      <c r="A230" s="164" t="s">
        <v>260</v>
      </c>
      <c r="B230" s="164"/>
      <c r="C230" s="164"/>
      <c r="D230" s="164"/>
      <c r="E230" s="164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 x14ac:dyDescent="0.3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384</v>
      </c>
      <c r="S231" s="133"/>
    </row>
    <row r="232" spans="1:20" ht="15" customHeight="1" x14ac:dyDescent="0.3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385</v>
      </c>
      <c r="S232" s="133"/>
    </row>
    <row r="233" spans="1:20" ht="15" customHeight="1" x14ac:dyDescent="0.3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 x14ac:dyDescent="0.3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 x14ac:dyDescent="0.3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 x14ac:dyDescent="0.3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 x14ac:dyDescent="0.3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 x14ac:dyDescent="0.3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 x14ac:dyDescent="0.3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 x14ac:dyDescent="0.3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 x14ac:dyDescent="0.3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 x14ac:dyDescent="0.3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 x14ac:dyDescent="0.3">
      <c r="A243" s="164" t="s">
        <v>263</v>
      </c>
      <c r="B243" s="164"/>
      <c r="C243" s="164"/>
      <c r="D243" s="164"/>
      <c r="E243" s="164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 x14ac:dyDescent="0.3">
      <c r="A244" s="165" t="s">
        <v>249</v>
      </c>
      <c r="B244" s="165"/>
      <c r="C244" s="165"/>
      <c r="D244" s="165"/>
      <c r="E244" s="165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 x14ac:dyDescent="0.3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 x14ac:dyDescent="0.3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 x14ac:dyDescent="0.3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 x14ac:dyDescent="0.3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 x14ac:dyDescent="0.3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386</v>
      </c>
      <c r="S249" s="133"/>
    </row>
    <row r="250" spans="1:20" ht="15" customHeight="1" x14ac:dyDescent="0.3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 x14ac:dyDescent="0.3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 x14ac:dyDescent="0.3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 x14ac:dyDescent="0.3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 x14ac:dyDescent="0.3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 x14ac:dyDescent="0.3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 x14ac:dyDescent="0.3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 x14ac:dyDescent="0.3">
      <c r="A257" s="164" t="s">
        <v>260</v>
      </c>
      <c r="B257" s="164"/>
      <c r="C257" s="164"/>
      <c r="D257" s="164"/>
      <c r="E257" s="164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 x14ac:dyDescent="0.3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 x14ac:dyDescent="0.3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 x14ac:dyDescent="0.3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 x14ac:dyDescent="0.3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 x14ac:dyDescent="0.3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 x14ac:dyDescent="0.3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 x14ac:dyDescent="0.3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 x14ac:dyDescent="0.3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 x14ac:dyDescent="0.3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 x14ac:dyDescent="0.3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 x14ac:dyDescent="0.3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 x14ac:dyDescent="0.3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 x14ac:dyDescent="0.3">
      <c r="A270" s="164" t="s">
        <v>263</v>
      </c>
      <c r="B270" s="164"/>
      <c r="C270" s="164"/>
      <c r="D270" s="164"/>
      <c r="E270" s="164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 x14ac:dyDescent="0.3">
      <c r="A271" s="165" t="s">
        <v>249</v>
      </c>
      <c r="B271" s="165"/>
      <c r="C271" s="165"/>
      <c r="D271" s="165"/>
      <c r="E271" s="165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 x14ac:dyDescent="0.3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 x14ac:dyDescent="0.3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 x14ac:dyDescent="0.3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 x14ac:dyDescent="0.3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 x14ac:dyDescent="0.3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 x14ac:dyDescent="0.3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 x14ac:dyDescent="0.3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 x14ac:dyDescent="0.3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 x14ac:dyDescent="0.3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 x14ac:dyDescent="0.3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 x14ac:dyDescent="0.3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 x14ac:dyDescent="0.3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 x14ac:dyDescent="0.3">
      <c r="A284" s="164" t="s">
        <v>260</v>
      </c>
      <c r="B284" s="164"/>
      <c r="C284" s="164"/>
      <c r="D284" s="164"/>
      <c r="E284" s="164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 x14ac:dyDescent="0.3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 x14ac:dyDescent="0.3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 x14ac:dyDescent="0.3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 x14ac:dyDescent="0.3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 x14ac:dyDescent="0.3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 x14ac:dyDescent="0.3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 x14ac:dyDescent="0.3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 x14ac:dyDescent="0.3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 x14ac:dyDescent="0.3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 x14ac:dyDescent="0.3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 x14ac:dyDescent="0.3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 x14ac:dyDescent="0.3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 x14ac:dyDescent="0.3">
      <c r="A297" s="164" t="s">
        <v>263</v>
      </c>
      <c r="B297" s="164"/>
      <c r="C297" s="164"/>
      <c r="D297" s="164"/>
      <c r="E297" s="164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 x14ac:dyDescent="0.3">
      <c r="A298" s="165" t="s">
        <v>249</v>
      </c>
      <c r="B298" s="165"/>
      <c r="C298" s="165"/>
      <c r="D298" s="165"/>
      <c r="E298" s="165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 x14ac:dyDescent="0.3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 x14ac:dyDescent="0.3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 x14ac:dyDescent="0.3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 x14ac:dyDescent="0.3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 x14ac:dyDescent="0.3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 x14ac:dyDescent="0.3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 x14ac:dyDescent="0.3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 x14ac:dyDescent="0.3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 x14ac:dyDescent="0.3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 x14ac:dyDescent="0.3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 x14ac:dyDescent="0.3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 x14ac:dyDescent="0.3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 x14ac:dyDescent="0.3">
      <c r="A311" s="164" t="s">
        <v>260</v>
      </c>
      <c r="B311" s="164"/>
      <c r="C311" s="164"/>
      <c r="D311" s="164"/>
      <c r="E311" s="164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 x14ac:dyDescent="0.3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 x14ac:dyDescent="0.3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 x14ac:dyDescent="0.3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 x14ac:dyDescent="0.3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 x14ac:dyDescent="0.3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 x14ac:dyDescent="0.3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 x14ac:dyDescent="0.3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 x14ac:dyDescent="0.3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 x14ac:dyDescent="0.3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 x14ac:dyDescent="0.3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 x14ac:dyDescent="0.3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 x14ac:dyDescent="0.3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 x14ac:dyDescent="0.3">
      <c r="A324" s="164" t="s">
        <v>263</v>
      </c>
      <c r="B324" s="164"/>
      <c r="C324" s="164"/>
      <c r="D324" s="164"/>
      <c r="E324" s="164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 x14ac:dyDescent="0.3">
      <c r="A325" s="165" t="s">
        <v>249</v>
      </c>
      <c r="B325" s="165"/>
      <c r="C325" s="165"/>
      <c r="D325" s="165"/>
      <c r="E325" s="165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 x14ac:dyDescent="0.3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 x14ac:dyDescent="0.3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 x14ac:dyDescent="0.3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 x14ac:dyDescent="0.3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 x14ac:dyDescent="0.3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 x14ac:dyDescent="0.3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 x14ac:dyDescent="0.3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 x14ac:dyDescent="0.3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 x14ac:dyDescent="0.3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 x14ac:dyDescent="0.3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 x14ac:dyDescent="0.3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 x14ac:dyDescent="0.3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 x14ac:dyDescent="0.3">
      <c r="A338" s="164" t="s">
        <v>260</v>
      </c>
      <c r="B338" s="164"/>
      <c r="C338" s="164"/>
      <c r="D338" s="164"/>
      <c r="E338" s="164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 x14ac:dyDescent="0.3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 x14ac:dyDescent="0.3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 x14ac:dyDescent="0.3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 x14ac:dyDescent="0.3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 x14ac:dyDescent="0.3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 x14ac:dyDescent="0.3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 x14ac:dyDescent="0.3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 x14ac:dyDescent="0.3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387</v>
      </c>
      <c r="S346" s="133"/>
    </row>
    <row r="347" spans="1:20" ht="15" customHeight="1" x14ac:dyDescent="0.3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388</v>
      </c>
      <c r="S347" s="133"/>
    </row>
    <row r="348" spans="1:20" ht="15" customHeight="1" x14ac:dyDescent="0.3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 x14ac:dyDescent="0.3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 x14ac:dyDescent="0.3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 x14ac:dyDescent="0.3">
      <c r="A351" s="164" t="s">
        <v>263</v>
      </c>
      <c r="B351" s="164"/>
      <c r="C351" s="164"/>
      <c r="D351" s="164"/>
      <c r="E351" s="164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 x14ac:dyDescent="0.3">
      <c r="A352" s="165" t="s">
        <v>249</v>
      </c>
      <c r="B352" s="165"/>
      <c r="C352" s="165"/>
      <c r="D352" s="165"/>
      <c r="E352" s="165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 x14ac:dyDescent="0.3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 x14ac:dyDescent="0.3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 x14ac:dyDescent="0.3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 x14ac:dyDescent="0.3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389</v>
      </c>
      <c r="S356" s="133"/>
    </row>
    <row r="357" spans="1:20" ht="15" customHeight="1" x14ac:dyDescent="0.3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 x14ac:dyDescent="0.3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390</v>
      </c>
      <c r="S358" s="133"/>
    </row>
    <row r="359" spans="1:20" ht="15" customHeight="1" x14ac:dyDescent="0.3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 x14ac:dyDescent="0.3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 x14ac:dyDescent="0.3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 x14ac:dyDescent="0.3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 x14ac:dyDescent="0.3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 x14ac:dyDescent="0.3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 x14ac:dyDescent="0.3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 x14ac:dyDescent="0.3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 x14ac:dyDescent="0.3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 x14ac:dyDescent="0.3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 x14ac:dyDescent="0.3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 x14ac:dyDescent="0.3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 x14ac:dyDescent="0.3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 x14ac:dyDescent="0.3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391</v>
      </c>
      <c r="S372" s="133"/>
    </row>
    <row r="373" spans="1:20" ht="15" customHeight="1" x14ac:dyDescent="0.3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 x14ac:dyDescent="0.3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 x14ac:dyDescent="0.3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 x14ac:dyDescent="0.3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 x14ac:dyDescent="0.3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 x14ac:dyDescent="0.3">
      <c r="A378" s="164" t="s">
        <v>263</v>
      </c>
      <c r="B378" s="164"/>
      <c r="C378" s="164"/>
      <c r="D378" s="164"/>
      <c r="E378" s="164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 x14ac:dyDescent="0.3">
      <c r="A379" s="165" t="s">
        <v>249</v>
      </c>
      <c r="B379" s="165"/>
      <c r="C379" s="165"/>
      <c r="D379" s="165"/>
      <c r="E379" s="165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 x14ac:dyDescent="0.3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 x14ac:dyDescent="0.3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 x14ac:dyDescent="0.3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 x14ac:dyDescent="0.3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 x14ac:dyDescent="0.3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328</v>
      </c>
      <c r="S384" s="133"/>
    </row>
    <row r="385" spans="1:20" ht="15" customHeight="1" x14ac:dyDescent="0.3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392</v>
      </c>
      <c r="S385" s="133"/>
    </row>
    <row r="386" spans="1:20" ht="15" customHeight="1" x14ac:dyDescent="0.3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 x14ac:dyDescent="0.3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 x14ac:dyDescent="0.3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 x14ac:dyDescent="0.3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 x14ac:dyDescent="0.3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 x14ac:dyDescent="0.3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 x14ac:dyDescent="0.3">
      <c r="A392" s="164" t="s">
        <v>260</v>
      </c>
      <c r="B392" s="164"/>
      <c r="C392" s="164"/>
      <c r="D392" s="164"/>
      <c r="E392" s="164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 x14ac:dyDescent="0.3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 x14ac:dyDescent="0.3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393</v>
      </c>
      <c r="S394" s="133"/>
    </row>
    <row r="395" spans="1:20" ht="15" customHeight="1" x14ac:dyDescent="0.3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 x14ac:dyDescent="0.3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 x14ac:dyDescent="0.3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 x14ac:dyDescent="0.3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 x14ac:dyDescent="0.3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 x14ac:dyDescent="0.3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 x14ac:dyDescent="0.3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 x14ac:dyDescent="0.3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 x14ac:dyDescent="0.3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 x14ac:dyDescent="0.3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 x14ac:dyDescent="0.3">
      <c r="A405" s="164" t="s">
        <v>263</v>
      </c>
      <c r="B405" s="164"/>
      <c r="C405" s="164"/>
      <c r="D405" s="164"/>
      <c r="E405" s="164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 x14ac:dyDescent="0.3">
      <c r="A406" s="165" t="s">
        <v>249</v>
      </c>
      <c r="B406" s="165"/>
      <c r="C406" s="165"/>
      <c r="D406" s="165"/>
      <c r="E406" s="165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 x14ac:dyDescent="0.3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394</v>
      </c>
      <c r="S407" s="133"/>
    </row>
    <row r="408" spans="1:20" ht="15" customHeight="1" x14ac:dyDescent="0.3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 x14ac:dyDescent="0.3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 x14ac:dyDescent="0.3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 x14ac:dyDescent="0.3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 x14ac:dyDescent="0.3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 x14ac:dyDescent="0.3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 x14ac:dyDescent="0.3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 x14ac:dyDescent="0.3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 x14ac:dyDescent="0.3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 x14ac:dyDescent="0.3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 x14ac:dyDescent="0.3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 x14ac:dyDescent="0.3">
      <c r="A419" s="164" t="s">
        <v>260</v>
      </c>
      <c r="B419" s="164"/>
      <c r="C419" s="164"/>
      <c r="D419" s="164"/>
      <c r="E419" s="164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 x14ac:dyDescent="0.3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 x14ac:dyDescent="0.3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 x14ac:dyDescent="0.3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 x14ac:dyDescent="0.3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395</v>
      </c>
      <c r="S423" s="133"/>
    </row>
    <row r="424" spans="1:20" ht="15" customHeight="1" x14ac:dyDescent="0.3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 x14ac:dyDescent="0.3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 x14ac:dyDescent="0.3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 x14ac:dyDescent="0.3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 x14ac:dyDescent="0.3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 x14ac:dyDescent="0.3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 x14ac:dyDescent="0.3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 x14ac:dyDescent="0.3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 x14ac:dyDescent="0.3">
      <c r="A432" s="164" t="s">
        <v>263</v>
      </c>
      <c r="B432" s="164"/>
      <c r="C432" s="164"/>
      <c r="D432" s="164"/>
      <c r="E432" s="164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 x14ac:dyDescent="0.3">
      <c r="A433" s="165" t="s">
        <v>249</v>
      </c>
      <c r="B433" s="165"/>
      <c r="C433" s="165"/>
      <c r="D433" s="165"/>
      <c r="E433" s="165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 x14ac:dyDescent="0.3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 x14ac:dyDescent="0.3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 x14ac:dyDescent="0.3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 x14ac:dyDescent="0.3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 x14ac:dyDescent="0.3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 x14ac:dyDescent="0.3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 x14ac:dyDescent="0.3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 x14ac:dyDescent="0.3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 x14ac:dyDescent="0.3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 x14ac:dyDescent="0.3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 x14ac:dyDescent="0.3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 x14ac:dyDescent="0.3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 x14ac:dyDescent="0.3">
      <c r="A446" s="164" t="s">
        <v>260</v>
      </c>
      <c r="B446" s="164"/>
      <c r="C446" s="164"/>
      <c r="D446" s="164"/>
      <c r="E446" s="164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 x14ac:dyDescent="0.3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396</v>
      </c>
      <c r="S447" s="133"/>
    </row>
    <row r="448" spans="1:21" ht="15" customHeight="1" x14ac:dyDescent="0.3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 x14ac:dyDescent="0.3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 x14ac:dyDescent="0.3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 x14ac:dyDescent="0.3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390</v>
      </c>
      <c r="S451" s="133"/>
    </row>
    <row r="452" spans="1:20" ht="15" customHeight="1" x14ac:dyDescent="0.3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 x14ac:dyDescent="0.3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 x14ac:dyDescent="0.3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 x14ac:dyDescent="0.3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 x14ac:dyDescent="0.3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 x14ac:dyDescent="0.3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 x14ac:dyDescent="0.3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 x14ac:dyDescent="0.3">
      <c r="A459" s="164" t="s">
        <v>263</v>
      </c>
      <c r="B459" s="164"/>
      <c r="C459" s="164"/>
      <c r="D459" s="164"/>
      <c r="E459" s="164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 x14ac:dyDescent="0.3">
      <c r="A460" s="165" t="s">
        <v>249</v>
      </c>
      <c r="B460" s="165"/>
      <c r="C460" s="165"/>
      <c r="D460" s="165"/>
      <c r="E460" s="165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 x14ac:dyDescent="0.3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 x14ac:dyDescent="0.3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 x14ac:dyDescent="0.3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 x14ac:dyDescent="0.3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 x14ac:dyDescent="0.3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 x14ac:dyDescent="0.3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 x14ac:dyDescent="0.3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 x14ac:dyDescent="0.3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 x14ac:dyDescent="0.3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 x14ac:dyDescent="0.3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 x14ac:dyDescent="0.3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 x14ac:dyDescent="0.3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 x14ac:dyDescent="0.3">
      <c r="A473" s="164" t="s">
        <v>260</v>
      </c>
      <c r="B473" s="164"/>
      <c r="C473" s="164"/>
      <c r="D473" s="164"/>
      <c r="E473" s="164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 x14ac:dyDescent="0.3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 x14ac:dyDescent="0.3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 x14ac:dyDescent="0.3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397</v>
      </c>
      <c r="S476" s="133"/>
    </row>
    <row r="477" spans="1:20" ht="15" customHeight="1" x14ac:dyDescent="0.3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 x14ac:dyDescent="0.3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 x14ac:dyDescent="0.3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360</v>
      </c>
      <c r="S479" s="133"/>
    </row>
    <row r="480" spans="1:20" ht="15" customHeight="1" x14ac:dyDescent="0.3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 x14ac:dyDescent="0.3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 x14ac:dyDescent="0.3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 x14ac:dyDescent="0.3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 x14ac:dyDescent="0.3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 x14ac:dyDescent="0.3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 x14ac:dyDescent="0.3">
      <c r="A486" s="164" t="s">
        <v>263</v>
      </c>
      <c r="B486" s="164"/>
      <c r="C486" s="164"/>
      <c r="D486" s="164"/>
      <c r="E486" s="164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 x14ac:dyDescent="0.3">
      <c r="A487" s="165" t="s">
        <v>249</v>
      </c>
      <c r="B487" s="165"/>
      <c r="C487" s="165"/>
      <c r="D487" s="165"/>
      <c r="E487" s="165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 x14ac:dyDescent="0.3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 x14ac:dyDescent="0.3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 x14ac:dyDescent="0.3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 x14ac:dyDescent="0.3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 x14ac:dyDescent="0.3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 x14ac:dyDescent="0.3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 x14ac:dyDescent="0.3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 x14ac:dyDescent="0.3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 x14ac:dyDescent="0.3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 x14ac:dyDescent="0.3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 x14ac:dyDescent="0.3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 x14ac:dyDescent="0.3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 x14ac:dyDescent="0.3">
      <c r="A500" s="164" t="s">
        <v>260</v>
      </c>
      <c r="B500" s="164"/>
      <c r="C500" s="164"/>
      <c r="D500" s="164"/>
      <c r="E500" s="164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 x14ac:dyDescent="0.3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 x14ac:dyDescent="0.3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 x14ac:dyDescent="0.3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 x14ac:dyDescent="0.3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398</v>
      </c>
      <c r="S504" s="133"/>
    </row>
    <row r="505" spans="1:20" ht="15" customHeight="1" x14ac:dyDescent="0.3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 x14ac:dyDescent="0.3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 x14ac:dyDescent="0.3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64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 x14ac:dyDescent="0.3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 x14ac:dyDescent="0.3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 x14ac:dyDescent="0.3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 x14ac:dyDescent="0.3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 x14ac:dyDescent="0.3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 x14ac:dyDescent="0.3">
      <c r="A513" s="164" t="s">
        <v>263</v>
      </c>
      <c r="B513" s="164"/>
      <c r="C513" s="164"/>
      <c r="D513" s="164"/>
      <c r="E513" s="164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 x14ac:dyDescent="0.3">
      <c r="A514" s="165" t="s">
        <v>249</v>
      </c>
      <c r="B514" s="165"/>
      <c r="C514" s="165"/>
      <c r="D514" s="165"/>
      <c r="E514" s="165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 x14ac:dyDescent="0.3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/>
      <c r="H515" s="101" t="str">
        <f>IFERROR(IF($G515="","",$G515*$S$527/$G$527/Cadastro!$E$33),"")</f>
        <v/>
      </c>
      <c r="I515" s="102">
        <f>IFERROR(IF($D515="","",VLOOKUP($D515,Cadastro!$C$4:$G$7,5,FALSE())),"")</f>
        <v>0.6</v>
      </c>
      <c r="J515" s="103" t="str">
        <f t="shared" ref="J515:J526" si="130">IFERROR(IF($H515="","",$H515*$F515*$I515),"")</f>
        <v/>
      </c>
      <c r="K515" s="69" t="str">
        <f t="shared" ref="K515:K526" si="131">IF(G515="","",IF(E515="PC 17",G515*4.2,IF(E515="PC 19",G515*5,IF(E515="CB",G515*24,""))))</f>
        <v/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/>
      <c r="Q515" s="71">
        <f t="shared" ref="Q515:Q526" ca="1" si="132">IFERROR(IF(O515="","",IF(P515="",MOD(NOW()-O515,1),IF(P515&gt;=O515,P515-O515,P515+1-O515))),"")</f>
        <v>1.3613425908260979E-3</v>
      </c>
      <c r="R515" s="63"/>
      <c r="S515" s="133"/>
    </row>
    <row r="516" spans="1:20" ht="15" customHeight="1" x14ac:dyDescent="0.3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/>
      <c r="H516" s="88" t="str">
        <f>IFERROR(IF($G516="","",$G516*$S$527/$G$527/Cadastro!$E$33),"")</f>
        <v/>
      </c>
      <c r="I516" s="90">
        <f>IFERROR(IF($D516="","",VLOOKUP($D516,Cadastro!$C$4:$G$7,5,FALSE())),"")</f>
        <v>0.6</v>
      </c>
      <c r="J516" s="91" t="str">
        <f t="shared" si="130"/>
        <v/>
      </c>
      <c r="K516" s="64" t="str">
        <f t="shared" si="131"/>
        <v/>
      </c>
      <c r="L516" s="70"/>
      <c r="M516" s="61"/>
      <c r="N516" s="70"/>
      <c r="O516" s="65"/>
      <c r="P516" s="65"/>
      <c r="Q516" s="66" t="str">
        <f t="shared" ca="1" si="132"/>
        <v/>
      </c>
      <c r="R516" s="63"/>
      <c r="S516" s="133"/>
    </row>
    <row r="517" spans="1:20" ht="15" customHeight="1" x14ac:dyDescent="0.3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/>
      <c r="H517" s="88" t="str">
        <f>IFERROR(IF($G517="","",$G517*$S$527/$G$527/Cadastro!$E$33),"")</f>
        <v/>
      </c>
      <c r="I517" s="90">
        <f>IFERROR(IF($D517="","",VLOOKUP($D517,Cadastro!$C$4:$G$7,5,FALSE())),"")</f>
        <v>0.6</v>
      </c>
      <c r="J517" s="91" t="str">
        <f t="shared" si="130"/>
        <v/>
      </c>
      <c r="K517" s="69" t="str">
        <f t="shared" si="131"/>
        <v/>
      </c>
      <c r="L517" s="70"/>
      <c r="M517" s="70"/>
      <c r="N517" s="70"/>
      <c r="O517" s="65"/>
      <c r="P517" s="65"/>
      <c r="Q517" s="71" t="str">
        <f t="shared" ca="1" si="132"/>
        <v/>
      </c>
      <c r="R517" s="63"/>
      <c r="S517" s="133"/>
    </row>
    <row r="518" spans="1:20" ht="15" customHeight="1" x14ac:dyDescent="0.3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/>
      <c r="H518" s="88" t="str">
        <f>IFERROR(IF($G518="","",$G518*$S$527/$G$527/Cadastro!$E$33),"")</f>
        <v/>
      </c>
      <c r="I518" s="90">
        <f>IFERROR(IF($D518="","",VLOOKUP($D518,Cadastro!$C$4:$G$7,5,FALSE())),"")</f>
        <v>0.6</v>
      </c>
      <c r="J518" s="91" t="str">
        <f t="shared" si="130"/>
        <v/>
      </c>
      <c r="K518" s="64" t="str">
        <f t="shared" si="131"/>
        <v/>
      </c>
      <c r="L518" s="70"/>
      <c r="M518" s="61"/>
      <c r="N518" s="61"/>
      <c r="O518" s="65"/>
      <c r="P518" s="65"/>
      <c r="Q518" s="66" t="str">
        <f t="shared" ca="1" si="132"/>
        <v/>
      </c>
      <c r="R518" s="63"/>
      <c r="S518" s="133"/>
    </row>
    <row r="519" spans="1:20" ht="15" customHeight="1" x14ac:dyDescent="0.3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/>
      <c r="H519" s="88" t="str">
        <f>IFERROR(IF($G519="","",$G519*$S$527/$G$527/Cadastro!$E$33),"")</f>
        <v/>
      </c>
      <c r="I519" s="90">
        <f>IFERROR(IF($D519="","",VLOOKUP($D519,Cadastro!$C$4:$G$7,5,FALSE())),"")</f>
        <v>0.6</v>
      </c>
      <c r="J519" s="91" t="str">
        <f t="shared" si="130"/>
        <v/>
      </c>
      <c r="K519" s="69" t="str">
        <f t="shared" si="131"/>
        <v/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 x14ac:dyDescent="0.3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/>
      <c r="H520" s="88" t="str">
        <f>IFERROR(IF($G520="","",$G520*$S$527/$G$527/Cadastro!$E$33),"")</f>
        <v/>
      </c>
      <c r="I520" s="90">
        <f>IFERROR(IF($D520="","",VLOOKUP($D520,Cadastro!$C$4:$G$7,5,FALSE())),"")</f>
        <v>0.6</v>
      </c>
      <c r="J520" s="91" t="str">
        <f t="shared" si="130"/>
        <v/>
      </c>
      <c r="K520" s="64" t="str">
        <f t="shared" si="131"/>
        <v/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 x14ac:dyDescent="0.3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274</v>
      </c>
      <c r="F521" s="88">
        <f>IFERROR(IF($D521="","",VLOOKUP($D521,Cadastro!$C$4:$E$7,3,FALSE())),"")</f>
        <v>0.35</v>
      </c>
      <c r="G521" s="89"/>
      <c r="H521" s="88" t="str">
        <f>IFERROR(IF($G521="","",$G521*$S$527/$G$527/Cadastro!$E$33),"")</f>
        <v/>
      </c>
      <c r="I521" s="90">
        <f>IFERROR(IF($D521="","",VLOOKUP($D521,Cadastro!$C$4:$G$7,5,FALSE())),"")</f>
        <v>0.6</v>
      </c>
      <c r="J521" s="91" t="str">
        <f t="shared" si="130"/>
        <v/>
      </c>
      <c r="K521" s="69" t="str">
        <f t="shared" si="131"/>
        <v/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 x14ac:dyDescent="0.3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274</v>
      </c>
      <c r="F522" s="88">
        <f>IFERROR(IF($D522="","",VLOOKUP($D522,Cadastro!$C$4:$E$7,3,FALSE())),"")</f>
        <v>0.35</v>
      </c>
      <c r="G522" s="89"/>
      <c r="H522" s="88" t="str">
        <f>IFERROR(IF($G522="","",$G522*$S$527/$G$527/Cadastro!$E$33),"")</f>
        <v/>
      </c>
      <c r="I522" s="90">
        <f>IFERROR(IF($D522="","",VLOOKUP($D522,Cadastro!$C$4:$G$7,5,FALSE())),"")</f>
        <v>0.6</v>
      </c>
      <c r="J522" s="91" t="str">
        <f t="shared" si="130"/>
        <v/>
      </c>
      <c r="K522" s="64" t="str">
        <f t="shared" si="131"/>
        <v/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 x14ac:dyDescent="0.3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274</v>
      </c>
      <c r="F523" s="88">
        <f>IFERROR(IF($D523="","",VLOOKUP($D523,Cadastro!$C$4:$E$7,3,FALSE())),"")</f>
        <v>0.35</v>
      </c>
      <c r="G523" s="89"/>
      <c r="H523" s="88" t="str">
        <f>IFERROR(IF($G523="","",$G523*$S$527/$G$527/Cadastro!$E$33),"")</f>
        <v/>
      </c>
      <c r="I523" s="90">
        <f>IFERROR(IF($D523="","",VLOOKUP($D523,Cadastro!$C$4:$G$7,5,FALSE())),"")</f>
        <v>0.6</v>
      </c>
      <c r="J523" s="91" t="str">
        <f t="shared" si="130"/>
        <v/>
      </c>
      <c r="K523" s="69" t="str">
        <f t="shared" si="131"/>
        <v/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 x14ac:dyDescent="0.3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274</v>
      </c>
      <c r="F524" s="88">
        <f>IFERROR(IF($D524="","",VLOOKUP($D524,Cadastro!$C$4:$E$7,3,FALSE())),"")</f>
        <v>0.35</v>
      </c>
      <c r="G524" s="89"/>
      <c r="H524" s="88" t="str">
        <f>IFERROR(IF($G524="","",$G524*$S$527/$G$527/Cadastro!$E$33),"")</f>
        <v/>
      </c>
      <c r="I524" s="90">
        <f>IFERROR(IF($D524="","",VLOOKUP($D524,Cadastro!$C$4:$G$7,5,FALSE())),"")</f>
        <v>0.6</v>
      </c>
      <c r="J524" s="91" t="str">
        <f t="shared" si="130"/>
        <v/>
      </c>
      <c r="K524" s="64" t="str">
        <f t="shared" si="131"/>
        <v/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 x14ac:dyDescent="0.3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274</v>
      </c>
      <c r="F525" s="88">
        <f>IFERROR(IF($D525="","",VLOOKUP($D525,Cadastro!$C$4:$E$7,3,FALSE())),"")</f>
        <v>0.35</v>
      </c>
      <c r="G525" s="89"/>
      <c r="H525" s="88" t="str">
        <f>IFERROR(IF($G525="","",$G525*$S$527/$G$527/Cadastro!$E$33),"")</f>
        <v/>
      </c>
      <c r="I525" s="90">
        <f>IFERROR(IF($D525="","",VLOOKUP($D525,Cadastro!$C$4:$G$7,5,FALSE())),"")</f>
        <v>0.6</v>
      </c>
      <c r="J525" s="91" t="str">
        <f t="shared" si="130"/>
        <v/>
      </c>
      <c r="K525" s="69" t="str">
        <f t="shared" si="131"/>
        <v/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 x14ac:dyDescent="0.3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274</v>
      </c>
      <c r="F526" s="92">
        <f>IFERROR(IF($D526="","",VLOOKUP($D526,Cadastro!$C$4:$E$7,3,FALSE())),"")</f>
        <v>0.35</v>
      </c>
      <c r="G526" s="89"/>
      <c r="H526" s="92" t="str">
        <f>IFERROR(IF($G526="","",$G526*$S$527/$G$527/Cadastro!$E$33),"")</f>
        <v/>
      </c>
      <c r="I526" s="93">
        <f>IFERROR(IF($D526="","",VLOOKUP($D526,Cadastro!$C$4:$G$7,5,FALSE())),"")</f>
        <v>0.6</v>
      </c>
      <c r="J526" s="94" t="str">
        <f t="shared" si="130"/>
        <v/>
      </c>
      <c r="K526" s="64" t="str">
        <f t="shared" si="131"/>
        <v/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 x14ac:dyDescent="0.3">
      <c r="A527" s="164" t="s">
        <v>260</v>
      </c>
      <c r="B527" s="164"/>
      <c r="C527" s="164"/>
      <c r="D527" s="164"/>
      <c r="E527" s="164"/>
      <c r="F527" s="95"/>
      <c r="G527" s="96">
        <f>SUM(G515:G526)</f>
        <v>0</v>
      </c>
      <c r="H527" s="95">
        <f>IFERROR(SUM(H515:H526),"")</f>
        <v>0</v>
      </c>
      <c r="I527" s="97"/>
      <c r="J527" s="98">
        <f>IFERROR(SUM(J515:J526),"")</f>
        <v>0</v>
      </c>
      <c r="K527" s="2">
        <f>SUM(K515:K526)</f>
        <v>0</v>
      </c>
      <c r="L527" s="72"/>
      <c r="M527" s="72"/>
      <c r="N527" s="72"/>
      <c r="O527" s="134"/>
      <c r="P527" s="134"/>
      <c r="Q527" s="73">
        <f ca="1">IFERROR(SUM(Q515:Q526),"")</f>
        <v>1.3613425908260979E-3</v>
      </c>
      <c r="R527" s="2" t="s">
        <v>261</v>
      </c>
      <c r="S527" s="74"/>
      <c r="T527" s="99">
        <f>IFERROR(J527,"")</f>
        <v>0</v>
      </c>
    </row>
    <row r="528" spans="1:20" ht="15" customHeight="1" x14ac:dyDescent="0.3">
      <c r="A528" s="59">
        <v>46254</v>
      </c>
      <c r="B528" s="60">
        <v>0.83333333333333304</v>
      </c>
      <c r="C528" s="61"/>
      <c r="D528" s="62"/>
      <c r="E528" s="87"/>
      <c r="F528" s="101" t="str">
        <f>IFERROR(IF($D528="","",VLOOKUP($D528,Cadastro!$C$4:$E$7,3,FALSE())),"")</f>
        <v/>
      </c>
      <c r="G528" s="89"/>
      <c r="H528" s="101" t="str">
        <f>IFERROR(IF($G528="","",$G528*$S$540/$G$540/Cadastro!$E$33),"")</f>
        <v/>
      </c>
      <c r="I528" s="102" t="str">
        <f>IFERROR(IF($D528="","",VLOOKUP($D528,Cadastro!$C$4:$G$7,5,FALSE())),"")</f>
        <v/>
      </c>
      <c r="J528" s="103" t="str">
        <f t="shared" ref="J528:J539" si="134">IFERROR(IF($H528="","",$H528*$F528*$I528),"")</f>
        <v/>
      </c>
      <c r="K528" s="64" t="str">
        <f t="shared" ref="K528:K539" si="135">IF(G528="","",IF(E528="PC 17",G528*4.2,IF(E528="PC 19",G528*5,IF(E528="CB",G528*24,""))))</f>
        <v/>
      </c>
      <c r="L528" s="61"/>
      <c r="M528" s="61"/>
      <c r="N528" s="61"/>
      <c r="O528" s="65"/>
      <c r="P528" s="65"/>
      <c r="Q528" s="66" t="str">
        <f t="shared" ref="Q528:Q539" ca="1" si="136">IFERROR(IF(O528="","",IF(P528="",MOD(NOW()-O528,1),IF(P528&gt;=O528,P528-O528,P528+1-O528))),"")</f>
        <v/>
      </c>
      <c r="R528" s="63"/>
      <c r="S528" s="133"/>
    </row>
    <row r="529" spans="1:20" ht="15" customHeight="1" x14ac:dyDescent="0.3">
      <c r="A529" s="18">
        <v>46254</v>
      </c>
      <c r="B529" s="68">
        <f t="shared" ref="B529:B539" si="137">B528+TIME(0,60,0)</f>
        <v>0.87499999999999967</v>
      </c>
      <c r="C529" s="61"/>
      <c r="D529" s="62"/>
      <c r="E529" s="87"/>
      <c r="F529" s="88" t="str">
        <f>IFERROR(IF($D529="","",VLOOKUP($D529,Cadastro!$C$4:$E$7,3,FALSE())),"")</f>
        <v/>
      </c>
      <c r="G529" s="89"/>
      <c r="H529" s="88" t="str">
        <f>IFERROR(IF($G529="","",$G529*$S$540/$G$540/Cadastro!$E$33),"")</f>
        <v/>
      </c>
      <c r="I529" s="90" t="str">
        <f>IFERROR(IF($D529="","",VLOOKUP($D529,Cadastro!$C$4:$G$7,5,FALSE())),"")</f>
        <v/>
      </c>
      <c r="J529" s="91" t="str">
        <f t="shared" si="134"/>
        <v/>
      </c>
      <c r="K529" s="69" t="str">
        <f t="shared" si="135"/>
        <v/>
      </c>
      <c r="L529" s="70"/>
      <c r="M529" s="70"/>
      <c r="N529" s="70"/>
      <c r="O529" s="65"/>
      <c r="P529" s="65"/>
      <c r="Q529" s="71" t="str">
        <f t="shared" ca="1" si="136"/>
        <v/>
      </c>
      <c r="R529" s="63"/>
      <c r="S529" s="133"/>
    </row>
    <row r="530" spans="1:20" ht="15" customHeight="1" x14ac:dyDescent="0.3">
      <c r="A530" s="59">
        <v>46254</v>
      </c>
      <c r="B530" s="60">
        <f t="shared" si="137"/>
        <v>0.9166666666666663</v>
      </c>
      <c r="C530" s="61"/>
      <c r="D530" s="62"/>
      <c r="E530" s="87"/>
      <c r="F530" s="88" t="str">
        <f>IFERROR(IF($D530="","",VLOOKUP($D530,Cadastro!$C$4:$E$7,3,FALSE())),"")</f>
        <v/>
      </c>
      <c r="G530" s="89"/>
      <c r="H530" s="88" t="str">
        <f>IFERROR(IF($G530="","",$G530*$S$540/$G$540/Cadastro!$E$33),"")</f>
        <v/>
      </c>
      <c r="I530" s="90" t="str">
        <f>IFERROR(IF($D530="","",VLOOKUP($D530,Cadastro!$C$4:$G$7,5,FALSE())),"")</f>
        <v/>
      </c>
      <c r="J530" s="91" t="str">
        <f t="shared" si="134"/>
        <v/>
      </c>
      <c r="K530" s="64" t="str">
        <f t="shared" si="135"/>
        <v/>
      </c>
      <c r="L530" s="61"/>
      <c r="M530" s="61"/>
      <c r="N530" s="61"/>
      <c r="O530" s="65"/>
      <c r="P530" s="65"/>
      <c r="Q530" s="66" t="str">
        <f t="shared" ca="1" si="136"/>
        <v/>
      </c>
      <c r="R530" s="63"/>
      <c r="S530" s="133"/>
    </row>
    <row r="531" spans="1:20" ht="15" customHeight="1" x14ac:dyDescent="0.3">
      <c r="A531" s="18">
        <v>46254</v>
      </c>
      <c r="B531" s="68">
        <f t="shared" si="137"/>
        <v>0.95833333333333293</v>
      </c>
      <c r="C531" s="61"/>
      <c r="D531" s="62"/>
      <c r="E531" s="87"/>
      <c r="F531" s="88" t="str">
        <f>IFERROR(IF($D531="","",VLOOKUP($D531,Cadastro!$C$4:$E$7,3,FALSE())),"")</f>
        <v/>
      </c>
      <c r="G531" s="89"/>
      <c r="H531" s="88" t="str">
        <f>IFERROR(IF($G531="","",$G531*$S$540/$G$540/Cadastro!$E$33),"")</f>
        <v/>
      </c>
      <c r="I531" s="90" t="str">
        <f>IFERROR(IF($D531="","",VLOOKUP($D531,Cadastro!$C$4:$G$7,5,FALSE())),"")</f>
        <v/>
      </c>
      <c r="J531" s="91" t="str">
        <f t="shared" si="134"/>
        <v/>
      </c>
      <c r="K531" s="69" t="str">
        <f t="shared" si="135"/>
        <v/>
      </c>
      <c r="L531" s="70"/>
      <c r="M531" s="70"/>
      <c r="N531" s="70"/>
      <c r="O531" s="65"/>
      <c r="P531" s="65"/>
      <c r="Q531" s="71" t="str">
        <f t="shared" ca="1" si="136"/>
        <v/>
      </c>
      <c r="R531" s="63"/>
      <c r="S531" s="133"/>
    </row>
    <row r="532" spans="1:20" ht="15" customHeight="1" x14ac:dyDescent="0.3">
      <c r="A532" s="59">
        <v>46254</v>
      </c>
      <c r="B532" s="60">
        <f t="shared" si="137"/>
        <v>0.99999999999999956</v>
      </c>
      <c r="C532" s="61"/>
      <c r="D532" s="62"/>
      <c r="E532" s="87"/>
      <c r="F532" s="88" t="str">
        <f>IFERROR(IF($D532="","",VLOOKUP($D532,Cadastro!$C$4:$E$7,3,FALSE())),"")</f>
        <v/>
      </c>
      <c r="G532" s="89"/>
      <c r="H532" s="88" t="str">
        <f>IFERROR(IF($G532="","",$G532*$S$540/$G$540/Cadastro!$E$33),"")</f>
        <v/>
      </c>
      <c r="I532" s="90" t="str">
        <f>IFERROR(IF($D532="","",VLOOKUP($D532,Cadastro!$C$4:$G$7,5,FALSE())),"")</f>
        <v/>
      </c>
      <c r="J532" s="91" t="str">
        <f t="shared" si="134"/>
        <v/>
      </c>
      <c r="K532" s="64" t="str">
        <f t="shared" si="135"/>
        <v/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 x14ac:dyDescent="0.3">
      <c r="A533" s="18">
        <v>46254</v>
      </c>
      <c r="B533" s="68">
        <f t="shared" si="137"/>
        <v>1.0416666666666663</v>
      </c>
      <c r="C533" s="61"/>
      <c r="D533" s="62"/>
      <c r="E533" s="87"/>
      <c r="F533" s="88" t="str">
        <f>IFERROR(IF($D533="","",VLOOKUP($D533,Cadastro!$C$4:$E$7,3,FALSE())),"")</f>
        <v/>
      </c>
      <c r="G533" s="89"/>
      <c r="H533" s="88" t="str">
        <f>IFERROR(IF($G533="","",$G533*$S$540/$G$540/Cadastro!$E$33),"")</f>
        <v/>
      </c>
      <c r="I533" s="90" t="str">
        <f>IFERROR(IF($D533="","",VLOOKUP($D533,Cadastro!$C$4:$G$7,5,FALSE())),"")</f>
        <v/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 x14ac:dyDescent="0.3">
      <c r="A534" s="59">
        <v>46254</v>
      </c>
      <c r="B534" s="60">
        <f t="shared" si="137"/>
        <v>1.083333333333333</v>
      </c>
      <c r="C534" s="61"/>
      <c r="D534" s="62"/>
      <c r="E534" s="87"/>
      <c r="F534" s="88" t="str">
        <f>IFERROR(IF($D534="","",VLOOKUP($D534,Cadastro!$C$4:$E$7,3,FALSE())),"")</f>
        <v/>
      </c>
      <c r="G534" s="89"/>
      <c r="H534" s="88" t="str">
        <f>IFERROR(IF($G534="","",$G534*$S$540/$G$540/Cadastro!$E$33),"")</f>
        <v/>
      </c>
      <c r="I534" s="90" t="str">
        <f>IFERROR(IF($D534="","",VLOOKUP($D534,Cadastro!$C$4:$G$7,5,FALSE())),"")</f>
        <v/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 x14ac:dyDescent="0.3">
      <c r="A535" s="18">
        <v>46254</v>
      </c>
      <c r="B535" s="68">
        <f t="shared" si="137"/>
        <v>1.1249999999999998</v>
      </c>
      <c r="C535" s="61"/>
      <c r="D535" s="62"/>
      <c r="E535" s="87"/>
      <c r="F535" s="88" t="str">
        <f>IFERROR(IF($D535="","",VLOOKUP($D535,Cadastro!$C$4:$E$7,3,FALSE())),"")</f>
        <v/>
      </c>
      <c r="G535" s="89"/>
      <c r="H535" s="88" t="str">
        <f>IFERROR(IF($G535="","",$G535*$S$540/$G$540/Cadastro!$E$33),"")</f>
        <v/>
      </c>
      <c r="I535" s="90" t="str">
        <f>IFERROR(IF($D535="","",VLOOKUP($D535,Cadastro!$C$4:$G$7,5,FALSE())),"")</f>
        <v/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 x14ac:dyDescent="0.3">
      <c r="A536" s="59">
        <v>46254</v>
      </c>
      <c r="B536" s="60">
        <f t="shared" si="137"/>
        <v>1.1666666666666665</v>
      </c>
      <c r="C536" s="61"/>
      <c r="D536" s="62"/>
      <c r="E536" s="87"/>
      <c r="F536" s="88" t="str">
        <f>IFERROR(IF($D536="","",VLOOKUP($D536,Cadastro!$C$4:$E$7,3,FALSE())),"")</f>
        <v/>
      </c>
      <c r="G536" s="89"/>
      <c r="H536" s="88" t="str">
        <f>IFERROR(IF($G536="","",$G536*$S$540/$G$540/Cadastro!$E$33),"")</f>
        <v/>
      </c>
      <c r="I536" s="90" t="str">
        <f>IFERROR(IF($D536="","",VLOOKUP($D536,Cadastro!$C$4:$G$7,5,FALSE())),"")</f>
        <v/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 x14ac:dyDescent="0.3">
      <c r="A537" s="18">
        <v>46254</v>
      </c>
      <c r="B537" s="68">
        <f t="shared" si="137"/>
        <v>1.2083333333333333</v>
      </c>
      <c r="C537" s="61"/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 x14ac:dyDescent="0.3">
      <c r="A538" s="59">
        <v>46254</v>
      </c>
      <c r="B538" s="60">
        <f t="shared" si="137"/>
        <v>1.25</v>
      </c>
      <c r="C538" s="61"/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 x14ac:dyDescent="0.3">
      <c r="A539" s="18">
        <v>46254</v>
      </c>
      <c r="B539" s="68">
        <f t="shared" si="137"/>
        <v>1.2916666666666667</v>
      </c>
      <c r="C539" s="61"/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 x14ac:dyDescent="0.3">
      <c r="A540" s="164" t="s">
        <v>263</v>
      </c>
      <c r="B540" s="164"/>
      <c r="C540" s="164"/>
      <c r="D540" s="164"/>
      <c r="E540" s="164"/>
      <c r="F540" s="105"/>
      <c r="G540" s="96">
        <f>SUM(G528:G539)</f>
        <v>0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0</v>
      </c>
      <c r="L540" s="72"/>
      <c r="M540" s="72"/>
      <c r="N540" s="72"/>
      <c r="O540" s="134"/>
      <c r="P540" s="134"/>
      <c r="Q540" s="73">
        <f ca="1">IFERROR(SUM(Q528:Q539),"")</f>
        <v>0</v>
      </c>
      <c r="R540" s="2" t="s">
        <v>261</v>
      </c>
      <c r="S540" s="74"/>
      <c r="T540" s="99">
        <f>IFERROR(J540,"")</f>
        <v>0</v>
      </c>
    </row>
    <row r="541" spans="1:20" ht="18" customHeight="1" x14ac:dyDescent="0.3">
      <c r="A541" s="165" t="s">
        <v>249</v>
      </c>
      <c r="B541" s="165"/>
      <c r="C541" s="165"/>
      <c r="D541" s="165"/>
      <c r="E541" s="165"/>
      <c r="F541" s="108"/>
      <c r="G541" s="109">
        <f>G527+G540</f>
        <v>0</v>
      </c>
      <c r="H541" s="108">
        <f>IFERROR(H527+H540,"")</f>
        <v>0</v>
      </c>
      <c r="I541" s="110"/>
      <c r="J541" s="111">
        <f>IFERROR(J527+J540,"")</f>
        <v>0</v>
      </c>
      <c r="K541" s="1">
        <f>K527+K540</f>
        <v>0</v>
      </c>
      <c r="L541" s="76"/>
      <c r="M541" s="76"/>
      <c r="N541" s="76"/>
      <c r="O541" s="135"/>
      <c r="P541" s="135"/>
      <c r="Q541" s="77">
        <f ca="1">IFERROR(Q527+Q540,"")</f>
        <v>1.3613425908260979E-3</v>
      </c>
      <c r="R541" s="1" t="s">
        <v>264</v>
      </c>
      <c r="S541" s="82">
        <f>IFERROR(S527+S540,"")</f>
        <v>0</v>
      </c>
      <c r="T541" s="118">
        <f>IFERROR(J541,"")</f>
        <v>0</v>
      </c>
    </row>
    <row r="542" spans="1:20" ht="15" customHeight="1" x14ac:dyDescent="0.3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 x14ac:dyDescent="0.3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 x14ac:dyDescent="0.3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 x14ac:dyDescent="0.3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 x14ac:dyDescent="0.3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 x14ac:dyDescent="0.3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 x14ac:dyDescent="0.3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 x14ac:dyDescent="0.3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 x14ac:dyDescent="0.3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 x14ac:dyDescent="0.3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 x14ac:dyDescent="0.3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 x14ac:dyDescent="0.3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 x14ac:dyDescent="0.3">
      <c r="A554" s="164" t="s">
        <v>260</v>
      </c>
      <c r="B554" s="164"/>
      <c r="C554" s="164"/>
      <c r="D554" s="164"/>
      <c r="E554" s="164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 x14ac:dyDescent="0.3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 x14ac:dyDescent="0.3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 x14ac:dyDescent="0.3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 x14ac:dyDescent="0.3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 x14ac:dyDescent="0.3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 x14ac:dyDescent="0.3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 x14ac:dyDescent="0.3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 x14ac:dyDescent="0.3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 x14ac:dyDescent="0.3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 x14ac:dyDescent="0.3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 x14ac:dyDescent="0.3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 x14ac:dyDescent="0.3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 x14ac:dyDescent="0.3">
      <c r="A567" s="164" t="s">
        <v>263</v>
      </c>
      <c r="B567" s="164"/>
      <c r="C567" s="164"/>
      <c r="D567" s="164"/>
      <c r="E567" s="164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 x14ac:dyDescent="0.3">
      <c r="A568" s="165" t="s">
        <v>249</v>
      </c>
      <c r="B568" s="165"/>
      <c r="C568" s="165"/>
      <c r="D568" s="165"/>
      <c r="E568" s="165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 x14ac:dyDescent="0.3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 x14ac:dyDescent="0.3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 x14ac:dyDescent="0.3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 x14ac:dyDescent="0.3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 x14ac:dyDescent="0.3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 x14ac:dyDescent="0.3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 x14ac:dyDescent="0.3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 x14ac:dyDescent="0.3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 x14ac:dyDescent="0.3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 x14ac:dyDescent="0.3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 x14ac:dyDescent="0.3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 x14ac:dyDescent="0.3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 x14ac:dyDescent="0.3">
      <c r="A581" s="164" t="s">
        <v>260</v>
      </c>
      <c r="B581" s="164"/>
      <c r="C581" s="164"/>
      <c r="D581" s="164"/>
      <c r="E581" s="164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 x14ac:dyDescent="0.3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 x14ac:dyDescent="0.3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 x14ac:dyDescent="0.3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 x14ac:dyDescent="0.3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 x14ac:dyDescent="0.3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 x14ac:dyDescent="0.3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 x14ac:dyDescent="0.3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 x14ac:dyDescent="0.3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 x14ac:dyDescent="0.3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 x14ac:dyDescent="0.3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 x14ac:dyDescent="0.3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 x14ac:dyDescent="0.3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 x14ac:dyDescent="0.3">
      <c r="A594" s="164" t="s">
        <v>263</v>
      </c>
      <c r="B594" s="164"/>
      <c r="C594" s="164"/>
      <c r="D594" s="164"/>
      <c r="E594" s="164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 x14ac:dyDescent="0.3">
      <c r="A595" s="165" t="s">
        <v>249</v>
      </c>
      <c r="B595" s="165"/>
      <c r="C595" s="165"/>
      <c r="D595" s="165"/>
      <c r="E595" s="165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 x14ac:dyDescent="0.3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 x14ac:dyDescent="0.3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 x14ac:dyDescent="0.3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 x14ac:dyDescent="0.3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 x14ac:dyDescent="0.3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 x14ac:dyDescent="0.3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 x14ac:dyDescent="0.3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 x14ac:dyDescent="0.3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 x14ac:dyDescent="0.3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 x14ac:dyDescent="0.3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 x14ac:dyDescent="0.3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 x14ac:dyDescent="0.3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 x14ac:dyDescent="0.3">
      <c r="A608" s="164" t="s">
        <v>260</v>
      </c>
      <c r="B608" s="164"/>
      <c r="C608" s="164"/>
      <c r="D608" s="164"/>
      <c r="E608" s="164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 x14ac:dyDescent="0.3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 x14ac:dyDescent="0.3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 x14ac:dyDescent="0.3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 x14ac:dyDescent="0.3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 x14ac:dyDescent="0.3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 x14ac:dyDescent="0.3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 x14ac:dyDescent="0.3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 x14ac:dyDescent="0.3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 x14ac:dyDescent="0.3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 x14ac:dyDescent="0.3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 x14ac:dyDescent="0.3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 x14ac:dyDescent="0.3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 x14ac:dyDescent="0.3">
      <c r="A621" s="164" t="s">
        <v>263</v>
      </c>
      <c r="B621" s="164"/>
      <c r="C621" s="164"/>
      <c r="D621" s="164"/>
      <c r="E621" s="164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 x14ac:dyDescent="0.3">
      <c r="A622" s="165" t="s">
        <v>249</v>
      </c>
      <c r="B622" s="165"/>
      <c r="C622" s="165"/>
      <c r="D622" s="165"/>
      <c r="E622" s="165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 x14ac:dyDescent="0.3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 x14ac:dyDescent="0.3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 x14ac:dyDescent="0.3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 x14ac:dyDescent="0.3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 x14ac:dyDescent="0.3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 x14ac:dyDescent="0.3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 x14ac:dyDescent="0.3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 x14ac:dyDescent="0.3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 x14ac:dyDescent="0.3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 x14ac:dyDescent="0.3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 x14ac:dyDescent="0.3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 x14ac:dyDescent="0.3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 x14ac:dyDescent="0.3">
      <c r="A635" s="164" t="s">
        <v>260</v>
      </c>
      <c r="B635" s="164"/>
      <c r="C635" s="164"/>
      <c r="D635" s="164"/>
      <c r="E635" s="164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 x14ac:dyDescent="0.3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 x14ac:dyDescent="0.3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 x14ac:dyDescent="0.3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 x14ac:dyDescent="0.3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 x14ac:dyDescent="0.3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 x14ac:dyDescent="0.3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 x14ac:dyDescent="0.3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 x14ac:dyDescent="0.3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 x14ac:dyDescent="0.3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 x14ac:dyDescent="0.3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 x14ac:dyDescent="0.3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 x14ac:dyDescent="0.3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 x14ac:dyDescent="0.3">
      <c r="A648" s="164" t="s">
        <v>263</v>
      </c>
      <c r="B648" s="164"/>
      <c r="C648" s="164"/>
      <c r="D648" s="164"/>
      <c r="E648" s="164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 x14ac:dyDescent="0.3">
      <c r="A649" s="165" t="s">
        <v>249</v>
      </c>
      <c r="B649" s="165"/>
      <c r="C649" s="165"/>
      <c r="D649" s="165"/>
      <c r="E649" s="165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 x14ac:dyDescent="0.3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 x14ac:dyDescent="0.3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 x14ac:dyDescent="0.3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 x14ac:dyDescent="0.3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 x14ac:dyDescent="0.3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 x14ac:dyDescent="0.3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 x14ac:dyDescent="0.3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 x14ac:dyDescent="0.3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 x14ac:dyDescent="0.3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 x14ac:dyDescent="0.3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 x14ac:dyDescent="0.3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 x14ac:dyDescent="0.3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 x14ac:dyDescent="0.3">
      <c r="A662" s="164" t="s">
        <v>260</v>
      </c>
      <c r="B662" s="164"/>
      <c r="C662" s="164"/>
      <c r="D662" s="164"/>
      <c r="E662" s="164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 x14ac:dyDescent="0.3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 x14ac:dyDescent="0.3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 x14ac:dyDescent="0.3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 x14ac:dyDescent="0.3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 x14ac:dyDescent="0.3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 x14ac:dyDescent="0.3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 x14ac:dyDescent="0.3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 x14ac:dyDescent="0.3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 x14ac:dyDescent="0.3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 x14ac:dyDescent="0.3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 x14ac:dyDescent="0.3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 x14ac:dyDescent="0.3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 x14ac:dyDescent="0.3">
      <c r="A675" s="164" t="s">
        <v>263</v>
      </c>
      <c r="B675" s="164"/>
      <c r="C675" s="164"/>
      <c r="D675" s="164"/>
      <c r="E675" s="164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 x14ac:dyDescent="0.3">
      <c r="A676" s="165" t="s">
        <v>249</v>
      </c>
      <c r="B676" s="165"/>
      <c r="C676" s="165"/>
      <c r="D676" s="165"/>
      <c r="E676" s="165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 x14ac:dyDescent="0.3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 x14ac:dyDescent="0.3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 x14ac:dyDescent="0.3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 x14ac:dyDescent="0.3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 x14ac:dyDescent="0.3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 x14ac:dyDescent="0.3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 x14ac:dyDescent="0.3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 x14ac:dyDescent="0.3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 x14ac:dyDescent="0.3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 x14ac:dyDescent="0.3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 x14ac:dyDescent="0.3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 x14ac:dyDescent="0.3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 x14ac:dyDescent="0.3">
      <c r="A689" s="164" t="s">
        <v>260</v>
      </c>
      <c r="B689" s="164"/>
      <c r="C689" s="164"/>
      <c r="D689" s="164"/>
      <c r="E689" s="164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 x14ac:dyDescent="0.3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 x14ac:dyDescent="0.3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 x14ac:dyDescent="0.3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 x14ac:dyDescent="0.3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 x14ac:dyDescent="0.3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 x14ac:dyDescent="0.3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 x14ac:dyDescent="0.3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 x14ac:dyDescent="0.3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 x14ac:dyDescent="0.3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 x14ac:dyDescent="0.3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 x14ac:dyDescent="0.3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 x14ac:dyDescent="0.3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 x14ac:dyDescent="0.3">
      <c r="A702" s="164" t="s">
        <v>263</v>
      </c>
      <c r="B702" s="164"/>
      <c r="C702" s="164"/>
      <c r="D702" s="164"/>
      <c r="E702" s="164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 x14ac:dyDescent="0.3">
      <c r="A703" s="165" t="s">
        <v>249</v>
      </c>
      <c r="B703" s="165"/>
      <c r="C703" s="165"/>
      <c r="D703" s="165"/>
      <c r="E703" s="165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 x14ac:dyDescent="0.3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 x14ac:dyDescent="0.3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 x14ac:dyDescent="0.3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 x14ac:dyDescent="0.3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 x14ac:dyDescent="0.3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 x14ac:dyDescent="0.3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 x14ac:dyDescent="0.3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 x14ac:dyDescent="0.3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 x14ac:dyDescent="0.3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 x14ac:dyDescent="0.3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 x14ac:dyDescent="0.3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 x14ac:dyDescent="0.3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 x14ac:dyDescent="0.3">
      <c r="A716" s="164" t="s">
        <v>260</v>
      </c>
      <c r="B716" s="164"/>
      <c r="C716" s="164"/>
      <c r="D716" s="164"/>
      <c r="E716" s="164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 x14ac:dyDescent="0.3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 x14ac:dyDescent="0.3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 x14ac:dyDescent="0.3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 x14ac:dyDescent="0.3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 x14ac:dyDescent="0.3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 x14ac:dyDescent="0.3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 x14ac:dyDescent="0.3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 x14ac:dyDescent="0.3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 x14ac:dyDescent="0.3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 x14ac:dyDescent="0.3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 x14ac:dyDescent="0.3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 x14ac:dyDescent="0.3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 x14ac:dyDescent="0.3">
      <c r="A729" s="164" t="s">
        <v>263</v>
      </c>
      <c r="B729" s="164"/>
      <c r="C729" s="164"/>
      <c r="D729" s="164"/>
      <c r="E729" s="164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 x14ac:dyDescent="0.3">
      <c r="A730" s="165" t="s">
        <v>249</v>
      </c>
      <c r="B730" s="165"/>
      <c r="C730" s="165"/>
      <c r="D730" s="165"/>
      <c r="E730" s="165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 x14ac:dyDescent="0.3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 x14ac:dyDescent="0.3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 x14ac:dyDescent="0.3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 x14ac:dyDescent="0.3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 x14ac:dyDescent="0.3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 x14ac:dyDescent="0.3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 x14ac:dyDescent="0.3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 x14ac:dyDescent="0.3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 x14ac:dyDescent="0.3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 x14ac:dyDescent="0.3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 x14ac:dyDescent="0.3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 x14ac:dyDescent="0.3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 x14ac:dyDescent="0.3">
      <c r="A743" s="164" t="s">
        <v>260</v>
      </c>
      <c r="B743" s="164"/>
      <c r="C743" s="164"/>
      <c r="D743" s="164"/>
      <c r="E743" s="164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 x14ac:dyDescent="0.3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 x14ac:dyDescent="0.3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 x14ac:dyDescent="0.3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 x14ac:dyDescent="0.3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 x14ac:dyDescent="0.3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 x14ac:dyDescent="0.3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 x14ac:dyDescent="0.3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 x14ac:dyDescent="0.3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 x14ac:dyDescent="0.3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 x14ac:dyDescent="0.3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 x14ac:dyDescent="0.3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 x14ac:dyDescent="0.3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 x14ac:dyDescent="0.3">
      <c r="A756" s="164" t="s">
        <v>263</v>
      </c>
      <c r="B756" s="164"/>
      <c r="C756" s="164"/>
      <c r="D756" s="164"/>
      <c r="E756" s="164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 x14ac:dyDescent="0.3">
      <c r="A757" s="165" t="s">
        <v>249</v>
      </c>
      <c r="B757" s="165"/>
      <c r="C757" s="165"/>
      <c r="D757" s="165"/>
      <c r="E757" s="165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 x14ac:dyDescent="0.3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 x14ac:dyDescent="0.3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 x14ac:dyDescent="0.3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 x14ac:dyDescent="0.3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 x14ac:dyDescent="0.3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 x14ac:dyDescent="0.3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 x14ac:dyDescent="0.3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 x14ac:dyDescent="0.3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 x14ac:dyDescent="0.3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 x14ac:dyDescent="0.3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 x14ac:dyDescent="0.3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 x14ac:dyDescent="0.3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 x14ac:dyDescent="0.3">
      <c r="A770" s="164" t="s">
        <v>260</v>
      </c>
      <c r="B770" s="164"/>
      <c r="C770" s="164"/>
      <c r="D770" s="164"/>
      <c r="E770" s="164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 x14ac:dyDescent="0.3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 x14ac:dyDescent="0.3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 x14ac:dyDescent="0.3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 x14ac:dyDescent="0.3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 x14ac:dyDescent="0.3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 x14ac:dyDescent="0.3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 x14ac:dyDescent="0.3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 x14ac:dyDescent="0.3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 x14ac:dyDescent="0.3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 x14ac:dyDescent="0.3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 x14ac:dyDescent="0.3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 x14ac:dyDescent="0.3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 x14ac:dyDescent="0.3">
      <c r="A783" s="164" t="s">
        <v>263</v>
      </c>
      <c r="B783" s="164"/>
      <c r="C783" s="164"/>
      <c r="D783" s="164"/>
      <c r="E783" s="164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 x14ac:dyDescent="0.3">
      <c r="A784" s="165" t="s">
        <v>249</v>
      </c>
      <c r="B784" s="165"/>
      <c r="C784" s="165"/>
      <c r="D784" s="165"/>
      <c r="E784" s="165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 x14ac:dyDescent="0.3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 x14ac:dyDescent="0.3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 x14ac:dyDescent="0.3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 x14ac:dyDescent="0.3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 x14ac:dyDescent="0.3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 x14ac:dyDescent="0.3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 x14ac:dyDescent="0.3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 x14ac:dyDescent="0.3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 x14ac:dyDescent="0.3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 x14ac:dyDescent="0.3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 x14ac:dyDescent="0.3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 x14ac:dyDescent="0.3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 x14ac:dyDescent="0.3">
      <c r="A797" s="164" t="s">
        <v>260</v>
      </c>
      <c r="B797" s="164"/>
      <c r="C797" s="164"/>
      <c r="D797" s="164"/>
      <c r="E797" s="164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 x14ac:dyDescent="0.3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 x14ac:dyDescent="0.3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 x14ac:dyDescent="0.3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 x14ac:dyDescent="0.3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 x14ac:dyDescent="0.3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 x14ac:dyDescent="0.3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 x14ac:dyDescent="0.3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 x14ac:dyDescent="0.3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 x14ac:dyDescent="0.3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 x14ac:dyDescent="0.3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 x14ac:dyDescent="0.3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 x14ac:dyDescent="0.3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 x14ac:dyDescent="0.3">
      <c r="A810" s="164" t="s">
        <v>263</v>
      </c>
      <c r="B810" s="164"/>
      <c r="C810" s="164"/>
      <c r="D810" s="164"/>
      <c r="E810" s="164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 x14ac:dyDescent="0.3">
      <c r="A811" s="165" t="s">
        <v>249</v>
      </c>
      <c r="B811" s="165"/>
      <c r="C811" s="165"/>
      <c r="D811" s="165"/>
      <c r="E811" s="165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 x14ac:dyDescent="0.3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 x14ac:dyDescent="0.3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 x14ac:dyDescent="0.3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 x14ac:dyDescent="0.3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 x14ac:dyDescent="0.3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 x14ac:dyDescent="0.3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 x14ac:dyDescent="0.3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 x14ac:dyDescent="0.3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 x14ac:dyDescent="0.3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 x14ac:dyDescent="0.3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 x14ac:dyDescent="0.3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 x14ac:dyDescent="0.3">
      <c r="A824" s="164" t="s">
        <v>260</v>
      </c>
      <c r="B824" s="164"/>
      <c r="C824" s="164"/>
      <c r="D824" s="164"/>
      <c r="E824" s="164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 x14ac:dyDescent="0.3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 x14ac:dyDescent="0.3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 x14ac:dyDescent="0.3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 x14ac:dyDescent="0.3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 x14ac:dyDescent="0.3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 x14ac:dyDescent="0.3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 x14ac:dyDescent="0.3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 x14ac:dyDescent="0.3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 x14ac:dyDescent="0.3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 x14ac:dyDescent="0.3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 x14ac:dyDescent="0.3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 x14ac:dyDescent="0.3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 x14ac:dyDescent="0.3">
      <c r="A837" s="164" t="s">
        <v>263</v>
      </c>
      <c r="B837" s="164"/>
      <c r="C837" s="164"/>
      <c r="D837" s="164"/>
      <c r="E837" s="164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 x14ac:dyDescent="0.3">
      <c r="A838" s="165" t="s">
        <v>249</v>
      </c>
      <c r="B838" s="165"/>
      <c r="C838" s="165"/>
      <c r="D838" s="165"/>
      <c r="E838" s="165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2B1A3CF-5FC7-4FEA-8536-053612F4F612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7</vt:i4>
      </vt:variant>
      <vt:variant>
        <vt:lpstr>Intervalos Nomeados</vt:lpstr>
      </vt:variant>
      <vt:variant>
        <vt:i4>6</vt:i4>
      </vt:variant>
    </vt:vector>
  </HeadingPairs>
  <TitlesOfParts>
    <vt:vector size="13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2026-08-20T11:13:08Z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