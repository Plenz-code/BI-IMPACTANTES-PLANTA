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73" documentId="13_ncr:1_{0A10D8D4-8450-4366-8075-B53B08E6B7EA}" xr6:coauthVersionLast="47" xr6:coauthVersionMax="47" xr10:uidLastSave="{BAE921C3-AD69-4456-9482-D0DCD8BA8621}"/>
  <bookViews>
    <workbookView xWindow="-28920" yWindow="-60" windowWidth="29040" windowHeight="15720" tabRatio="500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H386" i="5" s="1"/>
  <c r="J386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H386" i="4" s="1"/>
  <c r="J38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5" i="6" l="1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<sst xmlns="http://schemas.openxmlformats.org/spreadsheetml/2006/main" count="6749" uniqueCount="350">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</sst>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abSelected="1" topLeftCell="B1" zoomScaleNormal="100" workbookViewId="0">
      <pane ySplit="3" topLeftCell="A4" activePane="bottomLeft" state="frozen"/>
      <selection pane="bottomLeft" activeCell="H2" sqref="H1:K1048576"/>
    </sheetView>
  </sheetViews>
  <sheetFormatPr defaultColWidth="8.5703125" defaultRowHeight="15" x14ac:dyDescent="0.2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16.285156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 x14ac:dyDescent="0.25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 x14ac:dyDescent="0.25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25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25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25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25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25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25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25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25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25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25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25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25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25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 x14ac:dyDescent="0.25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25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 x14ac:dyDescent="0.25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 x14ac:dyDescent="0.25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 x14ac:dyDescent="0.25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 x14ac:dyDescent="0.25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 x14ac:dyDescent="0.25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25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25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25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25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25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25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25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25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25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25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25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25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25">
      <c r="A35" s="165" t="s">
        <v>14</v>
      </c>
      <c r="B35" s="165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2403.2399999999998</v>
      </c>
      <c r="J35" s="130">
        <f>IFERROR(AVERAGE(J4:J34),"-")</f>
        <v>0.95823702915128151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 x14ac:dyDescent="0.25">
      <c r="M2" s="169"/>
    </row>
    <row r="3" spans="1:18" ht="25.9" customHeight="1" x14ac:dyDescent="0.25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25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25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25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25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25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25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25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25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25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25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25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25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25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25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25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25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25">
      <c r="A20" s="16"/>
      <c r="C20" s="16"/>
      <c r="J20" s="16"/>
      <c r="L20" s="16" t="s">
        <v>127</v>
      </c>
      <c r="M20" s="169"/>
      <c r="N20" s="16"/>
      <c r="O20" s="16"/>
      <c r="P20" s="16" t="s">
        <v>128</v>
      </c>
      <c r="Q20" s="16"/>
      <c r="R20" s="16" t="s">
        <v>129</v>
      </c>
    </row>
    <row r="21" spans="1:18" ht="15.75" customHeight="1" x14ac:dyDescent="0.25">
      <c r="A21" s="17"/>
      <c r="C21" s="17"/>
      <c r="J21" s="17"/>
      <c r="L21" s="17" t="s">
        <v>130</v>
      </c>
      <c r="M21" s="169"/>
      <c r="N21" s="17"/>
      <c r="O21" s="17"/>
      <c r="P21" s="17" t="s">
        <v>131</v>
      </c>
      <c r="Q21" s="17"/>
      <c r="R21" s="17" t="s">
        <v>132</v>
      </c>
    </row>
    <row r="22" spans="1:18" ht="15.75" customHeight="1" x14ac:dyDescent="0.25">
      <c r="A22" s="16"/>
      <c r="C22" s="16"/>
      <c r="J22" s="16"/>
      <c r="L22" s="16" t="s">
        <v>133</v>
      </c>
      <c r="M22" s="169"/>
      <c r="N22" s="16"/>
      <c r="O22" s="16"/>
      <c r="P22" s="16" t="s">
        <v>134</v>
      </c>
      <c r="Q22" s="16"/>
      <c r="R22" s="16" t="s">
        <v>135</v>
      </c>
    </row>
    <row r="23" spans="1:18" ht="15.75" customHeight="1" x14ac:dyDescent="0.25">
      <c r="A23" s="17"/>
      <c r="C23" s="17"/>
      <c r="J23" s="17"/>
      <c r="L23" s="17" t="s">
        <v>136</v>
      </c>
      <c r="M23" s="169"/>
      <c r="N23" s="17"/>
      <c r="O23" s="17"/>
      <c r="P23" s="17" t="s">
        <v>137</v>
      </c>
      <c r="Q23" s="17"/>
      <c r="R23" s="17" t="s">
        <v>138</v>
      </c>
    </row>
    <row r="24" spans="1:18" ht="15.75" customHeight="1" x14ac:dyDescent="0.25">
      <c r="A24" s="16"/>
      <c r="C24" s="16"/>
      <c r="J24" s="16"/>
      <c r="L24" s="16" t="s">
        <v>139</v>
      </c>
      <c r="M24" s="169"/>
      <c r="N24" s="16"/>
      <c r="O24" s="16"/>
      <c r="P24" s="16" t="s">
        <v>140</v>
      </c>
      <c r="Q24" s="16"/>
      <c r="R24" s="16" t="s">
        <v>141</v>
      </c>
    </row>
    <row r="25" spans="1:18" ht="15.75" customHeight="1" x14ac:dyDescent="0.25">
      <c r="A25" s="17"/>
      <c r="C25" s="17"/>
      <c r="J25" s="17"/>
      <c r="L25" s="17" t="s">
        <v>142</v>
      </c>
      <c r="M25" s="169"/>
      <c r="N25" s="17"/>
      <c r="O25" s="17"/>
      <c r="P25" s="17" t="s">
        <v>143</v>
      </c>
      <c r="Q25" s="17"/>
      <c r="R25" s="17" t="s">
        <v>144</v>
      </c>
    </row>
    <row r="26" spans="1:18" ht="15.75" customHeight="1" x14ac:dyDescent="0.25">
      <c r="A26" s="16"/>
      <c r="C26" s="16"/>
      <c r="J26" s="16"/>
      <c r="L26" s="16" t="s">
        <v>145</v>
      </c>
      <c r="M26" s="169"/>
      <c r="N26" s="16"/>
      <c r="O26" s="16"/>
      <c r="P26" s="16" t="s">
        <v>146</v>
      </c>
      <c r="Q26" s="16"/>
      <c r="R26" s="16"/>
    </row>
    <row r="27" spans="1:18" ht="15.75" customHeight="1" x14ac:dyDescent="0.25">
      <c r="A27" s="17"/>
      <c r="C27" s="17"/>
      <c r="J27" s="17"/>
      <c r="L27" s="17" t="s">
        <v>147</v>
      </c>
      <c r="M27" s="169"/>
      <c r="N27" s="17"/>
      <c r="O27" s="17"/>
      <c r="P27" s="17" t="s">
        <v>138</v>
      </c>
      <c r="Q27" s="17"/>
      <c r="R27" s="17" t="s">
        <v>69</v>
      </c>
    </row>
    <row r="28" spans="1:18" ht="15.75" customHeight="1" x14ac:dyDescent="0.25">
      <c r="A28" s="16"/>
      <c r="C28" s="16"/>
      <c r="J28" s="16"/>
      <c r="L28" s="16" t="s">
        <v>148</v>
      </c>
      <c r="M28" s="169"/>
      <c r="N28" s="16"/>
      <c r="O28" s="16"/>
      <c r="P28" s="16" t="s">
        <v>141</v>
      </c>
      <c r="Q28" s="16"/>
      <c r="R28" s="16" t="s">
        <v>149</v>
      </c>
    </row>
    <row r="29" spans="1:18" ht="15.75" customHeight="1" x14ac:dyDescent="0.25">
      <c r="A29" s="17"/>
      <c r="C29" s="17"/>
      <c r="J29" s="17"/>
      <c r="L29" s="17" t="s">
        <v>150</v>
      </c>
      <c r="M29" s="169"/>
      <c r="N29" s="17"/>
      <c r="O29" s="17"/>
      <c r="P29" s="17" t="s">
        <v>151</v>
      </c>
      <c r="Q29" s="17"/>
      <c r="R29" s="17" t="s">
        <v>152</v>
      </c>
    </row>
    <row r="30" spans="1:18" ht="15.75" customHeight="1" x14ac:dyDescent="0.25">
      <c r="A30" s="16"/>
      <c r="C30" s="16"/>
      <c r="J30" s="16"/>
      <c r="L30" s="16" t="s">
        <v>153</v>
      </c>
      <c r="M30" s="169"/>
      <c r="N30" s="16"/>
      <c r="O30" s="16"/>
      <c r="P30" s="16" t="s">
        <v>154</v>
      </c>
      <c r="Q30" s="16"/>
      <c r="R30" s="16" t="s">
        <v>155</v>
      </c>
    </row>
    <row r="31" spans="1:18" ht="15.75" customHeight="1" x14ac:dyDescent="0.25">
      <c r="A31" s="17"/>
      <c r="C31" s="17"/>
      <c r="J31" s="17"/>
      <c r="L31" s="17" t="s">
        <v>156</v>
      </c>
      <c r="M31" s="169"/>
      <c r="N31" s="17"/>
      <c r="O31" s="17"/>
      <c r="P31" s="18" t="s">
        <v>157</v>
      </c>
      <c r="Q31" s="17"/>
      <c r="R31" s="17" t="s">
        <v>158</v>
      </c>
    </row>
    <row r="32" spans="1:18" ht="15.75" customHeight="1" x14ac:dyDescent="0.25">
      <c r="A32" s="16"/>
      <c r="C32" s="16"/>
      <c r="J32" s="16"/>
      <c r="L32" s="16" t="s">
        <v>159</v>
      </c>
      <c r="M32" s="169"/>
      <c r="N32" s="16"/>
      <c r="O32" s="16"/>
      <c r="P32" s="16" t="s">
        <v>160</v>
      </c>
      <c r="Q32" s="16"/>
      <c r="R32" t="s">
        <v>161</v>
      </c>
    </row>
    <row r="33" spans="1:18" ht="15.75" customHeight="1" x14ac:dyDescent="0.25">
      <c r="A33" s="17"/>
      <c r="C33" s="131" t="s">
        <v>162</v>
      </c>
      <c r="E33" s="113">
        <v>1000</v>
      </c>
      <c r="J33" s="17"/>
      <c r="L33" s="17" t="s">
        <v>163</v>
      </c>
      <c r="M33" s="169"/>
      <c r="N33" s="17"/>
      <c r="O33" s="17"/>
      <c r="P33" s="18" t="s">
        <v>164</v>
      </c>
      <c r="Q33" s="17"/>
      <c r="R33" s="17" t="s">
        <v>27</v>
      </c>
    </row>
    <row r="34" spans="1:18" ht="15.75" customHeight="1" x14ac:dyDescent="0.25">
      <c r="A34" s="16"/>
      <c r="C34" s="16"/>
      <c r="J34" s="16"/>
      <c r="L34" s="16" t="s">
        <v>165</v>
      </c>
      <c r="M34" s="169"/>
      <c r="N34" s="16"/>
      <c r="O34" s="16"/>
      <c r="P34" s="16" t="s">
        <v>86</v>
      </c>
      <c r="Q34" s="16"/>
      <c r="R34" s="16" t="s">
        <v>166</v>
      </c>
    </row>
    <row r="35" spans="1:18" ht="15.75" customHeight="1" x14ac:dyDescent="0.25">
      <c r="A35" s="17"/>
      <c r="C35" s="17"/>
      <c r="J35" s="17"/>
      <c r="L35" s="17" t="s">
        <v>167</v>
      </c>
      <c r="M35" s="169"/>
      <c r="N35" s="17"/>
      <c r="O35" s="17"/>
      <c r="P35" s="17" t="s">
        <v>168</v>
      </c>
      <c r="Q35" s="17"/>
      <c r="R35" s="17" t="s">
        <v>169</v>
      </c>
    </row>
    <row r="36" spans="1:18" ht="15.75" customHeight="1" x14ac:dyDescent="0.25">
      <c r="A36" s="16"/>
      <c r="C36" s="16"/>
      <c r="J36" s="16"/>
      <c r="L36" s="16" t="s">
        <v>170</v>
      </c>
      <c r="M36" s="169"/>
      <c r="N36" s="16"/>
      <c r="O36" s="16"/>
      <c r="P36" s="16" t="s">
        <v>171</v>
      </c>
      <c r="Q36" s="16"/>
      <c r="R36" s="16" t="s">
        <v>172</v>
      </c>
    </row>
    <row r="37" spans="1:18" ht="15.75" customHeight="1" x14ac:dyDescent="0.25">
      <c r="A37" s="17"/>
      <c r="C37" s="17"/>
      <c r="J37" s="17"/>
      <c r="L37" s="17" t="s">
        <v>173</v>
      </c>
      <c r="M37" s="169"/>
      <c r="N37" s="17"/>
      <c r="O37" s="17"/>
      <c r="P37" s="17" t="s">
        <v>174</v>
      </c>
      <c r="Q37" s="17"/>
      <c r="R37" s="17" t="s">
        <v>175</v>
      </c>
    </row>
    <row r="38" spans="1:18" ht="15.75" customHeight="1" x14ac:dyDescent="0.25">
      <c r="A38" s="16"/>
      <c r="C38" s="16"/>
      <c r="J38" s="16"/>
      <c r="L38" s="16" t="s">
        <v>176</v>
      </c>
      <c r="M38" s="169"/>
      <c r="N38" s="16"/>
      <c r="O38" s="16"/>
      <c r="P38" s="16" t="s">
        <v>177</v>
      </c>
      <c r="Q38" s="16"/>
      <c r="R38" s="16" t="s">
        <v>178</v>
      </c>
    </row>
    <row r="39" spans="1:18" ht="15.75" customHeight="1" x14ac:dyDescent="0.25">
      <c r="A39" s="17"/>
      <c r="C39" s="17"/>
      <c r="J39" s="17"/>
      <c r="L39" s="17"/>
      <c r="M39" s="169"/>
      <c r="N39" s="17"/>
      <c r="O39" s="17"/>
      <c r="P39" s="17" t="s">
        <v>179</v>
      </c>
      <c r="Q39" s="17"/>
      <c r="R39" s="17" t="s">
        <v>180</v>
      </c>
    </row>
    <row r="40" spans="1:18" ht="15.75" customHeight="1" x14ac:dyDescent="0.25">
      <c r="A40" s="16"/>
      <c r="C40" s="16"/>
      <c r="J40" s="16"/>
      <c r="L40" s="16"/>
      <c r="M40" s="169"/>
      <c r="N40" s="16"/>
      <c r="O40" s="16"/>
      <c r="P40" s="16" t="s">
        <v>181</v>
      </c>
      <c r="Q40" s="16"/>
      <c r="R40" s="16" t="s">
        <v>182</v>
      </c>
    </row>
    <row r="41" spans="1:18" ht="15.75" customHeight="1" x14ac:dyDescent="0.25">
      <c r="A41" s="17"/>
      <c r="C41" s="17"/>
      <c r="J41" s="17"/>
      <c r="L41" s="17"/>
      <c r="M41" s="169"/>
      <c r="N41" s="17"/>
      <c r="O41" s="17"/>
      <c r="P41" s="17" t="s">
        <v>183</v>
      </c>
      <c r="Q41" s="17"/>
      <c r="R41" s="17" t="s">
        <v>184</v>
      </c>
    </row>
    <row r="42" spans="1:18" ht="15.75" customHeight="1" x14ac:dyDescent="0.25">
      <c r="A42" s="16"/>
      <c r="C42" s="16"/>
      <c r="J42" s="16"/>
      <c r="L42" s="16"/>
      <c r="M42" s="169"/>
      <c r="N42" s="16"/>
      <c r="O42" s="16"/>
      <c r="P42" s="16" t="s">
        <v>185</v>
      </c>
      <c r="Q42" s="16"/>
      <c r="R42" s="16" t="s">
        <v>186</v>
      </c>
    </row>
    <row r="43" spans="1:18" ht="15.75" customHeight="1" x14ac:dyDescent="0.25">
      <c r="A43" s="17"/>
      <c r="C43" s="17"/>
      <c r="J43" s="17"/>
      <c r="L43" s="17"/>
      <c r="M43" s="169"/>
      <c r="N43" s="17"/>
      <c r="O43" s="17"/>
      <c r="P43" s="17" t="s">
        <v>187</v>
      </c>
      <c r="Q43" s="17"/>
      <c r="R43" s="17" t="s">
        <v>188</v>
      </c>
    </row>
    <row r="44" spans="1:18" ht="15.75" customHeight="1" x14ac:dyDescent="0.25">
      <c r="A44" s="16"/>
      <c r="C44" s="16"/>
      <c r="J44" s="16"/>
      <c r="L44" s="16"/>
      <c r="M44" s="169"/>
      <c r="N44" s="16"/>
      <c r="O44" s="16"/>
      <c r="P44" s="16" t="s">
        <v>189</v>
      </c>
      <c r="Q44" s="16"/>
      <c r="R44" s="16" t="s">
        <v>190</v>
      </c>
    </row>
    <row r="45" spans="1:18" ht="15.75" customHeight="1" x14ac:dyDescent="0.25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191</v>
      </c>
    </row>
    <row r="46" spans="1:18" ht="15.75" customHeight="1" x14ac:dyDescent="0.25">
      <c r="A46" s="16"/>
      <c r="C46" s="16"/>
      <c r="J46" s="16"/>
      <c r="L46" s="16"/>
      <c r="M46" s="169"/>
      <c r="N46" s="16"/>
      <c r="O46" s="16"/>
      <c r="P46" s="16" t="s">
        <v>192</v>
      </c>
      <c r="Q46" s="16"/>
      <c r="R46" s="16" t="s">
        <v>193</v>
      </c>
    </row>
    <row r="47" spans="1:18" ht="15.75" customHeight="1" x14ac:dyDescent="0.25">
      <c r="A47" s="17"/>
      <c r="C47" s="17"/>
      <c r="J47" s="17"/>
      <c r="L47" s="17"/>
      <c r="M47" s="169"/>
      <c r="N47" s="17"/>
      <c r="O47" s="17"/>
      <c r="P47" s="17" t="s">
        <v>194</v>
      </c>
      <c r="Q47" s="17"/>
      <c r="R47" s="17" t="s">
        <v>195</v>
      </c>
    </row>
    <row r="48" spans="1:18" ht="15.75" customHeight="1" x14ac:dyDescent="0.25">
      <c r="A48" s="16"/>
      <c r="C48" s="16"/>
      <c r="J48" s="16"/>
      <c r="L48" s="16"/>
      <c r="M48" s="169"/>
      <c r="N48" s="16"/>
      <c r="O48" s="16"/>
      <c r="P48" s="16" t="s">
        <v>196</v>
      </c>
      <c r="Q48" s="16"/>
      <c r="R48" s="16" t="s">
        <v>197</v>
      </c>
    </row>
    <row r="49" spans="1:18" ht="18" customHeight="1" x14ac:dyDescent="0.25">
      <c r="M49" s="169"/>
      <c r="N49" s="17"/>
      <c r="O49" s="17"/>
      <c r="P49" s="17" t="s">
        <v>198</v>
      </c>
      <c r="Q49" s="17"/>
      <c r="R49" s="17" t="s">
        <v>199</v>
      </c>
    </row>
    <row r="50" spans="1:18" ht="21" customHeight="1" x14ac:dyDescent="0.25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201</v>
      </c>
      <c r="Q50" s="16"/>
      <c r="R50" s="16" t="s">
        <v>202</v>
      </c>
    </row>
    <row r="51" spans="1:18" ht="24" customHeight="1" x14ac:dyDescent="0.25">
      <c r="M51" s="169"/>
      <c r="N51" s="17"/>
      <c r="O51" s="17"/>
      <c r="P51" s="17" t="s">
        <v>203</v>
      </c>
      <c r="Q51" s="17"/>
      <c r="R51" s="17" t="s">
        <v>204</v>
      </c>
    </row>
    <row r="52" spans="1:18" ht="24" customHeight="1" x14ac:dyDescent="0.25">
      <c r="M52" s="169"/>
      <c r="N52" s="16"/>
      <c r="O52" s="16"/>
      <c r="P52" s="16" t="s">
        <v>205</v>
      </c>
      <c r="Q52" s="16"/>
      <c r="R52" s="16" t="s">
        <v>206</v>
      </c>
    </row>
    <row r="53" spans="1:18" ht="36" customHeight="1" x14ac:dyDescent="0.25">
      <c r="M53" s="169"/>
      <c r="N53" s="17"/>
      <c r="O53" s="17"/>
      <c r="P53" s="17" t="s">
        <v>207</v>
      </c>
      <c r="Q53" s="17"/>
      <c r="R53" s="17" t="s">
        <v>208</v>
      </c>
    </row>
    <row r="54" spans="1:18" ht="15" customHeight="1" x14ac:dyDescent="0.25">
      <c r="M54" s="169"/>
      <c r="N54" s="16"/>
      <c r="O54" s="16"/>
      <c r="P54" s="16" t="s">
        <v>209</v>
      </c>
      <c r="Q54" s="16"/>
      <c r="R54" s="16" t="s">
        <v>210</v>
      </c>
    </row>
    <row r="55" spans="1:18" ht="15" customHeight="1" x14ac:dyDescent="0.25">
      <c r="M55" s="169"/>
      <c r="N55" s="17"/>
      <c r="O55" s="17"/>
      <c r="P55" s="17" t="s">
        <v>211</v>
      </c>
      <c r="Q55" s="17"/>
      <c r="R55" s="17" t="s">
        <v>212</v>
      </c>
    </row>
    <row r="56" spans="1:18" ht="15" customHeight="1" x14ac:dyDescent="0.25">
      <c r="M56" s="169"/>
      <c r="N56" s="16"/>
      <c r="O56" s="16"/>
      <c r="P56" s="16" t="s">
        <v>213</v>
      </c>
      <c r="Q56" s="16"/>
      <c r="R56" s="16" t="s">
        <v>214</v>
      </c>
    </row>
    <row r="57" spans="1:18" ht="15" customHeight="1" x14ac:dyDescent="0.25">
      <c r="M57" s="169"/>
      <c r="N57" s="17"/>
      <c r="O57" s="17"/>
      <c r="P57" s="17" t="s">
        <v>57</v>
      </c>
      <c r="Q57" s="17"/>
      <c r="R57" s="17" t="s">
        <v>215</v>
      </c>
    </row>
    <row r="58" spans="1:18" ht="15" customHeight="1" x14ac:dyDescent="0.25">
      <c r="M58" s="169"/>
      <c r="N58" s="16"/>
      <c r="O58" s="16"/>
      <c r="P58" s="16" t="s">
        <v>216</v>
      </c>
      <c r="Q58" s="16"/>
      <c r="R58" s="16"/>
    </row>
    <row r="59" spans="1:18" ht="15" customHeight="1" x14ac:dyDescent="0.25">
      <c r="M59" s="169"/>
      <c r="N59" s="17"/>
      <c r="O59" s="17"/>
      <c r="P59" s="17" t="s">
        <v>217</v>
      </c>
      <c r="Q59" s="17"/>
      <c r="R59" s="17"/>
    </row>
    <row r="60" spans="1:18" ht="15" customHeight="1" x14ac:dyDescent="0.25">
      <c r="M60" s="169"/>
      <c r="N60" s="16"/>
      <c r="O60" s="16"/>
      <c r="P60" s="77" t="s">
        <v>112</v>
      </c>
      <c r="Q60" s="16"/>
      <c r="R60" s="16"/>
    </row>
    <row r="61" spans="1:18" ht="15" customHeight="1" x14ac:dyDescent="0.25">
      <c r="M61" s="169"/>
      <c r="N61" s="17"/>
      <c r="O61" s="17"/>
      <c r="P61" s="17" t="s">
        <v>218</v>
      </c>
      <c r="Q61" s="17"/>
      <c r="R61" s="17"/>
    </row>
    <row r="62" spans="1:18" ht="15" customHeight="1" x14ac:dyDescent="0.25">
      <c r="M62" s="169"/>
      <c r="N62" s="16"/>
      <c r="O62" s="16"/>
      <c r="P62" s="16" t="s">
        <v>219</v>
      </c>
      <c r="Q62" s="16"/>
      <c r="R62" s="16"/>
    </row>
    <row r="63" spans="1:18" ht="15" customHeight="1" x14ac:dyDescent="0.25">
      <c r="M63" s="169"/>
      <c r="N63" s="17"/>
      <c r="O63" s="17"/>
      <c r="P63" s="17" t="s">
        <v>220</v>
      </c>
      <c r="Q63" s="17"/>
      <c r="R63" s="17"/>
    </row>
    <row r="64" spans="1:18" ht="15" customHeight="1" x14ac:dyDescent="0.25">
      <c r="M64" s="169"/>
      <c r="N64" s="16"/>
      <c r="O64" s="16"/>
      <c r="P64" s="16" t="s">
        <v>221</v>
      </c>
      <c r="Q64" s="16"/>
      <c r="R64" s="16"/>
    </row>
    <row r="65" spans="13:18" ht="15" customHeight="1" x14ac:dyDescent="0.25">
      <c r="M65" s="169"/>
      <c r="N65" s="17"/>
      <c r="O65" s="17"/>
      <c r="P65" s="17" t="s">
        <v>222</v>
      </c>
      <c r="Q65" s="17"/>
      <c r="R65" s="17"/>
    </row>
    <row r="66" spans="13:18" ht="15" customHeight="1" x14ac:dyDescent="0.25">
      <c r="M66" s="169"/>
      <c r="N66" s="16"/>
      <c r="O66" s="16"/>
      <c r="P66" s="16" t="s">
        <v>223</v>
      </c>
      <c r="Q66" s="16"/>
      <c r="R66" s="16"/>
    </row>
    <row r="67" spans="13:18" ht="15" customHeight="1" x14ac:dyDescent="0.25">
      <c r="M67" s="169"/>
      <c r="N67" s="17"/>
      <c r="O67" s="17"/>
      <c r="P67" s="17" t="s">
        <v>224</v>
      </c>
      <c r="Q67" s="17"/>
      <c r="R67" s="17"/>
    </row>
    <row r="68" spans="13:18" ht="15" customHeight="1" x14ac:dyDescent="0.25">
      <c r="M68" s="169"/>
      <c r="N68" s="16"/>
      <c r="O68" s="16"/>
      <c r="P68" s="16" t="s">
        <v>225</v>
      </c>
      <c r="Q68" s="16"/>
      <c r="R68" s="16"/>
    </row>
    <row r="69" spans="13:18" ht="15" customHeight="1" x14ac:dyDescent="0.25">
      <c r="M69" s="169"/>
      <c r="N69" s="17"/>
      <c r="O69" s="17"/>
      <c r="P69" s="17" t="s">
        <v>226</v>
      </c>
      <c r="Q69" s="17"/>
      <c r="R69" s="17"/>
    </row>
    <row r="70" spans="13:18" ht="15" customHeight="1" x14ac:dyDescent="0.25">
      <c r="M70" s="169"/>
      <c r="N70" s="16"/>
      <c r="O70" s="16"/>
      <c r="P70" s="16" t="s">
        <v>227</v>
      </c>
      <c r="Q70" s="16"/>
      <c r="R70" s="16"/>
    </row>
    <row r="71" spans="13:18" ht="15" customHeight="1" x14ac:dyDescent="0.25">
      <c r="M71" s="169"/>
      <c r="N71" s="17"/>
      <c r="O71" s="17"/>
      <c r="P71" s="17" t="s">
        <v>228</v>
      </c>
      <c r="Q71" s="17"/>
      <c r="R71" s="17"/>
    </row>
    <row r="72" spans="13:18" ht="15" customHeight="1" x14ac:dyDescent="0.25">
      <c r="M72" s="169"/>
      <c r="N72" s="16"/>
      <c r="O72" s="16"/>
      <c r="P72" s="16" t="s">
        <v>229</v>
      </c>
      <c r="Q72" s="16"/>
      <c r="R72" s="16"/>
    </row>
    <row r="73" spans="13:18" ht="15" customHeight="1" x14ac:dyDescent="0.25">
      <c r="M73" s="169"/>
      <c r="N73" s="17"/>
      <c r="O73" s="17"/>
      <c r="P73" s="17" t="s">
        <v>230</v>
      </c>
      <c r="Q73" s="17"/>
      <c r="R73" s="17"/>
    </row>
    <row r="74" spans="13:18" ht="15" customHeight="1" x14ac:dyDescent="0.25">
      <c r="M74" s="169"/>
      <c r="N74" s="16"/>
      <c r="O74" s="16"/>
      <c r="P74" s="16" t="s">
        <v>231</v>
      </c>
      <c r="Q74" s="16"/>
      <c r="R74" s="16"/>
    </row>
    <row r="75" spans="13:18" ht="15" customHeight="1" x14ac:dyDescent="0.25">
      <c r="M75" s="169"/>
      <c r="N75" s="17"/>
      <c r="O75" s="17"/>
      <c r="P75" s="17"/>
      <c r="Q75" s="17"/>
      <c r="R75" s="17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7" sqref="F387"/>
    </sheetView>
  </sheetViews>
  <sheetFormatPr defaultColWidth="8.5703125" defaultRowHeight="15" x14ac:dyDescent="0.2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 x14ac:dyDescent="0.25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 x14ac:dyDescent="0.25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 x14ac:dyDescent="0.25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 x14ac:dyDescent="0.25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 x14ac:dyDescent="0.25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 x14ac:dyDescent="0.25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 x14ac:dyDescent="0.25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 x14ac:dyDescent="0.25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 x14ac:dyDescent="0.25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 x14ac:dyDescent="0.25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 x14ac:dyDescent="0.25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 x14ac:dyDescent="0.25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62" t="s">
        <v>243</v>
      </c>
      <c r="B230" s="163"/>
      <c r="C230" s="163"/>
      <c r="D230" s="163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 x14ac:dyDescent="0.25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 x14ac:dyDescent="0.25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25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25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25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25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25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25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25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25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25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25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25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25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 x14ac:dyDescent="0.25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25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25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25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25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25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 x14ac:dyDescent="0.25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25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25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25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25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25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25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25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25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25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25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25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25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25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25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25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25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25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 x14ac:dyDescent="0.25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25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25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25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 x14ac:dyDescent="0.25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25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25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25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25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25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25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25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25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25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25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25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25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25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25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25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25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25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25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25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25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 x14ac:dyDescent="0.25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25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25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 x14ac:dyDescent="0.25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25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25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25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25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 x14ac:dyDescent="0.25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25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25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25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25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25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25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25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25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25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25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25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25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25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25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25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25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 x14ac:dyDescent="0.25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25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25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25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25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25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25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25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25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25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25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25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25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25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25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25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25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25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25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25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25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25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25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25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25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 x14ac:dyDescent="0.25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25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25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25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25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25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25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25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25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25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25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25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111</v>
      </c>
      <c r="G392" s="36">
        <f>SUM(G380:G391)</f>
        <v>570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 x14ac:dyDescent="0.25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 x14ac:dyDescent="0.25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25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25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25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25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25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25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25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25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25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25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 x14ac:dyDescent="0.25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111</v>
      </c>
      <c r="G406" s="40">
        <f>G392+G405</f>
        <v>570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 x14ac:dyDescent="0.25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25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25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25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25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25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25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25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25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25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25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25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 x14ac:dyDescent="0.25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 x14ac:dyDescent="0.25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 x14ac:dyDescent="0.25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25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25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25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25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25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25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25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25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25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 x14ac:dyDescent="0.25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 x14ac:dyDescent="0.25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25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25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25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25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25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25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25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25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25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25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25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 x14ac:dyDescent="0.25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25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25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25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25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25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25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25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25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25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25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25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 x14ac:dyDescent="0.25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 x14ac:dyDescent="0.25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25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25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25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25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25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25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25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25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25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25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25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 x14ac:dyDescent="0.25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25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25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25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25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25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25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25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25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25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25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25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 x14ac:dyDescent="0.25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 x14ac:dyDescent="0.25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25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25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25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25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25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25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25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25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25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25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25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 x14ac:dyDescent="0.25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25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25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25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25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25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25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25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25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25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25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25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 x14ac:dyDescent="0.25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 x14ac:dyDescent="0.25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25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25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25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25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25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25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25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25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25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25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25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 x14ac:dyDescent="0.25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25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25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25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25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25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25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25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25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25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25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 x14ac:dyDescent="0.25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 x14ac:dyDescent="0.25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25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25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25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25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25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25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25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25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25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25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25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 x14ac:dyDescent="0.25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25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25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25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25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25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25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25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25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25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25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25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 x14ac:dyDescent="0.25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 x14ac:dyDescent="0.25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25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25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25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25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25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25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25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25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25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25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25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 x14ac:dyDescent="0.25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25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25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25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25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25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25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25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25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25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25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25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 x14ac:dyDescent="0.25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 x14ac:dyDescent="0.25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25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25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25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25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25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25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25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25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25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25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25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 x14ac:dyDescent="0.25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25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25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25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25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25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25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25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25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25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25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25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 x14ac:dyDescent="0.25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 x14ac:dyDescent="0.25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25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25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25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25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25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25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25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25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25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25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25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 x14ac:dyDescent="0.25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25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25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25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25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25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25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25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25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25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25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25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 x14ac:dyDescent="0.25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 x14ac:dyDescent="0.25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25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25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25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25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25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25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25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25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25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25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25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 x14ac:dyDescent="0.25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25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25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25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25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25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25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25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25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25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25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25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 x14ac:dyDescent="0.25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 x14ac:dyDescent="0.25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25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25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25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25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25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25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25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25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25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25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25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 x14ac:dyDescent="0.25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25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25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25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25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25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25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25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25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25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25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25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 x14ac:dyDescent="0.25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 x14ac:dyDescent="0.25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25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25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25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25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25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25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25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25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25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25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25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 x14ac:dyDescent="0.25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25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25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25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25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25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25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25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25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25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25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25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 x14ac:dyDescent="0.25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 x14ac:dyDescent="0.25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25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25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25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25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25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25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25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25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25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25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25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 x14ac:dyDescent="0.25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25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25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25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25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25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25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25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25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25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25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25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 x14ac:dyDescent="0.25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 x14ac:dyDescent="0.25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25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25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25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25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25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25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25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25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25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25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25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 x14ac:dyDescent="0.25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25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25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25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25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25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25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25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25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25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25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25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 x14ac:dyDescent="0.25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 x14ac:dyDescent="0.25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25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25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25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25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25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25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25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25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25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25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25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 x14ac:dyDescent="0.25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25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25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25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25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25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25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25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25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25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25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25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 x14ac:dyDescent="0.25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 x14ac:dyDescent="0.25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25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25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25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25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25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25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25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25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25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25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25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 x14ac:dyDescent="0.25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25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25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25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25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25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25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25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25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25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25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25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 x14ac:dyDescent="0.25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P356" sqref="P356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 x14ac:dyDescent="0.25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 x14ac:dyDescent="0.25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25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25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25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25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25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25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 x14ac:dyDescent="0.25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 x14ac:dyDescent="0.25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25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25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 x14ac:dyDescent="0.3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0.48314722222130513</v>
      </c>
      <c r="R53" s="46" t="s">
        <v>278</v>
      </c>
      <c r="S53" s="31"/>
    </row>
    <row r="54" spans="1:20" ht="15.75" customHeight="1" thickBot="1" x14ac:dyDescent="0.3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0.62203611111019397</v>
      </c>
      <c r="R54" s="36" t="s">
        <v>244</v>
      </c>
      <c r="S54" s="75">
        <v>352430</v>
      </c>
      <c r="T54" s="117"/>
    </row>
    <row r="55" spans="1:20" ht="18" customHeight="1" x14ac:dyDescent="0.25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0.70675833333241633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2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35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25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25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25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25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25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25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25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 x14ac:dyDescent="0.25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25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25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25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35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 x14ac:dyDescent="0.25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2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35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2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35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 x14ac:dyDescent="0.25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2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35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2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35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 x14ac:dyDescent="0.25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25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25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 x14ac:dyDescent="0.25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25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 x14ac:dyDescent="0.25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25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25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25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 x14ac:dyDescent="0.25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25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25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35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2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35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 x14ac:dyDescent="0.25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 x14ac:dyDescent="0.25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 x14ac:dyDescent="0.25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">
      <c r="A230" s="162" t="s">
        <v>243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 x14ac:dyDescent="0.25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 x14ac:dyDescent="0.25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 x14ac:dyDescent="0.25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 x14ac:dyDescent="0.25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25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25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25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25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25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25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25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25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25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25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3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3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 x14ac:dyDescent="0.25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 x14ac:dyDescent="0.25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25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 x14ac:dyDescent="0.25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 x14ac:dyDescent="0.25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25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 x14ac:dyDescent="0.25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 x14ac:dyDescent="0.25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25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25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25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 x14ac:dyDescent="0.25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 x14ac:dyDescent="0.2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2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2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2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2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2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2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 x14ac:dyDescent="0.25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/>
      <c r="Q385" s="35">
        <f t="shared" ca="1" si="92"/>
        <v>2.1341666666558012E-2</v>
      </c>
      <c r="R385" s="46" t="s">
        <v>301</v>
      </c>
      <c r="S385" s="47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2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100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420.00000000000006</v>
      </c>
      <c r="L392" s="37"/>
      <c r="M392" s="37"/>
      <c r="N392" s="37"/>
      <c r="O392" s="37"/>
      <c r="P392" s="37"/>
      <c r="Q392" s="38">
        <f ca="1">IFERROR(SUM(Q380:Q391),"")</f>
        <v>6.7174999999891294E-2</v>
      </c>
      <c r="R392" s="36" t="s">
        <v>244</v>
      </c>
      <c r="S392" s="45"/>
      <c r="T392" s="122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 x14ac:dyDescent="0.25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 x14ac:dyDescent="0.25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 x14ac:dyDescent="0.25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 x14ac:dyDescent="0.25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 x14ac:dyDescent="0.25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25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25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 x14ac:dyDescent="0.25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100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420.00000000000006</v>
      </c>
      <c r="L406" s="41"/>
      <c r="M406" s="41"/>
      <c r="N406" s="41"/>
      <c r="O406" s="41"/>
      <c r="P406" s="41"/>
      <c r="Q406" s="42">
        <f ca="1">IFERROR(Q392+Q405,"")</f>
        <v>6.7174999999891294E-2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 x14ac:dyDescent="0.25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 x14ac:dyDescent="0.25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 x14ac:dyDescent="0.25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25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25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25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25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25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25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25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25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25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25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 x14ac:dyDescent="0.25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 x14ac:dyDescent="0.25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25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25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25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25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25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25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25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25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25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25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 x14ac:dyDescent="0.25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 x14ac:dyDescent="0.25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 x14ac:dyDescent="0.25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 x14ac:dyDescent="0.25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 x14ac:dyDescent="0.25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 x14ac:dyDescent="0.25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 x14ac:dyDescent="0.25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 x14ac:dyDescent="0.25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 x14ac:dyDescent="0.25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 x14ac:dyDescent="0.25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 x14ac:dyDescent="0.25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R385" sqref="R385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 x14ac:dyDescent="0.25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25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 x14ac:dyDescent="0.25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25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25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 x14ac:dyDescent="0.25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 x14ac:dyDescent="0.25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25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25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25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25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25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 x14ac:dyDescent="0.25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 x14ac:dyDescent="0.25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 x14ac:dyDescent="0.25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 x14ac:dyDescent="0.25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 x14ac:dyDescent="0.25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 x14ac:dyDescent="0.25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 x14ac:dyDescent="0.25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 x14ac:dyDescent="0.25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 x14ac:dyDescent="0.25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25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25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25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25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25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25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 x14ac:dyDescent="0.25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25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25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25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25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25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25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25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25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25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25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25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25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25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25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25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25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25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25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25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25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 x14ac:dyDescent="0.25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25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25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25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25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25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25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25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25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25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25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25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25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25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25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25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25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25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25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25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25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3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3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 x14ac:dyDescent="0.25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 x14ac:dyDescent="0.25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 x14ac:dyDescent="0.25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25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 x14ac:dyDescent="0.25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25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25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25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25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25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25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3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3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25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25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25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25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25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25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25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25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25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25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3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3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 x14ac:dyDescent="0.25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25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 x14ac:dyDescent="0.25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25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25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25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25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25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25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3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3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25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25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25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25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25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25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25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25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25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25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3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3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 x14ac:dyDescent="0.25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25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25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 x14ac:dyDescent="0.25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319</v>
      </c>
      <c r="S383" s="47"/>
    </row>
    <row r="384" spans="1:20" ht="15" customHeight="1" x14ac:dyDescent="0.25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/>
      <c r="Q384" s="30">
        <f t="shared" ca="1" si="90"/>
        <v>2.1341666666558012E-2</v>
      </c>
      <c r="R384" s="27" t="s">
        <v>301</v>
      </c>
      <c r="S384" s="47"/>
    </row>
    <row r="385" spans="1:20" ht="15" customHeight="1" x14ac:dyDescent="0.25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88"/>
        <v>0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25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88"/>
        <v>0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25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25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25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25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3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3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53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193.2</v>
      </c>
      <c r="L392" s="37"/>
      <c r="M392" s="37"/>
      <c r="N392" s="37"/>
      <c r="O392" s="37"/>
      <c r="P392" s="37"/>
      <c r="Q392" s="38">
        <f ca="1">IFERROR(SUM(Q380:Q391),"")</f>
        <v>6.8563888888780289E-2</v>
      </c>
      <c r="R392" s="36" t="s">
        <v>244</v>
      </c>
      <c r="S392" s="39"/>
      <c r="T392" s="119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 x14ac:dyDescent="0.25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 x14ac:dyDescent="0.25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 x14ac:dyDescent="0.25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 x14ac:dyDescent="0.25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25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25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25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25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25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25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3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3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 x14ac:dyDescent="0.25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53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193.2</v>
      </c>
      <c r="L406" s="41"/>
      <c r="M406" s="41"/>
      <c r="N406" s="41"/>
      <c r="O406" s="41"/>
      <c r="P406" s="41"/>
      <c r="Q406" s="42">
        <f ca="1">IFERROR(Q392+Q405,"")</f>
        <v>6.8563888888780289E-2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 x14ac:dyDescent="0.25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 x14ac:dyDescent="0.25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25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25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25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25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25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25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25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25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3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3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 x14ac:dyDescent="0.25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 x14ac:dyDescent="0.25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 x14ac:dyDescent="0.25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 x14ac:dyDescent="0.25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 x14ac:dyDescent="0.25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 x14ac:dyDescent="0.25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25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25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25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25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3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3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 x14ac:dyDescent="0.25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 x14ac:dyDescent="0.25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 x14ac:dyDescent="0.25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 x14ac:dyDescent="0.25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25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25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25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25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25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25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3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3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25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25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25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25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25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25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25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25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25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25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3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3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 x14ac:dyDescent="0.25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25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25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25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25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25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25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25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25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25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25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3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3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25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25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25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25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25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25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25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25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25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25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3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3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 x14ac:dyDescent="0.25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25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25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25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25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25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25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25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25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25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25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3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3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25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25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25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25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25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25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25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25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25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25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3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3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 x14ac:dyDescent="0.25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25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25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25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25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25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25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25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25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25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25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3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3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25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25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25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25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25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25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25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25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25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25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3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3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 x14ac:dyDescent="0.25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25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25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25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25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25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25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25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25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25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25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3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3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25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25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25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25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25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25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25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25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25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25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3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3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 x14ac:dyDescent="0.25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25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25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25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25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25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25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25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25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25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25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3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3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25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25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25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25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25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25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25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25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25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25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3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3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 x14ac:dyDescent="0.25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25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25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25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25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25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25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25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25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25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25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3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3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25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25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25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25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25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25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25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25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25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25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3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3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 x14ac:dyDescent="0.25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25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25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25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25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25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25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25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25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25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25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3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3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25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25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25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25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25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25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25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25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25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25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3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3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 x14ac:dyDescent="0.25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25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25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25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25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25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25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25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25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25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25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3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3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25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25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25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25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25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25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25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25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25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25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3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3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 x14ac:dyDescent="0.25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25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25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25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25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25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25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25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25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25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25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3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3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25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25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25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25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25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25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25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25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25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25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3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3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 x14ac:dyDescent="0.25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25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25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25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25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25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25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25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25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25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25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3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3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25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25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25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25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25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25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25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25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25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25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3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3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 x14ac:dyDescent="0.25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25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25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25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25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25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25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25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25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25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25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3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3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25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25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25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25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25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25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25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25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25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25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3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3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 x14ac:dyDescent="0.25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25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25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25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25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25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25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25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25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25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25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3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3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25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25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25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25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25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25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25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25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25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25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3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3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 x14ac:dyDescent="0.25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25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25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25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25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25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25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25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25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25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25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3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3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25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25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25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25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25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25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25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25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25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25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3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3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 x14ac:dyDescent="0.25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25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25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25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25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25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25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25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25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25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25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3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3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25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25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25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25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25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25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25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25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25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25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3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3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 x14ac:dyDescent="0.25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53" activePane="bottomLeft" state="frozen"/>
      <selection pane="bottomLeft" activeCell="R385" sqref="R385"/>
    </sheetView>
  </sheetViews>
  <sheetFormatPr defaultColWidth="8.5703125" defaultRowHeight="15" x14ac:dyDescent="0.2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 x14ac:dyDescent="0.25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320</v>
      </c>
      <c r="S16" s="60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321</v>
      </c>
      <c r="S19" s="60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322</v>
      </c>
      <c r="S22" s="60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 x14ac:dyDescent="0.25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323</v>
      </c>
      <c r="S45" s="60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 x14ac:dyDescent="0.25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324</v>
      </c>
      <c r="S59" s="60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325</v>
      </c>
      <c r="S60" s="60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326</v>
      </c>
      <c r="S69" s="60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 x14ac:dyDescent="0.25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 x14ac:dyDescent="0.25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327</v>
      </c>
      <c r="S114" s="60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328</v>
      </c>
      <c r="S124" s="60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 x14ac:dyDescent="0.25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329</v>
      </c>
      <c r="S138" s="31"/>
    </row>
    <row r="139" spans="1:22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330</v>
      </c>
      <c r="S139" s="31"/>
    </row>
    <row r="140" spans="1:22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331</v>
      </c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332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 x14ac:dyDescent="0.25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333</v>
      </c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334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 x14ac:dyDescent="0.25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335</v>
      </c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336</v>
      </c>
      <c r="S204" s="60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338</v>
      </c>
      <c r="S206" s="60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 x14ac:dyDescent="0.25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339</v>
      </c>
      <c r="S220" s="60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340</v>
      </c>
      <c r="S221" s="60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341</v>
      </c>
      <c r="S231" s="60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342</v>
      </c>
      <c r="S232" s="60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 x14ac:dyDescent="0.25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343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 x14ac:dyDescent="0.25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 x14ac:dyDescent="0.25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25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25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25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25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25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25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25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25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25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25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 x14ac:dyDescent="0.25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25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25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25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25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25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25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25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25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25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25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 x14ac:dyDescent="0.25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2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2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2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 x14ac:dyDescent="0.2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2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2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2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 x14ac:dyDescent="0.25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/>
      <c r="Q384" s="30">
        <f t="shared" ca="1" si="92"/>
        <v>2.1341666666558012E-2</v>
      </c>
      <c r="R384" s="27" t="s">
        <v>301</v>
      </c>
      <c r="S384" s="60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71.400000000000006</v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2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100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420</v>
      </c>
      <c r="L392" s="37"/>
      <c r="M392" s="37"/>
      <c r="N392" s="37"/>
      <c r="O392" s="61"/>
      <c r="P392" s="61"/>
      <c r="Q392" s="38">
        <f ca="1">IFERROR(SUM(Q380:Q391),"")</f>
        <v>5.9536111111002377E-2</v>
      </c>
      <c r="R392" s="36" t="s">
        <v>244</v>
      </c>
      <c r="S392" s="39"/>
      <c r="T392" s="119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 x14ac:dyDescent="0.25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25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25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25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25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25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25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 x14ac:dyDescent="0.25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100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420</v>
      </c>
      <c r="L406" s="41"/>
      <c r="M406" s="41"/>
      <c r="N406" s="41"/>
      <c r="O406" s="63"/>
      <c r="P406" s="63"/>
      <c r="Q406" s="42">
        <f ca="1">IFERROR(Q392+Q405,"")</f>
        <v>5.9536111111002377E-2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 x14ac:dyDescent="0.25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 x14ac:dyDescent="0.25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3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3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 x14ac:dyDescent="0.25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25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25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25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25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25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25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25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25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25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25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3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3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3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 x14ac:dyDescent="0.25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3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3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 x14ac:dyDescent="0.25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3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25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25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25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25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25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25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25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25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25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25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3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3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 x14ac:dyDescent="0.25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3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 x14ac:dyDescent="0.25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3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3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 x14ac:dyDescent="0.25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3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3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 x14ac:dyDescent="0.25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3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3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 x14ac:dyDescent="0.25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3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3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 x14ac:dyDescent="0.25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3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3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 x14ac:dyDescent="0.25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3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3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 x14ac:dyDescent="0.25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3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3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 x14ac:dyDescent="0.25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3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3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 x14ac:dyDescent="0.25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3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3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 x14ac:dyDescent="0.25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2026-08-15T18:30:59Z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