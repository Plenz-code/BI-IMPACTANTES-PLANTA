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2" documentId="8_{AF585B22-221D-4780-BB9C-493D365A6A02}" xr6:coauthVersionLast="47" xr6:coauthVersionMax="47" xr10:uidLastSave="{0244A271-4771-494E-90E0-35CA42B5E0F7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3" i="4" l="1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B47" i="6"/>
  <c r="B48" i="6" s="1"/>
  <c r="B49" i="6" s="1"/>
  <c r="B50" i="6" s="1"/>
  <c r="B51" i="6" s="1"/>
  <c r="B52" i="6" s="1"/>
  <c r="B53" i="6" s="1"/>
  <c r="G46" i="6"/>
  <c r="G45" i="6"/>
  <c r="G44" i="6"/>
  <c r="B44" i="6"/>
  <c r="B45" i="6" s="1"/>
  <c r="B46" i="6" s="1"/>
  <c r="G43" i="6"/>
  <c r="B43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<sst xmlns="http://schemas.openxmlformats.org/spreadsheetml/2006/main" count="1710" uniqueCount="211">
  <si>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</si>
  <si>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</si>
  <si>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</si>
  <si>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</si>
  <si>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</si>
  <si>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</si>
  <si>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</si>
  <si>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</si>
  <si>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</si>
  <si>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</si>
  <si>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</si>
  <si>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</si>
  <si>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</si>
  <si>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</si>
  <si>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</si>
  <si>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</si>
  <si>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</si>
  <si>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</si>
  <si>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</si>
  <si>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</si>
  <si>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</si>
  <si>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</si>
  <si>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</si>
  <si>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</si>
  <si>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</si>
  <si>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</si>
  <si>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</si>
  <si>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</si>
  <si>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</si>
  <si>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</si>
  <si>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</si>
  <si>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</si>
  <si>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</si>
  <si>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</si>
  <si>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</si>
  <si>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</si>
  <si>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</si>
  <si>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</si>
  <si>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</si>
  <si>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</si>
  <si>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</si>
  <si>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</si>
  <si>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</si>
  <si>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</si>
  <si>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</si>
  <si>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</si>
  <si>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</si>
  <si>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</si>
  <si>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</si>
  <si>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</si>
  <si>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</si>
  <si>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</si>
  <si>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</si>
  <si>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</si>
  <si>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</si>
  <si>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</si>
  <si>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</si>
  <si>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</si>
  <si>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</si>
  <si>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</si>
  <si>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</si>
  <si>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</si>
  <si>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</si>
  <si>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</si>
  <si>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</si>
  <si>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</si>
  <si>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</si>
  <si>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</si>
  <si>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</si>
  <si>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</si>
  <si>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</si>
  <si>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</si>
  <si>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</si>
  <si>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</si>
  <si>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</si>
  <si>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</si>
  <si>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</si>
  <si>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</si>
  <si>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</si>
  <si>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</si>
  <si>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</si>
  <si>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</si>
  <si>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</si>
  <si>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</si>
  <si>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</si>
  <si>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</si>
  <si>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</si>
  <si>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</si>
  <si>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</si>
  <si>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</si>
  <si>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</si>
  <si>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</si>
  <si>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</si>
  <si>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</si>
  <si>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</si>
  <si>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</si>
  <si>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</si>
  <si>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</si>
  <si>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</si>
  <si>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</si>
  <si>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</si>
  <si>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</si>
  <si>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</si>
  <si>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</si>
  <si>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</si>
  <si>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</si>
  <si>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</si>
  <si>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</si>
  <si>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</si>
  <si>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</si>
  <si>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</si>
  <si>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</si>
  <si>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</si>
  <si>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</si>
  <si>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</si>
  <si>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</si>
  <si>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</si>
  <si>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</si>
  <si>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</si>
  <si>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</si>
  <si>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</si>
  <si>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</si>
  <si>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</si>
  <si>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</si>
  <si>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</si>
  <si>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</si>
  <si>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</si>
  <si>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</si>
  <si>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</si>
  <si>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</si>
  <si>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</si>
  <si>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</si>
  <si>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</si>
  <si>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</si>
  <si>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</si>
  <si>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</si>
  <si>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</si>
  <si>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</si>
  <si>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</si>
  <si>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</si>
  <si>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</si>
  <si>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</si>
  <si>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</si>
  <si>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</si>
  <si>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</si>
  <si>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</si>
  <si>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</si>
  <si>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</si>
  <si>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</si>
  <si>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</si>
  <si>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</si>
  <si>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</si>
  <si>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</si>
  <si>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</si>
  <si>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</si>
  <si>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</si>
  <si>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</si>
  <si>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</si>
  <si>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</si>
  <si>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</si>
  <si>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</si>
  <si>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</si>
  <si>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</si>
  <si>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</si>
  <si>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</si>
  <si>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</si>
  <si>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</si>
  <si>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</si>
  <si>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</si>
  <si>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</si>
  <si>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</si>
  <si>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</si>
  <si>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</si>
  <si>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</si>
  <si>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</si>
  <si>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</si>
  <si>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</si>
  <si>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</si>
  <si>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</si>
  <si>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</si>
  <si>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</si>
  <si>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</si>
  <si>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</si>
  <si>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</si>
  <si>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</si>
  <si>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</si>
  <si>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</si>
  <si>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</si>
  <si>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</si>
  <si>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</si>
  <si>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</si>
  <si>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</si>
  <si>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</si>
  <si>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</si>
  <si>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</si>
  <si>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</si>
  <si>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</si>
  <si>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</si>
  <si>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</si>
  <si>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</si>
  <si>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</si>
  <si>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</si>
  <si>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obs: trocar parafuso do mancal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</si>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</sst>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3740390</v>
      </c>
      <c r="D35" s="13">
        <f>IFERROR(SUM(D4:D34),"")</f>
        <v>1648560</v>
      </c>
      <c r="E35" s="13">
        <f>IFERROR(SUM(E4:E34),"")</f>
        <v>930910</v>
      </c>
      <c r="F35" s="13">
        <f>IFERROR(SUM(F4:F34),"")</f>
        <v>1308200</v>
      </c>
      <c r="G35" s="13">
        <f>IFERROR(SUM(G4:G34),"")</f>
        <v>3887670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52" activePane="bottomLeft" state="frozen"/>
      <selection pane="bottomLeft" activeCell="D63" sqref="D6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" activePane="bottomLeft" state="frozen"/>
      <selection pane="bottomLeft" activeCell="D65" sqref="D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0.97083333333333333</v>
      </c>
      <c r="M42" s="30">
        <f ca="1">IFERROR(IF(K42="","",IF(L42="",MOD(NOW()-K42,1),IF(L42&gt;=K42,L42-K42,L42+1-K42))),"")</f>
        <v>4.3749999999999956E-2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4.1666666666666664E-2</v>
      </c>
      <c r="M43" s="30">
        <f t="shared" ref="M43:M53" ca="1" si="11">IFERROR(IF(K43="","",IF(L43="",MOD(NOW()-K43,1),IF(L43&gt;=K43,L43-K43,L43+1-K43))),"")</f>
        <v>1.0416666666666664E-2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/>
      <c r="M44" s="30"/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5.416666666666662E-2</v>
      </c>
      <c r="N54" s="36" t="s">
        <v>194</v>
      </c>
      <c r="O54" s="54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0.13402777777777772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47" activePane="bottomLeft" state="frozen"/>
      <selection pane="bottomLeft" activeCell="C56" sqref="C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>
        <v>0</v>
      </c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1" activePane="bottomLeft" state="frozen"/>
      <selection pane="bottomLeft" activeCell="O55" sqref="O5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208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/>
      <c r="M43" s="35">
        <f t="shared" ca="1" si="10"/>
        <v>0.10637326388678048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0.15845659722011385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0.3827621527756695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2026-07-03T10:58:45Z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