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289" documentId="13_ncr:1_{0A10D8D4-8450-4366-8075-B53B08E6B7EA}" xr6:coauthVersionLast="47" xr6:coauthVersionMax="47" xr10:uidLastSave="{C7A6AEAA-AF14-4EB1-B966-94A77EC63C1B}"/>
  <bookViews>
    <workbookView xWindow="-28920" yWindow="-60" windowWidth="29040" windowHeight="1572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27" i="6" l="1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B308" i="3"/>
  <c r="B309" i="3" s="1"/>
  <c r="B310" i="3" s="1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390" i="6"/>
  <c r="J391" i="6"/>
  <c r="J366" i="6"/>
  <c r="J367" i="6"/>
  <c r="J368" i="6"/>
  <c r="J369" i="6"/>
  <c r="J370" i="6"/>
  <c r="J371" i="6"/>
  <c r="J372" i="6"/>
  <c r="J373" i="6"/>
  <c r="J374" i="6"/>
  <c r="J354" i="6"/>
  <c r="J355" i="6"/>
  <c r="J356" i="6"/>
  <c r="J357" i="6"/>
  <c r="J361" i="6"/>
  <c r="J362" i="6"/>
  <c r="J363" i="6"/>
  <c r="J364" i="6"/>
  <c r="J339" i="6"/>
  <c r="J340" i="6"/>
  <c r="J341" i="6"/>
  <c r="J342" i="6"/>
  <c r="J343" i="6"/>
  <c r="J344" i="6"/>
  <c r="J345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366" i="5"/>
  <c r="J367" i="5"/>
  <c r="J368" i="5"/>
  <c r="J369" i="5"/>
  <c r="J370" i="5"/>
  <c r="J371" i="5"/>
  <c r="J372" i="5"/>
  <c r="J373" i="5"/>
  <c r="J374" i="5"/>
  <c r="J375" i="5"/>
  <c r="J376" i="5"/>
  <c r="J377" i="5"/>
  <c r="J353" i="5"/>
  <c r="J354" i="5"/>
  <c r="J355" i="5"/>
  <c r="J356" i="5"/>
  <c r="J357" i="5"/>
  <c r="J358" i="5"/>
  <c r="J359" i="5"/>
  <c r="J360" i="5"/>
  <c r="J361" i="5"/>
  <c r="J362" i="5"/>
  <c r="J363" i="5"/>
  <c r="J364" i="5"/>
  <c r="J339" i="5"/>
  <c r="J340" i="5"/>
  <c r="J341" i="5"/>
  <c r="J342" i="5"/>
  <c r="J343" i="5"/>
  <c r="J344" i="5"/>
  <c r="J345" i="5"/>
  <c r="J346" i="5"/>
  <c r="J347" i="5"/>
  <c r="J348" i="5"/>
  <c r="J349" i="5"/>
  <c r="J350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J366" i="4"/>
  <c r="J367" i="4"/>
  <c r="J368" i="4"/>
  <c r="J369" i="4"/>
  <c r="J370" i="4"/>
  <c r="J371" i="4"/>
  <c r="J372" i="4"/>
  <c r="J373" i="4"/>
  <c r="J374" i="4"/>
  <c r="J375" i="4"/>
  <c r="J376" i="4"/>
  <c r="J377" i="4"/>
  <c r="J353" i="4"/>
  <c r="J354" i="4"/>
  <c r="J355" i="4"/>
  <c r="J356" i="4"/>
  <c r="J357" i="4"/>
  <c r="J358" i="4"/>
  <c r="J359" i="4"/>
  <c r="J360" i="4"/>
  <c r="J361" i="4"/>
  <c r="J362" i="4"/>
  <c r="J363" i="4"/>
  <c r="J364" i="4"/>
  <c r="J339" i="4"/>
  <c r="J340" i="4"/>
  <c r="J341" i="4"/>
  <c r="J342" i="4"/>
  <c r="J343" i="4"/>
  <c r="J344" i="4"/>
  <c r="J345" i="4"/>
  <c r="J346" i="4"/>
  <c r="J347" i="4"/>
  <c r="J348" i="4"/>
  <c r="J349" i="4"/>
  <c r="J350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0" i="6"/>
  <c r="J380" i="6" s="1"/>
  <c r="H381" i="6"/>
  <c r="J381" i="6" s="1"/>
  <c r="H382" i="6"/>
  <c r="J382" i="6" s="1"/>
  <c r="H383" i="6"/>
  <c r="J383" i="6" s="1"/>
  <c r="H384" i="6"/>
  <c r="J384" i="6" s="1"/>
  <c r="H385" i="6"/>
  <c r="J385" i="6" s="1"/>
  <c r="H386" i="6"/>
  <c r="J386" i="6" s="1"/>
  <c r="H387" i="6"/>
  <c r="J387" i="6" s="1"/>
  <c r="H388" i="6"/>
  <c r="J388" i="6" s="1"/>
  <c r="H389" i="6"/>
  <c r="J389" i="6" s="1"/>
  <c r="H390" i="6"/>
  <c r="H391" i="6"/>
  <c r="H366" i="6"/>
  <c r="H367" i="6"/>
  <c r="H368" i="6"/>
  <c r="H369" i="6"/>
  <c r="H370" i="6"/>
  <c r="H371" i="6"/>
  <c r="H372" i="6"/>
  <c r="H373" i="6"/>
  <c r="H374" i="6"/>
  <c r="H375" i="6"/>
  <c r="J375" i="6" s="1"/>
  <c r="H376" i="6"/>
  <c r="J376" i="6" s="1"/>
  <c r="H377" i="6"/>
  <c r="J377" i="6" s="1"/>
  <c r="H353" i="6"/>
  <c r="J353" i="6" s="1"/>
  <c r="H354" i="6"/>
  <c r="H355" i="6"/>
  <c r="H356" i="6"/>
  <c r="H357" i="6"/>
  <c r="H358" i="6"/>
  <c r="J358" i="6" s="1"/>
  <c r="H359" i="6"/>
  <c r="J359" i="6" s="1"/>
  <c r="H360" i="6"/>
  <c r="J360" i="6" s="1"/>
  <c r="H361" i="6"/>
  <c r="H362" i="6"/>
  <c r="H363" i="6"/>
  <c r="H364" i="6"/>
  <c r="H339" i="6"/>
  <c r="H340" i="6"/>
  <c r="H341" i="6"/>
  <c r="H342" i="6"/>
  <c r="H343" i="6"/>
  <c r="H344" i="6"/>
  <c r="H345" i="6"/>
  <c r="H346" i="6"/>
  <c r="J346" i="6" s="1"/>
  <c r="H347" i="6"/>
  <c r="J347" i="6" s="1"/>
  <c r="H348" i="6"/>
  <c r="J348" i="6" s="1"/>
  <c r="H349" i="6"/>
  <c r="J349" i="6" s="1"/>
  <c r="H350" i="6"/>
  <c r="J350" i="6" s="1"/>
  <c r="H331" i="6"/>
  <c r="J331" i="6" s="1"/>
  <c r="H332" i="6"/>
  <c r="J332" i="6" s="1"/>
  <c r="H333" i="6"/>
  <c r="J333" i="6" s="1"/>
  <c r="H334" i="6"/>
  <c r="J334" i="6" s="1"/>
  <c r="H335" i="6"/>
  <c r="J335" i="6" s="1"/>
  <c r="H336" i="6"/>
  <c r="J336" i="6" s="1"/>
  <c r="H337" i="6"/>
  <c r="J337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30" i="5"/>
  <c r="J330" i="5" s="1"/>
  <c r="H331" i="5"/>
  <c r="J331" i="5" s="1"/>
  <c r="H332" i="5"/>
  <c r="J332" i="5" s="1"/>
  <c r="H333" i="5"/>
  <c r="J333" i="5" s="1"/>
  <c r="H334" i="5"/>
  <c r="J334" i="5" s="1"/>
  <c r="H335" i="5"/>
  <c r="J335" i="5" s="1"/>
  <c r="H336" i="5"/>
  <c r="J336" i="5" s="1"/>
  <c r="H337" i="5"/>
  <c r="J337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39" i="4"/>
  <c r="H340" i="4"/>
  <c r="H341" i="4"/>
  <c r="H342" i="4"/>
  <c r="H343" i="4"/>
  <c r="H344" i="4"/>
  <c r="H345" i="4"/>
  <c r="H346" i="4"/>
  <c r="H347" i="4"/>
  <c r="H348" i="4"/>
  <c r="H349" i="4"/>
  <c r="H350" i="4"/>
  <c r="H330" i="4"/>
  <c r="J330" i="4" s="1"/>
  <c r="H331" i="4"/>
  <c r="J331" i="4" s="1"/>
  <c r="H332" i="4"/>
  <c r="J332" i="4" s="1"/>
  <c r="H333" i="4"/>
  <c r="J333" i="4" s="1"/>
  <c r="H334" i="4"/>
  <c r="J334" i="4" s="1"/>
  <c r="H335" i="4"/>
  <c r="J335" i="4" s="1"/>
  <c r="H336" i="4"/>
  <c r="J336" i="4" s="1"/>
  <c r="H337" i="4"/>
  <c r="J337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378" i="5"/>
  <c r="T378" i="5" s="1"/>
  <c r="J405" i="5"/>
  <c r="T405" i="5" s="1"/>
  <c r="J756" i="5"/>
  <c r="T756" i="5" s="1"/>
  <c r="J405" i="4"/>
  <c r="T405" i="4" s="1"/>
  <c r="J729" i="6"/>
  <c r="T729" i="6" s="1"/>
  <c r="J405" i="6"/>
  <c r="J378" i="6"/>
  <c r="T378" i="6" s="1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392" i="4"/>
  <c r="J581" i="4"/>
  <c r="T581" i="4" s="1"/>
  <c r="J351" i="6"/>
  <c r="T351" i="6" s="1"/>
  <c r="J392" i="5"/>
  <c r="T392" i="5" s="1"/>
  <c r="J554" i="4"/>
  <c r="T554" i="4" s="1"/>
  <c r="J648" i="4"/>
  <c r="T648" i="4" s="1"/>
  <c r="J378" i="4"/>
  <c r="T378" i="4" s="1"/>
  <c r="J702" i="4"/>
  <c r="T702" i="4" s="1"/>
  <c r="J365" i="6"/>
  <c r="T365" i="6" s="1"/>
  <c r="J554" i="6"/>
  <c r="T554" i="6" s="1"/>
  <c r="J702" i="6"/>
  <c r="J594" i="5"/>
  <c r="T594" i="5" s="1"/>
  <c r="J351" i="4"/>
  <c r="T351" i="4" s="1"/>
  <c r="J446" i="4"/>
  <c r="T446" i="4" s="1"/>
  <c r="J500" i="5"/>
  <c r="T500" i="5" s="1"/>
  <c r="J392" i="6"/>
  <c r="T392" i="6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365" i="5"/>
  <c r="T365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365" i="4"/>
  <c r="T365" i="4" s="1"/>
  <c r="J351" i="5"/>
  <c r="T351" i="5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351" i="4"/>
  <c r="H365" i="4"/>
  <c r="H405" i="6"/>
  <c r="H567" i="6"/>
  <c r="H446" i="6"/>
  <c r="H460" i="6" s="1"/>
  <c r="H608" i="6"/>
  <c r="H621" i="6"/>
  <c r="H770" i="6"/>
  <c r="H648" i="6"/>
  <c r="H365" i="6"/>
  <c r="H756" i="6"/>
  <c r="H743" i="6"/>
  <c r="H757" i="6" s="1"/>
  <c r="H500" i="6"/>
  <c r="H594" i="6"/>
  <c r="H702" i="6"/>
  <c r="H351" i="6"/>
  <c r="H378" i="6"/>
  <c r="H581" i="6"/>
  <c r="H824" i="6"/>
  <c r="H392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392" i="5"/>
  <c r="H473" i="5"/>
  <c r="H581" i="5"/>
  <c r="H621" i="5"/>
  <c r="H648" i="5"/>
  <c r="H351" i="5"/>
  <c r="H378" i="5"/>
  <c r="H459" i="5"/>
  <c r="H635" i="5"/>
  <c r="H689" i="5"/>
  <c r="H608" i="5"/>
  <c r="H365" i="5"/>
  <c r="H379" i="5" s="1"/>
  <c r="H405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378" i="4"/>
  <c r="H379" i="4" s="1"/>
  <c r="H486" i="4"/>
  <c r="H581" i="4"/>
  <c r="H595" i="4" s="1"/>
  <c r="H770" i="4"/>
  <c r="H635" i="4"/>
  <c r="H648" i="4"/>
  <c r="H405" i="4"/>
  <c r="H392" i="4"/>
  <c r="H406" i="4" s="1"/>
  <c r="H729" i="4"/>
  <c r="H473" i="4"/>
  <c r="H487" i="4" s="1"/>
  <c r="H594" i="4"/>
  <c r="H500" i="4"/>
  <c r="H513" i="4"/>
  <c r="H540" i="4"/>
  <c r="H541" i="4" s="1"/>
  <c r="H406" i="5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406" i="6"/>
  <c r="T406" i="6" s="1"/>
  <c r="T405" i="6"/>
  <c r="J622" i="4"/>
  <c r="T622" i="4" s="1"/>
  <c r="T608" i="4"/>
  <c r="J406" i="4"/>
  <c r="T406" i="4" s="1"/>
  <c r="T392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06" i="5"/>
  <c r="T406" i="5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379" i="5"/>
  <c r="T379" i="5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379" i="4"/>
  <c r="T37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379" i="6"/>
  <c r="T379" i="6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406" i="6"/>
  <c r="H838" i="6"/>
  <c r="H649" i="6"/>
  <c r="H703" i="6"/>
  <c r="H622" i="6"/>
  <c r="H379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18" i="1"/>
  <c r="J18" i="1" s="1"/>
  <c r="H22" i="1"/>
  <c r="J22" i="1" s="1"/>
  <c r="H23" i="1"/>
  <c r="J23" i="1" s="1"/>
  <c r="H24" i="1"/>
  <c r="J24" i="1" s="1"/>
  <c r="H17" i="1"/>
  <c r="J17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G406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G379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29" i="6" l="1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H338" i="6" l="1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352" i="6" l="1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<sst xmlns="http://schemas.openxmlformats.org/spreadsheetml/2006/main" count="5878" uniqueCount="336">
  <si>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</si>
  <si>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</si>
  <si>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</si>
  <si>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</si>
  <si>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</si>
  <si>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</si>
  <si>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</si>
  <si>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Realizado(g)</t>
  </si>
  <si>
    <t>Aderência (%)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</si>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</sst>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</fonts>
  <fills count="20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5" fillId="0" borderId="0" applyFont="0" applyFill="0" applyBorder="0" applyAlignment="0" applyProtection="0"/>
  </cellStyleXfs>
  <cellXfs count="17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0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2" borderId="4" xfId="0" applyFont="1" applyFill="1" applyBorder="1" applyAlignment="1">
      <alignment horizontal="center" vertical="center"/>
    </xf>
    <xf numFmtId="168" fontId="11" fillId="8" borderId="2" xfId="0" applyNumberFormat="1" applyFont="1" applyFill="1" applyBorder="1" applyAlignment="1">
      <alignment horizontal="center" vertical="center"/>
    </xf>
    <xf numFmtId="168" fontId="11" fillId="11" borderId="2" xfId="0" applyNumberFormat="1" applyFont="1" applyFill="1" applyBorder="1" applyAlignment="1">
      <alignment horizontal="center" vertical="center"/>
    </xf>
    <xf numFmtId="10" fontId="11" fillId="8" borderId="2" xfId="0" applyNumberFormat="1" applyFont="1" applyFill="1" applyBorder="1" applyAlignment="1">
      <alignment horizontal="center" vertical="center"/>
    </xf>
    <xf numFmtId="10" fontId="11" fillId="11" borderId="2" xfId="0" applyNumberFormat="1" applyFont="1" applyFill="1" applyBorder="1" applyAlignment="1">
      <alignment horizontal="center" vertical="center"/>
    </xf>
    <xf numFmtId="4" fontId="7" fillId="8" borderId="2" xfId="0" applyNumberFormat="1" applyFont="1" applyFill="1" applyBorder="1" applyAlignment="1">
      <alignment horizontal="center" vertical="center"/>
    </xf>
    <xf numFmtId="4" fontId="2" fillId="2" borderId="2" xfId="0" applyNumberFormat="1" applyFont="1" applyFill="1" applyBorder="1" applyAlignment="1">
      <alignment horizontal="center" vertical="center"/>
    </xf>
    <xf numFmtId="0" fontId="24" fillId="0" borderId="0" xfId="0" applyFont="1"/>
    <xf numFmtId="168" fontId="23" fillId="8" borderId="2" xfId="0" applyNumberFormat="1" applyFont="1" applyFill="1" applyBorder="1" applyAlignment="1">
      <alignment horizontal="left" vertical="center"/>
    </xf>
    <xf numFmtId="10" fontId="23" fillId="8" borderId="2" xfId="0" applyNumberFormat="1" applyFont="1" applyFill="1" applyBorder="1" applyAlignment="1">
      <alignment horizontal="left" vertical="center"/>
    </xf>
    <xf numFmtId="168" fontId="23" fillId="11" borderId="2" xfId="0" applyNumberFormat="1" applyFont="1" applyFill="1" applyBorder="1" applyAlignment="1">
      <alignment horizontal="left" vertical="center"/>
    </xf>
    <xf numFmtId="10" fontId="23" fillId="11" borderId="2" xfId="0" applyNumberFormat="1" applyFont="1" applyFill="1" applyBorder="1" applyAlignment="1">
      <alignment horizontal="left" vertical="center"/>
    </xf>
    <xf numFmtId="168" fontId="24" fillId="0" borderId="0" xfId="0" applyNumberFormat="1" applyFont="1"/>
    <xf numFmtId="10" fontId="24" fillId="0" borderId="0" xfId="0" applyNumberFormat="1" applyFont="1"/>
    <xf numFmtId="0" fontId="11" fillId="13" borderId="4" xfId="0" applyFont="1" applyFill="1" applyBorder="1" applyAlignment="1" applyProtection="1">
      <alignment horizontal="center" vertical="center"/>
      <protection locked="0"/>
    </xf>
    <xf numFmtId="0" fontId="11" fillId="13" borderId="4" xfId="0" applyFont="1" applyFill="1" applyBorder="1" applyAlignment="1" applyProtection="1">
      <alignment horizontal="center" vertical="center" wrapText="1"/>
      <protection locked="0"/>
    </xf>
    <xf numFmtId="0" fontId="5" fillId="13" borderId="4" xfId="0" applyFont="1" applyFill="1" applyBorder="1" applyAlignment="1" applyProtection="1">
      <alignment horizontal="center" vertical="center"/>
      <protection locked="0"/>
    </xf>
    <xf numFmtId="164" fontId="11" fillId="11" borderId="1" xfId="0" applyNumberFormat="1" applyFont="1" applyFill="1" applyBorder="1" applyAlignment="1" applyProtection="1">
      <alignment horizontal="center" vertical="center"/>
      <protection locked="0"/>
    </xf>
    <xf numFmtId="164" fontId="11" fillId="8" borderId="1" xfId="0" applyNumberFormat="1" applyFont="1" applyFill="1" applyBorder="1" applyAlignment="1" applyProtection="1">
      <alignment horizontal="center" vertical="center"/>
      <protection locked="0"/>
    </xf>
    <xf numFmtId="2" fontId="10" fillId="3" borderId="2" xfId="0" applyNumberFormat="1" applyFont="1" applyFill="1" applyBorder="1" applyAlignment="1">
      <alignment horizontal="center" vertical="center"/>
    </xf>
    <xf numFmtId="2" fontId="10" fillId="3" borderId="7" xfId="0" applyNumberFormat="1" applyFont="1" applyFill="1" applyBorder="1" applyAlignment="1">
      <alignment horizontal="center" vertical="center"/>
    </xf>
    <xf numFmtId="2" fontId="10" fillId="2" borderId="2" xfId="0" applyNumberFormat="1" applyFont="1" applyFill="1" applyBorder="1" applyAlignment="1">
      <alignment horizontal="center" vertical="center"/>
    </xf>
    <xf numFmtId="3" fontId="26" fillId="19" borderId="0" xfId="0" applyNumberFormat="1" applyFont="1" applyFill="1" applyAlignment="1">
      <alignment horizontal="center"/>
    </xf>
    <xf numFmtId="10" fontId="10" fillId="3" borderId="2" xfId="0" applyNumberFormat="1" applyFont="1" applyFill="1" applyBorder="1" applyAlignment="1">
      <alignment horizontal="center" vertical="center"/>
    </xf>
    <xf numFmtId="10" fontId="10" fillId="3" borderId="7" xfId="0" applyNumberFormat="1" applyFont="1" applyFill="1" applyBorder="1" applyAlignment="1">
      <alignment horizontal="center" vertical="center"/>
    </xf>
    <xf numFmtId="10" fontId="10" fillId="2" borderId="2" xfId="0" applyNumberFormat="1" applyFont="1" applyFill="1" applyBorder="1" applyAlignment="1">
      <alignment horizontal="center" vertical="center"/>
    </xf>
    <xf numFmtId="4" fontId="19" fillId="13" borderId="5" xfId="0" applyNumberFormat="1" applyFont="1" applyFill="1" applyBorder="1" applyAlignment="1" applyProtection="1">
      <alignment horizontal="center" vertical="center"/>
      <protection locked="0"/>
    </xf>
    <xf numFmtId="4" fontId="17" fillId="15" borderId="6" xfId="0" applyNumberFormat="1" applyFont="1" applyFill="1" applyBorder="1" applyAlignment="1" applyProtection="1">
      <alignment horizontal="center" wrapText="1"/>
      <protection locked="0"/>
    </xf>
    <xf numFmtId="4" fontId="13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2" borderId="2" xfId="0" applyNumberFormat="1" applyFont="1" applyFill="1" applyBorder="1" applyAlignment="1">
      <alignment horizontal="center" vertical="center"/>
    </xf>
    <xf numFmtId="4" fontId="9" fillId="2" borderId="7" xfId="0" applyNumberFormat="1" applyFont="1" applyFill="1" applyBorder="1" applyAlignment="1">
      <alignment horizontal="center" vertical="center"/>
    </xf>
    <xf numFmtId="4" fontId="15" fillId="13" borderId="5" xfId="0" applyNumberFormat="1" applyFont="1" applyFill="1" applyBorder="1" applyAlignment="1" applyProtection="1">
      <alignment horizontal="center" vertical="center"/>
      <protection locked="0"/>
    </xf>
    <xf numFmtId="4" fontId="10" fillId="3" borderId="2" xfId="0" applyNumberFormat="1" applyFont="1" applyFill="1" applyBorder="1" applyAlignment="1">
      <alignment horizontal="center" vertical="center"/>
    </xf>
    <xf numFmtId="4" fontId="10" fillId="3" borderId="7" xfId="0" applyNumberFormat="1" applyFont="1" applyFill="1" applyBorder="1" applyAlignment="1">
      <alignment horizontal="center" vertical="center"/>
    </xf>
    <xf numFmtId="4" fontId="10" fillId="2" borderId="2" xfId="0" applyNumberFormat="1" applyFont="1" applyFill="1" applyBorder="1" applyAlignment="1">
      <alignment horizontal="center" vertic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0" fontId="2" fillId="7" borderId="10" xfId="0" applyFont="1" applyFill="1" applyBorder="1" applyAlignment="1">
      <alignment horizontal="center" vertical="center" wrapText="1"/>
    </xf>
    <xf numFmtId="0" fontId="3" fillId="2" borderId="10" xfId="0" applyFont="1" applyFill="1" applyBorder="1" applyAlignment="1">
      <alignment horizontal="center" vertical="center" wrapText="1"/>
    </xf>
    <xf numFmtId="9" fontId="7" fillId="8" borderId="2" xfId="1" applyFont="1" applyFill="1" applyBorder="1" applyAlignment="1">
      <alignment horizontal="center" vertical="center"/>
    </xf>
    <xf numFmtId="9" fontId="2" fillId="2" borderId="2" xfId="1" applyFont="1" applyFill="1" applyBorder="1" applyAlignment="1">
      <alignment horizontal="center" vertical="center"/>
    </xf>
    <xf numFmtId="0" fontId="2" fillId="18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2" fillId="16" borderId="7" xfId="0" applyFont="1" applyFill="1" applyBorder="1" applyAlignment="1">
      <alignment horizontal="center" vertical="center" wrapText="1"/>
    </xf>
    <xf numFmtId="2" fontId="20" fillId="17" borderId="2" xfId="0" applyNumberFormat="1" applyFont="1" applyFill="1" applyBorder="1" applyAlignment="1">
      <alignment horizontal="center"/>
    </xf>
    <xf numFmtId="10" fontId="20" fillId="17" borderId="2" xfId="0" applyNumberFormat="1" applyFont="1" applyFill="1" applyBorder="1" applyAlignment="1">
      <alignment horizontal="center"/>
    </xf>
    <xf numFmtId="4" fontId="20" fillId="17" borderId="2" xfId="0" applyNumberFormat="1" applyFont="1" applyFill="1" applyBorder="1" applyAlignment="1">
      <alignment horizontal="center"/>
    </xf>
    <xf numFmtId="2" fontId="20" fillId="17" borderId="7" xfId="0" applyNumberFormat="1" applyFont="1" applyFill="1" applyBorder="1" applyAlignment="1">
      <alignment horizontal="center"/>
    </xf>
    <xf numFmtId="10" fontId="20" fillId="17" borderId="7" xfId="0" applyNumberFormat="1" applyFont="1" applyFill="1" applyBorder="1" applyAlignment="1">
      <alignment horizontal="center"/>
    </xf>
    <xf numFmtId="4" fontId="20" fillId="17" borderId="7" xfId="0" applyNumberFormat="1" applyFont="1" applyFill="1" applyBorder="1" applyAlignment="1">
      <alignment horizontal="center"/>
    </xf>
    <xf numFmtId="2" fontId="20" fillId="17" borderId="9" xfId="0" applyNumberFormat="1" applyFont="1" applyFill="1" applyBorder="1" applyAlignment="1">
      <alignment horizontal="center"/>
    </xf>
    <xf numFmtId="10" fontId="20" fillId="17" borderId="9" xfId="0" applyNumberFormat="1" applyFont="1" applyFill="1" applyBorder="1" applyAlignment="1">
      <alignment horizontal="center"/>
    </xf>
    <xf numFmtId="4" fontId="20" fillId="17" borderId="9" xfId="0" applyNumberFormat="1" applyFont="1" applyFill="1" applyBorder="1" applyAlignment="1">
      <alignment horizontal="center"/>
    </xf>
    <xf numFmtId="3" fontId="2" fillId="2" borderId="7" xfId="0" applyNumberFormat="1" applyFont="1" applyFill="1" applyBorder="1" applyAlignment="1">
      <alignment horizontal="center" vertical="center"/>
    </xf>
    <xf numFmtId="4" fontId="2" fillId="2" borderId="7" xfId="0" applyNumberFormat="1" applyFont="1" applyFill="1" applyBorder="1" applyAlignment="1">
      <alignment horizontal="center" vertical="center"/>
    </xf>
    <xf numFmtId="2" fontId="3" fillId="3" borderId="2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10" fontId="3" fillId="3" borderId="2" xfId="0" applyNumberFormat="1" applyFont="1" applyFill="1" applyBorder="1" applyAlignment="1">
      <alignment horizontal="center" vertical="center"/>
    </xf>
    <xf numFmtId="4" fontId="3" fillId="3" borderId="2" xfId="0" applyNumberFormat="1" applyFont="1" applyFill="1" applyBorder="1" applyAlignment="1">
      <alignment horizontal="center" vertical="center"/>
    </xf>
    <xf numFmtId="3" fontId="27" fillId="13" borderId="5" xfId="0" applyNumberFormat="1" applyFont="1" applyFill="1" applyBorder="1" applyAlignment="1" applyProtection="1">
      <alignment horizontal="center" vertical="center"/>
      <protection locked="0"/>
    </xf>
    <xf numFmtId="166" fontId="28" fillId="13" borderId="2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3" borderId="8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10" fillId="3" borderId="4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3" fontId="29" fillId="11" borderId="2" xfId="0" applyNumberFormat="1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5"/>
  <sheetViews>
    <sheetView showGridLines="0" topLeftCell="B1" zoomScaleNormal="100" workbookViewId="0">
      <pane ySplit="3" topLeftCell="A4" activePane="bottomLeft" state="frozen"/>
      <selection pane="bottomLeft" activeCell="G2" sqref="G2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.42578125" customWidth="1"/>
    <col min="8" max="8" width="19" hidden="1" customWidth="1"/>
    <col min="9" max="9" width="18.5703125" hidden="1" customWidth="1"/>
    <col min="10" max="10" width="13.28515625" customWidth="1"/>
  </cols>
  <sheetData>
    <row r="1" spans="1:10" ht="31.5" customHeight="1">
      <c r="A1" s="159" t="s">
        <v>0</v>
      </c>
      <c r="B1" s="160"/>
      <c r="C1" s="160"/>
      <c r="D1" s="160"/>
      <c r="E1" s="160"/>
      <c r="F1" s="160"/>
      <c r="G1" s="160"/>
      <c r="H1" s="160"/>
      <c r="I1" s="160"/>
      <c r="J1" s="160"/>
    </row>
    <row r="2" spans="1:10" ht="24.75" customHeight="1">
      <c r="A2" s="157"/>
      <c r="B2" s="15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6" t="s">
        <v>7</v>
      </c>
      <c r="J2" s="127" t="s">
        <v>8</v>
      </c>
    </row>
    <row r="3" spans="1:10" ht="19.5" customHeight="1">
      <c r="A3" s="6" t="s">
        <v>9</v>
      </c>
      <c r="B3" s="70" t="s">
        <v>10</v>
      </c>
      <c r="C3" s="6" t="s">
        <v>11</v>
      </c>
      <c r="D3" s="6" t="s">
        <v>11</v>
      </c>
      <c r="E3" s="6" t="s">
        <v>11</v>
      </c>
      <c r="F3" s="6" t="s">
        <v>11</v>
      </c>
      <c r="G3" s="6" t="s">
        <v>11</v>
      </c>
      <c r="H3" s="6" t="s">
        <v>6</v>
      </c>
      <c r="I3" s="6" t="s">
        <v>7</v>
      </c>
      <c r="J3" s="128" t="s">
        <v>8</v>
      </c>
    </row>
    <row r="4" spans="1:10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</row>
    <row r="5" spans="1:10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</row>
    <row r="6" spans="1:10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</row>
    <row r="7" spans="1:10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</row>
    <row r="8" spans="1:10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</row>
    <row r="9" spans="1:10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</row>
    <row r="10" spans="1:10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</row>
    <row r="11" spans="1:10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</row>
    <row r="12" spans="1:10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</row>
    <row r="13" spans="1:10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</row>
    <row r="14" spans="1:10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</row>
    <row r="15" spans="1:10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/>
      <c r="J15" s="129">
        <f t="shared" si="1"/>
        <v>0</v>
      </c>
    </row>
    <row r="16" spans="1:10" ht="15.75" customHeight="1">
      <c r="A16" s="7">
        <v>13</v>
      </c>
      <c r="B16" s="71">
        <v>46247</v>
      </c>
      <c r="C16" s="8">
        <f>IFERROR(Britador!O352,"")</f>
        <v>0</v>
      </c>
      <c r="D16" s="8">
        <f>IFERROR('Linha 1'!S352,"")</f>
        <v>0</v>
      </c>
      <c r="E16" s="8">
        <f>IFERROR('Linha 2'!S352,"")</f>
        <v>0</v>
      </c>
      <c r="F16" s="8">
        <f>IFERROR('Linha 3'!S352,"")</f>
        <v>0</v>
      </c>
      <c r="G16" s="9">
        <f t="shared" si="0"/>
        <v>0</v>
      </c>
      <c r="H16" s="96">
        <f>IFERROR('Linha 1'!T352+'Linha 2'!T352+'Linha 3'!T352,0)</f>
        <v>0</v>
      </c>
      <c r="I16" s="96"/>
      <c r="J16" s="129" t="str">
        <f t="shared" si="1"/>
        <v>-</v>
      </c>
    </row>
    <row r="17" spans="1:10" ht="15.75" customHeight="1">
      <c r="A17" s="10">
        <v>14</v>
      </c>
      <c r="B17" s="72">
        <v>46248</v>
      </c>
      <c r="C17" s="11">
        <f>IFERROR(Britador!O379,"")</f>
        <v>0</v>
      </c>
      <c r="D17" s="11">
        <f>IFERROR('Linha 1'!S379,"")</f>
        <v>0</v>
      </c>
      <c r="E17" s="11">
        <f>IFERROR('Linha 2'!S379,"")</f>
        <v>0</v>
      </c>
      <c r="F17" s="11">
        <f>IFERROR('Linha 3'!S379,"")</f>
        <v>0</v>
      </c>
      <c r="G17" s="12">
        <f t="shared" si="0"/>
        <v>0</v>
      </c>
      <c r="H17" s="96">
        <f>IFERROR('Linha 1'!T379+'Linha 2'!T379+'Linha 3'!T379,0)</f>
        <v>0</v>
      </c>
      <c r="I17" s="96"/>
      <c r="J17" s="129" t="str">
        <f t="shared" si="1"/>
        <v>-</v>
      </c>
    </row>
    <row r="18" spans="1:10" ht="15.75" customHeight="1">
      <c r="A18" s="7">
        <v>15</v>
      </c>
      <c r="B18" s="71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6">
        <f>IFERROR('Linha 1'!T406+'Linha 2'!T406+'Linha 3'!T406,0)</f>
        <v>0</v>
      </c>
      <c r="I18" s="96"/>
      <c r="J18" s="129" t="str">
        <f t="shared" si="1"/>
        <v>-</v>
      </c>
    </row>
    <row r="19" spans="1:10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</row>
    <row r="20" spans="1:10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</row>
    <row r="21" spans="1:10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</row>
    <row r="22" spans="1:10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</row>
    <row r="23" spans="1:10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</row>
    <row r="24" spans="1:10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</row>
    <row r="25" spans="1:10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</row>
    <row r="26" spans="1:10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</row>
    <row r="27" spans="1:10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</row>
    <row r="28" spans="1:10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</row>
    <row r="29" spans="1:10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</row>
    <row r="30" spans="1:10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</row>
    <row r="31" spans="1:10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</row>
    <row r="32" spans="1:10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</row>
    <row r="33" spans="1:10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</row>
    <row r="34" spans="1:10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</row>
    <row r="35" spans="1:10" ht="14.25" customHeight="1">
      <c r="A35" s="158" t="s">
        <v>12</v>
      </c>
      <c r="B35" s="158"/>
      <c r="C35" s="13">
        <f t="shared" ref="C35:H35" si="2">IFERROR(SUM(C4:C34),"")</f>
        <v>42278010</v>
      </c>
      <c r="D35" s="13">
        <f t="shared" si="2"/>
        <v>14325530</v>
      </c>
      <c r="E35" s="13">
        <f t="shared" si="2"/>
        <v>7129520</v>
      </c>
      <c r="F35" s="13">
        <f t="shared" si="2"/>
        <v>17552120</v>
      </c>
      <c r="G35" s="13">
        <f t="shared" si="2"/>
        <v>39007170</v>
      </c>
      <c r="H35" s="97">
        <f t="shared" si="2"/>
        <v>682.96512154031052</v>
      </c>
      <c r="I35" s="97">
        <f>IFERROR(SUM(I4:I34),"")</f>
        <v>0</v>
      </c>
      <c r="J35" s="130">
        <f>IFERROR(AVERAGE(J4:J34),"-")</f>
        <v>0</v>
      </c>
    </row>
  </sheetData>
  <sheetProtection algorithmName="SHA-512" hashValue="RpGL8AIhWU4dLDdHSplXmlsaQFx9jvbUDX6G3L1Dffcq04Zss0J5IGcapeHVK/gtoa0xkYOQc/DhB/g6ya3w0g==" saltValue="4pKNj9emKuKSwGdKTuZhnQ==" spinCount="100000" sheet="1" objects="1" scenarios="1"/>
  <mergeCells count="3">
    <mergeCell ref="A2:B2"/>
    <mergeCell ref="A35:B35"/>
    <mergeCell ref="A1:J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A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1" t="s">
        <v>13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14</v>
      </c>
      <c r="O1" s="163"/>
      <c r="P1" s="163"/>
      <c r="Q1" s="163"/>
      <c r="R1" s="163"/>
    </row>
    <row r="2" spans="1:18" ht="4.5" customHeight="1">
      <c r="M2" s="162"/>
    </row>
    <row r="3" spans="1:18" ht="25.9" customHeight="1">
      <c r="A3" s="14" t="s">
        <v>15</v>
      </c>
      <c r="C3" s="14" t="s">
        <v>16</v>
      </c>
      <c r="E3" s="14" t="s">
        <v>17</v>
      </c>
      <c r="G3" s="14" t="s">
        <v>18</v>
      </c>
      <c r="J3" s="14" t="s">
        <v>19</v>
      </c>
      <c r="L3" s="14" t="s">
        <v>20</v>
      </c>
      <c r="M3" s="162"/>
      <c r="N3" s="15" t="s">
        <v>21</v>
      </c>
      <c r="O3" s="15" t="s">
        <v>22</v>
      </c>
      <c r="P3" s="15" t="s">
        <v>23</v>
      </c>
      <c r="Q3" s="15" t="s">
        <v>24</v>
      </c>
      <c r="R3" s="15" t="s">
        <v>25</v>
      </c>
    </row>
    <row r="4" spans="1:18" ht="15.75" customHeight="1">
      <c r="A4" s="16" t="s">
        <v>26</v>
      </c>
      <c r="C4" s="16" t="s">
        <v>27</v>
      </c>
      <c r="E4" s="92">
        <v>0.35</v>
      </c>
      <c r="G4" s="94">
        <v>0.6</v>
      </c>
      <c r="J4" s="16" t="s">
        <v>21</v>
      </c>
      <c r="L4" s="16" t="s">
        <v>28</v>
      </c>
      <c r="M4" s="162"/>
      <c r="N4" s="16" t="s">
        <v>29</v>
      </c>
      <c r="O4" s="16" t="s">
        <v>30</v>
      </c>
      <c r="P4" s="16" t="s">
        <v>31</v>
      </c>
      <c r="Q4" s="16" t="s">
        <v>32</v>
      </c>
      <c r="R4" s="16" t="s">
        <v>33</v>
      </c>
    </row>
    <row r="5" spans="1:18" ht="15.75" customHeight="1">
      <c r="A5" s="17" t="s">
        <v>34</v>
      </c>
      <c r="C5" s="17" t="s">
        <v>35</v>
      </c>
      <c r="E5" s="93">
        <v>0.24</v>
      </c>
      <c r="G5" s="95">
        <v>0.6</v>
      </c>
      <c r="J5" s="17" t="s">
        <v>22</v>
      </c>
      <c r="L5" s="17" t="s">
        <v>36</v>
      </c>
      <c r="M5" s="162"/>
      <c r="N5" s="17" t="s">
        <v>37</v>
      </c>
      <c r="O5" s="17" t="s">
        <v>38</v>
      </c>
      <c r="P5" s="17" t="s">
        <v>39</v>
      </c>
      <c r="Q5" s="17" t="s">
        <v>40</v>
      </c>
      <c r="R5" s="17" t="s">
        <v>41</v>
      </c>
    </row>
    <row r="6" spans="1:18" ht="15.75" customHeight="1">
      <c r="A6" s="16" t="s">
        <v>42</v>
      </c>
      <c r="C6" s="16" t="s">
        <v>43</v>
      </c>
      <c r="E6" s="92">
        <v>0.21</v>
      </c>
      <c r="G6" s="94">
        <v>0.55000000000000004</v>
      </c>
      <c r="J6" s="16" t="s">
        <v>23</v>
      </c>
      <c r="L6" s="16" t="s">
        <v>44</v>
      </c>
      <c r="M6" s="162"/>
      <c r="N6" s="16" t="s">
        <v>45</v>
      </c>
      <c r="O6" s="16" t="s">
        <v>46</v>
      </c>
      <c r="P6" s="16" t="s">
        <v>47</v>
      </c>
      <c r="Q6" s="16" t="s">
        <v>48</v>
      </c>
      <c r="R6" s="16" t="s">
        <v>49</v>
      </c>
    </row>
    <row r="7" spans="1:18" ht="15.75" customHeight="1">
      <c r="A7" s="17" t="s">
        <v>50</v>
      </c>
      <c r="C7" s="17" t="s">
        <v>51</v>
      </c>
      <c r="E7" s="93">
        <v>0.13</v>
      </c>
      <c r="G7" s="95">
        <v>0.55000000000000004</v>
      </c>
      <c r="J7" s="16" t="s">
        <v>24</v>
      </c>
      <c r="L7" s="17" t="s">
        <v>52</v>
      </c>
      <c r="M7" s="162"/>
      <c r="N7" s="17" t="s">
        <v>53</v>
      </c>
      <c r="O7" s="17" t="s">
        <v>54</v>
      </c>
      <c r="P7" s="17" t="s">
        <v>39</v>
      </c>
      <c r="Q7" s="17" t="s">
        <v>55</v>
      </c>
      <c r="R7" s="17" t="s">
        <v>56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25</v>
      </c>
      <c r="L8" s="16" t="s">
        <v>57</v>
      </c>
      <c r="M8" s="162"/>
      <c r="N8" s="16" t="s">
        <v>58</v>
      </c>
      <c r="O8" s="16" t="s">
        <v>59</v>
      </c>
      <c r="P8" s="16" t="s">
        <v>47</v>
      </c>
      <c r="Q8" s="16" t="s">
        <v>60</v>
      </c>
      <c r="R8" s="16" t="s">
        <v>61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62</v>
      </c>
      <c r="M9" s="162"/>
      <c r="N9" s="17" t="s">
        <v>63</v>
      </c>
      <c r="O9" s="17" t="s">
        <v>64</v>
      </c>
      <c r="P9" s="17" t="s">
        <v>65</v>
      </c>
      <c r="Q9" s="17" t="s">
        <v>66</v>
      </c>
      <c r="R9" s="17" t="s">
        <v>67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68</v>
      </c>
      <c r="M10" s="162"/>
      <c r="N10" s="16" t="s">
        <v>69</v>
      </c>
      <c r="O10" s="16" t="s">
        <v>70</v>
      </c>
      <c r="P10" s="16" t="s">
        <v>71</v>
      </c>
      <c r="Q10" s="16" t="s">
        <v>72</v>
      </c>
      <c r="R10" s="16" t="s">
        <v>73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74</v>
      </c>
      <c r="M11" s="162"/>
      <c r="N11" s="17" t="s">
        <v>75</v>
      </c>
      <c r="O11" s="17" t="s">
        <v>76</v>
      </c>
      <c r="P11" s="17" t="s">
        <v>77</v>
      </c>
      <c r="Q11" s="17" t="s">
        <v>78</v>
      </c>
      <c r="R11" s="17" t="s">
        <v>79</v>
      </c>
    </row>
    <row r="12" spans="1:18" ht="15.75" customHeight="1">
      <c r="A12" s="16"/>
      <c r="C12" s="16"/>
      <c r="J12" s="16"/>
      <c r="L12" s="16" t="s">
        <v>80</v>
      </c>
      <c r="M12" s="162"/>
      <c r="N12" s="16" t="s">
        <v>81</v>
      </c>
      <c r="O12" s="16" t="s">
        <v>82</v>
      </c>
      <c r="P12" s="16" t="s">
        <v>66</v>
      </c>
      <c r="Q12" s="16" t="s">
        <v>83</v>
      </c>
      <c r="R12" s="16" t="s">
        <v>84</v>
      </c>
    </row>
    <row r="13" spans="1:18" ht="15.75" customHeight="1">
      <c r="A13" s="17"/>
      <c r="C13" s="17"/>
      <c r="J13" s="17"/>
      <c r="L13" s="17" t="s">
        <v>85</v>
      </c>
      <c r="M13" s="162"/>
      <c r="N13" s="17"/>
      <c r="O13" s="17" t="s">
        <v>86</v>
      </c>
      <c r="P13" s="17" t="s">
        <v>87</v>
      </c>
      <c r="Q13" s="17" t="s">
        <v>88</v>
      </c>
      <c r="R13" s="17" t="s">
        <v>89</v>
      </c>
    </row>
    <row r="14" spans="1:18" ht="15.75" customHeight="1">
      <c r="A14" s="16"/>
      <c r="C14" s="16"/>
      <c r="J14" s="16"/>
      <c r="L14" s="16" t="s">
        <v>90</v>
      </c>
      <c r="M14" s="162"/>
      <c r="N14" s="16" t="s">
        <v>91</v>
      </c>
      <c r="O14" s="16" t="s">
        <v>92</v>
      </c>
      <c r="P14" s="16" t="s">
        <v>93</v>
      </c>
      <c r="Q14" s="16" t="s">
        <v>94</v>
      </c>
      <c r="R14" s="16" t="s">
        <v>95</v>
      </c>
    </row>
    <row r="15" spans="1:18" ht="15.75" customHeight="1">
      <c r="A15" s="17"/>
      <c r="C15" s="17"/>
      <c r="J15" s="17"/>
      <c r="L15" s="17" t="s">
        <v>96</v>
      </c>
      <c r="M15" s="162"/>
      <c r="N15" s="17" t="s">
        <v>97</v>
      </c>
      <c r="O15" s="17" t="s">
        <v>98</v>
      </c>
      <c r="P15" s="17" t="s">
        <v>99</v>
      </c>
      <c r="Q15" s="17" t="s">
        <v>100</v>
      </c>
      <c r="R15" s="17" t="s">
        <v>101</v>
      </c>
    </row>
    <row r="16" spans="1:18" ht="15.75" customHeight="1">
      <c r="A16" s="16"/>
      <c r="C16" s="16"/>
      <c r="J16" s="16"/>
      <c r="L16" s="16" t="s">
        <v>102</v>
      </c>
      <c r="M16" s="162"/>
      <c r="N16" s="16" t="s">
        <v>103</v>
      </c>
      <c r="O16" s="16" t="s">
        <v>104</v>
      </c>
      <c r="P16" s="16" t="s">
        <v>105</v>
      </c>
      <c r="Q16" s="16" t="s">
        <v>106</v>
      </c>
      <c r="R16" s="16" t="s">
        <v>107</v>
      </c>
    </row>
    <row r="17" spans="1:18" ht="15.75" customHeight="1">
      <c r="A17" s="17"/>
      <c r="C17" s="17"/>
      <c r="J17" s="17"/>
      <c r="L17" s="17" t="s">
        <v>108</v>
      </c>
      <c r="M17" s="162"/>
      <c r="N17" s="17" t="s">
        <v>109</v>
      </c>
      <c r="O17" s="17" t="s">
        <v>110</v>
      </c>
      <c r="P17" s="17" t="s">
        <v>111</v>
      </c>
      <c r="Q17" s="17" t="s">
        <v>112</v>
      </c>
      <c r="R17" s="17" t="s">
        <v>113</v>
      </c>
    </row>
    <row r="18" spans="1:18" ht="15.75" customHeight="1">
      <c r="A18" s="16"/>
      <c r="C18" s="16"/>
      <c r="J18" s="16"/>
      <c r="L18" s="16" t="s">
        <v>114</v>
      </c>
      <c r="M18" s="162"/>
      <c r="N18" s="16" t="s">
        <v>115</v>
      </c>
      <c r="O18" s="16" t="s">
        <v>116</v>
      </c>
      <c r="P18" s="16" t="s">
        <v>117</v>
      </c>
      <c r="Q18" s="16" t="s">
        <v>118</v>
      </c>
      <c r="R18" s="16" t="s">
        <v>119</v>
      </c>
    </row>
    <row r="19" spans="1:18" ht="15.75" customHeight="1">
      <c r="A19" s="17"/>
      <c r="C19" s="17"/>
      <c r="J19" s="17"/>
      <c r="L19" s="17" t="s">
        <v>120</v>
      </c>
      <c r="M19" s="162"/>
      <c r="N19" s="17" t="s">
        <v>121</v>
      </c>
      <c r="O19" s="17" t="s">
        <v>122</v>
      </c>
      <c r="P19" s="17" t="s">
        <v>123</v>
      </c>
      <c r="Q19" s="17"/>
      <c r="R19" s="17" t="s">
        <v>124</v>
      </c>
    </row>
    <row r="20" spans="1:18" ht="15.75" customHeight="1">
      <c r="A20" s="16"/>
      <c r="C20" s="16"/>
      <c r="J20" s="16"/>
      <c r="L20" s="16" t="s">
        <v>125</v>
      </c>
      <c r="M20" s="162"/>
      <c r="N20" s="16"/>
      <c r="O20" s="16"/>
      <c r="P20" s="16" t="s">
        <v>126</v>
      </c>
      <c r="Q20" s="16"/>
      <c r="R20" s="16" t="s">
        <v>127</v>
      </c>
    </row>
    <row r="21" spans="1:18" ht="15.75" customHeight="1">
      <c r="A21" s="17"/>
      <c r="C21" s="17"/>
      <c r="J21" s="17"/>
      <c r="L21" s="17" t="s">
        <v>128</v>
      </c>
      <c r="M21" s="162"/>
      <c r="N21" s="17"/>
      <c r="O21" s="17"/>
      <c r="P21" s="17" t="s">
        <v>129</v>
      </c>
      <c r="Q21" s="17"/>
      <c r="R21" s="17" t="s">
        <v>130</v>
      </c>
    </row>
    <row r="22" spans="1:18" ht="15.75" customHeight="1">
      <c r="A22" s="16"/>
      <c r="C22" s="16"/>
      <c r="J22" s="16"/>
      <c r="L22" s="16" t="s">
        <v>131</v>
      </c>
      <c r="M22" s="162"/>
      <c r="N22" s="16"/>
      <c r="O22" s="16"/>
      <c r="P22" s="16" t="s">
        <v>132</v>
      </c>
      <c r="Q22" s="16"/>
      <c r="R22" s="16" t="s">
        <v>133</v>
      </c>
    </row>
    <row r="23" spans="1:18" ht="15.75" customHeight="1">
      <c r="A23" s="17"/>
      <c r="C23" s="17"/>
      <c r="J23" s="17"/>
      <c r="L23" s="17" t="s">
        <v>134</v>
      </c>
      <c r="M23" s="162"/>
      <c r="N23" s="17"/>
      <c r="O23" s="17"/>
      <c r="P23" s="17" t="s">
        <v>135</v>
      </c>
      <c r="Q23" s="17"/>
      <c r="R23" s="17" t="s">
        <v>136</v>
      </c>
    </row>
    <row r="24" spans="1:18" ht="15.75" customHeight="1">
      <c r="A24" s="16"/>
      <c r="C24" s="16"/>
      <c r="J24" s="16"/>
      <c r="L24" s="16" t="s">
        <v>137</v>
      </c>
      <c r="M24" s="162"/>
      <c r="N24" s="16"/>
      <c r="O24" s="16"/>
      <c r="P24" s="16" t="s">
        <v>138</v>
      </c>
      <c r="Q24" s="16"/>
      <c r="R24" s="16" t="s">
        <v>139</v>
      </c>
    </row>
    <row r="25" spans="1:18" ht="15.75" customHeight="1">
      <c r="A25" s="17"/>
      <c r="C25" s="17"/>
      <c r="J25" s="17"/>
      <c r="L25" s="17" t="s">
        <v>140</v>
      </c>
      <c r="M25" s="162"/>
      <c r="N25" s="17"/>
      <c r="O25" s="17"/>
      <c r="P25" s="17" t="s">
        <v>141</v>
      </c>
      <c r="Q25" s="17"/>
      <c r="R25" s="17" t="s">
        <v>142</v>
      </c>
    </row>
    <row r="26" spans="1:18" ht="15.75" customHeight="1">
      <c r="A26" s="16"/>
      <c r="C26" s="16"/>
      <c r="J26" s="16"/>
      <c r="L26" s="16" t="s">
        <v>143</v>
      </c>
      <c r="M26" s="162"/>
      <c r="N26" s="16"/>
      <c r="O26" s="16"/>
      <c r="P26" s="16" t="s">
        <v>144</v>
      </c>
      <c r="Q26" s="16"/>
      <c r="R26" s="16"/>
    </row>
    <row r="27" spans="1:18" ht="15.75" customHeight="1">
      <c r="A27" s="17"/>
      <c r="C27" s="17"/>
      <c r="J27" s="17"/>
      <c r="L27" s="17" t="s">
        <v>145</v>
      </c>
      <c r="M27" s="162"/>
      <c r="N27" s="17"/>
      <c r="O27" s="17"/>
      <c r="P27" s="17" t="s">
        <v>136</v>
      </c>
      <c r="Q27" s="17"/>
      <c r="R27" s="17" t="s">
        <v>67</v>
      </c>
    </row>
    <row r="28" spans="1:18" ht="15.75" customHeight="1">
      <c r="A28" s="16"/>
      <c r="C28" s="16"/>
      <c r="J28" s="16"/>
      <c r="L28" s="16" t="s">
        <v>146</v>
      </c>
      <c r="M28" s="162"/>
      <c r="N28" s="16"/>
      <c r="O28" s="16"/>
      <c r="P28" s="16" t="s">
        <v>139</v>
      </c>
      <c r="Q28" s="16"/>
      <c r="R28" s="16" t="s">
        <v>147</v>
      </c>
    </row>
    <row r="29" spans="1:18" ht="15.75" customHeight="1">
      <c r="A29" s="17"/>
      <c r="C29" s="17"/>
      <c r="J29" s="17"/>
      <c r="L29" s="17" t="s">
        <v>148</v>
      </c>
      <c r="M29" s="162"/>
      <c r="N29" s="17"/>
      <c r="O29" s="17"/>
      <c r="P29" s="17" t="s">
        <v>149</v>
      </c>
      <c r="Q29" s="17"/>
      <c r="R29" s="17" t="s">
        <v>150</v>
      </c>
    </row>
    <row r="30" spans="1:18" ht="15.75" customHeight="1">
      <c r="A30" s="16"/>
      <c r="C30" s="16"/>
      <c r="J30" s="16"/>
      <c r="L30" s="16" t="s">
        <v>151</v>
      </c>
      <c r="M30" s="162"/>
      <c r="N30" s="16"/>
      <c r="O30" s="16"/>
      <c r="P30" s="16" t="s">
        <v>152</v>
      </c>
      <c r="Q30" s="16"/>
      <c r="R30" s="16" t="s">
        <v>153</v>
      </c>
    </row>
    <row r="31" spans="1:18" ht="15.75" customHeight="1">
      <c r="A31" s="17"/>
      <c r="C31" s="17"/>
      <c r="J31" s="17"/>
      <c r="L31" s="17" t="s">
        <v>154</v>
      </c>
      <c r="M31" s="162"/>
      <c r="N31" s="17"/>
      <c r="O31" s="17"/>
      <c r="P31" s="18" t="s">
        <v>155</v>
      </c>
      <c r="Q31" s="17"/>
      <c r="R31" s="17" t="s">
        <v>156</v>
      </c>
    </row>
    <row r="32" spans="1:18" ht="15.75" customHeight="1">
      <c r="A32" s="16"/>
      <c r="C32" s="16"/>
      <c r="J32" s="16"/>
      <c r="L32" s="16" t="s">
        <v>157</v>
      </c>
      <c r="M32" s="162"/>
      <c r="N32" s="16"/>
      <c r="O32" s="16"/>
      <c r="P32" s="16" t="s">
        <v>158</v>
      </c>
      <c r="Q32" s="16"/>
      <c r="R32" t="s">
        <v>159</v>
      </c>
    </row>
    <row r="33" spans="1:18" ht="15.75" customHeight="1">
      <c r="A33" s="17"/>
      <c r="C33" s="131" t="s">
        <v>160</v>
      </c>
      <c r="E33" s="113">
        <v>1000</v>
      </c>
      <c r="J33" s="17"/>
      <c r="L33" s="17" t="s">
        <v>161</v>
      </c>
      <c r="M33" s="162"/>
      <c r="N33" s="17"/>
      <c r="O33" s="17"/>
      <c r="P33" s="18" t="s">
        <v>162</v>
      </c>
      <c r="Q33" s="17"/>
      <c r="R33" s="17" t="s">
        <v>25</v>
      </c>
    </row>
    <row r="34" spans="1:18" ht="15.75" customHeight="1">
      <c r="A34" s="16"/>
      <c r="C34" s="16"/>
      <c r="J34" s="16"/>
      <c r="L34" s="16" t="s">
        <v>163</v>
      </c>
      <c r="M34" s="162"/>
      <c r="N34" s="16"/>
      <c r="O34" s="16"/>
      <c r="P34" s="16" t="s">
        <v>84</v>
      </c>
      <c r="Q34" s="16"/>
      <c r="R34" s="16" t="s">
        <v>164</v>
      </c>
    </row>
    <row r="35" spans="1:18" ht="15.75" customHeight="1">
      <c r="A35" s="17"/>
      <c r="C35" s="17"/>
      <c r="J35" s="17"/>
      <c r="L35" s="17" t="s">
        <v>165</v>
      </c>
      <c r="M35" s="162"/>
      <c r="N35" s="17"/>
      <c r="O35" s="17"/>
      <c r="P35" s="17" t="s">
        <v>166</v>
      </c>
      <c r="Q35" s="17"/>
      <c r="R35" s="17" t="s">
        <v>167</v>
      </c>
    </row>
    <row r="36" spans="1:18" ht="15.75" customHeight="1">
      <c r="A36" s="16"/>
      <c r="C36" s="16"/>
      <c r="J36" s="16"/>
      <c r="L36" s="16" t="s">
        <v>168</v>
      </c>
      <c r="M36" s="162"/>
      <c r="N36" s="16"/>
      <c r="O36" s="16"/>
      <c r="P36" s="16" t="s">
        <v>169</v>
      </c>
      <c r="Q36" s="16"/>
      <c r="R36" s="16" t="s">
        <v>170</v>
      </c>
    </row>
    <row r="37" spans="1:18" ht="15.75" customHeight="1">
      <c r="A37" s="17"/>
      <c r="C37" s="17"/>
      <c r="J37" s="17"/>
      <c r="L37" s="17" t="s">
        <v>171</v>
      </c>
      <c r="M37" s="162"/>
      <c r="N37" s="17"/>
      <c r="O37" s="17"/>
      <c r="P37" s="17" t="s">
        <v>172</v>
      </c>
      <c r="Q37" s="17"/>
      <c r="R37" s="17" t="s">
        <v>173</v>
      </c>
    </row>
    <row r="38" spans="1:18" ht="15.75" customHeight="1">
      <c r="A38" s="16"/>
      <c r="C38" s="16"/>
      <c r="J38" s="16"/>
      <c r="L38" s="16" t="s">
        <v>174</v>
      </c>
      <c r="M38" s="162"/>
      <c r="N38" s="16"/>
      <c r="O38" s="16"/>
      <c r="P38" s="16" t="s">
        <v>175</v>
      </c>
      <c r="Q38" s="16"/>
      <c r="R38" s="16" t="s">
        <v>176</v>
      </c>
    </row>
    <row r="39" spans="1:18" ht="15.75" customHeight="1">
      <c r="A39" s="17"/>
      <c r="C39" s="17"/>
      <c r="J39" s="17"/>
      <c r="L39" s="17"/>
      <c r="M39" s="162"/>
      <c r="N39" s="17"/>
      <c r="O39" s="17"/>
      <c r="P39" s="17" t="s">
        <v>177</v>
      </c>
      <c r="Q39" s="17"/>
      <c r="R39" s="17" t="s">
        <v>178</v>
      </c>
    </row>
    <row r="40" spans="1:18" ht="15.75" customHeight="1">
      <c r="A40" s="16"/>
      <c r="C40" s="16"/>
      <c r="J40" s="16"/>
      <c r="L40" s="16"/>
      <c r="M40" s="162"/>
      <c r="N40" s="16"/>
      <c r="O40" s="16"/>
      <c r="P40" s="16" t="s">
        <v>179</v>
      </c>
      <c r="Q40" s="16"/>
      <c r="R40" s="16" t="s">
        <v>180</v>
      </c>
    </row>
    <row r="41" spans="1:18" ht="15.75" customHeight="1">
      <c r="A41" s="17"/>
      <c r="C41" s="17"/>
      <c r="J41" s="17"/>
      <c r="L41" s="17"/>
      <c r="M41" s="162"/>
      <c r="N41" s="17"/>
      <c r="O41" s="17"/>
      <c r="P41" s="17" t="s">
        <v>181</v>
      </c>
      <c r="Q41" s="17"/>
      <c r="R41" s="17" t="s">
        <v>182</v>
      </c>
    </row>
    <row r="42" spans="1:18" ht="15.75" customHeight="1">
      <c r="A42" s="16"/>
      <c r="C42" s="16"/>
      <c r="J42" s="16"/>
      <c r="L42" s="16"/>
      <c r="M42" s="162"/>
      <c r="N42" s="16"/>
      <c r="O42" s="16"/>
      <c r="P42" s="16" t="s">
        <v>183</v>
      </c>
      <c r="Q42" s="16"/>
      <c r="R42" s="16" t="s">
        <v>184</v>
      </c>
    </row>
    <row r="43" spans="1:18" ht="15.75" customHeight="1">
      <c r="A43" s="17"/>
      <c r="C43" s="17"/>
      <c r="J43" s="17"/>
      <c r="L43" s="17"/>
      <c r="M43" s="162"/>
      <c r="N43" s="17"/>
      <c r="O43" s="17"/>
      <c r="P43" s="17" t="s">
        <v>185</v>
      </c>
      <c r="Q43" s="17"/>
      <c r="R43" s="17" t="s">
        <v>186</v>
      </c>
    </row>
    <row r="44" spans="1:18" ht="15.75" customHeight="1">
      <c r="A44" s="16"/>
      <c r="C44" s="16"/>
      <c r="J44" s="16"/>
      <c r="L44" s="16"/>
      <c r="M44" s="162"/>
      <c r="N44" s="16"/>
      <c r="O44" s="16"/>
      <c r="P44" s="16" t="s">
        <v>187</v>
      </c>
      <c r="Q44" s="16"/>
      <c r="R44" s="16" t="s">
        <v>188</v>
      </c>
    </row>
    <row r="45" spans="1:18" ht="15.75" customHeight="1">
      <c r="A45" s="17"/>
      <c r="C45" s="17"/>
      <c r="J45" s="17"/>
      <c r="L45" s="17"/>
      <c r="M45" s="162"/>
      <c r="N45" s="17"/>
      <c r="O45" s="17"/>
      <c r="P45" s="17"/>
      <c r="Q45" s="17"/>
      <c r="R45" s="17" t="s">
        <v>189</v>
      </c>
    </row>
    <row r="46" spans="1:18" ht="15.75" customHeight="1">
      <c r="A46" s="16"/>
      <c r="C46" s="16"/>
      <c r="J46" s="16"/>
      <c r="L46" s="16"/>
      <c r="M46" s="162"/>
      <c r="N46" s="16"/>
      <c r="O46" s="16"/>
      <c r="P46" s="16" t="s">
        <v>190</v>
      </c>
      <c r="Q46" s="16"/>
      <c r="R46" s="16" t="s">
        <v>191</v>
      </c>
    </row>
    <row r="47" spans="1:18" ht="15.75" customHeight="1">
      <c r="A47" s="17"/>
      <c r="C47" s="17"/>
      <c r="J47" s="17"/>
      <c r="L47" s="17"/>
      <c r="M47" s="162"/>
      <c r="N47" s="17"/>
      <c r="O47" s="17"/>
      <c r="P47" s="17" t="s">
        <v>192</v>
      </c>
      <c r="Q47" s="17"/>
      <c r="R47" s="17" t="s">
        <v>193</v>
      </c>
    </row>
    <row r="48" spans="1:18" ht="15.75" customHeight="1">
      <c r="A48" s="16"/>
      <c r="C48" s="16"/>
      <c r="J48" s="16"/>
      <c r="L48" s="16"/>
      <c r="M48" s="162"/>
      <c r="N48" s="16"/>
      <c r="O48" s="16"/>
      <c r="P48" s="16" t="s">
        <v>194</v>
      </c>
      <c r="Q48" s="16"/>
      <c r="R48" s="16" t="s">
        <v>195</v>
      </c>
    </row>
    <row r="49" spans="1:18" ht="18" customHeight="1">
      <c r="M49" s="162"/>
      <c r="N49" s="17"/>
      <c r="O49" s="17"/>
      <c r="P49" s="17" t="s">
        <v>196</v>
      </c>
      <c r="Q49" s="17"/>
      <c r="R49" s="17" t="s">
        <v>197</v>
      </c>
    </row>
    <row r="50" spans="1:18" ht="21" customHeight="1">
      <c r="A50" s="19" t="s">
        <v>198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2"/>
      <c r="N50" s="16"/>
      <c r="O50" s="16"/>
      <c r="P50" s="16" t="s">
        <v>199</v>
      </c>
      <c r="Q50" s="16"/>
      <c r="R50" s="16" t="s">
        <v>200</v>
      </c>
    </row>
    <row r="51" spans="1:18" ht="24" customHeight="1">
      <c r="M51" s="162"/>
      <c r="N51" s="17"/>
      <c r="O51" s="17"/>
      <c r="P51" s="17" t="s">
        <v>201</v>
      </c>
      <c r="Q51" s="17"/>
      <c r="R51" s="17" t="s">
        <v>202</v>
      </c>
    </row>
    <row r="52" spans="1:18" ht="24" customHeight="1">
      <c r="M52" s="162"/>
      <c r="N52" s="16"/>
      <c r="O52" s="16"/>
      <c r="P52" s="16" t="s">
        <v>203</v>
      </c>
      <c r="Q52" s="16"/>
      <c r="R52" s="16" t="s">
        <v>204</v>
      </c>
    </row>
    <row r="53" spans="1:18" ht="36" customHeight="1">
      <c r="M53" s="162"/>
      <c r="N53" s="17"/>
      <c r="O53" s="17"/>
      <c r="P53" s="17" t="s">
        <v>205</v>
      </c>
      <c r="Q53" s="17"/>
      <c r="R53" s="17" t="s">
        <v>206</v>
      </c>
    </row>
    <row r="54" spans="1:18" ht="15" customHeight="1">
      <c r="M54" s="162"/>
      <c r="N54" s="16"/>
      <c r="O54" s="16"/>
      <c r="P54" s="16" t="s">
        <v>207</v>
      </c>
      <c r="Q54" s="16"/>
      <c r="R54" s="16" t="s">
        <v>208</v>
      </c>
    </row>
    <row r="55" spans="1:18" ht="15" customHeight="1">
      <c r="M55" s="162"/>
      <c r="N55" s="17"/>
      <c r="O55" s="17"/>
      <c r="P55" s="17" t="s">
        <v>209</v>
      </c>
      <c r="Q55" s="17"/>
      <c r="R55" s="17" t="s">
        <v>210</v>
      </c>
    </row>
    <row r="56" spans="1:18" ht="15" customHeight="1">
      <c r="M56" s="162"/>
      <c r="N56" s="16"/>
      <c r="O56" s="16"/>
      <c r="P56" s="16" t="s">
        <v>211</v>
      </c>
      <c r="Q56" s="16"/>
      <c r="R56" s="16" t="s">
        <v>212</v>
      </c>
    </row>
    <row r="57" spans="1:18" ht="15" customHeight="1">
      <c r="M57" s="162"/>
      <c r="N57" s="17"/>
      <c r="O57" s="17"/>
      <c r="P57" s="17" t="s">
        <v>55</v>
      </c>
      <c r="Q57" s="17"/>
      <c r="R57" s="17" t="s">
        <v>213</v>
      </c>
    </row>
    <row r="58" spans="1:18" ht="15" customHeight="1">
      <c r="M58" s="162"/>
      <c r="N58" s="16"/>
      <c r="O58" s="16"/>
      <c r="P58" s="16" t="s">
        <v>214</v>
      </c>
      <c r="Q58" s="16"/>
      <c r="R58" s="16"/>
    </row>
    <row r="59" spans="1:18" ht="15" customHeight="1">
      <c r="M59" s="162"/>
      <c r="N59" s="17"/>
      <c r="O59" s="17"/>
      <c r="P59" s="17" t="s">
        <v>215</v>
      </c>
      <c r="Q59" s="17"/>
      <c r="R59" s="17"/>
    </row>
    <row r="60" spans="1:18" ht="15" customHeight="1">
      <c r="M60" s="162"/>
      <c r="N60" s="16"/>
      <c r="O60" s="16"/>
      <c r="P60" s="77" t="s">
        <v>110</v>
      </c>
      <c r="Q60" s="16"/>
      <c r="R60" s="16"/>
    </row>
    <row r="61" spans="1:18" ht="15" customHeight="1">
      <c r="M61" s="162"/>
      <c r="N61" s="17"/>
      <c r="O61" s="17"/>
      <c r="P61" s="17" t="s">
        <v>216</v>
      </c>
      <c r="Q61" s="17"/>
      <c r="R61" s="17"/>
    </row>
    <row r="62" spans="1:18" ht="15" customHeight="1">
      <c r="M62" s="162"/>
      <c r="N62" s="16"/>
      <c r="O62" s="16"/>
      <c r="P62" s="16" t="s">
        <v>217</v>
      </c>
      <c r="Q62" s="16"/>
      <c r="R62" s="16"/>
    </row>
    <row r="63" spans="1:18" ht="15" customHeight="1">
      <c r="M63" s="162"/>
      <c r="N63" s="17"/>
      <c r="O63" s="17"/>
      <c r="P63" s="17" t="s">
        <v>218</v>
      </c>
      <c r="Q63" s="17"/>
      <c r="R63" s="17"/>
    </row>
    <row r="64" spans="1:18" ht="15" customHeight="1">
      <c r="M64" s="162"/>
      <c r="N64" s="16"/>
      <c r="O64" s="16"/>
      <c r="P64" s="16" t="s">
        <v>219</v>
      </c>
      <c r="Q64" s="16"/>
      <c r="R64" s="16"/>
    </row>
    <row r="65" spans="13:18" ht="15" customHeight="1">
      <c r="M65" s="162"/>
      <c r="N65" s="17"/>
      <c r="O65" s="17"/>
      <c r="P65" s="17" t="s">
        <v>220</v>
      </c>
      <c r="Q65" s="17"/>
      <c r="R65" s="17"/>
    </row>
    <row r="66" spans="13:18" ht="15" customHeight="1">
      <c r="M66" s="162"/>
      <c r="N66" s="16"/>
      <c r="O66" s="16"/>
      <c r="P66" s="16" t="s">
        <v>221</v>
      </c>
      <c r="Q66" s="16"/>
      <c r="R66" s="16"/>
    </row>
    <row r="67" spans="13:18" ht="15" customHeight="1">
      <c r="M67" s="162"/>
      <c r="N67" s="17"/>
      <c r="O67" s="17"/>
      <c r="P67" s="17" t="s">
        <v>222</v>
      </c>
      <c r="Q67" s="17"/>
      <c r="R67" s="17"/>
    </row>
    <row r="68" spans="13:18" ht="15" customHeight="1">
      <c r="M68" s="162"/>
      <c r="N68" s="16"/>
      <c r="O68" s="16"/>
      <c r="P68" s="16" t="s">
        <v>223</v>
      </c>
      <c r="Q68" s="16"/>
      <c r="R68" s="16"/>
    </row>
    <row r="69" spans="13:18" ht="15" customHeight="1">
      <c r="M69" s="162"/>
      <c r="N69" s="17"/>
      <c r="O69" s="17"/>
      <c r="P69" s="17" t="s">
        <v>224</v>
      </c>
      <c r="Q69" s="17"/>
      <c r="R69" s="17"/>
    </row>
    <row r="70" spans="13:18" ht="15" customHeight="1">
      <c r="M70" s="162"/>
      <c r="N70" s="16"/>
      <c r="O70" s="16"/>
      <c r="P70" s="16" t="s">
        <v>225</v>
      </c>
      <c r="Q70" s="16"/>
      <c r="R70" s="16"/>
    </row>
    <row r="71" spans="13:18" ht="15" customHeight="1">
      <c r="M71" s="162"/>
      <c r="N71" s="17"/>
      <c r="O71" s="17"/>
      <c r="P71" s="17" t="s">
        <v>226</v>
      </c>
      <c r="Q71" s="17"/>
      <c r="R71" s="17"/>
    </row>
    <row r="72" spans="13:18" ht="15" customHeight="1">
      <c r="M72" s="162"/>
      <c r="N72" s="16"/>
      <c r="O72" s="16"/>
      <c r="P72" s="16" t="s">
        <v>227</v>
      </c>
      <c r="Q72" s="16"/>
      <c r="R72" s="16"/>
    </row>
    <row r="73" spans="13:18" ht="15" customHeight="1">
      <c r="M73" s="162"/>
      <c r="N73" s="17"/>
      <c r="O73" s="17"/>
      <c r="P73" s="17" t="s">
        <v>228</v>
      </c>
      <c r="Q73" s="17"/>
      <c r="R73" s="17"/>
    </row>
    <row r="74" spans="13:18" ht="15" customHeight="1">
      <c r="M74" s="162"/>
      <c r="N74" s="16"/>
      <c r="O74" s="16"/>
      <c r="P74" s="16" t="s">
        <v>229</v>
      </c>
      <c r="Q74" s="16"/>
      <c r="R74" s="16"/>
    </row>
    <row r="75" spans="13:18" ht="15" customHeight="1">
      <c r="M75" s="162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313" activePane="bottomLeft" state="frozen"/>
      <selection pane="bottomLeft" activeCell="L327" sqref="L327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23" t="s">
        <v>232</v>
      </c>
      <c r="G1" s="23" t="s">
        <v>233</v>
      </c>
      <c r="H1" s="23" t="s">
        <v>19</v>
      </c>
      <c r="I1" s="23" t="s">
        <v>20</v>
      </c>
      <c r="J1" s="23" t="s">
        <v>234</v>
      </c>
      <c r="K1" s="23" t="s">
        <v>235</v>
      </c>
      <c r="L1" s="23" t="s">
        <v>236</v>
      </c>
      <c r="M1" s="24" t="s">
        <v>237</v>
      </c>
      <c r="N1" s="23" t="s">
        <v>238</v>
      </c>
      <c r="O1" s="23" t="s">
        <v>239</v>
      </c>
    </row>
    <row r="2" spans="1:15" ht="15" customHeight="1">
      <c r="A2" s="67">
        <v>46235</v>
      </c>
      <c r="B2" s="25">
        <v>0.33333333333333298</v>
      </c>
      <c r="C2" s="26" t="s">
        <v>50</v>
      </c>
      <c r="D2" s="20" t="s">
        <v>43</v>
      </c>
      <c r="E2" s="59" t="s">
        <v>240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24</v>
      </c>
      <c r="I2" s="26" t="s">
        <v>28</v>
      </c>
      <c r="J2" s="26" t="s">
        <v>72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50</v>
      </c>
      <c r="D3" s="59" t="s">
        <v>43</v>
      </c>
      <c r="E3" s="59" t="s">
        <v>240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50</v>
      </c>
      <c r="D4" s="59" t="s">
        <v>43</v>
      </c>
      <c r="E4" s="59" t="s">
        <v>240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50</v>
      </c>
      <c r="D5" s="59" t="s">
        <v>43</v>
      </c>
      <c r="E5" s="59" t="s">
        <v>240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50</v>
      </c>
      <c r="D6" s="59" t="s">
        <v>43</v>
      </c>
      <c r="E6" s="59" t="s">
        <v>240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50</v>
      </c>
      <c r="D7" s="59" t="s">
        <v>43</v>
      </c>
      <c r="E7" s="59" t="s">
        <v>240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50</v>
      </c>
      <c r="D8" s="59" t="s">
        <v>43</v>
      </c>
      <c r="E8" s="59" t="s">
        <v>240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50</v>
      </c>
      <c r="D9" s="59" t="s">
        <v>43</v>
      </c>
      <c r="E9" s="59" t="s">
        <v>240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50</v>
      </c>
      <c r="D10" s="59" t="s">
        <v>43</v>
      </c>
      <c r="E10" s="59" t="s">
        <v>240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50</v>
      </c>
      <c r="D11" s="59" t="s">
        <v>43</v>
      </c>
      <c r="E11" s="59" t="s">
        <v>240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50</v>
      </c>
      <c r="D12" s="59" t="s">
        <v>43</v>
      </c>
      <c r="E12" s="59" t="s">
        <v>240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50</v>
      </c>
      <c r="D13" s="59" t="s">
        <v>43</v>
      </c>
      <c r="E13" s="59" t="s">
        <v>240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1" t="s">
        <v>241</v>
      </c>
      <c r="B14" s="152"/>
      <c r="C14" s="152"/>
      <c r="D14" s="152"/>
      <c r="E14" s="164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242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62" t="s">
        <v>240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25</v>
      </c>
      <c r="I15" s="33" t="s">
        <v>28</v>
      </c>
      <c r="J15" s="33" t="s">
        <v>136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35</v>
      </c>
      <c r="E16" s="62" t="s">
        <v>240</v>
      </c>
      <c r="F16" s="27">
        <v>10</v>
      </c>
      <c r="G16" s="34">
        <f t="shared" si="3"/>
        <v>50</v>
      </c>
      <c r="H16" s="26" t="s">
        <v>25</v>
      </c>
      <c r="I16" s="26" t="s">
        <v>28</v>
      </c>
      <c r="J16" s="26" t="s">
        <v>49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35</v>
      </c>
      <c r="E17" s="62" t="s">
        <v>240</v>
      </c>
      <c r="F17" s="27">
        <v>35</v>
      </c>
      <c r="G17" s="34">
        <f t="shared" si="3"/>
        <v>175</v>
      </c>
      <c r="H17" s="33" t="s">
        <v>23</v>
      </c>
      <c r="I17" s="33" t="s">
        <v>28</v>
      </c>
      <c r="J17" s="33" t="s">
        <v>55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243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35</v>
      </c>
      <c r="E18" s="62" t="s">
        <v>240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35</v>
      </c>
      <c r="E19" s="62" t="s">
        <v>240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35</v>
      </c>
      <c r="E20" s="62" t="s">
        <v>240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35</v>
      </c>
      <c r="E21" s="62" t="s">
        <v>240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35</v>
      </c>
      <c r="E22" s="62" t="s">
        <v>240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35</v>
      </c>
      <c r="E23" s="62" t="s">
        <v>240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35</v>
      </c>
      <c r="E24" s="62" t="s">
        <v>240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34</v>
      </c>
      <c r="D25" s="62" t="s">
        <v>35</v>
      </c>
      <c r="E25" s="62" t="s">
        <v>240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34</v>
      </c>
      <c r="D26" s="62" t="s">
        <v>35</v>
      </c>
      <c r="E26" s="62" t="s">
        <v>240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1" t="s">
        <v>244</v>
      </c>
      <c r="B27" s="152"/>
      <c r="C27" s="152"/>
      <c r="D27" s="152"/>
      <c r="E27" s="164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242</v>
      </c>
      <c r="O27" s="39">
        <v>997910</v>
      </c>
    </row>
    <row r="28" spans="1:15" ht="18" customHeight="1">
      <c r="A28" s="153" t="s">
        <v>245</v>
      </c>
      <c r="B28" s="154"/>
      <c r="C28" s="154"/>
      <c r="D28" s="154"/>
      <c r="E28" s="16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246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50</v>
      </c>
      <c r="D29" s="59" t="s">
        <v>43</v>
      </c>
      <c r="E29" s="59" t="s">
        <v>240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23</v>
      </c>
      <c r="I29" s="33" t="s">
        <v>28</v>
      </c>
      <c r="J29" s="33" t="s">
        <v>162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43</v>
      </c>
      <c r="E30" s="59" t="s">
        <v>240</v>
      </c>
      <c r="F30" s="27">
        <v>36</v>
      </c>
      <c r="G30" s="34">
        <f t="shared" si="6"/>
        <v>180</v>
      </c>
      <c r="H30" s="26" t="s">
        <v>23</v>
      </c>
      <c r="I30" s="26" t="s">
        <v>28</v>
      </c>
      <c r="J30" s="26" t="s">
        <v>135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247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43</v>
      </c>
      <c r="E31" s="59" t="s">
        <v>240</v>
      </c>
      <c r="F31" s="27">
        <v>35</v>
      </c>
      <c r="G31" s="28">
        <f t="shared" si="6"/>
        <v>175</v>
      </c>
      <c r="H31" s="33" t="s">
        <v>23</v>
      </c>
      <c r="I31" s="33" t="s">
        <v>28</v>
      </c>
      <c r="J31" s="33" t="s">
        <v>55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243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43</v>
      </c>
      <c r="E32" s="59" t="s">
        <v>240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43</v>
      </c>
      <c r="E33" s="59" t="s">
        <v>240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43</v>
      </c>
      <c r="E34" s="59" t="s">
        <v>240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43</v>
      </c>
      <c r="E35" s="59" t="s">
        <v>240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43</v>
      </c>
      <c r="E36" s="59" t="s">
        <v>240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43</v>
      </c>
      <c r="E37" s="59" t="s">
        <v>240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43</v>
      </c>
      <c r="E38" s="59" t="s">
        <v>240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43</v>
      </c>
      <c r="E39" s="59" t="s">
        <v>240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50</v>
      </c>
      <c r="D40" s="59" t="s">
        <v>43</v>
      </c>
      <c r="E40" s="59" t="s">
        <v>240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1" t="s">
        <v>241</v>
      </c>
      <c r="B41" s="152"/>
      <c r="C41" s="152"/>
      <c r="D41" s="152"/>
      <c r="E41" s="164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242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34</v>
      </c>
      <c r="D42" s="62" t="s">
        <v>43</v>
      </c>
      <c r="E42" s="62" t="s">
        <v>240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24</v>
      </c>
      <c r="I42" s="26" t="s">
        <v>28</v>
      </c>
      <c r="J42" s="26" t="s">
        <v>72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248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43</v>
      </c>
      <c r="E43" s="62" t="s">
        <v>240</v>
      </c>
      <c r="F43" s="27">
        <v>0</v>
      </c>
      <c r="G43" s="28">
        <f t="shared" si="9"/>
        <v>0</v>
      </c>
      <c r="H43" s="33" t="s">
        <v>25</v>
      </c>
      <c r="I43" s="33" t="s">
        <v>28</v>
      </c>
      <c r="J43" s="33" t="s">
        <v>49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43</v>
      </c>
      <c r="E44" s="62" t="s">
        <v>240</v>
      </c>
      <c r="F44" s="27">
        <v>0</v>
      </c>
      <c r="G44" s="34">
        <f t="shared" si="9"/>
        <v>0</v>
      </c>
      <c r="H44" s="26" t="s">
        <v>25</v>
      </c>
      <c r="I44" s="26" t="s">
        <v>28</v>
      </c>
      <c r="J44" s="26" t="s">
        <v>49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43</v>
      </c>
      <c r="E45" s="62" t="s">
        <v>240</v>
      </c>
      <c r="F45" s="27">
        <v>0</v>
      </c>
      <c r="G45" s="28">
        <f t="shared" si="9"/>
        <v>0</v>
      </c>
      <c r="H45" s="33" t="s">
        <v>24</v>
      </c>
      <c r="I45" s="33" t="s">
        <v>28</v>
      </c>
      <c r="J45" s="33" t="s">
        <v>55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43</v>
      </c>
      <c r="E46" s="62" t="s">
        <v>240</v>
      </c>
      <c r="F46" s="27">
        <v>27</v>
      </c>
      <c r="G46" s="34">
        <f t="shared" si="9"/>
        <v>135</v>
      </c>
      <c r="H46" s="26" t="s">
        <v>25</v>
      </c>
      <c r="I46" s="26" t="s">
        <v>28</v>
      </c>
      <c r="J46" s="26" t="s">
        <v>49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43</v>
      </c>
      <c r="E47" s="62" t="s">
        <v>240</v>
      </c>
      <c r="F47" s="27">
        <v>17</v>
      </c>
      <c r="G47" s="28">
        <f t="shared" si="9"/>
        <v>85</v>
      </c>
      <c r="H47" s="33" t="s">
        <v>25</v>
      </c>
      <c r="I47" s="33" t="s">
        <v>28</v>
      </c>
      <c r="J47" s="33" t="s">
        <v>49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43</v>
      </c>
      <c r="E48" s="62" t="s">
        <v>240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43</v>
      </c>
      <c r="E49" s="62" t="s">
        <v>240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43</v>
      </c>
      <c r="E50" s="62" t="s">
        <v>240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43</v>
      </c>
      <c r="E51" s="62" t="s">
        <v>240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34</v>
      </c>
      <c r="D52" s="62" t="s">
        <v>43</v>
      </c>
      <c r="E52" s="62" t="s">
        <v>240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34</v>
      </c>
      <c r="D53" s="62" t="s">
        <v>43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1" t="s">
        <v>244</v>
      </c>
      <c r="B54" s="152"/>
      <c r="C54" s="152"/>
      <c r="D54" s="152"/>
      <c r="E54" s="164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242</v>
      </c>
      <c r="O54" s="39">
        <v>981310</v>
      </c>
    </row>
    <row r="55" spans="1:15" ht="18" customHeight="1">
      <c r="A55" s="153" t="s">
        <v>245</v>
      </c>
      <c r="B55" s="154"/>
      <c r="C55" s="154"/>
      <c r="D55" s="154"/>
      <c r="E55" s="16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246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50</v>
      </c>
      <c r="D56" s="20" t="s">
        <v>43</v>
      </c>
      <c r="E56" s="59" t="s">
        <v>240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23</v>
      </c>
      <c r="I56" s="26" t="s">
        <v>28</v>
      </c>
      <c r="J56" s="26" t="s">
        <v>162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59" t="s">
        <v>240</v>
      </c>
      <c r="F57" s="27">
        <v>16</v>
      </c>
      <c r="G57" s="34">
        <f t="shared" si="12"/>
        <v>80</v>
      </c>
      <c r="H57" s="33" t="s">
        <v>25</v>
      </c>
      <c r="I57" s="33" t="s">
        <v>28</v>
      </c>
      <c r="J57" s="33" t="s">
        <v>139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43</v>
      </c>
      <c r="E58" s="59" t="s">
        <v>240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59" t="s">
        <v>240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59" t="s">
        <v>240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59" t="s">
        <v>240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59" t="s">
        <v>240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59" t="s">
        <v>240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59" t="s">
        <v>240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59" t="s">
        <v>240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59" t="s">
        <v>240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59" t="s">
        <v>240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1" t="s">
        <v>241</v>
      </c>
      <c r="B68" s="152"/>
      <c r="C68" s="152"/>
      <c r="D68" s="152"/>
      <c r="E68" s="164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242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62" t="s">
        <v>240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25</v>
      </c>
      <c r="I69" s="33" t="s">
        <v>28</v>
      </c>
      <c r="J69" s="33" t="s">
        <v>49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62" t="s">
        <v>240</v>
      </c>
      <c r="F70" s="27">
        <v>14</v>
      </c>
      <c r="G70" s="28">
        <f t="shared" si="15"/>
        <v>70</v>
      </c>
      <c r="H70" s="26" t="s">
        <v>24</v>
      </c>
      <c r="I70" s="26" t="s">
        <v>28</v>
      </c>
      <c r="J70" s="26" t="s">
        <v>72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249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62" t="s">
        <v>240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62" t="s">
        <v>240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62" t="s">
        <v>240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62" t="s">
        <v>240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62" t="s">
        <v>240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62" t="s">
        <v>240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62" t="s">
        <v>240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35</v>
      </c>
      <c r="E78" s="62" t="s">
        <v>240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62" t="s">
        <v>240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62" t="s">
        <v>240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1" t="s">
        <v>244</v>
      </c>
      <c r="B81" s="152"/>
      <c r="C81" s="152"/>
      <c r="D81" s="152"/>
      <c r="E81" s="164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242</v>
      </c>
      <c r="O81" s="39">
        <v>1547910</v>
      </c>
    </row>
    <row r="82" spans="1:15" ht="18" customHeight="1">
      <c r="A82" s="153" t="s">
        <v>245</v>
      </c>
      <c r="B82" s="154"/>
      <c r="C82" s="154"/>
      <c r="D82" s="154"/>
      <c r="E82" s="16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246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59" t="s">
        <v>240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21</v>
      </c>
      <c r="I83" s="33" t="s">
        <v>28</v>
      </c>
      <c r="J83" s="33" t="s">
        <v>63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59" t="s">
        <v>240</v>
      </c>
      <c r="F84" s="27">
        <v>30</v>
      </c>
      <c r="G84" s="34">
        <f t="shared" si="18"/>
        <v>150</v>
      </c>
      <c r="H84" s="26" t="s">
        <v>25</v>
      </c>
      <c r="I84" s="26" t="s">
        <v>28</v>
      </c>
      <c r="J84" s="26" t="s">
        <v>139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59" t="s">
        <v>240</v>
      </c>
      <c r="F85" s="27">
        <v>35</v>
      </c>
      <c r="G85" s="28">
        <f t="shared" si="18"/>
        <v>175</v>
      </c>
      <c r="H85" s="33" t="s">
        <v>25</v>
      </c>
      <c r="I85" s="33" t="s">
        <v>28</v>
      </c>
      <c r="J85" s="33" t="s">
        <v>150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250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59" t="s">
        <v>240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59" t="s">
        <v>240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59" t="s">
        <v>240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59" t="s">
        <v>240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59" t="s">
        <v>240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59" t="s">
        <v>240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59" t="s">
        <v>240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59" t="s">
        <v>240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59" t="s">
        <v>240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1" t="s">
        <v>241</v>
      </c>
      <c r="B95" s="152"/>
      <c r="C95" s="152"/>
      <c r="D95" s="152"/>
      <c r="E95" s="164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242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62" t="s">
        <v>240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62" t="s">
        <v>240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62" t="s">
        <v>240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62" t="s">
        <v>240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62" t="s">
        <v>240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62" t="s">
        <v>240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251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62" t="s">
        <v>240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62" t="s">
        <v>240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62" t="s">
        <v>240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62" t="s">
        <v>240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62" t="s">
        <v>240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62" t="s">
        <v>240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1" t="s">
        <v>244</v>
      </c>
      <c r="B108" s="152"/>
      <c r="C108" s="152"/>
      <c r="D108" s="152"/>
      <c r="E108" s="164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242</v>
      </c>
      <c r="O108" s="39">
        <v>3156240</v>
      </c>
    </row>
    <row r="109" spans="1:15" ht="18" customHeight="1">
      <c r="A109" s="153" t="s">
        <v>245</v>
      </c>
      <c r="B109" s="154"/>
      <c r="C109" s="154"/>
      <c r="D109" s="154"/>
      <c r="E109" s="16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246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59" t="s">
        <v>240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23</v>
      </c>
      <c r="I110" s="26" t="s">
        <v>28</v>
      </c>
      <c r="J110" s="26" t="s">
        <v>39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59" t="s">
        <v>240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59" t="s">
        <v>240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59" t="s">
        <v>240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59" t="s">
        <v>240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59" t="s">
        <v>240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59" t="s">
        <v>240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59" t="s">
        <v>240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59" t="s">
        <v>240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59" t="s">
        <v>240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59" t="s">
        <v>240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59" t="s">
        <v>240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1" t="s">
        <v>241</v>
      </c>
      <c r="B122" s="152"/>
      <c r="C122" s="152"/>
      <c r="D122" s="152"/>
      <c r="E122" s="164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242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62" t="s">
        <v>240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62" t="s">
        <v>240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62" t="s">
        <v>240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62" t="s">
        <v>240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62" t="s">
        <v>240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62" t="s">
        <v>240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62" t="s">
        <v>240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62" t="s">
        <v>240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62" t="s">
        <v>240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62" t="s">
        <v>240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34</v>
      </c>
      <c r="D133" s="62" t="s">
        <v>43</v>
      </c>
      <c r="E133" s="62" t="s">
        <v>240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34</v>
      </c>
      <c r="D134" s="62" t="s">
        <v>43</v>
      </c>
      <c r="E134" s="62" t="s">
        <v>240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1" t="s">
        <v>244</v>
      </c>
      <c r="B135" s="152"/>
      <c r="C135" s="152"/>
      <c r="D135" s="152"/>
      <c r="E135" s="164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242</v>
      </c>
      <c r="O135" s="39">
        <v>2875180</v>
      </c>
    </row>
    <row r="136" spans="1:15" ht="18" customHeight="1">
      <c r="A136" s="153" t="s">
        <v>245</v>
      </c>
      <c r="B136" s="154"/>
      <c r="C136" s="154"/>
      <c r="D136" s="154"/>
      <c r="E136" s="16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246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26</v>
      </c>
      <c r="D137" s="62" t="s">
        <v>43</v>
      </c>
      <c r="E137" s="62" t="s">
        <v>240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22</v>
      </c>
      <c r="I137" s="33" t="s">
        <v>28</v>
      </c>
      <c r="J137" s="33" t="s">
        <v>30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252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43</v>
      </c>
      <c r="E138" s="62" t="s">
        <v>240</v>
      </c>
      <c r="F138" s="27">
        <v>35</v>
      </c>
      <c r="G138" s="28">
        <f t="shared" si="30"/>
        <v>175</v>
      </c>
      <c r="H138" s="26" t="s">
        <v>24</v>
      </c>
      <c r="I138" s="26" t="s">
        <v>28</v>
      </c>
      <c r="J138" s="26" t="s">
        <v>112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62" t="s">
        <v>240</v>
      </c>
      <c r="F139" s="27">
        <v>25</v>
      </c>
      <c r="G139" s="34">
        <f t="shared" si="30"/>
        <v>125</v>
      </c>
      <c r="H139" s="33" t="s">
        <v>25</v>
      </c>
      <c r="I139" s="33" t="s">
        <v>28</v>
      </c>
      <c r="J139" s="33" t="s">
        <v>41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62" t="s">
        <v>240</v>
      </c>
      <c r="F140" s="27">
        <v>30</v>
      </c>
      <c r="G140" s="28">
        <f t="shared" si="30"/>
        <v>150</v>
      </c>
      <c r="H140" s="26" t="s">
        <v>21</v>
      </c>
      <c r="I140" s="26" t="s">
        <v>28</v>
      </c>
      <c r="J140" s="26" t="s">
        <v>121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62" t="s">
        <v>240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62" t="s">
        <v>240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62" t="s">
        <v>240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62" t="s">
        <v>240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62" t="s">
        <v>240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62" t="s">
        <v>240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62" t="s">
        <v>240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62" t="s">
        <v>240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1" t="s">
        <v>241</v>
      </c>
      <c r="B149" s="152"/>
      <c r="C149" s="152"/>
      <c r="D149" s="152"/>
      <c r="E149" s="164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242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59" t="s">
        <v>240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25</v>
      </c>
      <c r="I150" s="26" t="s">
        <v>28</v>
      </c>
      <c r="J150" s="26" t="s">
        <v>139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59" t="s">
        <v>240</v>
      </c>
      <c r="F151" s="27">
        <v>0</v>
      </c>
      <c r="G151" s="34">
        <f t="shared" si="33"/>
        <v>0</v>
      </c>
      <c r="H151" s="33" t="s">
        <v>22</v>
      </c>
      <c r="I151" s="33" t="s">
        <v>28</v>
      </c>
      <c r="J151" s="33" t="s">
        <v>92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253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59" t="s">
        <v>240</v>
      </c>
      <c r="F152" s="27">
        <v>14</v>
      </c>
      <c r="G152" s="28">
        <f t="shared" si="33"/>
        <v>70</v>
      </c>
      <c r="H152" s="26" t="s">
        <v>25</v>
      </c>
      <c r="I152" s="26" t="s">
        <v>28</v>
      </c>
      <c r="J152" s="26" t="s">
        <v>139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59" t="s">
        <v>240</v>
      </c>
      <c r="F153" s="27">
        <v>0</v>
      </c>
      <c r="G153" s="34">
        <f t="shared" si="33"/>
        <v>0</v>
      </c>
      <c r="H153" s="33" t="s">
        <v>24</v>
      </c>
      <c r="I153" s="33" t="s">
        <v>28</v>
      </c>
      <c r="J153" s="33" t="s">
        <v>72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59" t="s">
        <v>240</v>
      </c>
      <c r="F154" s="27">
        <v>10</v>
      </c>
      <c r="G154" s="28">
        <f t="shared" si="33"/>
        <v>50</v>
      </c>
      <c r="H154" s="26" t="s">
        <v>25</v>
      </c>
      <c r="I154" s="26" t="s">
        <v>28</v>
      </c>
      <c r="J154" s="26" t="s">
        <v>150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59" t="s">
        <v>240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59" t="s">
        <v>240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59" t="s">
        <v>240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59" t="s">
        <v>240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59" t="s">
        <v>240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59" t="s">
        <v>240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59" t="s">
        <v>240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1" t="s">
        <v>244</v>
      </c>
      <c r="B162" s="152"/>
      <c r="C162" s="152"/>
      <c r="D162" s="152"/>
      <c r="E162" s="164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242</v>
      </c>
      <c r="O162" s="44">
        <v>842000</v>
      </c>
    </row>
    <row r="163" spans="1:15" ht="18" customHeight="1">
      <c r="A163" s="153" t="s">
        <v>245</v>
      </c>
      <c r="B163" s="154"/>
      <c r="C163" s="154"/>
      <c r="D163" s="154"/>
      <c r="E163" s="16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246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59" t="s">
        <v>240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23</v>
      </c>
      <c r="I164" s="26" t="s">
        <v>28</v>
      </c>
      <c r="J164" s="26" t="s">
        <v>229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254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59" t="s">
        <v>240</v>
      </c>
      <c r="F165" s="27">
        <v>35</v>
      </c>
      <c r="G165" s="34">
        <f t="shared" si="36"/>
        <v>175</v>
      </c>
      <c r="H165" s="33" t="s">
        <v>21</v>
      </c>
      <c r="I165" s="33" t="s">
        <v>28</v>
      </c>
      <c r="J165" s="33" t="s">
        <v>121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59" t="s">
        <v>240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59" t="s">
        <v>240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59" t="s">
        <v>240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59" t="s">
        <v>240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59" t="s">
        <v>240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59" t="s">
        <v>240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59" t="s">
        <v>240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59" t="s">
        <v>240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59" t="s">
        <v>240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59" t="s">
        <v>240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1" t="s">
        <v>241</v>
      </c>
      <c r="B176" s="152"/>
      <c r="C176" s="152"/>
      <c r="D176" s="152"/>
      <c r="E176" s="164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242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62" t="s">
        <v>240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22</v>
      </c>
      <c r="I177" s="33" t="s">
        <v>28</v>
      </c>
      <c r="J177" s="33" t="s">
        <v>92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255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62" t="s">
        <v>240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62" t="s">
        <v>240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62" t="s">
        <v>240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62" t="s">
        <v>240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62" t="s">
        <v>240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62" t="s">
        <v>240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62" t="s">
        <v>240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62" t="s">
        <v>256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62" t="s">
        <v>240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62" t="s">
        <v>240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62" t="s">
        <v>240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1" t="s">
        <v>244</v>
      </c>
      <c r="B189" s="152"/>
      <c r="C189" s="152"/>
      <c r="D189" s="152"/>
      <c r="E189" s="164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242</v>
      </c>
      <c r="O189" s="39">
        <v>1901630</v>
      </c>
    </row>
    <row r="190" spans="1:15" ht="18" customHeight="1">
      <c r="A190" s="153" t="s">
        <v>245</v>
      </c>
      <c r="B190" s="154"/>
      <c r="C190" s="154"/>
      <c r="D190" s="154"/>
      <c r="E190" s="16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246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62" t="s">
        <v>240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25</v>
      </c>
      <c r="I191" s="33" t="s">
        <v>28</v>
      </c>
      <c r="J191" s="33" t="s">
        <v>41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62" t="s">
        <v>240</v>
      </c>
      <c r="F192" s="27">
        <v>15</v>
      </c>
      <c r="G192" s="28">
        <f t="shared" si="42"/>
        <v>75</v>
      </c>
      <c r="H192" s="26" t="s">
        <v>25</v>
      </c>
      <c r="I192" s="26" t="s">
        <v>28</v>
      </c>
      <c r="J192" s="26" t="s">
        <v>41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62" t="s">
        <v>240</v>
      </c>
      <c r="F193" s="27">
        <v>20</v>
      </c>
      <c r="G193" s="34">
        <f t="shared" si="42"/>
        <v>100</v>
      </c>
      <c r="H193" s="33" t="s">
        <v>25</v>
      </c>
      <c r="I193" s="33" t="s">
        <v>28</v>
      </c>
      <c r="J193" s="33" t="s">
        <v>41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257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62" t="s">
        <v>240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62" t="s">
        <v>240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62" t="s">
        <v>240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62" t="s">
        <v>240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62" t="s">
        <v>240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62" t="s">
        <v>240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62" t="s">
        <v>240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62" t="s">
        <v>240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62" t="s">
        <v>240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1" t="s">
        <v>241</v>
      </c>
      <c r="B203" s="152"/>
      <c r="C203" s="152"/>
      <c r="D203" s="152"/>
      <c r="E203" s="164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242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59" t="s">
        <v>240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59" t="s">
        <v>240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59" t="s">
        <v>240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59" t="s">
        <v>240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59" t="s">
        <v>240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59" t="s">
        <v>240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59" t="s">
        <v>240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59" t="s">
        <v>240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59" t="s">
        <v>240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59" t="s">
        <v>240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59" t="s">
        <v>240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59" t="s">
        <v>240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1" t="s">
        <v>244</v>
      </c>
      <c r="B216" s="152"/>
      <c r="C216" s="152"/>
      <c r="D216" s="152"/>
      <c r="E216" s="164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242</v>
      </c>
      <c r="O216" s="45">
        <v>1852295</v>
      </c>
    </row>
    <row r="217" spans="1:15" ht="18" customHeight="1">
      <c r="A217" s="153" t="s">
        <v>245</v>
      </c>
      <c r="B217" s="154"/>
      <c r="C217" s="154"/>
      <c r="D217" s="154"/>
      <c r="E217" s="16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246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59" t="s">
        <v>240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23</v>
      </c>
      <c r="I218" s="26" t="s">
        <v>28</v>
      </c>
      <c r="J218" s="26" t="s">
        <v>172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59" t="s">
        <v>240</v>
      </c>
      <c r="F219" s="27">
        <v>45</v>
      </c>
      <c r="G219" s="34">
        <f t="shared" si="48"/>
        <v>225</v>
      </c>
      <c r="H219" s="33" t="s">
        <v>25</v>
      </c>
      <c r="I219" s="33" t="s">
        <v>28</v>
      </c>
      <c r="J219" s="33" t="s">
        <v>49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59" t="s">
        <v>240</v>
      </c>
      <c r="F220" s="27">
        <v>30</v>
      </c>
      <c r="G220" s="28">
        <f t="shared" si="48"/>
        <v>150</v>
      </c>
      <c r="H220" s="26" t="s">
        <v>25</v>
      </c>
      <c r="I220" s="26" t="s">
        <v>28</v>
      </c>
      <c r="J220" s="26" t="s">
        <v>208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258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59" t="s">
        <v>240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59" t="s">
        <v>240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59" t="s">
        <v>240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59" t="s">
        <v>240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59" t="s">
        <v>240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59" t="s">
        <v>240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59" t="s">
        <v>240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59" t="s">
        <v>240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59" t="s">
        <v>240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55" t="s">
        <v>241</v>
      </c>
      <c r="B230" s="156"/>
      <c r="C230" s="156"/>
      <c r="D230" s="156"/>
      <c r="E230" s="166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242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62" t="s">
        <v>240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25</v>
      </c>
      <c r="I231" s="33" t="s">
        <v>28</v>
      </c>
      <c r="J231" s="33" t="s">
        <v>208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62" t="s">
        <v>240</v>
      </c>
      <c r="F232" s="27">
        <v>37</v>
      </c>
      <c r="G232" s="28">
        <f t="shared" si="51"/>
        <v>185</v>
      </c>
      <c r="H232" s="26" t="s">
        <v>25</v>
      </c>
      <c r="I232" s="26" t="s">
        <v>28</v>
      </c>
      <c r="J232" s="26" t="s">
        <v>150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62" t="s">
        <v>240</v>
      </c>
      <c r="F233" s="27">
        <v>16</v>
      </c>
      <c r="G233" s="34">
        <f t="shared" si="51"/>
        <v>80</v>
      </c>
      <c r="H233" s="33" t="s">
        <v>25</v>
      </c>
      <c r="I233" s="33" t="s">
        <v>28</v>
      </c>
      <c r="J233" s="33" t="s">
        <v>150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62" t="s">
        <v>259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62" t="s">
        <v>259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62" t="s">
        <v>259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62" t="s">
        <v>259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62" t="s">
        <v>259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62" t="s">
        <v>259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62" t="s">
        <v>259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62" t="s">
        <v>259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62" t="s">
        <v>259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1" t="s">
        <v>244</v>
      </c>
      <c r="B243" s="152"/>
      <c r="C243" s="152"/>
      <c r="D243" s="152"/>
      <c r="E243" s="164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242</v>
      </c>
      <c r="O243" s="39">
        <v>991010</v>
      </c>
    </row>
    <row r="244" spans="1:15" ht="18" customHeight="1">
      <c r="A244" s="153" t="s">
        <v>245</v>
      </c>
      <c r="B244" s="154"/>
      <c r="C244" s="154"/>
      <c r="D244" s="154"/>
      <c r="E244" s="16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246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59" t="s">
        <v>240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25</v>
      </c>
      <c r="I245" s="33" t="s">
        <v>28</v>
      </c>
      <c r="J245" s="33" t="s">
        <v>213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59" t="s">
        <v>240</v>
      </c>
      <c r="F246" s="27">
        <v>2</v>
      </c>
      <c r="G246" s="34">
        <f t="shared" si="54"/>
        <v>10</v>
      </c>
      <c r="H246" s="33" t="s">
        <v>25</v>
      </c>
      <c r="I246" s="26" t="s">
        <v>28</v>
      </c>
      <c r="J246" s="33" t="s">
        <v>73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59" t="s">
        <v>240</v>
      </c>
      <c r="F247" s="27">
        <v>3</v>
      </c>
      <c r="G247" s="28">
        <f t="shared" si="54"/>
        <v>15</v>
      </c>
      <c r="H247" s="33" t="s">
        <v>24</v>
      </c>
      <c r="I247" s="33" t="s">
        <v>28</v>
      </c>
      <c r="J247" s="33" t="s">
        <v>72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35</v>
      </c>
      <c r="E248" s="59" t="s">
        <v>240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59" t="s">
        <v>240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260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59" t="s">
        <v>240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59" t="s">
        <v>240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59" t="s">
        <v>240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59" t="s">
        <v>240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59" t="s">
        <v>240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59" t="s">
        <v>240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59" t="s">
        <v>240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1" t="s">
        <v>241</v>
      </c>
      <c r="B257" s="152"/>
      <c r="C257" s="152"/>
      <c r="D257" s="152"/>
      <c r="E257" s="164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242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50</v>
      </c>
      <c r="D258" s="62" t="s">
        <v>261</v>
      </c>
      <c r="E258" s="62" t="s">
        <v>240</v>
      </c>
      <c r="F258" s="27">
        <v>0</v>
      </c>
      <c r="G258" s="34">
        <v>0</v>
      </c>
      <c r="H258" s="26" t="s">
        <v>24</v>
      </c>
      <c r="I258" s="26" t="s">
        <v>28</v>
      </c>
      <c r="J258" s="26" t="s">
        <v>94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50</v>
      </c>
      <c r="D259" s="62" t="s">
        <v>261</v>
      </c>
      <c r="E259" s="62" t="s">
        <v>240</v>
      </c>
      <c r="F259" s="27">
        <v>15</v>
      </c>
      <c r="G259" s="28">
        <v>75</v>
      </c>
      <c r="H259" s="50" t="s">
        <v>25</v>
      </c>
      <c r="I259" s="50" t="s">
        <v>28</v>
      </c>
      <c r="J259" s="50" t="s">
        <v>139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50</v>
      </c>
      <c r="D260" s="62" t="s">
        <v>261</v>
      </c>
      <c r="E260" s="62" t="s">
        <v>240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50</v>
      </c>
      <c r="D261" s="62" t="s">
        <v>261</v>
      </c>
      <c r="E261" s="62" t="s">
        <v>240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50</v>
      </c>
      <c r="D262" s="62" t="s">
        <v>261</v>
      </c>
      <c r="E262" s="62" t="s">
        <v>240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50</v>
      </c>
      <c r="D263" s="62" t="s">
        <v>261</v>
      </c>
      <c r="E263" s="62" t="s">
        <v>240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50</v>
      </c>
      <c r="D264" s="62" t="s">
        <v>261</v>
      </c>
      <c r="E264" s="62" t="s">
        <v>240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50</v>
      </c>
      <c r="D265" s="62" t="s">
        <v>261</v>
      </c>
      <c r="E265" s="62" t="s">
        <v>240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50</v>
      </c>
      <c r="D266" s="62" t="s">
        <v>261</v>
      </c>
      <c r="E266" s="62" t="s">
        <v>240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50</v>
      </c>
      <c r="D267" s="62" t="s">
        <v>261</v>
      </c>
      <c r="E267" s="62" t="s">
        <v>240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50</v>
      </c>
      <c r="D268" s="62" t="s">
        <v>261</v>
      </c>
      <c r="E268" s="62" t="s">
        <v>240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50</v>
      </c>
      <c r="D269" s="62" t="s">
        <v>261</v>
      </c>
      <c r="E269" s="62" t="s">
        <v>240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1" t="s">
        <v>244</v>
      </c>
      <c r="B270" s="152"/>
      <c r="C270" s="152"/>
      <c r="D270" s="152"/>
      <c r="E270" s="164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242</v>
      </c>
      <c r="O270" s="39">
        <v>1544700</v>
      </c>
    </row>
    <row r="271" spans="1:15" ht="18" customHeight="1">
      <c r="A271" s="153" t="s">
        <v>245</v>
      </c>
      <c r="B271" s="154"/>
      <c r="C271" s="154"/>
      <c r="D271" s="154"/>
      <c r="E271" s="16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246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34</v>
      </c>
      <c r="D272" s="59" t="s">
        <v>261</v>
      </c>
      <c r="E272" s="59" t="s">
        <v>240</v>
      </c>
      <c r="F272" s="27">
        <v>37</v>
      </c>
      <c r="G272" s="28">
        <v>185</v>
      </c>
      <c r="H272" s="26" t="s">
        <v>23</v>
      </c>
      <c r="I272" s="26" t="s">
        <v>28</v>
      </c>
      <c r="J272" s="26" t="s">
        <v>172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34</v>
      </c>
      <c r="D273" s="59" t="s">
        <v>261</v>
      </c>
      <c r="E273" s="59" t="s">
        <v>240</v>
      </c>
      <c r="F273" s="27">
        <v>31</v>
      </c>
      <c r="G273" s="34">
        <v>155</v>
      </c>
      <c r="H273" s="33" t="s">
        <v>25</v>
      </c>
      <c r="I273" s="33" t="s">
        <v>28</v>
      </c>
      <c r="J273" s="33" t="s">
        <v>139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34</v>
      </c>
      <c r="D274" s="59" t="s">
        <v>261</v>
      </c>
      <c r="E274" s="59" t="s">
        <v>240</v>
      </c>
      <c r="F274" s="27">
        <v>20</v>
      </c>
      <c r="G274" s="28">
        <v>100</v>
      </c>
      <c r="H274" s="26" t="s">
        <v>24</v>
      </c>
      <c r="I274" s="26" t="s">
        <v>28</v>
      </c>
      <c r="J274" s="26" t="s">
        <v>72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34</v>
      </c>
      <c r="D275" s="59" t="s">
        <v>261</v>
      </c>
      <c r="E275" s="59" t="s">
        <v>240</v>
      </c>
      <c r="F275" s="27">
        <v>8</v>
      </c>
      <c r="G275" s="34">
        <v>40</v>
      </c>
      <c r="H275" s="33" t="s">
        <v>25</v>
      </c>
      <c r="I275" s="33" t="s">
        <v>28</v>
      </c>
      <c r="J275" s="33" t="s">
        <v>213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34</v>
      </c>
      <c r="D276" s="59" t="s">
        <v>261</v>
      </c>
      <c r="E276" s="59" t="s">
        <v>240</v>
      </c>
      <c r="F276" s="27">
        <v>35</v>
      </c>
      <c r="G276" s="28">
        <v>175</v>
      </c>
      <c r="H276" s="26" t="s">
        <v>24</v>
      </c>
      <c r="I276" s="26" t="s">
        <v>28</v>
      </c>
      <c r="J276" s="26" t="s">
        <v>55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34</v>
      </c>
      <c r="D277" s="59" t="s">
        <v>261</v>
      </c>
      <c r="E277" s="59" t="s">
        <v>240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262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34</v>
      </c>
      <c r="D278" s="59" t="s">
        <v>261</v>
      </c>
      <c r="E278" s="59" t="s">
        <v>240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34</v>
      </c>
      <c r="D279" s="59" t="s">
        <v>261</v>
      </c>
      <c r="E279" s="59" t="s">
        <v>240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34</v>
      </c>
      <c r="D280" s="59" t="s">
        <v>261</v>
      </c>
      <c r="E280" s="59" t="s">
        <v>240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34</v>
      </c>
      <c r="D281" s="59" t="s">
        <v>261</v>
      </c>
      <c r="E281" s="59" t="s">
        <v>240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34</v>
      </c>
      <c r="D282" s="59" t="s">
        <v>261</v>
      </c>
      <c r="E282" s="59" t="s">
        <v>240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34</v>
      </c>
      <c r="D283" s="59" t="s">
        <v>261</v>
      </c>
      <c r="E283" s="59" t="s">
        <v>240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1" t="s">
        <v>241</v>
      </c>
      <c r="B284" s="152"/>
      <c r="C284" s="152"/>
      <c r="D284" s="152"/>
      <c r="E284" s="164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242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50</v>
      </c>
      <c r="D285" s="62" t="s">
        <v>261</v>
      </c>
      <c r="E285" s="62" t="s">
        <v>256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50</v>
      </c>
      <c r="D286" s="62" t="s">
        <v>261</v>
      </c>
      <c r="E286" s="62" t="s">
        <v>256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50</v>
      </c>
      <c r="D287" s="62" t="s">
        <v>261</v>
      </c>
      <c r="E287" s="62" t="s">
        <v>256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50</v>
      </c>
      <c r="D288" s="62" t="s">
        <v>261</v>
      </c>
      <c r="E288" s="62" t="s">
        <v>256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50</v>
      </c>
      <c r="D289" s="62" t="s">
        <v>261</v>
      </c>
      <c r="E289" s="62" t="s">
        <v>256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50</v>
      </c>
      <c r="D290" s="62" t="s">
        <v>261</v>
      </c>
      <c r="E290" s="62" t="s">
        <v>256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50</v>
      </c>
      <c r="D291" s="62" t="s">
        <v>261</v>
      </c>
      <c r="E291" s="62" t="s">
        <v>256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50</v>
      </c>
      <c r="D292" s="62" t="s">
        <v>261</v>
      </c>
      <c r="E292" s="62" t="s">
        <v>256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50</v>
      </c>
      <c r="D293" s="62" t="s">
        <v>261</v>
      </c>
      <c r="E293" s="62" t="s">
        <v>256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50</v>
      </c>
      <c r="D294" s="62" t="s">
        <v>261</v>
      </c>
      <c r="E294" s="62" t="s">
        <v>256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50</v>
      </c>
      <c r="D295" s="62" t="s">
        <v>261</v>
      </c>
      <c r="E295" s="62" t="s">
        <v>256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50</v>
      </c>
      <c r="D296" s="62" t="s">
        <v>261</v>
      </c>
      <c r="E296" s="62" t="s">
        <v>256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1" t="s">
        <v>244</v>
      </c>
      <c r="B297" s="152"/>
      <c r="C297" s="152"/>
      <c r="D297" s="152"/>
      <c r="E297" s="164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242</v>
      </c>
      <c r="O297" s="39">
        <v>1715230</v>
      </c>
    </row>
    <row r="298" spans="1:15" ht="18" customHeight="1">
      <c r="A298" s="153" t="s">
        <v>245</v>
      </c>
      <c r="B298" s="154"/>
      <c r="C298" s="154"/>
      <c r="D298" s="154"/>
      <c r="E298" s="16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246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62" t="s">
        <v>240</v>
      </c>
      <c r="F299" s="27">
        <v>37</v>
      </c>
      <c r="G299" s="34">
        <v>185</v>
      </c>
      <c r="H299" s="33" t="s">
        <v>23</v>
      </c>
      <c r="I299" s="33" t="s">
        <v>28</v>
      </c>
      <c r="J299" s="33" t="s">
        <v>229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34</v>
      </c>
      <c r="D300" s="62" t="s">
        <v>35</v>
      </c>
      <c r="E300" s="62" t="s">
        <v>240</v>
      </c>
      <c r="F300" s="27">
        <v>31</v>
      </c>
      <c r="G300" s="28">
        <v>155</v>
      </c>
      <c r="H300" s="26" t="s">
        <v>25</v>
      </c>
      <c r="I300" s="26" t="s">
        <v>28</v>
      </c>
      <c r="J300" s="26" t="s">
        <v>139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34</v>
      </c>
      <c r="D301" s="62" t="s">
        <v>35</v>
      </c>
      <c r="E301" s="62" t="s">
        <v>240</v>
      </c>
      <c r="F301" s="27">
        <v>35</v>
      </c>
      <c r="G301" s="34">
        <v>175</v>
      </c>
      <c r="H301" s="33" t="s">
        <v>23</v>
      </c>
      <c r="I301" s="33" t="s">
        <v>28</v>
      </c>
      <c r="J301" s="33" t="s">
        <v>39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34</v>
      </c>
      <c r="D302" s="62" t="s">
        <v>35</v>
      </c>
      <c r="E302" s="62" t="s">
        <v>240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263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34</v>
      </c>
      <c r="D303" s="62" t="s">
        <v>35</v>
      </c>
      <c r="E303" s="62" t="s">
        <v>240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34</v>
      </c>
      <c r="D304" s="62" t="s">
        <v>35</v>
      </c>
      <c r="E304" s="62" t="s">
        <v>240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34</v>
      </c>
      <c r="D305" s="62" t="s">
        <v>35</v>
      </c>
      <c r="E305" s="62" t="s">
        <v>240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34</v>
      </c>
      <c r="D306" s="62" t="s">
        <v>35</v>
      </c>
      <c r="E306" s="62" t="s">
        <v>240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34</v>
      </c>
      <c r="D307" s="62" t="s">
        <v>35</v>
      </c>
      <c r="E307" s="62" t="s">
        <v>240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34</v>
      </c>
      <c r="D308" s="62" t="s">
        <v>35</v>
      </c>
      <c r="E308" s="62" t="s">
        <v>240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34</v>
      </c>
      <c r="D309" s="62" t="s">
        <v>35</v>
      </c>
      <c r="E309" s="62" t="s">
        <v>240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34</v>
      </c>
      <c r="D310" s="62" t="s">
        <v>35</v>
      </c>
      <c r="E310" s="62" t="s">
        <v>240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1" t="s">
        <v>241</v>
      </c>
      <c r="B311" s="152"/>
      <c r="C311" s="152"/>
      <c r="D311" s="152"/>
      <c r="E311" s="164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242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62" t="s">
        <v>240</v>
      </c>
      <c r="F312" s="27">
        <v>0</v>
      </c>
      <c r="G312" s="28">
        <v>0</v>
      </c>
      <c r="H312" s="26" t="s">
        <v>23</v>
      </c>
      <c r="I312" s="26" t="s">
        <v>28</v>
      </c>
      <c r="J312" s="26" t="s">
        <v>39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26</v>
      </c>
      <c r="D313" s="59" t="s">
        <v>35</v>
      </c>
      <c r="E313" s="62" t="s">
        <v>240</v>
      </c>
      <c r="F313" s="27">
        <v>0</v>
      </c>
      <c r="G313" s="28">
        <v>0</v>
      </c>
      <c r="H313" s="33" t="s">
        <v>21</v>
      </c>
      <c r="I313" s="33"/>
      <c r="J313" s="33" t="s">
        <v>29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26</v>
      </c>
      <c r="D314" s="59" t="s">
        <v>35</v>
      </c>
      <c r="E314" s="62" t="s">
        <v>240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26</v>
      </c>
      <c r="D315" s="59" t="s">
        <v>35</v>
      </c>
      <c r="E315" s="62" t="s">
        <v>240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26</v>
      </c>
      <c r="D316" s="59" t="s">
        <v>35</v>
      </c>
      <c r="E316" s="62" t="s">
        <v>240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26</v>
      </c>
      <c r="D317" s="59" t="s">
        <v>35</v>
      </c>
      <c r="E317" s="62" t="s">
        <v>240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26</v>
      </c>
      <c r="D318" s="59" t="s">
        <v>35</v>
      </c>
      <c r="E318" s="62" t="s">
        <v>240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26</v>
      </c>
      <c r="D319" s="59" t="s">
        <v>35</v>
      </c>
      <c r="E319" s="62" t="s">
        <v>240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26</v>
      </c>
      <c r="D320" s="59" t="s">
        <v>35</v>
      </c>
      <c r="E320" s="62" t="s">
        <v>240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26</v>
      </c>
      <c r="D321" s="59" t="s">
        <v>35</v>
      </c>
      <c r="E321" s="62" t="s">
        <v>240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26</v>
      </c>
      <c r="D322" s="59" t="s">
        <v>35</v>
      </c>
      <c r="E322" s="62" t="s">
        <v>240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26</v>
      </c>
      <c r="D323" s="59" t="s">
        <v>35</v>
      </c>
      <c r="E323" s="62" t="s">
        <v>240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1" t="s">
        <v>244</v>
      </c>
      <c r="B324" s="152"/>
      <c r="C324" s="152"/>
      <c r="D324" s="152"/>
      <c r="E324" s="164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242</v>
      </c>
      <c r="O324" s="39">
        <v>2216340</v>
      </c>
    </row>
    <row r="325" spans="1:15" ht="18" customHeight="1">
      <c r="A325" s="153" t="s">
        <v>245</v>
      </c>
      <c r="B325" s="154"/>
      <c r="C325" s="154"/>
      <c r="D325" s="154"/>
      <c r="E325" s="16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246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25</v>
      </c>
      <c r="I326" s="26" t="s">
        <v>28</v>
      </c>
      <c r="J326" s="26" t="s">
        <v>139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34</v>
      </c>
      <c r="D327" s="59" t="s">
        <v>35</v>
      </c>
      <c r="E327" s="59"/>
      <c r="F327" s="27"/>
      <c r="G327" s="34" t="str">
        <f t="shared" si="67"/>
        <v/>
      </c>
      <c r="H327" s="33"/>
      <c r="I327" s="33"/>
      <c r="J327" s="33"/>
      <c r="K327" s="29"/>
      <c r="L327" s="29"/>
      <c r="M327" s="35" t="str">
        <f t="shared" ca="1" si="68"/>
        <v/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34</v>
      </c>
      <c r="D328" s="59" t="s">
        <v>35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264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34</v>
      </c>
      <c r="D329" s="59" t="s">
        <v>35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34</v>
      </c>
      <c r="D330" s="59" t="s">
        <v>35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34</v>
      </c>
      <c r="D331" s="59" t="s">
        <v>35</v>
      </c>
      <c r="E331" s="59"/>
      <c r="F331" s="27"/>
      <c r="G331" s="34" t="str">
        <f t="shared" si="67"/>
        <v/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34</v>
      </c>
      <c r="D332" s="59" t="s">
        <v>35</v>
      </c>
      <c r="E332" s="59"/>
      <c r="F332" s="27"/>
      <c r="G332" s="28" t="str">
        <f t="shared" si="67"/>
        <v/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34</v>
      </c>
      <c r="D333" s="59" t="s">
        <v>35</v>
      </c>
      <c r="E333" s="59"/>
      <c r="F333" s="27"/>
      <c r="G333" s="34" t="str">
        <f t="shared" si="67"/>
        <v/>
      </c>
      <c r="H333" s="33"/>
      <c r="I333" s="33"/>
      <c r="J333" s="33"/>
      <c r="K333" s="29"/>
      <c r="L333" s="29"/>
      <c r="M333" s="35" t="str">
        <f t="shared" ca="1" si="68"/>
        <v/>
      </c>
      <c r="N333" s="46"/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34</v>
      </c>
      <c r="D334" s="59" t="s">
        <v>35</v>
      </c>
      <c r="E334" s="59"/>
      <c r="F334" s="27"/>
      <c r="G334" s="28" t="str">
        <f t="shared" si="67"/>
        <v/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34</v>
      </c>
      <c r="D335" s="59" t="s">
        <v>35</v>
      </c>
      <c r="E335" s="59"/>
      <c r="F335" s="27"/>
      <c r="G335" s="34" t="str">
        <f t="shared" si="67"/>
        <v/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34</v>
      </c>
      <c r="D336" s="59" t="s">
        <v>35</v>
      </c>
      <c r="E336" s="59"/>
      <c r="F336" s="27"/>
      <c r="G336" s="28" t="str">
        <f t="shared" si="67"/>
        <v/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34</v>
      </c>
      <c r="D337" s="59" t="s">
        <v>35</v>
      </c>
      <c r="E337" s="59"/>
      <c r="F337" s="27"/>
      <c r="G337" s="34" t="str">
        <f t="shared" si="67"/>
        <v/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1" t="s">
        <v>241</v>
      </c>
      <c r="B338" s="152"/>
      <c r="C338" s="152"/>
      <c r="D338" s="152"/>
      <c r="E338" s="164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5.3472222222222254E-2</v>
      </c>
      <c r="N338" s="36" t="s">
        <v>242</v>
      </c>
      <c r="O338" s="39"/>
    </row>
    <row r="339" spans="1:15" ht="15" customHeight="1">
      <c r="A339" s="68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0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1">IFERROR(IF(K339="","",IF(L339="",MOD(NOW()-K339,1),IF(L339&gt;=K339,L339-K339,L339+1-K339))),"")</f>
        <v/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/>
      <c r="D340" s="62"/>
      <c r="E340" s="62"/>
      <c r="F340" s="27"/>
      <c r="G340" s="28" t="str">
        <f t="shared" si="70"/>
        <v/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/>
      <c r="D341" s="62"/>
      <c r="E341" s="62"/>
      <c r="F341" s="27"/>
      <c r="G341" s="34" t="str">
        <f t="shared" si="70"/>
        <v/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/>
      <c r="D342" s="62"/>
      <c r="E342" s="62"/>
      <c r="F342" s="27"/>
      <c r="G342" s="28" t="str">
        <f t="shared" si="70"/>
        <v/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/>
      <c r="D343" s="62"/>
      <c r="E343" s="62"/>
      <c r="F343" s="27"/>
      <c r="G343" s="34" t="str">
        <f t="shared" si="70"/>
        <v/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/>
      <c r="D344" s="62"/>
      <c r="E344" s="62"/>
      <c r="F344" s="27"/>
      <c r="G344" s="28" t="str">
        <f t="shared" si="70"/>
        <v/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/>
      <c r="D345" s="62"/>
      <c r="E345" s="62"/>
      <c r="F345" s="27"/>
      <c r="G345" s="34" t="str">
        <f t="shared" si="70"/>
        <v/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/>
      <c r="D346" s="62"/>
      <c r="E346" s="62"/>
      <c r="F346" s="27"/>
      <c r="G346" s="28" t="str">
        <f t="shared" si="70"/>
        <v/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/>
      <c r="D347" s="62"/>
      <c r="E347" s="62"/>
      <c r="F347" s="27"/>
      <c r="G347" s="34" t="str">
        <f t="shared" si="70"/>
        <v/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/>
      <c r="D348" s="62"/>
      <c r="E348" s="62"/>
      <c r="F348" s="27"/>
      <c r="G348" s="28" t="str">
        <f t="shared" si="70"/>
        <v/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/>
      <c r="D349" s="62"/>
      <c r="E349" s="62"/>
      <c r="F349" s="27"/>
      <c r="G349" s="34" t="str">
        <f t="shared" si="70"/>
        <v/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/>
      <c r="D350" s="62"/>
      <c r="E350" s="62"/>
      <c r="F350" s="27"/>
      <c r="G350" s="28" t="str">
        <f t="shared" si="70"/>
        <v/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1" t="s">
        <v>244</v>
      </c>
      <c r="B351" s="152"/>
      <c r="C351" s="152"/>
      <c r="D351" s="152"/>
      <c r="E351" s="16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242</v>
      </c>
      <c r="O351" s="39"/>
    </row>
    <row r="352" spans="1:15" ht="18" customHeight="1">
      <c r="A352" s="153" t="s">
        <v>245</v>
      </c>
      <c r="B352" s="154"/>
      <c r="C352" s="154"/>
      <c r="D352" s="154"/>
      <c r="E352" s="16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5.3472222222222254E-2</v>
      </c>
      <c r="N352" s="40" t="s">
        <v>246</v>
      </c>
      <c r="O352" s="48">
        <f>IFERROR(O338+O351,"")</f>
        <v>0</v>
      </c>
    </row>
    <row r="353" spans="1:15" ht="15" customHeight="1">
      <c r="A353" s="68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3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4">IFERROR(IF(K353="","",IF(L353="",MOD(NOW()-K353,1),IF(L353&gt;=K353,L353-K353,L353+1-K353))),"")</f>
        <v/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/>
      <c r="D354" s="62"/>
      <c r="E354" s="62"/>
      <c r="F354" s="27"/>
      <c r="G354" s="28" t="str">
        <f t="shared" si="73"/>
        <v/>
      </c>
      <c r="H354" s="26"/>
      <c r="I354" s="26"/>
      <c r="J354" s="26"/>
      <c r="K354" s="29"/>
      <c r="L354" s="29"/>
      <c r="M354" s="30" t="str">
        <f t="shared" ca="1" si="74"/>
        <v/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/>
      <c r="D355" s="62"/>
      <c r="E355" s="62"/>
      <c r="F355" s="27"/>
      <c r="G355" s="34" t="str">
        <f t="shared" si="73"/>
        <v/>
      </c>
      <c r="H355" s="33"/>
      <c r="I355" s="33"/>
      <c r="J355" s="33"/>
      <c r="K355" s="29"/>
      <c r="L355" s="29"/>
      <c r="M355" s="35" t="str">
        <f t="shared" ca="1" si="74"/>
        <v/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/>
      <c r="D356" s="62"/>
      <c r="E356" s="62"/>
      <c r="F356" s="27"/>
      <c r="G356" s="28" t="str">
        <f t="shared" si="73"/>
        <v/>
      </c>
      <c r="H356" s="26"/>
      <c r="I356" s="26"/>
      <c r="J356" s="26"/>
      <c r="K356" s="29"/>
      <c r="L356" s="29"/>
      <c r="M356" s="30" t="str">
        <f t="shared" ca="1" si="74"/>
        <v/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/>
      <c r="D357" s="62"/>
      <c r="E357" s="62"/>
      <c r="F357" s="27"/>
      <c r="G357" s="34" t="str">
        <f t="shared" si="73"/>
        <v/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/>
      <c r="D358" s="62"/>
      <c r="E358" s="62"/>
      <c r="F358" s="27"/>
      <c r="G358" s="28" t="str">
        <f t="shared" si="73"/>
        <v/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/>
      <c r="D359" s="62"/>
      <c r="E359" s="62"/>
      <c r="F359" s="27"/>
      <c r="G359" s="34" t="str">
        <f t="shared" si="73"/>
        <v/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/>
      <c r="D360" s="62"/>
      <c r="E360" s="62"/>
      <c r="F360" s="27"/>
      <c r="G360" s="28" t="str">
        <f t="shared" si="73"/>
        <v/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/>
      <c r="D361" s="62"/>
      <c r="E361" s="62"/>
      <c r="F361" s="27"/>
      <c r="G361" s="34" t="str">
        <f t="shared" si="73"/>
        <v/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/>
      <c r="D362" s="62"/>
      <c r="E362" s="62"/>
      <c r="F362" s="27"/>
      <c r="G362" s="28" t="str">
        <f t="shared" si="73"/>
        <v/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/>
      <c r="D363" s="62"/>
      <c r="E363" s="62"/>
      <c r="F363" s="27"/>
      <c r="G363" s="34" t="str">
        <f t="shared" si="73"/>
        <v/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/>
      <c r="D364" s="62"/>
      <c r="E364" s="62"/>
      <c r="F364" s="27"/>
      <c r="G364" s="28" t="str">
        <f t="shared" si="73"/>
        <v/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1" t="s">
        <v>241</v>
      </c>
      <c r="B365" s="152"/>
      <c r="C365" s="152"/>
      <c r="D365" s="152"/>
      <c r="E365" s="16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242</v>
      </c>
      <c r="O365" s="39"/>
    </row>
    <row r="366" spans="1:15" ht="15" customHeight="1">
      <c r="A366" s="67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76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77">IFERROR(IF(K366="","",IF(L366="",MOD(NOW()-K366,1),IF(L366&gt;=K366,L366-K366,L366+1-K366))),"")</f>
        <v/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/>
      <c r="D367" s="59"/>
      <c r="E367" s="59"/>
      <c r="F367" s="27"/>
      <c r="G367" s="34" t="str">
        <f t="shared" si="76"/>
        <v/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/>
      <c r="D368" s="59"/>
      <c r="E368" s="59"/>
      <c r="F368" s="27"/>
      <c r="G368" s="28" t="str">
        <f t="shared" si="76"/>
        <v/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/>
      <c r="D369" s="59"/>
      <c r="E369" s="59"/>
      <c r="F369" s="27"/>
      <c r="G369" s="34" t="str">
        <f t="shared" si="76"/>
        <v/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/>
      <c r="D370" s="59"/>
      <c r="E370" s="59"/>
      <c r="F370" s="27"/>
      <c r="G370" s="28" t="str">
        <f t="shared" si="76"/>
        <v/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/>
      <c r="D371" s="59"/>
      <c r="E371" s="59"/>
      <c r="F371" s="27"/>
      <c r="G371" s="34" t="str">
        <f t="shared" si="76"/>
        <v/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/>
      <c r="D372" s="59"/>
      <c r="E372" s="59"/>
      <c r="F372" s="27"/>
      <c r="G372" s="28" t="str">
        <f t="shared" si="76"/>
        <v/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/>
      <c r="D373" s="59"/>
      <c r="E373" s="59"/>
      <c r="F373" s="27"/>
      <c r="G373" s="34" t="str">
        <f t="shared" si="76"/>
        <v/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/>
      <c r="D374" s="59"/>
      <c r="E374" s="59"/>
      <c r="F374" s="27"/>
      <c r="G374" s="28" t="str">
        <f t="shared" si="76"/>
        <v/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/>
      <c r="D375" s="59"/>
      <c r="E375" s="59"/>
      <c r="F375" s="27"/>
      <c r="G375" s="34" t="str">
        <f t="shared" si="76"/>
        <v/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/>
      <c r="D376" s="59"/>
      <c r="E376" s="59"/>
      <c r="F376" s="27"/>
      <c r="G376" s="28" t="str">
        <f t="shared" si="76"/>
        <v/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/>
      <c r="D377" s="59"/>
      <c r="E377" s="59"/>
      <c r="F377" s="27"/>
      <c r="G377" s="34" t="str">
        <f t="shared" si="76"/>
        <v/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1" t="s">
        <v>244</v>
      </c>
      <c r="B378" s="152"/>
      <c r="C378" s="152"/>
      <c r="D378" s="152"/>
      <c r="E378" s="16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242</v>
      </c>
      <c r="O378" s="39"/>
    </row>
    <row r="379" spans="1:15" ht="18" customHeight="1">
      <c r="A379" s="153" t="s">
        <v>245</v>
      </c>
      <c r="B379" s="154"/>
      <c r="C379" s="154"/>
      <c r="D379" s="154"/>
      <c r="E379" s="16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246</v>
      </c>
      <c r="O379" s="48">
        <f>IFERROR(O365+O378,"")</f>
        <v>0</v>
      </c>
    </row>
    <row r="380" spans="1:15" ht="15" customHeight="1">
      <c r="A380" s="67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79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/>
      <c r="D381" s="59"/>
      <c r="E381" s="59"/>
      <c r="F381" s="27"/>
      <c r="G381" s="34" t="str">
        <f t="shared" si="79"/>
        <v/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/>
      <c r="D382" s="59"/>
      <c r="E382" s="59"/>
      <c r="F382" s="27"/>
      <c r="G382" s="28" t="str">
        <f t="shared" si="79"/>
        <v/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/>
      <c r="D383" s="59"/>
      <c r="E383" s="59"/>
      <c r="F383" s="27"/>
      <c r="G383" s="34" t="str">
        <f t="shared" si="79"/>
        <v/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/>
      <c r="D384" s="59"/>
      <c r="E384" s="59"/>
      <c r="F384" s="27"/>
      <c r="G384" s="28" t="str">
        <f t="shared" si="79"/>
        <v/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/>
      <c r="D385" s="59"/>
      <c r="E385" s="59"/>
      <c r="F385" s="27"/>
      <c r="G385" s="34" t="str">
        <f t="shared" si="79"/>
        <v/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/>
      <c r="D386" s="59"/>
      <c r="E386" s="59"/>
      <c r="F386" s="27"/>
      <c r="G386" s="28" t="str">
        <f t="shared" si="79"/>
        <v/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/>
      <c r="D387" s="59"/>
      <c r="E387" s="59"/>
      <c r="F387" s="27"/>
      <c r="G387" s="34" t="str">
        <f t="shared" si="79"/>
        <v/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/>
      <c r="D388" s="59"/>
      <c r="E388" s="59"/>
      <c r="F388" s="27"/>
      <c r="G388" s="28" t="str">
        <f t="shared" si="79"/>
        <v/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/>
      <c r="D389" s="59"/>
      <c r="E389" s="59"/>
      <c r="F389" s="27"/>
      <c r="G389" s="34" t="str">
        <f t="shared" si="79"/>
        <v/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/>
      <c r="D390" s="59"/>
      <c r="E390" s="59"/>
      <c r="F390" s="27"/>
      <c r="G390" s="28" t="str">
        <f t="shared" si="79"/>
        <v/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/>
      <c r="D391" s="59"/>
      <c r="E391" s="59"/>
      <c r="F391" s="27"/>
      <c r="G391" s="34" t="str">
        <f t="shared" si="79"/>
        <v/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1" t="s">
        <v>241</v>
      </c>
      <c r="B392" s="152"/>
      <c r="C392" s="152"/>
      <c r="D392" s="152"/>
      <c r="E392" s="16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242</v>
      </c>
      <c r="O392" s="39"/>
    </row>
    <row r="393" spans="1:15" ht="15" customHeight="1">
      <c r="A393" s="68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/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/>
      <c r="D394" s="62"/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/>
      <c r="D395" s="62"/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/>
      <c r="D396" s="62"/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/>
      <c r="D397" s="62"/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/>
      <c r="D398" s="62"/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/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/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/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/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/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/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1" t="s">
        <v>244</v>
      </c>
      <c r="B405" s="152"/>
      <c r="C405" s="152"/>
      <c r="D405" s="152"/>
      <c r="E405" s="16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242</v>
      </c>
      <c r="O405" s="39"/>
    </row>
    <row r="406" spans="1:15" ht="18" customHeight="1">
      <c r="A406" s="153" t="s">
        <v>245</v>
      </c>
      <c r="B406" s="154"/>
      <c r="C406" s="154"/>
      <c r="D406" s="154"/>
      <c r="E406" s="16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246</v>
      </c>
      <c r="O406" s="48">
        <f>IFERROR(O392+O405,"")</f>
        <v>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1" t="s">
        <v>241</v>
      </c>
      <c r="B419" s="152"/>
      <c r="C419" s="152"/>
      <c r="D419" s="152"/>
      <c r="E419" s="16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242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1" t="s">
        <v>244</v>
      </c>
      <c r="B432" s="152"/>
      <c r="C432" s="152"/>
      <c r="D432" s="152"/>
      <c r="E432" s="16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242</v>
      </c>
      <c r="O432" s="39"/>
    </row>
    <row r="433" spans="1:15" ht="18" customHeight="1">
      <c r="A433" s="153" t="s">
        <v>245</v>
      </c>
      <c r="B433" s="154"/>
      <c r="C433" s="154"/>
      <c r="D433" s="154"/>
      <c r="E433" s="16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246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1" t="s">
        <v>241</v>
      </c>
      <c r="B446" s="152"/>
      <c r="C446" s="152"/>
      <c r="D446" s="152"/>
      <c r="E446" s="16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242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1" t="s">
        <v>244</v>
      </c>
      <c r="B459" s="152"/>
      <c r="C459" s="152"/>
      <c r="D459" s="152"/>
      <c r="E459" s="16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242</v>
      </c>
      <c r="O459" s="39"/>
    </row>
    <row r="460" spans="1:15" ht="18" customHeight="1">
      <c r="A460" s="153" t="s">
        <v>245</v>
      </c>
      <c r="B460" s="154"/>
      <c r="C460" s="154"/>
      <c r="D460" s="154"/>
      <c r="E460" s="16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246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1" t="s">
        <v>241</v>
      </c>
      <c r="B473" s="152"/>
      <c r="C473" s="152"/>
      <c r="D473" s="152"/>
      <c r="E473" s="16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242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1" t="s">
        <v>244</v>
      </c>
      <c r="B486" s="152"/>
      <c r="C486" s="152"/>
      <c r="D486" s="152"/>
      <c r="E486" s="16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242</v>
      </c>
      <c r="O486" s="39"/>
    </row>
    <row r="487" spans="1:15" ht="18" customHeight="1">
      <c r="A487" s="153" t="s">
        <v>245</v>
      </c>
      <c r="B487" s="154"/>
      <c r="C487" s="154"/>
      <c r="D487" s="154"/>
      <c r="E487" s="16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246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1" t="s">
        <v>241</v>
      </c>
      <c r="B500" s="152"/>
      <c r="C500" s="152"/>
      <c r="D500" s="152"/>
      <c r="E500" s="16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242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1" t="s">
        <v>244</v>
      </c>
      <c r="B513" s="152"/>
      <c r="C513" s="152"/>
      <c r="D513" s="152"/>
      <c r="E513" s="16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242</v>
      </c>
      <c r="O513" s="39"/>
    </row>
    <row r="514" spans="1:15" ht="18" customHeight="1">
      <c r="A514" s="153" t="s">
        <v>245</v>
      </c>
      <c r="B514" s="154"/>
      <c r="C514" s="154"/>
      <c r="D514" s="154"/>
      <c r="E514" s="16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246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1" t="s">
        <v>241</v>
      </c>
      <c r="B527" s="152"/>
      <c r="C527" s="152"/>
      <c r="D527" s="152"/>
      <c r="E527" s="16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242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1" t="s">
        <v>244</v>
      </c>
      <c r="B540" s="152"/>
      <c r="C540" s="152"/>
      <c r="D540" s="152"/>
      <c r="E540" s="16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242</v>
      </c>
      <c r="O540" s="39"/>
    </row>
    <row r="541" spans="1:15" ht="18" customHeight="1">
      <c r="A541" s="153" t="s">
        <v>245</v>
      </c>
      <c r="B541" s="154"/>
      <c r="C541" s="154"/>
      <c r="D541" s="154"/>
      <c r="E541" s="16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246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1" t="s">
        <v>241</v>
      </c>
      <c r="B554" s="152"/>
      <c r="C554" s="152"/>
      <c r="D554" s="152"/>
      <c r="E554" s="16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242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1" t="s">
        <v>244</v>
      </c>
      <c r="B567" s="152"/>
      <c r="C567" s="152"/>
      <c r="D567" s="152"/>
      <c r="E567" s="16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242</v>
      </c>
      <c r="O567" s="39"/>
    </row>
    <row r="568" spans="1:15" ht="18" customHeight="1">
      <c r="A568" s="153" t="s">
        <v>245</v>
      </c>
      <c r="B568" s="154"/>
      <c r="C568" s="154"/>
      <c r="D568" s="154"/>
      <c r="E568" s="16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246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1" t="s">
        <v>241</v>
      </c>
      <c r="B581" s="152"/>
      <c r="C581" s="152"/>
      <c r="D581" s="152"/>
      <c r="E581" s="16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242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1" t="s">
        <v>244</v>
      </c>
      <c r="B594" s="152"/>
      <c r="C594" s="152"/>
      <c r="D594" s="152"/>
      <c r="E594" s="16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242</v>
      </c>
      <c r="O594" s="39"/>
    </row>
    <row r="595" spans="1:15" ht="18" customHeight="1">
      <c r="A595" s="153" t="s">
        <v>245</v>
      </c>
      <c r="B595" s="154"/>
      <c r="C595" s="154"/>
      <c r="D595" s="154"/>
      <c r="E595" s="16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246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1" t="s">
        <v>241</v>
      </c>
      <c r="B608" s="152"/>
      <c r="C608" s="152"/>
      <c r="D608" s="152"/>
      <c r="E608" s="16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242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1" t="s">
        <v>244</v>
      </c>
      <c r="B621" s="152"/>
      <c r="C621" s="152"/>
      <c r="D621" s="152"/>
      <c r="E621" s="16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242</v>
      </c>
      <c r="O621" s="39"/>
    </row>
    <row r="622" spans="1:15" ht="18" customHeight="1">
      <c r="A622" s="153" t="s">
        <v>245</v>
      </c>
      <c r="B622" s="154"/>
      <c r="C622" s="154"/>
      <c r="D622" s="154"/>
      <c r="E622" s="16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246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1" t="s">
        <v>241</v>
      </c>
      <c r="B635" s="152"/>
      <c r="C635" s="152"/>
      <c r="D635" s="152"/>
      <c r="E635" s="16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242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1" t="s">
        <v>244</v>
      </c>
      <c r="B648" s="152"/>
      <c r="C648" s="152"/>
      <c r="D648" s="152"/>
      <c r="E648" s="16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242</v>
      </c>
      <c r="O648" s="39"/>
    </row>
    <row r="649" spans="1:15" ht="18" customHeight="1">
      <c r="A649" s="153" t="s">
        <v>245</v>
      </c>
      <c r="B649" s="154"/>
      <c r="C649" s="154"/>
      <c r="D649" s="154"/>
      <c r="E649" s="16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246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1" t="s">
        <v>241</v>
      </c>
      <c r="B662" s="152"/>
      <c r="C662" s="152"/>
      <c r="D662" s="152"/>
      <c r="E662" s="16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242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1" t="s">
        <v>244</v>
      </c>
      <c r="B675" s="152"/>
      <c r="C675" s="152"/>
      <c r="D675" s="152"/>
      <c r="E675" s="16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242</v>
      </c>
      <c r="O675" s="39"/>
    </row>
    <row r="676" spans="1:15" ht="18" customHeight="1">
      <c r="A676" s="153" t="s">
        <v>245</v>
      </c>
      <c r="B676" s="154"/>
      <c r="C676" s="154"/>
      <c r="D676" s="154"/>
      <c r="E676" s="16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246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1" t="s">
        <v>241</v>
      </c>
      <c r="B689" s="152"/>
      <c r="C689" s="152"/>
      <c r="D689" s="152"/>
      <c r="E689" s="16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242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1" t="s">
        <v>244</v>
      </c>
      <c r="B702" s="152"/>
      <c r="C702" s="152"/>
      <c r="D702" s="152"/>
      <c r="E702" s="16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242</v>
      </c>
      <c r="O702" s="39"/>
    </row>
    <row r="703" spans="1:15" ht="18" customHeight="1">
      <c r="A703" s="153" t="s">
        <v>245</v>
      </c>
      <c r="B703" s="154"/>
      <c r="C703" s="154"/>
      <c r="D703" s="154"/>
      <c r="E703" s="16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246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1" t="s">
        <v>241</v>
      </c>
      <c r="B716" s="152"/>
      <c r="C716" s="152"/>
      <c r="D716" s="152"/>
      <c r="E716" s="16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242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1" t="s">
        <v>244</v>
      </c>
      <c r="B729" s="152"/>
      <c r="C729" s="152"/>
      <c r="D729" s="152"/>
      <c r="E729" s="16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242</v>
      </c>
      <c r="O729" s="39"/>
    </row>
    <row r="730" spans="1:15" ht="18" customHeight="1">
      <c r="A730" s="153" t="s">
        <v>245</v>
      </c>
      <c r="B730" s="154"/>
      <c r="C730" s="154"/>
      <c r="D730" s="154"/>
      <c r="E730" s="16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246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1" t="s">
        <v>241</v>
      </c>
      <c r="B743" s="152"/>
      <c r="C743" s="152"/>
      <c r="D743" s="152"/>
      <c r="E743" s="16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242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1" t="s">
        <v>244</v>
      </c>
      <c r="B756" s="152"/>
      <c r="C756" s="152"/>
      <c r="D756" s="152"/>
      <c r="E756" s="16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242</v>
      </c>
      <c r="O756" s="39"/>
    </row>
    <row r="757" spans="1:15" ht="18" customHeight="1">
      <c r="A757" s="153" t="s">
        <v>245</v>
      </c>
      <c r="B757" s="154"/>
      <c r="C757" s="154"/>
      <c r="D757" s="154"/>
      <c r="E757" s="16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246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1" t="s">
        <v>241</v>
      </c>
      <c r="B770" s="152"/>
      <c r="C770" s="152"/>
      <c r="D770" s="152"/>
      <c r="E770" s="16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242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1" t="s">
        <v>244</v>
      </c>
      <c r="B783" s="152"/>
      <c r="C783" s="152"/>
      <c r="D783" s="152"/>
      <c r="E783" s="16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242</v>
      </c>
      <c r="O783" s="39"/>
    </row>
    <row r="784" spans="1:15" ht="18" customHeight="1">
      <c r="A784" s="153" t="s">
        <v>245</v>
      </c>
      <c r="B784" s="154"/>
      <c r="C784" s="154"/>
      <c r="D784" s="154"/>
      <c r="E784" s="16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246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1" t="s">
        <v>241</v>
      </c>
      <c r="B797" s="152"/>
      <c r="C797" s="152"/>
      <c r="D797" s="152"/>
      <c r="E797" s="16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242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1" t="s">
        <v>244</v>
      </c>
      <c r="B810" s="152"/>
      <c r="C810" s="152"/>
      <c r="D810" s="152"/>
      <c r="E810" s="16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242</v>
      </c>
      <c r="O810" s="39"/>
    </row>
    <row r="811" spans="1:15" ht="18" customHeight="1">
      <c r="A811" s="167" t="s">
        <v>245</v>
      </c>
      <c r="B811" s="168"/>
      <c r="C811" s="168"/>
      <c r="D811" s="168"/>
      <c r="E811" s="169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246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1" t="s">
        <v>241</v>
      </c>
      <c r="B824" s="152"/>
      <c r="C824" s="152"/>
      <c r="D824" s="152"/>
      <c r="E824" s="164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242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1" t="s">
        <v>244</v>
      </c>
      <c r="B837" s="152"/>
      <c r="C837" s="152"/>
      <c r="D837" s="152"/>
      <c r="E837" s="164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242</v>
      </c>
      <c r="O837" s="39"/>
    </row>
    <row r="838" spans="1:15" ht="18" customHeight="1">
      <c r="A838" s="153" t="s">
        <v>245</v>
      </c>
      <c r="B838" s="154"/>
      <c r="C838" s="154"/>
      <c r="D838" s="154"/>
      <c r="E838" s="16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246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23" activePane="bottomLeft" state="frozen"/>
      <selection pane="bottomLeft" activeCell="O330" sqref="O330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265</v>
      </c>
      <c r="I1" s="133" t="s">
        <v>18</v>
      </c>
      <c r="J1" s="133" t="s">
        <v>266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266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24</v>
      </c>
      <c r="M2" s="26" t="s">
        <v>165</v>
      </c>
      <c r="N2" s="26" t="s">
        <v>32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267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25</v>
      </c>
      <c r="M3" s="33"/>
      <c r="N3" s="33" t="s">
        <v>79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25</v>
      </c>
      <c r="M4" s="26" t="s">
        <v>36</v>
      </c>
      <c r="N4" s="26" t="s">
        <v>33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23</v>
      </c>
      <c r="M5" s="33" t="s">
        <v>44</v>
      </c>
      <c r="N5" s="33" t="s">
        <v>135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268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21</v>
      </c>
      <c r="M6" s="26"/>
      <c r="N6" s="26" t="s">
        <v>63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269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25</v>
      </c>
      <c r="M7" s="33"/>
      <c r="N7" s="33" t="s">
        <v>136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25</v>
      </c>
      <c r="M8" s="26"/>
      <c r="N8" s="26" t="s">
        <v>136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1" t="s">
        <v>241</v>
      </c>
      <c r="B14" s="152"/>
      <c r="C14" s="152"/>
      <c r="D14" s="152"/>
      <c r="E14" s="152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242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109" t="s">
        <v>256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24</v>
      </c>
      <c r="M15" s="33" t="s">
        <v>36</v>
      </c>
      <c r="N15" s="33" t="s">
        <v>32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35</v>
      </c>
      <c r="E16" s="109" t="s">
        <v>256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24</v>
      </c>
      <c r="M16" s="26" t="s">
        <v>44</v>
      </c>
      <c r="N16" s="26" t="s">
        <v>32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35</v>
      </c>
      <c r="E17" s="109" t="s">
        <v>256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22</v>
      </c>
      <c r="M17" s="33" t="s">
        <v>140</v>
      </c>
      <c r="N17" s="33" t="s">
        <v>54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35</v>
      </c>
      <c r="E18" s="109" t="s">
        <v>256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25</v>
      </c>
      <c r="M18" s="26" t="s">
        <v>163</v>
      </c>
      <c r="N18" s="26" t="s">
        <v>79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35</v>
      </c>
      <c r="E19" s="109" t="s">
        <v>256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22</v>
      </c>
      <c r="M19" s="33" t="s">
        <v>140</v>
      </c>
      <c r="N19" s="33" t="s">
        <v>54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270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35</v>
      </c>
      <c r="E20" s="109" t="s">
        <v>256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25</v>
      </c>
      <c r="M20" s="26" t="s">
        <v>36</v>
      </c>
      <c r="N20" s="26" t="s">
        <v>41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271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35</v>
      </c>
      <c r="E21" s="109" t="s">
        <v>256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24</v>
      </c>
      <c r="M21" s="33" t="s">
        <v>44</v>
      </c>
      <c r="N21" s="33" t="s">
        <v>32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35</v>
      </c>
      <c r="E22" s="109" t="s">
        <v>256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24</v>
      </c>
      <c r="M22" s="26" t="s">
        <v>36</v>
      </c>
      <c r="N22" s="26" t="s">
        <v>32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35</v>
      </c>
      <c r="E23" s="109" t="s">
        <v>256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24</v>
      </c>
      <c r="M23" s="33" t="s">
        <v>36</v>
      </c>
      <c r="N23" s="33" t="s">
        <v>55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35</v>
      </c>
      <c r="E24" s="109" t="s">
        <v>256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34</v>
      </c>
      <c r="D25" s="62" t="s">
        <v>35</v>
      </c>
      <c r="E25" s="109" t="s">
        <v>256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34</v>
      </c>
      <c r="D26" s="62" t="s">
        <v>35</v>
      </c>
      <c r="E26" s="109" t="s">
        <v>256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1" t="s">
        <v>244</v>
      </c>
      <c r="B27" s="152"/>
      <c r="C27" s="152"/>
      <c r="D27" s="152"/>
      <c r="E27" s="152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242</v>
      </c>
      <c r="S27" s="45">
        <v>549860</v>
      </c>
      <c r="T27" s="122"/>
    </row>
    <row r="28" spans="1:20" ht="18" customHeight="1">
      <c r="A28" s="153" t="s">
        <v>245</v>
      </c>
      <c r="B28" s="154"/>
      <c r="C28" s="154"/>
      <c r="D28" s="154"/>
      <c r="E28" s="154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246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27</v>
      </c>
      <c r="E29" s="108" t="s">
        <v>256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25</v>
      </c>
      <c r="M29" s="33" t="s">
        <v>163</v>
      </c>
      <c r="N29" s="33" t="s">
        <v>79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27</v>
      </c>
      <c r="E30" s="108" t="s">
        <v>256</v>
      </c>
      <c r="F30" s="134"/>
      <c r="G30" s="105">
        <v>3</v>
      </c>
      <c r="H30" s="134"/>
      <c r="I30" s="135"/>
      <c r="J30" s="136"/>
      <c r="K30" s="34"/>
      <c r="L30" s="26" t="s">
        <v>24</v>
      </c>
      <c r="M30" s="26" t="s">
        <v>44</v>
      </c>
      <c r="N30" s="26" t="s">
        <v>32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27</v>
      </c>
      <c r="E31" s="108" t="s">
        <v>256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24</v>
      </c>
      <c r="M31" s="33" t="s">
        <v>44</v>
      </c>
      <c r="N31" s="33" t="s">
        <v>55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27</v>
      </c>
      <c r="E32" s="108" t="s">
        <v>256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27</v>
      </c>
      <c r="E33" s="108" t="s">
        <v>256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27</v>
      </c>
      <c r="E34" s="108" t="s">
        <v>256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27</v>
      </c>
      <c r="E35" s="108" t="s">
        <v>256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27</v>
      </c>
      <c r="E36" s="108" t="s">
        <v>256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27</v>
      </c>
      <c r="E37" s="108" t="s">
        <v>256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27</v>
      </c>
      <c r="E38" s="108" t="s">
        <v>256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27</v>
      </c>
      <c r="E39" s="108" t="s">
        <v>256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27</v>
      </c>
      <c r="E40" s="108" t="s">
        <v>256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1" t="s">
        <v>241</v>
      </c>
      <c r="B41" s="152"/>
      <c r="C41" s="152"/>
      <c r="D41" s="152"/>
      <c r="E41" s="152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242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25</v>
      </c>
      <c r="M42" s="26" t="s">
        <v>44</v>
      </c>
      <c r="N42" s="26" t="s">
        <v>56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25</v>
      </c>
      <c r="M43" s="33" t="s">
        <v>44</v>
      </c>
      <c r="N43" s="33" t="s">
        <v>56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25</v>
      </c>
      <c r="M44" s="26" t="s">
        <v>36</v>
      </c>
      <c r="N44" s="26" t="s">
        <v>56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25</v>
      </c>
      <c r="M45" s="33" t="s">
        <v>165</v>
      </c>
      <c r="N45" s="33" t="s">
        <v>56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25</v>
      </c>
      <c r="M46" s="26" t="s">
        <v>44</v>
      </c>
      <c r="N46" s="26" t="s">
        <v>56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25</v>
      </c>
      <c r="M47" s="33" t="s">
        <v>165</v>
      </c>
      <c r="N47" s="33" t="s">
        <v>56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25</v>
      </c>
      <c r="M48" s="26" t="s">
        <v>44</v>
      </c>
      <c r="N48" s="26" t="s">
        <v>56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272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24</v>
      </c>
      <c r="M49" s="33" t="s">
        <v>44</v>
      </c>
      <c r="N49" s="33" t="s">
        <v>32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273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24</v>
      </c>
      <c r="M50" s="26" t="s">
        <v>44</v>
      </c>
      <c r="N50" s="26" t="s">
        <v>40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25</v>
      </c>
      <c r="M51" s="33" t="s">
        <v>44</v>
      </c>
      <c r="N51" s="33" t="s">
        <v>56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23</v>
      </c>
      <c r="M52" s="26" t="s">
        <v>44</v>
      </c>
      <c r="N52" s="26" t="s">
        <v>135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274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23</v>
      </c>
      <c r="M53" s="33"/>
      <c r="N53" s="33" t="s">
        <v>135</v>
      </c>
      <c r="O53" s="29">
        <v>0.12152777777777778</v>
      </c>
      <c r="P53" s="29"/>
      <c r="Q53" s="30">
        <f t="shared" ca="1" si="11"/>
        <v>0.3771025462920079</v>
      </c>
      <c r="R53" s="46" t="s">
        <v>275</v>
      </c>
      <c r="S53" s="31"/>
    </row>
    <row r="54" spans="1:20" ht="15.75" customHeight="1" thickBot="1">
      <c r="A54" s="151" t="s">
        <v>244</v>
      </c>
      <c r="B54" s="152"/>
      <c r="C54" s="152"/>
      <c r="D54" s="152"/>
      <c r="E54" s="152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0.51599143518089674</v>
      </c>
      <c r="R54" s="36" t="s">
        <v>242</v>
      </c>
      <c r="S54" s="75">
        <v>352430</v>
      </c>
      <c r="T54" s="117"/>
    </row>
    <row r="55" spans="1:20" ht="18" customHeight="1">
      <c r="A55" s="153" t="s">
        <v>245</v>
      </c>
      <c r="B55" s="154"/>
      <c r="C55" s="154"/>
      <c r="D55" s="154"/>
      <c r="E55" s="154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0.60071365740311911</v>
      </c>
      <c r="R55" s="40" t="s">
        <v>246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24</v>
      </c>
      <c r="M56" s="26" t="s">
        <v>36</v>
      </c>
      <c r="N56" s="26" t="s">
        <v>32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108" t="s">
        <v>256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25</v>
      </c>
      <c r="M57" s="33" t="s">
        <v>128</v>
      </c>
      <c r="N57" s="50" t="s">
        <v>119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25</v>
      </c>
      <c r="M58" s="49" t="s">
        <v>128</v>
      </c>
      <c r="N58" s="26" t="s">
        <v>119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108" t="s">
        <v>256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25</v>
      </c>
      <c r="M59" s="33" t="s">
        <v>128</v>
      </c>
      <c r="N59" s="33" t="s">
        <v>119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108" t="s">
        <v>256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25</v>
      </c>
      <c r="M60" s="26" t="s">
        <v>128</v>
      </c>
      <c r="N60" s="26" t="s">
        <v>119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108" t="s">
        <v>256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25</v>
      </c>
      <c r="M61" s="33" t="s">
        <v>128</v>
      </c>
      <c r="N61" s="33" t="s">
        <v>119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108" t="s">
        <v>256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25</v>
      </c>
      <c r="M62" s="26" t="s">
        <v>128</v>
      </c>
      <c r="N62" s="26" t="s">
        <v>119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108" t="s">
        <v>256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24</v>
      </c>
      <c r="M63" s="33" t="s">
        <v>44</v>
      </c>
      <c r="N63" s="33" t="s">
        <v>32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267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108" t="s">
        <v>256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108" t="s">
        <v>256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108" t="s">
        <v>256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108" t="s">
        <v>256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1" t="s">
        <v>241</v>
      </c>
      <c r="B68" s="152"/>
      <c r="C68" s="152"/>
      <c r="D68" s="152"/>
      <c r="E68" s="152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242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25</v>
      </c>
      <c r="M69" s="33" t="s">
        <v>154</v>
      </c>
      <c r="N69" s="26" t="s">
        <v>191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22</v>
      </c>
      <c r="M70" s="26" t="s">
        <v>140</v>
      </c>
      <c r="N70" s="26" t="s">
        <v>54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25</v>
      </c>
      <c r="M71" s="33" t="s">
        <v>163</v>
      </c>
      <c r="N71" s="33" t="s">
        <v>79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25</v>
      </c>
      <c r="M72" s="26" t="s">
        <v>163</v>
      </c>
      <c r="N72" s="26" t="s">
        <v>79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24</v>
      </c>
      <c r="M73" s="33" t="s">
        <v>36</v>
      </c>
      <c r="N73" s="33" t="s">
        <v>32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25</v>
      </c>
      <c r="M74" s="26" t="s">
        <v>163</v>
      </c>
      <c r="N74" s="26" t="s">
        <v>79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24</v>
      </c>
      <c r="M75" s="33" t="s">
        <v>44</v>
      </c>
      <c r="N75" s="33" t="s">
        <v>32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25</v>
      </c>
      <c r="M76" s="26" t="s">
        <v>36</v>
      </c>
      <c r="N76" s="26" t="s">
        <v>206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276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34</v>
      </c>
      <c r="D79" s="62" t="s">
        <v>35</v>
      </c>
      <c r="E79" s="109" t="s">
        <v>256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34</v>
      </c>
      <c r="D80" s="62" t="s">
        <v>35</v>
      </c>
      <c r="E80" s="109" t="s">
        <v>256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1" t="s">
        <v>244</v>
      </c>
      <c r="B81" s="152"/>
      <c r="C81" s="152"/>
      <c r="D81" s="152"/>
      <c r="E81" s="152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242</v>
      </c>
      <c r="S81" s="54">
        <v>634210</v>
      </c>
      <c r="T81" s="118"/>
    </row>
    <row r="82" spans="1:20" ht="18" customHeight="1">
      <c r="A82" s="153" t="s">
        <v>245</v>
      </c>
      <c r="B82" s="154"/>
      <c r="C82" s="154"/>
      <c r="D82" s="154"/>
      <c r="E82" s="154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246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20" t="s">
        <v>35</v>
      </c>
      <c r="E83" s="108" t="s">
        <v>256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23</v>
      </c>
      <c r="M83" s="33" t="s">
        <v>143</v>
      </c>
      <c r="N83" s="33" t="s">
        <v>216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24</v>
      </c>
      <c r="M84" s="26" t="s">
        <v>44</v>
      </c>
      <c r="N84" s="26" t="s">
        <v>32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25</v>
      </c>
      <c r="M85" s="33" t="s">
        <v>44</v>
      </c>
      <c r="N85" s="33" t="s">
        <v>41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25</v>
      </c>
      <c r="M86" s="26" t="s">
        <v>44</v>
      </c>
      <c r="N86" s="26" t="s">
        <v>41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23</v>
      </c>
      <c r="M87" s="33" t="s">
        <v>143</v>
      </c>
      <c r="N87" s="33" t="s">
        <v>123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1" t="s">
        <v>241</v>
      </c>
      <c r="B95" s="152"/>
      <c r="C95" s="152"/>
      <c r="D95" s="152"/>
      <c r="E95" s="152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242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23</v>
      </c>
      <c r="M96" s="26" t="s">
        <v>146</v>
      </c>
      <c r="N96" s="26" t="s">
        <v>123</v>
      </c>
      <c r="O96" s="29">
        <v>0.79166666666666663</v>
      </c>
      <c r="P96" s="29" t="s">
        <v>277</v>
      </c>
      <c r="Q96" s="30" t="str">
        <f t="shared" ref="Q96:Q107" ca="1" si="22">IFERROR(IF(O96="","",IF(P96="",MOD(NOW()-O96,1),IF(P96&gt;=O96,P96-O96,P96+1-O96))),"")</f>
        <v/>
      </c>
      <c r="R96" s="46" t="s">
        <v>278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24</v>
      </c>
      <c r="M97" s="33" t="s">
        <v>36</v>
      </c>
      <c r="N97" s="33" t="s">
        <v>55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243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22</v>
      </c>
      <c r="M98" s="26" t="s">
        <v>36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279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25</v>
      </c>
      <c r="M99" s="33" t="s">
        <v>44</v>
      </c>
      <c r="N99" s="33" t="s">
        <v>189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280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24</v>
      </c>
      <c r="M100" s="26" t="s">
        <v>36</v>
      </c>
      <c r="N100" s="26" t="s">
        <v>55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243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25</v>
      </c>
      <c r="M101" s="33" t="s">
        <v>44</v>
      </c>
      <c r="N101" s="33" t="s">
        <v>41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1" t="s">
        <v>244</v>
      </c>
      <c r="B108" s="152"/>
      <c r="C108" s="152"/>
      <c r="D108" s="152"/>
      <c r="E108" s="152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242</v>
      </c>
      <c r="S108" s="54">
        <v>456830</v>
      </c>
      <c r="T108" s="118"/>
    </row>
    <row r="109" spans="1:20" ht="18" customHeight="1">
      <c r="A109" s="153" t="s">
        <v>245</v>
      </c>
      <c r="B109" s="154"/>
      <c r="C109" s="154"/>
      <c r="D109" s="154"/>
      <c r="E109" s="154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246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23</v>
      </c>
      <c r="M110" s="26" t="s">
        <v>36</v>
      </c>
      <c r="N110" s="26" t="s">
        <v>162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25</v>
      </c>
      <c r="M111" s="33" t="s">
        <v>44</v>
      </c>
      <c r="N111" s="33" t="s">
        <v>41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281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23</v>
      </c>
      <c r="M112" s="26" t="s">
        <v>44</v>
      </c>
      <c r="N112" s="26" t="s">
        <v>162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25</v>
      </c>
      <c r="M113" s="33" t="s">
        <v>44</v>
      </c>
      <c r="N113" s="33" t="s">
        <v>41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1" t="s">
        <v>241</v>
      </c>
      <c r="B122" s="152"/>
      <c r="C122" s="152"/>
      <c r="D122" s="152"/>
      <c r="E122" s="152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242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24</v>
      </c>
      <c r="M123" s="33" t="s">
        <v>165</v>
      </c>
      <c r="N123" s="33" t="s">
        <v>32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23</v>
      </c>
      <c r="M124" s="26" t="s">
        <v>36</v>
      </c>
      <c r="N124" s="26" t="s">
        <v>162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22</v>
      </c>
      <c r="M125" s="33" t="s">
        <v>140</v>
      </c>
      <c r="N125" s="33" t="s">
        <v>54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22</v>
      </c>
      <c r="M126" s="26" t="s">
        <v>140</v>
      </c>
      <c r="N126" s="26" t="s">
        <v>54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25</v>
      </c>
      <c r="M127" s="33" t="s">
        <v>128</v>
      </c>
      <c r="N127" s="33" t="s">
        <v>119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24</v>
      </c>
      <c r="M128" s="26" t="s">
        <v>44</v>
      </c>
      <c r="N128" s="26" t="s">
        <v>32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24</v>
      </c>
      <c r="M129" s="33" t="s">
        <v>36</v>
      </c>
      <c r="N129" s="33" t="s">
        <v>32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1" t="s">
        <v>244</v>
      </c>
      <c r="B135" s="152"/>
      <c r="C135" s="152"/>
      <c r="D135" s="152"/>
      <c r="E135" s="152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242</v>
      </c>
      <c r="S135" s="54">
        <v>756720</v>
      </c>
      <c r="T135" s="118"/>
    </row>
    <row r="136" spans="1:20" ht="18" customHeight="1">
      <c r="A136" s="153" t="s">
        <v>245</v>
      </c>
      <c r="B136" s="154"/>
      <c r="C136" s="154"/>
      <c r="D136" s="154"/>
      <c r="E136" s="154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246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22</v>
      </c>
      <c r="M137" s="33"/>
      <c r="N137" s="33" t="s">
        <v>30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25</v>
      </c>
      <c r="M138" s="26" t="s">
        <v>44</v>
      </c>
      <c r="N138" s="26" t="s">
        <v>56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25</v>
      </c>
      <c r="M139" s="33" t="s">
        <v>44</v>
      </c>
      <c r="N139" s="33" t="s">
        <v>61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282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25</v>
      </c>
      <c r="M140" s="26" t="s">
        <v>44</v>
      </c>
      <c r="N140" s="26" t="s">
        <v>41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25</v>
      </c>
      <c r="M141" s="33" t="s">
        <v>44</v>
      </c>
      <c r="N141" s="33" t="s">
        <v>41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283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23</v>
      </c>
      <c r="M142" s="26"/>
      <c r="N142" s="26" t="s">
        <v>123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25</v>
      </c>
      <c r="M143" s="33" t="s">
        <v>36</v>
      </c>
      <c r="N143" s="33" t="s">
        <v>41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21</v>
      </c>
      <c r="M144" s="26" t="s">
        <v>165</v>
      </c>
      <c r="N144" s="26" t="s">
        <v>115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284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1" t="s">
        <v>241</v>
      </c>
      <c r="B149" s="152"/>
      <c r="C149" s="152"/>
      <c r="D149" s="152"/>
      <c r="E149" s="152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242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25</v>
      </c>
      <c r="M150" s="26" t="s">
        <v>143</v>
      </c>
      <c r="N150" s="26" t="s">
        <v>79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22</v>
      </c>
      <c r="M151" s="33" t="s">
        <v>125</v>
      </c>
      <c r="N151" s="33" t="s">
        <v>92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285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24</v>
      </c>
      <c r="M152" s="26" t="s">
        <v>44</v>
      </c>
      <c r="N152" s="26" t="s">
        <v>32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23</v>
      </c>
      <c r="M153" s="33" t="s">
        <v>44</v>
      </c>
      <c r="N153" s="33" t="s">
        <v>39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1" t="s">
        <v>244</v>
      </c>
      <c r="B162" s="152"/>
      <c r="C162" s="152"/>
      <c r="D162" s="152"/>
      <c r="E162" s="152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242</v>
      </c>
      <c r="S162" s="54">
        <v>501750</v>
      </c>
      <c r="T162" s="118"/>
    </row>
    <row r="163" spans="1:20" ht="18" customHeight="1">
      <c r="A163" s="153" t="s">
        <v>245</v>
      </c>
      <c r="B163" s="154"/>
      <c r="C163" s="154"/>
      <c r="D163" s="154"/>
      <c r="E163" s="154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246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23</v>
      </c>
      <c r="M164" s="26" t="s">
        <v>44</v>
      </c>
      <c r="N164" s="26" t="s">
        <v>39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9" t="s">
        <v>256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24</v>
      </c>
      <c r="M165" s="33" t="s">
        <v>36</v>
      </c>
      <c r="N165" s="33" t="s">
        <v>32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9" t="s">
        <v>256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25</v>
      </c>
      <c r="M166" s="26" t="s">
        <v>36</v>
      </c>
      <c r="N166" s="26" t="s">
        <v>41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9" t="s">
        <v>256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25</v>
      </c>
      <c r="M167" s="33" t="s">
        <v>163</v>
      </c>
      <c r="N167" s="33" t="s">
        <v>79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9" t="s">
        <v>256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25</v>
      </c>
      <c r="M168" s="26" t="s">
        <v>163</v>
      </c>
      <c r="N168" s="26" t="s">
        <v>79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9" t="s">
        <v>256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9" t="s">
        <v>256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9" t="s">
        <v>256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9" t="s">
        <v>256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9" t="s">
        <v>256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9" t="s">
        <v>256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9" t="s">
        <v>256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1" t="s">
        <v>241</v>
      </c>
      <c r="B176" s="152"/>
      <c r="C176" s="152"/>
      <c r="D176" s="152"/>
      <c r="E176" s="152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242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24</v>
      </c>
      <c r="M177" s="33" t="s">
        <v>36</v>
      </c>
      <c r="N177" s="33" t="s">
        <v>32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122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8" t="s">
        <v>256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25</v>
      </c>
      <c r="M178" s="26" t="s">
        <v>154</v>
      </c>
      <c r="N178" s="26" t="s">
        <v>139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25</v>
      </c>
      <c r="M179" s="33" t="s">
        <v>128</v>
      </c>
      <c r="N179" s="33" t="s">
        <v>119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8" t="s">
        <v>256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25</v>
      </c>
      <c r="M180" s="26" t="s">
        <v>154</v>
      </c>
      <c r="N180" s="26" t="s">
        <v>139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25</v>
      </c>
      <c r="M181" s="33"/>
      <c r="N181" s="33" t="s">
        <v>79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286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8" t="s">
        <v>256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25</v>
      </c>
      <c r="M182" s="26"/>
      <c r="N182" s="26" t="s">
        <v>79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283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25</v>
      </c>
      <c r="M183" s="33"/>
      <c r="N183" s="33" t="s">
        <v>79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287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8" t="s">
        <v>256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8" t="s">
        <v>256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8" t="s">
        <v>256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1" t="s">
        <v>244</v>
      </c>
      <c r="B189" s="152"/>
      <c r="C189" s="152"/>
      <c r="D189" s="152"/>
      <c r="E189" s="152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242</v>
      </c>
      <c r="S189" s="45">
        <v>362530</v>
      </c>
      <c r="T189" s="122"/>
    </row>
    <row r="190" spans="1:20" ht="18" customHeight="1">
      <c r="A190" s="153" t="s">
        <v>245</v>
      </c>
      <c r="B190" s="154"/>
      <c r="C190" s="154"/>
      <c r="D190" s="154"/>
      <c r="E190" s="154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246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25</v>
      </c>
      <c r="M191" s="33" t="s">
        <v>154</v>
      </c>
      <c r="N191" s="33" t="s">
        <v>188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288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25</v>
      </c>
      <c r="M192" s="26" t="s">
        <v>154</v>
      </c>
      <c r="N192" s="26" t="s">
        <v>188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25</v>
      </c>
      <c r="M193" s="33" t="s">
        <v>154</v>
      </c>
      <c r="N193" s="26" t="s">
        <v>188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25</v>
      </c>
      <c r="M194" s="26" t="s">
        <v>44</v>
      </c>
      <c r="N194" s="26" t="s">
        <v>41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25</v>
      </c>
      <c r="M195" s="33" t="s">
        <v>44</v>
      </c>
      <c r="N195" s="33" t="s">
        <v>41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281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23</v>
      </c>
      <c r="M196" s="26" t="s">
        <v>44</v>
      </c>
      <c r="N196" s="26" t="s">
        <v>172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25</v>
      </c>
      <c r="M197" s="33" t="s">
        <v>128</v>
      </c>
      <c r="N197" s="33" t="s">
        <v>119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25</v>
      </c>
      <c r="M198" s="26" t="s">
        <v>128</v>
      </c>
      <c r="N198" s="33" t="s">
        <v>119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1" t="s">
        <v>241</v>
      </c>
      <c r="B203" s="152"/>
      <c r="C203" s="152"/>
      <c r="D203" s="152"/>
      <c r="E203" s="152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242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25</v>
      </c>
      <c r="M204" s="26"/>
      <c r="N204" s="26" t="s">
        <v>79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24</v>
      </c>
      <c r="M205" s="33" t="s">
        <v>165</v>
      </c>
      <c r="N205" s="33" t="s">
        <v>32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24</v>
      </c>
      <c r="M206" s="26" t="s">
        <v>165</v>
      </c>
      <c r="N206" s="26" t="s">
        <v>32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1" t="s">
        <v>244</v>
      </c>
      <c r="B216" s="152"/>
      <c r="C216" s="152"/>
      <c r="D216" s="152"/>
      <c r="E216" s="152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242</v>
      </c>
      <c r="S216" s="45">
        <v>609740</v>
      </c>
      <c r="T216" s="122"/>
    </row>
    <row r="217" spans="1:20" ht="18" customHeight="1">
      <c r="A217" s="153" t="s">
        <v>245</v>
      </c>
      <c r="B217" s="154"/>
      <c r="C217" s="154"/>
      <c r="D217" s="154"/>
      <c r="E217" s="154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246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23</v>
      </c>
      <c r="M218" s="26" t="s">
        <v>36</v>
      </c>
      <c r="N218" s="33" t="s">
        <v>177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276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24</v>
      </c>
      <c r="M219" s="33" t="s">
        <v>36</v>
      </c>
      <c r="N219" s="33" t="s">
        <v>40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24</v>
      </c>
      <c r="M220" s="26" t="s">
        <v>36</v>
      </c>
      <c r="N220" s="26" t="s">
        <v>55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243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24</v>
      </c>
      <c r="M221" s="33" t="s">
        <v>36</v>
      </c>
      <c r="N221" s="33" t="s">
        <v>83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289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24</v>
      </c>
      <c r="M222" s="26" t="s">
        <v>44</v>
      </c>
      <c r="N222" s="26" t="s">
        <v>32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23</v>
      </c>
      <c r="M223" s="33" t="s">
        <v>140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290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23</v>
      </c>
      <c r="M224" s="26" t="s">
        <v>140</v>
      </c>
      <c r="N224" s="26" t="s">
        <v>66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291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55" t="s">
        <v>241</v>
      </c>
      <c r="B230" s="156"/>
      <c r="C230" s="156"/>
      <c r="D230" s="156"/>
      <c r="E230" s="156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242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25</v>
      </c>
      <c r="M231" s="33" t="s">
        <v>44</v>
      </c>
      <c r="N231" s="33" t="s">
        <v>41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243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24</v>
      </c>
      <c r="M232" s="26" t="s">
        <v>165</v>
      </c>
      <c r="N232" s="26" t="s">
        <v>32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25</v>
      </c>
      <c r="M233" s="33" t="s">
        <v>44</v>
      </c>
      <c r="N233" s="33" t="s">
        <v>41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24</v>
      </c>
      <c r="M234" s="26" t="s">
        <v>165</v>
      </c>
      <c r="N234" s="26" t="s">
        <v>32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1" t="s">
        <v>244</v>
      </c>
      <c r="B243" s="152"/>
      <c r="C243" s="152"/>
      <c r="D243" s="152"/>
      <c r="E243" s="152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242</v>
      </c>
      <c r="S243" s="45">
        <v>825930</v>
      </c>
      <c r="T243" s="122"/>
    </row>
    <row r="244" spans="1:20" ht="18" customHeight="1">
      <c r="A244" s="153" t="s">
        <v>245</v>
      </c>
      <c r="B244" s="154"/>
      <c r="C244" s="154"/>
      <c r="D244" s="154"/>
      <c r="E244" s="154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246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23</v>
      </c>
      <c r="M245" s="33" t="s">
        <v>36</v>
      </c>
      <c r="N245" s="33" t="s">
        <v>172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24</v>
      </c>
      <c r="M246" s="26" t="s">
        <v>44</v>
      </c>
      <c r="N246" s="33" t="s">
        <v>32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24</v>
      </c>
      <c r="M247" s="33" t="s">
        <v>44</v>
      </c>
      <c r="N247" s="33" t="s">
        <v>32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24</v>
      </c>
      <c r="M248" s="26" t="s">
        <v>36</v>
      </c>
      <c r="N248" s="26" t="s">
        <v>32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256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256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1" t="s">
        <v>241</v>
      </c>
      <c r="B257" s="152"/>
      <c r="C257" s="152"/>
      <c r="D257" s="152"/>
      <c r="E257" s="152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242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35</v>
      </c>
      <c r="E258" s="62" t="s">
        <v>256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35</v>
      </c>
      <c r="E259" s="62" t="s">
        <v>256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35</v>
      </c>
      <c r="E260" s="62" t="s">
        <v>256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35</v>
      </c>
      <c r="E261" s="62" t="s">
        <v>256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35</v>
      </c>
      <c r="E262" s="62" t="s">
        <v>256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35</v>
      </c>
      <c r="E263" s="62" t="s">
        <v>256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35</v>
      </c>
      <c r="E264" s="62" t="s">
        <v>256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35</v>
      </c>
      <c r="E265" s="62" t="s">
        <v>256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35</v>
      </c>
      <c r="E266" s="62" t="s">
        <v>256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35</v>
      </c>
      <c r="E267" s="62" t="s">
        <v>256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35</v>
      </c>
      <c r="E268" s="62" t="s">
        <v>256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35</v>
      </c>
      <c r="E269" s="62" t="s">
        <v>256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1" t="s">
        <v>244</v>
      </c>
      <c r="B270" s="152"/>
      <c r="C270" s="152"/>
      <c r="D270" s="152"/>
      <c r="E270" s="152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242</v>
      </c>
      <c r="S270" s="45">
        <v>732130</v>
      </c>
      <c r="T270" s="122"/>
    </row>
    <row r="271" spans="1:20" ht="18" customHeight="1">
      <c r="A271" s="153" t="s">
        <v>245</v>
      </c>
      <c r="B271" s="154"/>
      <c r="C271" s="154"/>
      <c r="D271" s="154"/>
      <c r="E271" s="154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246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34</v>
      </c>
      <c r="D278" s="59" t="s">
        <v>43</v>
      </c>
      <c r="E278" s="59" t="s">
        <v>256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34</v>
      </c>
      <c r="D279" s="59" t="s">
        <v>43</v>
      </c>
      <c r="E279" s="59" t="s">
        <v>256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34</v>
      </c>
      <c r="D280" s="59" t="s">
        <v>43</v>
      </c>
      <c r="E280" s="59" t="s">
        <v>256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34</v>
      </c>
      <c r="D281" s="59" t="s">
        <v>43</v>
      </c>
      <c r="E281" s="59" t="s">
        <v>256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34</v>
      </c>
      <c r="D282" s="59" t="s">
        <v>43</v>
      </c>
      <c r="E282" s="59" t="s">
        <v>240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34</v>
      </c>
      <c r="D283" s="59" t="s">
        <v>43</v>
      </c>
      <c r="E283" s="59" t="s">
        <v>256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1" t="s">
        <v>241</v>
      </c>
      <c r="B284" s="152"/>
      <c r="C284" s="152"/>
      <c r="D284" s="152"/>
      <c r="E284" s="152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242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42</v>
      </c>
      <c r="D285" s="62" t="s">
        <v>51</v>
      </c>
      <c r="E285" s="62" t="s">
        <v>240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42</v>
      </c>
      <c r="D286" s="62" t="s">
        <v>51</v>
      </c>
      <c r="E286" s="62" t="s">
        <v>240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42</v>
      </c>
      <c r="D287" s="62" t="s">
        <v>35</v>
      </c>
      <c r="E287" s="62" t="s">
        <v>256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42</v>
      </c>
      <c r="D288" s="62" t="s">
        <v>35</v>
      </c>
      <c r="E288" s="62" t="s">
        <v>256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42</v>
      </c>
      <c r="D289" s="62" t="s">
        <v>35</v>
      </c>
      <c r="E289" s="62" t="s">
        <v>240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42</v>
      </c>
      <c r="D290" s="62" t="s">
        <v>35</v>
      </c>
      <c r="E290" s="62" t="s">
        <v>240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42</v>
      </c>
      <c r="D291" s="62" t="s">
        <v>35</v>
      </c>
      <c r="E291" s="62" t="s">
        <v>240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42</v>
      </c>
      <c r="D292" s="62" t="s">
        <v>35</v>
      </c>
      <c r="E292" s="62" t="s">
        <v>240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42</v>
      </c>
      <c r="D293" s="62" t="s">
        <v>35</v>
      </c>
      <c r="E293" s="62" t="s">
        <v>240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42</v>
      </c>
      <c r="D294" s="62" t="s">
        <v>35</v>
      </c>
      <c r="E294" s="62" t="s">
        <v>240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42</v>
      </c>
      <c r="D295" s="62" t="s">
        <v>35</v>
      </c>
      <c r="E295" s="62" t="s">
        <v>240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42</v>
      </c>
      <c r="D296" s="62" t="s">
        <v>35</v>
      </c>
      <c r="E296" s="62" t="s">
        <v>240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1" t="s">
        <v>244</v>
      </c>
      <c r="B297" s="152"/>
      <c r="C297" s="152"/>
      <c r="D297" s="152"/>
      <c r="E297" s="152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242</v>
      </c>
      <c r="S297" s="45">
        <v>990260</v>
      </c>
      <c r="T297" s="122"/>
    </row>
    <row r="298" spans="1:20" ht="18" customHeight="1">
      <c r="A298" s="153" t="s">
        <v>245</v>
      </c>
      <c r="B298" s="154"/>
      <c r="C298" s="154"/>
      <c r="D298" s="154"/>
      <c r="E298" s="154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246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62" t="s">
        <v>256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22</v>
      </c>
      <c r="M299" s="33" t="s">
        <v>140</v>
      </c>
      <c r="N299" s="33" t="s">
        <v>54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34</v>
      </c>
      <c r="D300" s="62" t="s">
        <v>35</v>
      </c>
      <c r="E300" s="62" t="s">
        <v>256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24</v>
      </c>
      <c r="M300" s="26" t="s">
        <v>44</v>
      </c>
      <c r="N300" s="26" t="s">
        <v>83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34</v>
      </c>
      <c r="D301" s="62" t="s">
        <v>35</v>
      </c>
      <c r="E301" s="62" t="s">
        <v>256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24</v>
      </c>
      <c r="M301" s="33" t="s">
        <v>36</v>
      </c>
      <c r="N301" s="33" t="s">
        <v>32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34</v>
      </c>
      <c r="D302" s="62" t="s">
        <v>35</v>
      </c>
      <c r="E302" s="62" t="s">
        <v>256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25</v>
      </c>
      <c r="M302" s="26" t="s">
        <v>36</v>
      </c>
      <c r="N302" s="26" t="s">
        <v>41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34</v>
      </c>
      <c r="D303" s="62" t="s">
        <v>35</v>
      </c>
      <c r="E303" s="62" t="s">
        <v>256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24</v>
      </c>
      <c r="M303" s="33" t="s">
        <v>44</v>
      </c>
      <c r="N303" s="33" t="s">
        <v>32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34</v>
      </c>
      <c r="D304" s="62" t="s">
        <v>35</v>
      </c>
      <c r="E304" s="62" t="s">
        <v>256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22</v>
      </c>
      <c r="M304" s="26"/>
      <c r="N304" s="26" t="s">
        <v>30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34</v>
      </c>
      <c r="D305" s="62" t="s">
        <v>27</v>
      </c>
      <c r="E305" s="62" t="s">
        <v>256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34</v>
      </c>
      <c r="D306" s="62" t="s">
        <v>27</v>
      </c>
      <c r="E306" s="62" t="s">
        <v>256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34</v>
      </c>
      <c r="D307" s="62" t="s">
        <v>27</v>
      </c>
      <c r="E307" s="62" t="s">
        <v>256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34</v>
      </c>
      <c r="D308" s="62" t="s">
        <v>27</v>
      </c>
      <c r="E308" s="62" t="s">
        <v>256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34</v>
      </c>
      <c r="D309" s="62" t="s">
        <v>27</v>
      </c>
      <c r="E309" s="62" t="s">
        <v>256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34</v>
      </c>
      <c r="D310" s="62" t="s">
        <v>27</v>
      </c>
      <c r="E310" s="62" t="s">
        <v>256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1" t="s">
        <v>241</v>
      </c>
      <c r="B311" s="152"/>
      <c r="C311" s="152"/>
      <c r="D311" s="152"/>
      <c r="E311" s="152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242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62" t="s">
        <v>35</v>
      </c>
      <c r="E312" s="62" t="s">
        <v>256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24</v>
      </c>
      <c r="M312" s="26" t="s">
        <v>165</v>
      </c>
      <c r="N312" s="26" t="s">
        <v>32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26</v>
      </c>
      <c r="D313" s="62" t="s">
        <v>35</v>
      </c>
      <c r="E313" s="62" t="s">
        <v>256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2:J323" si="73">IFERROR(IF($H313="","",$H313*$F313*$I313),"")</f>
        <v>8.0789057142857139</v>
      </c>
      <c r="K313" s="34">
        <f t="shared" si="70"/>
        <v>54.6</v>
      </c>
      <c r="L313" s="33" t="s">
        <v>25</v>
      </c>
      <c r="M313" s="33" t="s">
        <v>44</v>
      </c>
      <c r="N313" s="33" t="s">
        <v>41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26</v>
      </c>
      <c r="D314" s="62" t="s">
        <v>35</v>
      </c>
      <c r="E314" s="62" t="s">
        <v>256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23</v>
      </c>
      <c r="M314" s="26" t="s">
        <v>44</v>
      </c>
      <c r="N314" s="26" t="s">
        <v>162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26</v>
      </c>
      <c r="D315" s="62" t="s">
        <v>35</v>
      </c>
      <c r="E315" s="62" t="s">
        <v>256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25</v>
      </c>
      <c r="M315" s="33" t="s">
        <v>44</v>
      </c>
      <c r="N315" s="33" t="s">
        <v>41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26</v>
      </c>
      <c r="D316" s="62" t="s">
        <v>35</v>
      </c>
      <c r="E316" s="62" t="s">
        <v>256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24</v>
      </c>
      <c r="M316" s="26" t="s">
        <v>165</v>
      </c>
      <c r="N316" s="26" t="s">
        <v>32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26</v>
      </c>
      <c r="D317" s="62" t="s">
        <v>35</v>
      </c>
      <c r="E317" s="62" t="s">
        <v>256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23</v>
      </c>
      <c r="M317" s="33" t="s">
        <v>143</v>
      </c>
      <c r="N317" s="33" t="s">
        <v>105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26</v>
      </c>
      <c r="D318" s="62" t="s">
        <v>35</v>
      </c>
      <c r="E318" s="62" t="s">
        <v>256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22</v>
      </c>
      <c r="M318" s="26"/>
      <c r="N318" s="26" t="s">
        <v>30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26</v>
      </c>
      <c r="D319" s="62" t="s">
        <v>35</v>
      </c>
      <c r="E319" s="62" t="s">
        <v>256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22</v>
      </c>
      <c r="M319" s="33" t="s">
        <v>36</v>
      </c>
      <c r="N319" s="33" t="s">
        <v>54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26</v>
      </c>
      <c r="D320" s="62" t="s">
        <v>35</v>
      </c>
      <c r="E320" s="62" t="s">
        <v>256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22</v>
      </c>
      <c r="M320" s="26" t="s">
        <v>140</v>
      </c>
      <c r="N320" s="26" t="s">
        <v>54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26</v>
      </c>
      <c r="D321" s="62" t="s">
        <v>35</v>
      </c>
      <c r="E321" s="62" t="s">
        <v>256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26</v>
      </c>
      <c r="D322" s="62" t="s">
        <v>35</v>
      </c>
      <c r="E322" s="62" t="s">
        <v>256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26</v>
      </c>
      <c r="D323" s="62" t="s">
        <v>35</v>
      </c>
      <c r="E323" s="62" t="s">
        <v>256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1" t="s">
        <v>244</v>
      </c>
      <c r="B324" s="152"/>
      <c r="C324" s="152"/>
      <c r="D324" s="152"/>
      <c r="E324" s="152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242</v>
      </c>
      <c r="S324" s="149">
        <v>725030</v>
      </c>
      <c r="T324" s="122">
        <f>IFERROR(J324,"")</f>
        <v>104.40432</v>
      </c>
    </row>
    <row r="325" spans="1:20" ht="18" customHeight="1">
      <c r="A325" s="153" t="s">
        <v>245</v>
      </c>
      <c r="B325" s="154"/>
      <c r="C325" s="154"/>
      <c r="D325" s="154"/>
      <c r="E325" s="154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246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4</v>
      </c>
      <c r="H326" s="140">
        <f>IFERROR(IF($G326="","",$G326*$S$338/$G$338/Cadastro!$E$33),"")</f>
        <v>0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0</v>
      </c>
      <c r="K326" s="28">
        <f t="shared" ref="K326:K337" si="75">IF(G326="","",IF(E326="PC 17",G326*4.2,IF(E326="PC 19",G326*5,IF(E326="CB",G326*24,""))))</f>
        <v>20</v>
      </c>
      <c r="L326" s="26" t="s">
        <v>23</v>
      </c>
      <c r="M326" s="26" t="s">
        <v>44</v>
      </c>
      <c r="N326" s="26" t="s">
        <v>135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292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24</v>
      </c>
      <c r="M327" s="33" t="s">
        <v>44</v>
      </c>
      <c r="N327" s="33" t="s">
        <v>32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4</v>
      </c>
      <c r="H328" s="134">
        <f>IFERROR(IF($G328="","",$G328*$S$338/$G$338/Cadastro!$E$33),"")</f>
        <v>0</v>
      </c>
      <c r="I328" s="135">
        <f>IFERROR(IF($D328="","",VLOOKUP($D328,Cadastro!$C$4:$G$7,5,FALSE)),"")</f>
        <v>0.6</v>
      </c>
      <c r="J328" s="136">
        <f t="shared" si="74"/>
        <v>0</v>
      </c>
      <c r="K328" s="28">
        <f t="shared" si="75"/>
        <v>20</v>
      </c>
      <c r="L328" s="26" t="s">
        <v>23</v>
      </c>
      <c r="M328" s="26" t="s">
        <v>143</v>
      </c>
      <c r="N328" s="26" t="s">
        <v>135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293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11</v>
      </c>
      <c r="H329" s="134">
        <f>IFERROR(IF($G329="","",$G329*$S$338/$G$338/Cadastro!$E$33),"")</f>
        <v>0</v>
      </c>
      <c r="I329" s="135">
        <f>IFERROR(IF($D329="","",VLOOKUP($D329,Cadastro!$C$4:$G$7,5,FALSE)),"")</f>
        <v>0.6</v>
      </c>
      <c r="J329" s="136">
        <f t="shared" si="74"/>
        <v>0</v>
      </c>
      <c r="K329" s="34">
        <f t="shared" si="75"/>
        <v>55</v>
      </c>
      <c r="L329" s="33"/>
      <c r="M329" s="33"/>
      <c r="N329" s="33"/>
      <c r="O329" s="29">
        <v>0.4861111111111111</v>
      </c>
      <c r="P329" s="29"/>
      <c r="Q329" s="35">
        <f t="shared" ca="1" si="76"/>
        <v>1.2519212963525206E-2</v>
      </c>
      <c r="R329" s="46"/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34</v>
      </c>
      <c r="D330" s="59" t="s">
        <v>35</v>
      </c>
      <c r="E330" s="108" t="s">
        <v>240</v>
      </c>
      <c r="F330" s="134">
        <f>IFERROR(IF($D330="","",VLOOKUP($D330,Cadastro!$C$4:$E$7,3,FALSE)),"")</f>
        <v>0.24</v>
      </c>
      <c r="G330" s="105"/>
      <c r="H330" s="134" t="str">
        <f>IFERROR(IF($G330="","",$G330*$S$338/$G$338/Cadastro!$E$33),"")</f>
        <v/>
      </c>
      <c r="I330" s="135">
        <f>IFERROR(IF($D330="","",VLOOKUP($D330,Cadastro!$C$4:$G$7,5,FALSE)),"")</f>
        <v>0.6</v>
      </c>
      <c r="J330" s="136" t="str">
        <f t="shared" si="74"/>
        <v/>
      </c>
      <c r="K330" s="28" t="str">
        <f t="shared" si="75"/>
        <v/>
      </c>
      <c r="L330" s="26"/>
      <c r="M330" s="26"/>
      <c r="N330" s="26"/>
      <c r="O330" s="29"/>
      <c r="P330" s="29"/>
      <c r="Q330" s="30" t="str">
        <f t="shared" ca="1" si="76"/>
        <v/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34</v>
      </c>
      <c r="D331" s="59" t="s">
        <v>35</v>
      </c>
      <c r="E331" s="108" t="s">
        <v>240</v>
      </c>
      <c r="F331" s="134">
        <f>IFERROR(IF($D331="","",VLOOKUP($D331,Cadastro!$C$4:$E$7,3,FALSE)),"")</f>
        <v>0.24</v>
      </c>
      <c r="G331" s="105"/>
      <c r="H331" s="134" t="str">
        <f>IFERROR(IF($G331="","",$G331*$S$338/$G$338/Cadastro!$E$33),"")</f>
        <v/>
      </c>
      <c r="I331" s="135">
        <f>IFERROR(IF($D331="","",VLOOKUP($D331,Cadastro!$C$4:$G$7,5,FALSE)),"")</f>
        <v>0.6</v>
      </c>
      <c r="J331" s="136" t="str">
        <f t="shared" si="74"/>
        <v/>
      </c>
      <c r="K331" s="34" t="str">
        <f t="shared" si="75"/>
        <v/>
      </c>
      <c r="L331" s="33"/>
      <c r="M331" s="33"/>
      <c r="N331" s="33"/>
      <c r="O331" s="29"/>
      <c r="P331" s="29"/>
      <c r="Q331" s="35" t="str">
        <f t="shared" ca="1" si="76"/>
        <v/>
      </c>
      <c r="R331" s="46"/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34</v>
      </c>
      <c r="D332" s="59" t="s">
        <v>35</v>
      </c>
      <c r="E332" s="108" t="s">
        <v>240</v>
      </c>
      <c r="F332" s="134">
        <f>IFERROR(IF($D332="","",VLOOKUP($D332,Cadastro!$C$4:$E$7,3,FALSE)),"")</f>
        <v>0.24</v>
      </c>
      <c r="G332" s="105"/>
      <c r="H332" s="134" t="str">
        <f>IFERROR(IF($G332="","",$G332*$S$338/$G$338/Cadastro!$E$33),"")</f>
        <v/>
      </c>
      <c r="I332" s="135">
        <f>IFERROR(IF($D332="","",VLOOKUP($D332,Cadastro!$C$4:$G$7,5,FALSE)),"")</f>
        <v>0.6</v>
      </c>
      <c r="J332" s="136" t="str">
        <f t="shared" si="74"/>
        <v/>
      </c>
      <c r="K332" s="28" t="str">
        <f t="shared" si="75"/>
        <v/>
      </c>
      <c r="L332" s="26"/>
      <c r="M332" s="26"/>
      <c r="N332" s="26"/>
      <c r="O332" s="29"/>
      <c r="P332" s="29"/>
      <c r="Q332" s="30" t="str">
        <f t="shared" ca="1" si="76"/>
        <v/>
      </c>
      <c r="R332" s="46"/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34</v>
      </c>
      <c r="D333" s="59" t="s">
        <v>35</v>
      </c>
      <c r="E333" s="108"/>
      <c r="F333" s="134">
        <f>IFERROR(IF($D333="","",VLOOKUP($D333,Cadastro!$C$4:$E$7,3,FALSE)),"")</f>
        <v>0.24</v>
      </c>
      <c r="G333" s="105"/>
      <c r="H333" s="134" t="str">
        <f>IFERROR(IF($G333="","",$G333*$S$338/$G$338/Cadastro!$E$33),"")</f>
        <v/>
      </c>
      <c r="I333" s="135">
        <f>IFERROR(IF($D333="","",VLOOKUP($D333,Cadastro!$C$4:$G$7,5,FALSE)),"")</f>
        <v>0.6</v>
      </c>
      <c r="J333" s="136" t="str">
        <f t="shared" si="74"/>
        <v/>
      </c>
      <c r="K333" s="34" t="str">
        <f t="shared" si="75"/>
        <v/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34</v>
      </c>
      <c r="D334" s="59" t="s">
        <v>35</v>
      </c>
      <c r="E334" s="108"/>
      <c r="F334" s="134">
        <f>IFERROR(IF($D334="","",VLOOKUP($D334,Cadastro!$C$4:$E$7,3,FALSE)),"")</f>
        <v>0.24</v>
      </c>
      <c r="G334" s="105"/>
      <c r="H334" s="134" t="str">
        <f>IFERROR(IF($G334="","",$G334*$S$338/$G$338/Cadastro!$E$33),"")</f>
        <v/>
      </c>
      <c r="I334" s="135">
        <f>IFERROR(IF($D334="","",VLOOKUP($D334,Cadastro!$C$4:$G$7,5,FALSE)),"")</f>
        <v>0.6</v>
      </c>
      <c r="J334" s="136" t="str">
        <f t="shared" si="74"/>
        <v/>
      </c>
      <c r="K334" s="28" t="str">
        <f t="shared" si="75"/>
        <v/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34</v>
      </c>
      <c r="D335" s="59" t="s">
        <v>35</v>
      </c>
      <c r="E335" s="108"/>
      <c r="F335" s="134">
        <f>IFERROR(IF($D335="","",VLOOKUP($D335,Cadastro!$C$4:$E$7,3,FALSE)),"")</f>
        <v>0.24</v>
      </c>
      <c r="G335" s="105"/>
      <c r="H335" s="134" t="str">
        <f>IFERROR(IF($G335="","",$G335*$S$338/$G$338/Cadastro!$E$33),"")</f>
        <v/>
      </c>
      <c r="I335" s="135">
        <f>IFERROR(IF($D335="","",VLOOKUP($D335,Cadastro!$C$4:$G$7,5,FALSE)),"")</f>
        <v>0.6</v>
      </c>
      <c r="J335" s="136" t="str">
        <f t="shared" si="74"/>
        <v/>
      </c>
      <c r="K335" s="34" t="str">
        <f t="shared" si="75"/>
        <v/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34</v>
      </c>
      <c r="D336" s="59" t="s">
        <v>35</v>
      </c>
      <c r="E336" s="108"/>
      <c r="F336" s="134">
        <f>IFERROR(IF($D336="","",VLOOKUP($D336,Cadastro!$C$4:$E$7,3,FALSE)),"")</f>
        <v>0.24</v>
      </c>
      <c r="G336" s="105"/>
      <c r="H336" s="134" t="str">
        <f>IFERROR(IF($G336="","",$G336*$S$338/$G$338/Cadastro!$E$33),"")</f>
        <v/>
      </c>
      <c r="I336" s="135">
        <f>IFERROR(IF($D336="","",VLOOKUP($D336,Cadastro!$C$4:$G$7,5,FALSE)),"")</f>
        <v>0.6</v>
      </c>
      <c r="J336" s="136" t="str">
        <f t="shared" si="74"/>
        <v/>
      </c>
      <c r="K336" s="28" t="str">
        <f t="shared" si="75"/>
        <v/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34</v>
      </c>
      <c r="D337" s="59" t="s">
        <v>35</v>
      </c>
      <c r="E337" s="108"/>
      <c r="F337" s="137">
        <f>IFERROR(IF($D337="","",VLOOKUP($D337,Cadastro!$C$4:$E$7,3,FALSE)),"")</f>
        <v>0.24</v>
      </c>
      <c r="G337" s="105"/>
      <c r="H337" s="137" t="str">
        <f>IFERROR(IF($G337="","",$G337*$S$338/$G$338/Cadastro!$E$33),"")</f>
        <v/>
      </c>
      <c r="I337" s="138">
        <f>IFERROR(IF($D337="","",VLOOKUP($D337,Cadastro!$C$4:$G$7,5,FALSE)),"")</f>
        <v>0.6</v>
      </c>
      <c r="J337" s="139" t="str">
        <f t="shared" si="74"/>
        <v/>
      </c>
      <c r="K337" s="34" t="str">
        <f t="shared" si="75"/>
        <v/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1" t="s">
        <v>241</v>
      </c>
      <c r="B338" s="152"/>
      <c r="C338" s="152"/>
      <c r="D338" s="152"/>
      <c r="E338" s="152">
        <f>SUM(E326:E337)</f>
        <v>0</v>
      </c>
      <c r="F338" s="110"/>
      <c r="G338" s="80">
        <f>SUM(G326:G337)</f>
        <v>19</v>
      </c>
      <c r="H338" s="110">
        <f>IFERROR(SUM(H326:H337),"")</f>
        <v>0</v>
      </c>
      <c r="I338" s="114"/>
      <c r="J338" s="123">
        <f>IFERROR(SUM(J326:J337),"")</f>
        <v>0</v>
      </c>
      <c r="K338" s="36">
        <f>SUM(K326:K337)</f>
        <v>95</v>
      </c>
      <c r="L338" s="37"/>
      <c r="M338" s="37"/>
      <c r="N338" s="37"/>
      <c r="O338" s="37"/>
      <c r="P338" s="37"/>
      <c r="Q338" s="38">
        <f ca="1">IFERROR(SUM(Q326:Q337),"")</f>
        <v>0.10071365740796961</v>
      </c>
      <c r="R338" s="36" t="s">
        <v>242</v>
      </c>
      <c r="S338" s="45"/>
      <c r="T338" s="122">
        <f>IFERROR(J338,"")</f>
        <v>0</v>
      </c>
    </row>
    <row r="339" spans="1:20" ht="15" customHeight="1">
      <c r="A339" s="68">
        <v>46247</v>
      </c>
      <c r="B339" s="32">
        <v>0.83333333333333304</v>
      </c>
      <c r="C339" s="33"/>
      <c r="D339" s="62"/>
      <c r="E339" s="109"/>
      <c r="F339" s="140" t="str">
        <f>IFERROR(IF($D339="","",VLOOKUP($D339,Cadastro!$C$4:$E$7,3,FALSE)),"")</f>
        <v/>
      </c>
      <c r="G339" s="105"/>
      <c r="H339" s="140" t="str">
        <f>IFERROR(IF($G339="","",$G339*$S$351/$G$351/Cadastro!$E$33),"")</f>
        <v/>
      </c>
      <c r="I339" s="141" t="str">
        <f>IFERROR(IF($D339="","",VLOOKUP($D339,Cadastro!$C$4:$G$7,5,FALSE)),"")</f>
        <v/>
      </c>
      <c r="J339" s="142" t="str">
        <f t="shared" ref="J339:J350" si="78">IFERROR(IF($H339="","",$H339*$F339*$I339),"")</f>
        <v/>
      </c>
      <c r="K339" s="34" t="str">
        <f t="shared" ref="K339:K350" si="79">IF(G339="","",IF(E339="PC 17",G339*4.2,IF(E339="PC 19",G339*5,IF(E339="CB",G339*24,""))))</f>
        <v/>
      </c>
      <c r="L339" s="33"/>
      <c r="M339" s="33"/>
      <c r="N339" s="33"/>
      <c r="O339" s="29"/>
      <c r="P339" s="29"/>
      <c r="Q339" s="35" t="str">
        <f t="shared" ref="Q339:Q350" ca="1" si="80">IFERROR(IF(O339="","",IF(P339="",MOD(NOW()-O339,1),IF(P339&gt;=O339,P339-O339,P339+1-O339))),"")</f>
        <v/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/>
      <c r="D340" s="62"/>
      <c r="E340" s="109"/>
      <c r="F340" s="134" t="str">
        <f>IFERROR(IF($D340="","",VLOOKUP($D340,Cadastro!$C$4:$E$7,3,FALSE)),"")</f>
        <v/>
      </c>
      <c r="G340" s="105"/>
      <c r="H340" s="134" t="str">
        <f>IFERROR(IF($G340="","",$G340*$S$351/$G$351/Cadastro!$E$33),"")</f>
        <v/>
      </c>
      <c r="I340" s="135" t="str">
        <f>IFERROR(IF($D340="","",VLOOKUP($D340,Cadastro!$C$4:$G$7,5,FALSE)),"")</f>
        <v/>
      </c>
      <c r="J340" s="136" t="str">
        <f t="shared" si="78"/>
        <v/>
      </c>
      <c r="K340" s="28" t="str">
        <f t="shared" si="79"/>
        <v/>
      </c>
      <c r="L340" s="26"/>
      <c r="M340" s="26"/>
      <c r="N340" s="26"/>
      <c r="O340" s="29"/>
      <c r="P340" s="29"/>
      <c r="Q340" s="30" t="str">
        <f t="shared" ca="1" si="80"/>
        <v/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/>
      <c r="D341" s="62"/>
      <c r="E341" s="109"/>
      <c r="F341" s="134" t="str">
        <f>IFERROR(IF($D341="","",VLOOKUP($D341,Cadastro!$C$4:$E$7,3,FALSE)),"")</f>
        <v/>
      </c>
      <c r="G341" s="105"/>
      <c r="H341" s="134" t="str">
        <f>IFERROR(IF($G341="","",$G341*$S$351/$G$351/Cadastro!$E$33),"")</f>
        <v/>
      </c>
      <c r="I341" s="135" t="str">
        <f>IFERROR(IF($D341="","",VLOOKUP($D341,Cadastro!$C$4:$G$7,5,FALSE)),"")</f>
        <v/>
      </c>
      <c r="J341" s="136" t="str">
        <f t="shared" si="78"/>
        <v/>
      </c>
      <c r="K341" s="34" t="str">
        <f t="shared" si="79"/>
        <v/>
      </c>
      <c r="L341" s="33"/>
      <c r="M341" s="33"/>
      <c r="N341" s="33"/>
      <c r="O341" s="29"/>
      <c r="P341" s="29"/>
      <c r="Q341" s="35" t="str">
        <f t="shared" ca="1" si="80"/>
        <v/>
      </c>
      <c r="R341" s="46"/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/>
      <c r="D342" s="62"/>
      <c r="E342" s="109"/>
      <c r="F342" s="134" t="str">
        <f>IFERROR(IF($D342="","",VLOOKUP($D342,Cadastro!$C$4:$E$7,3,FALSE)),"")</f>
        <v/>
      </c>
      <c r="G342" s="105"/>
      <c r="H342" s="134" t="str">
        <f>IFERROR(IF($G342="","",$G342*$S$351/$G$351/Cadastro!$E$33),"")</f>
        <v/>
      </c>
      <c r="I342" s="135" t="str">
        <f>IFERROR(IF($D342="","",VLOOKUP($D342,Cadastro!$C$4:$G$7,5,FALSE)),"")</f>
        <v/>
      </c>
      <c r="J342" s="136" t="str">
        <f t="shared" si="78"/>
        <v/>
      </c>
      <c r="K342" s="28" t="str">
        <f t="shared" si="79"/>
        <v/>
      </c>
      <c r="L342" s="26"/>
      <c r="M342" s="26"/>
      <c r="N342" s="26"/>
      <c r="O342" s="29"/>
      <c r="P342" s="29"/>
      <c r="Q342" s="30" t="str">
        <f t="shared" ca="1" si="80"/>
        <v/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/>
      <c r="D343" s="62"/>
      <c r="E343" s="109"/>
      <c r="F343" s="134" t="str">
        <f>IFERROR(IF($D343="","",VLOOKUP($D343,Cadastro!$C$4:$E$7,3,FALSE)),"")</f>
        <v/>
      </c>
      <c r="G343" s="105"/>
      <c r="H343" s="134" t="str">
        <f>IFERROR(IF($G343="","",$G343*$S$351/$G$351/Cadastro!$E$33),"")</f>
        <v/>
      </c>
      <c r="I343" s="135" t="str">
        <f>IFERROR(IF($D343="","",VLOOKUP($D343,Cadastro!$C$4:$G$7,5,FALSE)),"")</f>
        <v/>
      </c>
      <c r="J343" s="136" t="str">
        <f t="shared" si="78"/>
        <v/>
      </c>
      <c r="K343" s="34" t="str">
        <f t="shared" si="79"/>
        <v/>
      </c>
      <c r="L343" s="33"/>
      <c r="M343" s="33"/>
      <c r="N343" s="33"/>
      <c r="O343" s="29"/>
      <c r="P343" s="29"/>
      <c r="Q343" s="35" t="str">
        <f t="shared" ca="1" si="80"/>
        <v/>
      </c>
      <c r="R343" s="46"/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/>
      <c r="D344" s="62"/>
      <c r="E344" s="109"/>
      <c r="F344" s="134" t="str">
        <f>IFERROR(IF($D344="","",VLOOKUP($D344,Cadastro!$C$4:$E$7,3,FALSE)),"")</f>
        <v/>
      </c>
      <c r="G344" s="105"/>
      <c r="H344" s="134" t="str">
        <f>IFERROR(IF($G344="","",$G344*$S$351/$G$351/Cadastro!$E$33),"")</f>
        <v/>
      </c>
      <c r="I344" s="135" t="str">
        <f>IFERROR(IF($D344="","",VLOOKUP($D344,Cadastro!$C$4:$G$7,5,FALSE)),"")</f>
        <v/>
      </c>
      <c r="J344" s="136" t="str">
        <f t="shared" si="78"/>
        <v/>
      </c>
      <c r="K344" s="28" t="str">
        <f t="shared" si="79"/>
        <v/>
      </c>
      <c r="L344" s="26"/>
      <c r="M344" s="26"/>
      <c r="N344" s="26"/>
      <c r="O344" s="29"/>
      <c r="P344" s="29"/>
      <c r="Q344" s="30" t="str">
        <f t="shared" ca="1" si="80"/>
        <v/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/>
      <c r="D345" s="62"/>
      <c r="E345" s="109"/>
      <c r="F345" s="134" t="str">
        <f>IFERROR(IF($D345="","",VLOOKUP($D345,Cadastro!$C$4:$E$7,3,FALSE)),"")</f>
        <v/>
      </c>
      <c r="G345" s="105"/>
      <c r="H345" s="134" t="str">
        <f>IFERROR(IF($G345="","",$G345*$S$351/$G$351/Cadastro!$E$33),"")</f>
        <v/>
      </c>
      <c r="I345" s="135" t="str">
        <f>IFERROR(IF($D345="","",VLOOKUP($D345,Cadastro!$C$4:$G$7,5,FALSE)),"")</f>
        <v/>
      </c>
      <c r="J345" s="136" t="str">
        <f t="shared" si="78"/>
        <v/>
      </c>
      <c r="K345" s="34" t="str">
        <f t="shared" si="79"/>
        <v/>
      </c>
      <c r="L345" s="33"/>
      <c r="M345" s="33"/>
      <c r="N345" s="33"/>
      <c r="O345" s="29"/>
      <c r="P345" s="29"/>
      <c r="Q345" s="35" t="str">
        <f t="shared" ca="1" si="80"/>
        <v/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/>
      <c r="D346" s="62"/>
      <c r="E346" s="109"/>
      <c r="F346" s="134" t="str">
        <f>IFERROR(IF($D346="","",VLOOKUP($D346,Cadastro!$C$4:$E$7,3,FALSE)),"")</f>
        <v/>
      </c>
      <c r="G346" s="105"/>
      <c r="H346" s="134" t="str">
        <f>IFERROR(IF($G346="","",$G346*$S$351/$G$351/Cadastro!$E$33),"")</f>
        <v/>
      </c>
      <c r="I346" s="135" t="str">
        <f>IFERROR(IF($D346="","",VLOOKUP($D346,Cadastro!$C$4:$G$7,5,FALSE)),"")</f>
        <v/>
      </c>
      <c r="J346" s="136" t="str">
        <f t="shared" si="78"/>
        <v/>
      </c>
      <c r="K346" s="28" t="str">
        <f t="shared" si="79"/>
        <v/>
      </c>
      <c r="L346" s="26"/>
      <c r="M346" s="26"/>
      <c r="N346" s="26"/>
      <c r="O346" s="29"/>
      <c r="P346" s="29"/>
      <c r="Q346" s="30" t="str">
        <f t="shared" ca="1" si="80"/>
        <v/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/>
      <c r="D347" s="62"/>
      <c r="E347" s="109"/>
      <c r="F347" s="134" t="str">
        <f>IFERROR(IF($D347="","",VLOOKUP($D347,Cadastro!$C$4:$E$7,3,FALSE)),"")</f>
        <v/>
      </c>
      <c r="G347" s="105"/>
      <c r="H347" s="134" t="str">
        <f>IFERROR(IF($G347="","",$G347*$S$351/$G$351/Cadastro!$E$33),"")</f>
        <v/>
      </c>
      <c r="I347" s="135" t="str">
        <f>IFERROR(IF($D347="","",VLOOKUP($D347,Cadastro!$C$4:$G$7,5,FALSE)),"")</f>
        <v/>
      </c>
      <c r="J347" s="136" t="str">
        <f t="shared" si="78"/>
        <v/>
      </c>
      <c r="K347" s="34" t="str">
        <f t="shared" si="79"/>
        <v/>
      </c>
      <c r="L347" s="33"/>
      <c r="M347" s="33"/>
      <c r="N347" s="33"/>
      <c r="O347" s="29"/>
      <c r="P347" s="29"/>
      <c r="Q347" s="35" t="str">
        <f t="shared" ca="1" si="80"/>
        <v/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/>
      <c r="D348" s="62"/>
      <c r="E348" s="109"/>
      <c r="F348" s="134" t="str">
        <f>IFERROR(IF($D348="","",VLOOKUP($D348,Cadastro!$C$4:$E$7,3,FALSE)),"")</f>
        <v/>
      </c>
      <c r="G348" s="105"/>
      <c r="H348" s="134" t="str">
        <f>IFERROR(IF($G348="","",$G348*$S$351/$G$351/Cadastro!$E$33),"")</f>
        <v/>
      </c>
      <c r="I348" s="135" t="str">
        <f>IFERROR(IF($D348="","",VLOOKUP($D348,Cadastro!$C$4:$G$7,5,FALSE)),"")</f>
        <v/>
      </c>
      <c r="J348" s="136" t="str">
        <f t="shared" si="78"/>
        <v/>
      </c>
      <c r="K348" s="28" t="str">
        <f t="shared" si="79"/>
        <v/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/>
      <c r="D349" s="62"/>
      <c r="E349" s="109"/>
      <c r="F349" s="134" t="str">
        <f>IFERROR(IF($D349="","",VLOOKUP($D349,Cadastro!$C$4:$E$7,3,FALSE)),"")</f>
        <v/>
      </c>
      <c r="G349" s="105"/>
      <c r="H349" s="134" t="str">
        <f>IFERROR(IF($G349="","",$G349*$S$351/$G$351/Cadastro!$E$33),"")</f>
        <v/>
      </c>
      <c r="I349" s="135" t="str">
        <f>IFERROR(IF($D349="","",VLOOKUP($D349,Cadastro!$C$4:$G$7,5,FALSE)),"")</f>
        <v/>
      </c>
      <c r="J349" s="136" t="str">
        <f t="shared" si="78"/>
        <v/>
      </c>
      <c r="K349" s="34" t="str">
        <f t="shared" si="79"/>
        <v/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/>
      <c r="D350" s="62"/>
      <c r="E350" s="109"/>
      <c r="F350" s="137" t="str">
        <f>IFERROR(IF($D350="","",VLOOKUP($D350,Cadastro!$C$4:$E$7,3,FALSE)),"")</f>
        <v/>
      </c>
      <c r="G350" s="105"/>
      <c r="H350" s="137" t="str">
        <f>IFERROR(IF($G350="","",$G350*$S$351/$G$351/Cadastro!$E$33),"")</f>
        <v/>
      </c>
      <c r="I350" s="138" t="str">
        <f>IFERROR(IF($D350="","",VLOOKUP($D350,Cadastro!$C$4:$G$7,5,FALSE)),"")</f>
        <v/>
      </c>
      <c r="J350" s="139" t="str">
        <f t="shared" si="78"/>
        <v/>
      </c>
      <c r="K350" s="28" t="str">
        <f t="shared" si="79"/>
        <v/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1" t="s">
        <v>244</v>
      </c>
      <c r="B351" s="152"/>
      <c r="C351" s="152"/>
      <c r="D351" s="152"/>
      <c r="E351" s="152">
        <f>SUM(E339:E350)</f>
        <v>0</v>
      </c>
      <c r="F351" s="111"/>
      <c r="G351" s="80">
        <f>SUM(G339:G350)</f>
        <v>0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0</v>
      </c>
      <c r="L351" s="37"/>
      <c r="M351" s="37"/>
      <c r="N351" s="37"/>
      <c r="O351" s="37"/>
      <c r="P351" s="37"/>
      <c r="Q351" s="38">
        <f ca="1">IFERROR(SUM(Q339:Q350),"")</f>
        <v>0</v>
      </c>
      <c r="R351" s="36" t="s">
        <v>242</v>
      </c>
      <c r="S351" s="45"/>
      <c r="T351" s="122">
        <f>IFERROR(J351,"")</f>
        <v>0</v>
      </c>
    </row>
    <row r="352" spans="1:20" ht="18" customHeight="1">
      <c r="A352" s="153" t="s">
        <v>245</v>
      </c>
      <c r="B352" s="154"/>
      <c r="C352" s="154"/>
      <c r="D352" s="154"/>
      <c r="E352" s="154">
        <f>E338+E351</f>
        <v>0</v>
      </c>
      <c r="F352" s="112"/>
      <c r="G352" s="91">
        <f>G338+G351</f>
        <v>19</v>
      </c>
      <c r="H352" s="112">
        <f>IFERROR(H338+H351,"")</f>
        <v>0</v>
      </c>
      <c r="I352" s="116"/>
      <c r="J352" s="125">
        <f>IFERROR(J338+J351,"")</f>
        <v>0</v>
      </c>
      <c r="K352" s="40">
        <f>K338+K351</f>
        <v>95</v>
      </c>
      <c r="L352" s="41"/>
      <c r="M352" s="41"/>
      <c r="N352" s="41"/>
      <c r="O352" s="41"/>
      <c r="P352" s="41"/>
      <c r="Q352" s="42">
        <f ca="1">IFERROR(Q338+Q351,"")</f>
        <v>0.10071365740796961</v>
      </c>
      <c r="R352" s="40" t="s">
        <v>246</v>
      </c>
      <c r="S352" s="143">
        <f>IFERROR(S338+S351,"")</f>
        <v>0</v>
      </c>
      <c r="T352" s="144">
        <f>IFERROR(J352,"")</f>
        <v>0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2">IFERROR(IF($H353="","",$H353*$F353*$I353),"")</f>
        <v/>
      </c>
      <c r="K353" s="34" t="str">
        <f t="shared" ref="K353:K364" si="83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4">IFERROR(IF(O353="","",IF(P353="",MOD(NOW()-O353,1),IF(P353&gt;=O353,P353-O353,P353+1-O353))),"")</f>
        <v/>
      </c>
      <c r="R353" s="46"/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2"/>
        <v/>
      </c>
      <c r="K354" s="28" t="str">
        <f t="shared" si="83"/>
        <v/>
      </c>
      <c r="L354" s="26"/>
      <c r="M354" s="26"/>
      <c r="N354" s="26"/>
      <c r="O354" s="29"/>
      <c r="P354" s="29"/>
      <c r="Q354" s="30" t="str">
        <f t="shared" ca="1" si="84"/>
        <v/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1" t="s">
        <v>241</v>
      </c>
      <c r="B365" s="152"/>
      <c r="C365" s="152"/>
      <c r="D365" s="152"/>
      <c r="E365" s="152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37"/>
      <c r="P365" s="37"/>
      <c r="Q365" s="38">
        <f ca="1">IFERROR(SUM(Q353:Q364),"")</f>
        <v>0</v>
      </c>
      <c r="R365" s="36" t="s">
        <v>242</v>
      </c>
      <c r="S365" s="45"/>
      <c r="T365" s="122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46"/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1" t="s">
        <v>244</v>
      </c>
      <c r="B378" s="152"/>
      <c r="C378" s="152"/>
      <c r="D378" s="152"/>
      <c r="E378" s="15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242</v>
      </c>
      <c r="S378" s="45"/>
      <c r="T378" s="122">
        <f>IFERROR(J378,"")</f>
        <v>0</v>
      </c>
    </row>
    <row r="379" spans="1:20" ht="18" customHeight="1">
      <c r="A379" s="153" t="s">
        <v>245</v>
      </c>
      <c r="B379" s="154"/>
      <c r="C379" s="154"/>
      <c r="D379" s="154"/>
      <c r="E379" s="154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41"/>
      <c r="P379" s="41"/>
      <c r="Q379" s="42">
        <f ca="1">IFERROR(Q365+Q378,"")</f>
        <v>0</v>
      </c>
      <c r="R379" s="40" t="s">
        <v>246</v>
      </c>
      <c r="S379" s="143">
        <f>IFERROR(S365+S378,"")</f>
        <v>0</v>
      </c>
      <c r="T379" s="144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46"/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1" t="s">
        <v>241</v>
      </c>
      <c r="B392" s="152"/>
      <c r="C392" s="152"/>
      <c r="D392" s="152"/>
      <c r="E392" s="15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242</v>
      </c>
      <c r="S392" s="45"/>
      <c r="T392" s="122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1" t="s">
        <v>244</v>
      </c>
      <c r="B405" s="152"/>
      <c r="C405" s="152"/>
      <c r="D405" s="152"/>
      <c r="E405" s="15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242</v>
      </c>
      <c r="S405" s="45"/>
      <c r="T405" s="122">
        <f>IFERROR(J405,"")</f>
        <v>0</v>
      </c>
    </row>
    <row r="406" spans="1:20" ht="18" customHeight="1">
      <c r="A406" s="153" t="s">
        <v>245</v>
      </c>
      <c r="B406" s="154"/>
      <c r="C406" s="154"/>
      <c r="D406" s="154"/>
      <c r="E406" s="154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246</v>
      </c>
      <c r="S406" s="143">
        <f>IFERROR(S392+S405,"")</f>
        <v>0</v>
      </c>
      <c r="T406" s="144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1" t="s">
        <v>241</v>
      </c>
      <c r="B419" s="152"/>
      <c r="C419" s="152"/>
      <c r="D419" s="152"/>
      <c r="E419" s="15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242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244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242</v>
      </c>
      <c r="S432" s="45"/>
      <c r="T432" s="122">
        <f>IFERROR(J432,"")</f>
        <v>0</v>
      </c>
    </row>
    <row r="433" spans="1:20" ht="18" customHeight="1">
      <c r="A433" s="83" t="s">
        <v>245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246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1" t="s">
        <v>241</v>
      </c>
      <c r="B446" s="152"/>
      <c r="C446" s="152"/>
      <c r="D446" s="152"/>
      <c r="E446" s="15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242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1" t="s">
        <v>244</v>
      </c>
      <c r="B459" s="152"/>
      <c r="C459" s="152"/>
      <c r="D459" s="152"/>
      <c r="E459" s="15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242</v>
      </c>
      <c r="S459" s="45"/>
      <c r="T459" s="122">
        <f>IFERROR(J459,"")</f>
        <v>0</v>
      </c>
    </row>
    <row r="460" spans="1:20" ht="18" customHeight="1">
      <c r="A460" s="153" t="s">
        <v>245</v>
      </c>
      <c r="B460" s="154"/>
      <c r="C460" s="154"/>
      <c r="D460" s="154"/>
      <c r="E460" s="154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246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1" t="s">
        <v>241</v>
      </c>
      <c r="B473" s="152"/>
      <c r="C473" s="152"/>
      <c r="D473" s="152"/>
      <c r="E473" s="15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242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1" t="s">
        <v>244</v>
      </c>
      <c r="B486" s="152"/>
      <c r="C486" s="152"/>
      <c r="D486" s="152"/>
      <c r="E486" s="15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242</v>
      </c>
      <c r="S486" s="45"/>
      <c r="T486" s="122">
        <f>IFERROR(J486,"")</f>
        <v>0</v>
      </c>
    </row>
    <row r="487" spans="1:20" ht="18" customHeight="1">
      <c r="A487" s="153" t="s">
        <v>245</v>
      </c>
      <c r="B487" s="154"/>
      <c r="C487" s="154"/>
      <c r="D487" s="154"/>
      <c r="E487" s="15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246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1" t="s">
        <v>241</v>
      </c>
      <c r="B500" s="152"/>
      <c r="C500" s="152"/>
      <c r="D500" s="152"/>
      <c r="E500" s="15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242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244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242</v>
      </c>
      <c r="S513" s="45"/>
      <c r="T513" s="122">
        <f>IFERROR(J513,"")</f>
        <v>0</v>
      </c>
    </row>
    <row r="514" spans="1:20" ht="18" customHeight="1">
      <c r="A514" s="83" t="s">
        <v>245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246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1" t="s">
        <v>241</v>
      </c>
      <c r="B527" s="152"/>
      <c r="C527" s="152"/>
      <c r="D527" s="152"/>
      <c r="E527" s="15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242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1" t="s">
        <v>244</v>
      </c>
      <c r="B540" s="152"/>
      <c r="C540" s="152"/>
      <c r="D540" s="152"/>
      <c r="E540" s="15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242</v>
      </c>
      <c r="S540" s="45"/>
      <c r="T540" s="122">
        <f>IFERROR(J540,"")</f>
        <v>0</v>
      </c>
    </row>
    <row r="541" spans="1:20" ht="18" customHeight="1">
      <c r="A541" s="153" t="s">
        <v>245</v>
      </c>
      <c r="B541" s="154"/>
      <c r="C541" s="154"/>
      <c r="D541" s="154"/>
      <c r="E541" s="15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246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1" t="s">
        <v>241</v>
      </c>
      <c r="B554" s="152"/>
      <c r="C554" s="152"/>
      <c r="D554" s="152"/>
      <c r="E554" s="15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242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1" t="s">
        <v>244</v>
      </c>
      <c r="B567" s="152"/>
      <c r="C567" s="152"/>
      <c r="D567" s="152"/>
      <c r="E567" s="15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242</v>
      </c>
      <c r="S567" s="45"/>
      <c r="T567" s="122">
        <f>IFERROR(J567,"")</f>
        <v>0</v>
      </c>
    </row>
    <row r="568" spans="1:20" ht="18" customHeight="1">
      <c r="A568" s="153" t="s">
        <v>245</v>
      </c>
      <c r="B568" s="154"/>
      <c r="C568" s="154"/>
      <c r="D568" s="154"/>
      <c r="E568" s="15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246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1" t="s">
        <v>241</v>
      </c>
      <c r="B581" s="152"/>
      <c r="C581" s="152"/>
      <c r="D581" s="152"/>
      <c r="E581" s="15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242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1" t="s">
        <v>244</v>
      </c>
      <c r="B594" s="152"/>
      <c r="C594" s="152"/>
      <c r="D594" s="152"/>
      <c r="E594" s="15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242</v>
      </c>
      <c r="S594" s="45"/>
      <c r="T594" s="122">
        <f>IFERROR(J594,"")</f>
        <v>0</v>
      </c>
    </row>
    <row r="595" spans="1:20" ht="18" customHeight="1">
      <c r="A595" s="153" t="s">
        <v>245</v>
      </c>
      <c r="B595" s="154"/>
      <c r="C595" s="154"/>
      <c r="D595" s="154"/>
      <c r="E595" s="15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246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1" t="s">
        <v>241</v>
      </c>
      <c r="B608" s="152"/>
      <c r="C608" s="152"/>
      <c r="D608" s="152"/>
      <c r="E608" s="15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242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1" t="s">
        <v>244</v>
      </c>
      <c r="B621" s="152"/>
      <c r="C621" s="152"/>
      <c r="D621" s="152"/>
      <c r="E621" s="15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242</v>
      </c>
      <c r="S621" s="45"/>
      <c r="T621" s="122">
        <f>IFERROR(J621,"")</f>
        <v>0</v>
      </c>
    </row>
    <row r="622" spans="1:20" ht="18" customHeight="1">
      <c r="A622" s="153" t="s">
        <v>245</v>
      </c>
      <c r="B622" s="154"/>
      <c r="C622" s="154"/>
      <c r="D622" s="154"/>
      <c r="E622" s="15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246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1" t="s">
        <v>241</v>
      </c>
      <c r="B635" s="152"/>
      <c r="C635" s="152"/>
      <c r="D635" s="152"/>
      <c r="E635" s="15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242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1" t="s">
        <v>244</v>
      </c>
      <c r="B648" s="152"/>
      <c r="C648" s="152"/>
      <c r="D648" s="152"/>
      <c r="E648" s="15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242</v>
      </c>
      <c r="S648" s="45"/>
      <c r="T648" s="122">
        <f>IFERROR(J648,"")</f>
        <v>0</v>
      </c>
    </row>
    <row r="649" spans="1:20" ht="18" customHeight="1">
      <c r="A649" s="153" t="s">
        <v>245</v>
      </c>
      <c r="B649" s="154"/>
      <c r="C649" s="154"/>
      <c r="D649" s="154"/>
      <c r="E649" s="15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246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1" t="s">
        <v>241</v>
      </c>
      <c r="B662" s="152"/>
      <c r="C662" s="152"/>
      <c r="D662" s="152"/>
      <c r="E662" s="15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242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1" t="s">
        <v>244</v>
      </c>
      <c r="B675" s="152"/>
      <c r="C675" s="152"/>
      <c r="D675" s="152"/>
      <c r="E675" s="15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242</v>
      </c>
      <c r="S675" s="45"/>
      <c r="T675" s="122">
        <f>IFERROR(J675,"")</f>
        <v>0</v>
      </c>
    </row>
    <row r="676" spans="1:20" ht="18" customHeight="1">
      <c r="A676" s="153" t="s">
        <v>245</v>
      </c>
      <c r="B676" s="154"/>
      <c r="C676" s="154"/>
      <c r="D676" s="154"/>
      <c r="E676" s="15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246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1" t="s">
        <v>241</v>
      </c>
      <c r="B689" s="152"/>
      <c r="C689" s="152"/>
      <c r="D689" s="152"/>
      <c r="E689" s="15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242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1" t="s">
        <v>244</v>
      </c>
      <c r="B702" s="152"/>
      <c r="C702" s="152"/>
      <c r="D702" s="152"/>
      <c r="E702" s="15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242</v>
      </c>
      <c r="S702" s="45"/>
      <c r="T702" s="122">
        <f>IFERROR(J702,"")</f>
        <v>0</v>
      </c>
    </row>
    <row r="703" spans="1:20" ht="18" customHeight="1">
      <c r="A703" s="153" t="s">
        <v>245</v>
      </c>
      <c r="B703" s="154"/>
      <c r="C703" s="154"/>
      <c r="D703" s="154"/>
      <c r="E703" s="15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246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1" t="s">
        <v>241</v>
      </c>
      <c r="B716" s="152"/>
      <c r="C716" s="152"/>
      <c r="D716" s="152"/>
      <c r="E716" s="15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242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1" t="s">
        <v>244</v>
      </c>
      <c r="B729" s="152"/>
      <c r="C729" s="152"/>
      <c r="D729" s="152"/>
      <c r="E729" s="15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242</v>
      </c>
      <c r="S729" s="45"/>
      <c r="T729" s="122">
        <f>IFERROR(J729,"")</f>
        <v>0</v>
      </c>
    </row>
    <row r="730" spans="1:20" ht="18" customHeight="1">
      <c r="A730" s="153" t="s">
        <v>245</v>
      </c>
      <c r="B730" s="154"/>
      <c r="C730" s="154"/>
      <c r="D730" s="154"/>
      <c r="E730" s="15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246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1" t="s">
        <v>241</v>
      </c>
      <c r="B743" s="152"/>
      <c r="C743" s="152"/>
      <c r="D743" s="152"/>
      <c r="E743" s="15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242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1" t="s">
        <v>244</v>
      </c>
      <c r="B756" s="152"/>
      <c r="C756" s="152"/>
      <c r="D756" s="152"/>
      <c r="E756" s="15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3" t="s">
        <v>245</v>
      </c>
      <c r="B757" s="154"/>
      <c r="C757" s="154"/>
      <c r="D757" s="154"/>
      <c r="E757" s="15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246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1" t="s">
        <v>241</v>
      </c>
      <c r="B770" s="152"/>
      <c r="C770" s="152"/>
      <c r="D770" s="152"/>
      <c r="E770" s="15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242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1" t="s">
        <v>244</v>
      </c>
      <c r="B783" s="152"/>
      <c r="C783" s="152"/>
      <c r="D783" s="152"/>
      <c r="E783" s="15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3" t="s">
        <v>245</v>
      </c>
      <c r="B784" s="154"/>
      <c r="C784" s="154"/>
      <c r="D784" s="154"/>
      <c r="E784" s="15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246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1" t="s">
        <v>241</v>
      </c>
      <c r="B797" s="152"/>
      <c r="C797" s="152"/>
      <c r="D797" s="152"/>
      <c r="E797" s="15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242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1" t="s">
        <v>244</v>
      </c>
      <c r="B810" s="152"/>
      <c r="C810" s="152"/>
      <c r="D810" s="152"/>
      <c r="E810" s="15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3" t="s">
        <v>245</v>
      </c>
      <c r="B811" s="154"/>
      <c r="C811" s="154"/>
      <c r="D811" s="154"/>
      <c r="E811" s="15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246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1" t="s">
        <v>241</v>
      </c>
      <c r="B824" s="152"/>
      <c r="C824" s="152"/>
      <c r="D824" s="152"/>
      <c r="E824" s="15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242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1" t="s">
        <v>244</v>
      </c>
      <c r="B837" s="152"/>
      <c r="C837" s="152"/>
      <c r="D837" s="152"/>
      <c r="E837" s="15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242</v>
      </c>
      <c r="S837" s="75"/>
      <c r="T837" s="117">
        <f>IFERROR(J837,"")</f>
        <v>0</v>
      </c>
    </row>
    <row r="838" spans="1:20" ht="18" customHeight="1">
      <c r="A838" s="153" t="s">
        <v>245</v>
      </c>
      <c r="B838" s="154"/>
      <c r="C838" s="154"/>
      <c r="D838" s="154"/>
      <c r="E838" s="15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246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8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17" activePane="bottomLeft" state="frozen"/>
      <selection pane="bottomLeft" activeCell="O328" sqref="O328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265</v>
      </c>
      <c r="I1" s="133" t="s">
        <v>18</v>
      </c>
      <c r="J1" s="133" t="s">
        <v>266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266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25</v>
      </c>
      <c r="M2" s="26"/>
      <c r="N2" s="26" t="s">
        <v>79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24</v>
      </c>
      <c r="M3" s="33" t="s">
        <v>52</v>
      </c>
      <c r="N3" s="33" t="s">
        <v>32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1" t="s">
        <v>241</v>
      </c>
      <c r="B14" s="152"/>
      <c r="C14" s="152"/>
      <c r="D14" s="152"/>
      <c r="E14" s="152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242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109" t="s">
        <v>256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24</v>
      </c>
      <c r="M15" s="33" t="s">
        <v>52</v>
      </c>
      <c r="N15" s="33" t="s">
        <v>60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294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34</v>
      </c>
      <c r="D16" s="62" t="s">
        <v>43</v>
      </c>
      <c r="E16" s="109" t="s">
        <v>256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22</v>
      </c>
      <c r="M16" s="26" t="s">
        <v>140</v>
      </c>
      <c r="N16" s="26" t="s">
        <v>54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34</v>
      </c>
      <c r="D17" s="62" t="s">
        <v>43</v>
      </c>
      <c r="E17" s="109" t="s">
        <v>256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25</v>
      </c>
      <c r="M17" s="33" t="s">
        <v>163</v>
      </c>
      <c r="N17" s="33" t="s">
        <v>79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34</v>
      </c>
      <c r="D18" s="62" t="s">
        <v>43</v>
      </c>
      <c r="E18" s="109" t="s">
        <v>256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22</v>
      </c>
      <c r="M18" s="26" t="s">
        <v>140</v>
      </c>
      <c r="N18" s="26" t="s">
        <v>54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270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34</v>
      </c>
      <c r="D19" s="62" t="s">
        <v>43</v>
      </c>
      <c r="E19" s="109" t="s">
        <v>256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25</v>
      </c>
      <c r="M19" s="33"/>
      <c r="N19" s="33" t="s">
        <v>167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295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34</v>
      </c>
      <c r="D20" s="62" t="s">
        <v>43</v>
      </c>
      <c r="E20" s="109" t="s">
        <v>256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34</v>
      </c>
      <c r="D21" s="62" t="s">
        <v>43</v>
      </c>
      <c r="E21" s="109" t="s">
        <v>256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34</v>
      </c>
      <c r="D22" s="62" t="s">
        <v>43</v>
      </c>
      <c r="E22" s="109" t="s">
        <v>256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34</v>
      </c>
      <c r="D23" s="62" t="s">
        <v>43</v>
      </c>
      <c r="E23" s="109" t="s">
        <v>256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34</v>
      </c>
      <c r="D24" s="62" t="s">
        <v>43</v>
      </c>
      <c r="E24" s="109" t="s">
        <v>256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34</v>
      </c>
      <c r="D25" s="62" t="s">
        <v>51</v>
      </c>
      <c r="E25" s="109" t="s">
        <v>256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34</v>
      </c>
      <c r="D26" s="62" t="s">
        <v>51</v>
      </c>
      <c r="E26" s="109" t="s">
        <v>256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1" t="s">
        <v>244</v>
      </c>
      <c r="B27" s="152"/>
      <c r="C27" s="152"/>
      <c r="D27" s="152"/>
      <c r="E27" s="152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242</v>
      </c>
      <c r="S27" s="39">
        <v>358000</v>
      </c>
      <c r="T27" s="119">
        <f>IFERROR(J27,"")</f>
        <v>0</v>
      </c>
    </row>
    <row r="28" spans="1:20" ht="18" customHeight="1">
      <c r="A28" s="153" t="s">
        <v>245</v>
      </c>
      <c r="B28" s="154"/>
      <c r="C28" s="154"/>
      <c r="D28" s="154"/>
      <c r="E28" s="154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246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27</v>
      </c>
      <c r="E29" s="108" t="s">
        <v>256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24</v>
      </c>
      <c r="M29" s="33" t="s">
        <v>52</v>
      </c>
      <c r="N29" s="33" t="s">
        <v>32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27</v>
      </c>
      <c r="E30" s="108" t="s">
        <v>256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27</v>
      </c>
      <c r="E31" s="108" t="s">
        <v>256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27</v>
      </c>
      <c r="E32" s="108" t="s">
        <v>256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27</v>
      </c>
      <c r="E33" s="108" t="s">
        <v>256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27</v>
      </c>
      <c r="E34" s="108" t="s">
        <v>256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27</v>
      </c>
      <c r="E35" s="108" t="s">
        <v>256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27</v>
      </c>
      <c r="E36" s="108" t="s">
        <v>256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27</v>
      </c>
      <c r="E37" s="108" t="s">
        <v>256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27</v>
      </c>
      <c r="E38" s="108" t="s">
        <v>256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27</v>
      </c>
      <c r="E39" s="108" t="s">
        <v>256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27</v>
      </c>
      <c r="E40" s="108" t="s">
        <v>256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1" t="s">
        <v>241</v>
      </c>
      <c r="B41" s="152"/>
      <c r="C41" s="152"/>
      <c r="D41" s="152"/>
      <c r="E41" s="152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242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25</v>
      </c>
      <c r="M42" s="26" t="s">
        <v>52</v>
      </c>
      <c r="N42" s="26" t="s">
        <v>173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276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25</v>
      </c>
      <c r="M43" s="33" t="s">
        <v>52</v>
      </c>
      <c r="N43" s="33" t="s">
        <v>61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294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25</v>
      </c>
      <c r="M44" s="26" t="s">
        <v>52</v>
      </c>
      <c r="N44" s="26" t="s">
        <v>56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25</v>
      </c>
      <c r="M45" s="33" t="s">
        <v>52</v>
      </c>
      <c r="N45" s="33" t="s">
        <v>56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25</v>
      </c>
      <c r="M46" s="26" t="s">
        <v>52</v>
      </c>
      <c r="N46" s="26" t="s">
        <v>56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25</v>
      </c>
      <c r="M47" s="33" t="s">
        <v>52</v>
      </c>
      <c r="N47" s="33" t="s">
        <v>56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25</v>
      </c>
      <c r="M48" s="26" t="s">
        <v>52</v>
      </c>
      <c r="N48" s="26" t="s">
        <v>56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25</v>
      </c>
      <c r="M49" s="33" t="s">
        <v>52</v>
      </c>
      <c r="N49" s="33" t="s">
        <v>56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24</v>
      </c>
      <c r="M50" s="26" t="s">
        <v>52</v>
      </c>
      <c r="N50" s="26" t="s">
        <v>32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294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25</v>
      </c>
      <c r="M51" s="33" t="s">
        <v>163</v>
      </c>
      <c r="N51" s="33" t="s">
        <v>79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21</v>
      </c>
      <c r="M52" s="26" t="s">
        <v>52</v>
      </c>
      <c r="N52" s="26" t="s">
        <v>37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25</v>
      </c>
      <c r="M53" s="33" t="s">
        <v>52</v>
      </c>
      <c r="N53" s="33" t="s">
        <v>139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1" t="s">
        <v>244</v>
      </c>
      <c r="B54" s="152"/>
      <c r="C54" s="152"/>
      <c r="D54" s="152"/>
      <c r="E54" s="152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242</v>
      </c>
      <c r="S54" s="39">
        <v>279980</v>
      </c>
      <c r="T54" s="119">
        <f>IFERROR(J54,"")</f>
        <v>0</v>
      </c>
    </row>
    <row r="55" spans="1:20" ht="18" customHeight="1">
      <c r="A55" s="153" t="s">
        <v>245</v>
      </c>
      <c r="B55" s="154"/>
      <c r="C55" s="154"/>
      <c r="D55" s="154"/>
      <c r="E55" s="154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246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25</v>
      </c>
      <c r="M56" s="26" t="s">
        <v>128</v>
      </c>
      <c r="N56" s="26" t="s">
        <v>119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51</v>
      </c>
      <c r="E57" s="108" t="s">
        <v>256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25</v>
      </c>
      <c r="M57" s="33" t="s">
        <v>128</v>
      </c>
      <c r="N57" s="26" t="s">
        <v>119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25</v>
      </c>
      <c r="M58" s="26" t="s">
        <v>52</v>
      </c>
      <c r="N58" s="26" t="s">
        <v>56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51</v>
      </c>
      <c r="E59" s="108" t="s">
        <v>256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25</v>
      </c>
      <c r="M59" s="33" t="s">
        <v>52</v>
      </c>
      <c r="N59" s="26" t="s">
        <v>56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51</v>
      </c>
      <c r="E60" s="108" t="s">
        <v>256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25</v>
      </c>
      <c r="M60" s="26" t="s">
        <v>128</v>
      </c>
      <c r="N60" s="26" t="s">
        <v>119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51</v>
      </c>
      <c r="E61" s="108" t="s">
        <v>256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25</v>
      </c>
      <c r="M61" s="33" t="s">
        <v>52</v>
      </c>
      <c r="N61" s="33" t="s">
        <v>56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51</v>
      </c>
      <c r="E62" s="108" t="s">
        <v>256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23</v>
      </c>
      <c r="M62" s="26"/>
      <c r="N62" s="26" t="s">
        <v>135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296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51</v>
      </c>
      <c r="E63" s="108" t="s">
        <v>256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51</v>
      </c>
      <c r="E64" s="108" t="s">
        <v>256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51</v>
      </c>
      <c r="E65" s="108" t="s">
        <v>256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51</v>
      </c>
      <c r="E66" s="108" t="s">
        <v>256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50</v>
      </c>
      <c r="D67" s="59" t="s">
        <v>51</v>
      </c>
      <c r="E67" s="108" t="s">
        <v>256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1" t="s">
        <v>241</v>
      </c>
      <c r="B68" s="152"/>
      <c r="C68" s="152"/>
      <c r="D68" s="152"/>
      <c r="E68" s="152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242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25</v>
      </c>
      <c r="M69" s="33" t="s">
        <v>52</v>
      </c>
      <c r="N69" s="33" t="s">
        <v>61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297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25</v>
      </c>
      <c r="M70" s="26" t="s">
        <v>154</v>
      </c>
      <c r="N70" s="26" t="s">
        <v>191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25</v>
      </c>
      <c r="M71" s="33" t="s">
        <v>163</v>
      </c>
      <c r="N71" s="33" t="s">
        <v>79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25</v>
      </c>
      <c r="M72" s="26" t="s">
        <v>163</v>
      </c>
      <c r="N72" s="26" t="s">
        <v>79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25</v>
      </c>
      <c r="M73" s="33" t="s">
        <v>163</v>
      </c>
      <c r="N73" s="33" t="s">
        <v>79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1" t="s">
        <v>244</v>
      </c>
      <c r="B81" s="152"/>
      <c r="C81" s="152"/>
      <c r="D81" s="152"/>
      <c r="E81" s="152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242</v>
      </c>
      <c r="S81" s="39">
        <v>185920</v>
      </c>
      <c r="T81" s="119">
        <f>IFERROR(J81,"")</f>
        <v>0</v>
      </c>
    </row>
    <row r="82" spans="1:20" ht="18" customHeight="1">
      <c r="A82" s="153" t="s">
        <v>245</v>
      </c>
      <c r="B82" s="154"/>
      <c r="C82" s="154"/>
      <c r="D82" s="154"/>
      <c r="E82" s="154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246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108" t="s">
        <v>256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25</v>
      </c>
      <c r="M83" s="33" t="s">
        <v>52</v>
      </c>
      <c r="N83" s="33" t="s">
        <v>61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298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23</v>
      </c>
      <c r="M84" s="26" t="s">
        <v>143</v>
      </c>
      <c r="N84" s="26" t="s">
        <v>123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299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1" t="s">
        <v>241</v>
      </c>
      <c r="B95" s="152"/>
      <c r="C95" s="152"/>
      <c r="D95" s="152"/>
      <c r="E95" s="152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242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23</v>
      </c>
      <c r="M96" s="26" t="s">
        <v>143</v>
      </c>
      <c r="N96" s="26" t="s">
        <v>123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23</v>
      </c>
      <c r="M97" s="33" t="s">
        <v>143</v>
      </c>
      <c r="N97" s="33" t="s">
        <v>123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300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24</v>
      </c>
      <c r="M98" s="26" t="s">
        <v>52</v>
      </c>
      <c r="N98" s="26" t="s">
        <v>32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25</v>
      </c>
      <c r="M99" s="33" t="s">
        <v>163</v>
      </c>
      <c r="N99" s="33" t="s">
        <v>79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1" t="s">
        <v>244</v>
      </c>
      <c r="B108" s="152"/>
      <c r="C108" s="152"/>
      <c r="D108" s="152"/>
      <c r="E108" s="152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242</v>
      </c>
      <c r="S108" s="39">
        <v>434370</v>
      </c>
      <c r="T108" s="119">
        <f>IFERROR(J108,"")</f>
        <v>0</v>
      </c>
    </row>
    <row r="109" spans="1:20" ht="18" customHeight="1">
      <c r="A109" s="153" t="s">
        <v>245</v>
      </c>
      <c r="B109" s="154"/>
      <c r="C109" s="154"/>
      <c r="D109" s="154"/>
      <c r="E109" s="154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246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1" t="s">
        <v>241</v>
      </c>
      <c r="B122" s="152"/>
      <c r="C122" s="152"/>
      <c r="D122" s="152"/>
      <c r="E122" s="152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242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25</v>
      </c>
      <c r="M123" s="33" t="s">
        <v>163</v>
      </c>
      <c r="N123" s="33" t="s">
        <v>79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25</v>
      </c>
      <c r="M124" s="26" t="s">
        <v>163</v>
      </c>
      <c r="N124" s="26" t="s">
        <v>79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25</v>
      </c>
      <c r="M125" s="33" t="s">
        <v>52</v>
      </c>
      <c r="N125" s="33" t="s">
        <v>61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301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52</v>
      </c>
      <c r="N126" s="26" t="s">
        <v>32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22</v>
      </c>
      <c r="M127" s="33" t="s">
        <v>140</v>
      </c>
      <c r="N127" s="33" t="s">
        <v>54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25</v>
      </c>
      <c r="M128" s="26" t="s">
        <v>52</v>
      </c>
      <c r="N128" s="26" t="s">
        <v>41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25</v>
      </c>
      <c r="M129" s="33"/>
      <c r="N129" s="33" t="s">
        <v>136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25</v>
      </c>
      <c r="M130" s="26" t="s">
        <v>52</v>
      </c>
      <c r="N130" s="26" t="s">
        <v>56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25</v>
      </c>
      <c r="M131" s="33"/>
      <c r="N131" s="33" t="s">
        <v>204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1" t="s">
        <v>244</v>
      </c>
      <c r="B135" s="152"/>
      <c r="C135" s="152"/>
      <c r="D135" s="152"/>
      <c r="E135" s="152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242</v>
      </c>
      <c r="S135" s="39">
        <v>416350</v>
      </c>
      <c r="T135" s="119">
        <f>IFERROR(J135,"")</f>
        <v>0</v>
      </c>
    </row>
    <row r="136" spans="1:20" ht="18" customHeight="1">
      <c r="A136" s="153" t="s">
        <v>245</v>
      </c>
      <c r="B136" s="154"/>
      <c r="C136" s="154"/>
      <c r="D136" s="154"/>
      <c r="E136" s="154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246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24</v>
      </c>
      <c r="M137" s="33" t="s">
        <v>52</v>
      </c>
      <c r="N137" s="33" t="s">
        <v>32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302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21</v>
      </c>
      <c r="M138" s="26" t="s">
        <v>52</v>
      </c>
      <c r="N138" s="26" t="s">
        <v>115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25</v>
      </c>
      <c r="M139" s="33" t="s">
        <v>52</v>
      </c>
      <c r="N139" s="33" t="s">
        <v>210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25</v>
      </c>
      <c r="M140" s="26" t="s">
        <v>143</v>
      </c>
      <c r="N140" s="26" t="s">
        <v>79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25</v>
      </c>
      <c r="M141" s="33" t="s">
        <v>52</v>
      </c>
      <c r="N141" s="33" t="s">
        <v>56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284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1" t="s">
        <v>241</v>
      </c>
      <c r="B149" s="152"/>
      <c r="C149" s="152"/>
      <c r="D149" s="152"/>
      <c r="E149" s="152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242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25</v>
      </c>
      <c r="M150" s="26" t="s">
        <v>143</v>
      </c>
      <c r="N150" s="26" t="s">
        <v>79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25</v>
      </c>
      <c r="M151" s="33" t="s">
        <v>52</v>
      </c>
      <c r="N151" s="33" t="s">
        <v>61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25</v>
      </c>
      <c r="M152" s="26" t="s">
        <v>52</v>
      </c>
      <c r="N152" s="26" t="s">
        <v>41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25</v>
      </c>
      <c r="M153" s="33" t="s">
        <v>52</v>
      </c>
      <c r="N153" s="33" t="s">
        <v>41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276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1" t="s">
        <v>244</v>
      </c>
      <c r="B162" s="152"/>
      <c r="C162" s="152"/>
      <c r="D162" s="152"/>
      <c r="E162" s="152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242</v>
      </c>
      <c r="S162" s="39">
        <v>169760</v>
      </c>
      <c r="T162" s="119">
        <f>IFERROR(J162,"")</f>
        <v>0</v>
      </c>
    </row>
    <row r="163" spans="1:20" ht="18" customHeight="1">
      <c r="A163" s="153" t="s">
        <v>245</v>
      </c>
      <c r="B163" s="154"/>
      <c r="C163" s="154"/>
      <c r="D163" s="154"/>
      <c r="E163" s="154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246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25</v>
      </c>
      <c r="M164" s="26" t="s">
        <v>52</v>
      </c>
      <c r="N164" s="26" t="s">
        <v>56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8" t="s">
        <v>256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25</v>
      </c>
      <c r="M165" s="33" t="s">
        <v>52</v>
      </c>
      <c r="N165" s="33" t="s">
        <v>56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8" t="s">
        <v>256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25</v>
      </c>
      <c r="M166" s="26" t="s">
        <v>52</v>
      </c>
      <c r="N166" s="26" t="s">
        <v>56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303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8" t="s">
        <v>256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25</v>
      </c>
      <c r="M167" s="33" t="s">
        <v>52</v>
      </c>
      <c r="N167" s="33" t="s">
        <v>56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8" t="s">
        <v>256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25</v>
      </c>
      <c r="M168" s="26" t="s">
        <v>52</v>
      </c>
      <c r="N168" s="26" t="s">
        <v>56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8" t="s">
        <v>256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25</v>
      </c>
      <c r="M169" s="33" t="s">
        <v>52</v>
      </c>
      <c r="N169" s="33" t="s">
        <v>56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8" t="s">
        <v>256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25</v>
      </c>
      <c r="M170" s="26" t="s">
        <v>52</v>
      </c>
      <c r="N170" s="26" t="s">
        <v>56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8" t="s">
        <v>256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25</v>
      </c>
      <c r="M171" s="33" t="s">
        <v>52</v>
      </c>
      <c r="N171" s="33" t="s">
        <v>56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8" t="s">
        <v>256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25</v>
      </c>
      <c r="M172" s="26" t="s">
        <v>163</v>
      </c>
      <c r="N172" s="26" t="s">
        <v>79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8" t="s">
        <v>256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25</v>
      </c>
      <c r="M173" s="33" t="s">
        <v>163</v>
      </c>
      <c r="N173" s="33" t="s">
        <v>79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8" t="s">
        <v>256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8" t="s">
        <v>256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1" t="s">
        <v>241</v>
      </c>
      <c r="B176" s="152"/>
      <c r="C176" s="152"/>
      <c r="D176" s="152"/>
      <c r="E176" s="152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242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24</v>
      </c>
      <c r="M177" s="33" t="s">
        <v>52</v>
      </c>
      <c r="N177" s="33" t="s">
        <v>40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9" t="s">
        <v>256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25</v>
      </c>
      <c r="M178" s="26" t="s">
        <v>154</v>
      </c>
      <c r="N178" s="26" t="s">
        <v>139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25</v>
      </c>
      <c r="M179" s="33" t="s">
        <v>52</v>
      </c>
      <c r="N179" s="33" t="s">
        <v>61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304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9" t="s">
        <v>256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25</v>
      </c>
      <c r="M180" s="26" t="s">
        <v>128</v>
      </c>
      <c r="N180" s="26" t="s">
        <v>119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25</v>
      </c>
      <c r="M181" s="33" t="s">
        <v>154</v>
      </c>
      <c r="N181" s="33" t="s">
        <v>139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9" t="s">
        <v>256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25</v>
      </c>
      <c r="M182" s="26"/>
      <c r="N182" s="26" t="s">
        <v>79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287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25</v>
      </c>
      <c r="M183" s="33" t="s">
        <v>52</v>
      </c>
      <c r="N183" s="33" t="s">
        <v>56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9" t="s">
        <v>256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25</v>
      </c>
      <c r="M184" s="26"/>
      <c r="N184" s="26" t="s">
        <v>79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25</v>
      </c>
      <c r="M185" s="33"/>
      <c r="N185" s="33" t="s">
        <v>79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287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9" t="s">
        <v>256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9" t="s">
        <v>256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1" t="s">
        <v>244</v>
      </c>
      <c r="B189" s="152"/>
      <c r="C189" s="152"/>
      <c r="D189" s="152"/>
      <c r="E189" s="152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242</v>
      </c>
      <c r="S189" s="39">
        <v>72220</v>
      </c>
      <c r="T189" s="119">
        <f>IFERROR(J189,"")</f>
        <v>0</v>
      </c>
    </row>
    <row r="190" spans="1:20" ht="18" customHeight="1">
      <c r="A190" s="153" t="s">
        <v>245</v>
      </c>
      <c r="B190" s="154"/>
      <c r="C190" s="154"/>
      <c r="D190" s="154"/>
      <c r="E190" s="154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246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25</v>
      </c>
      <c r="M191" s="33" t="s">
        <v>154</v>
      </c>
      <c r="N191" s="33" t="s">
        <v>188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25</v>
      </c>
      <c r="M192" s="26" t="s">
        <v>52</v>
      </c>
      <c r="N192" s="33" t="s">
        <v>41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24</v>
      </c>
      <c r="M193" s="33" t="s">
        <v>52</v>
      </c>
      <c r="N193" s="33" t="s">
        <v>32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25</v>
      </c>
      <c r="M194" s="26" t="s">
        <v>154</v>
      </c>
      <c r="N194" s="26" t="s">
        <v>188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25</v>
      </c>
      <c r="M195" s="33" t="s">
        <v>154</v>
      </c>
      <c r="N195" s="26" t="s">
        <v>188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24</v>
      </c>
      <c r="M196" s="26" t="s">
        <v>52</v>
      </c>
      <c r="N196" s="26" t="s">
        <v>83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25</v>
      </c>
      <c r="M197" s="33" t="s">
        <v>52</v>
      </c>
      <c r="N197" s="33" t="s">
        <v>56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24</v>
      </c>
      <c r="M198" s="26" t="s">
        <v>52</v>
      </c>
      <c r="N198" s="33" t="s">
        <v>83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24</v>
      </c>
      <c r="M199" s="33" t="s">
        <v>52</v>
      </c>
      <c r="N199" s="33" t="s">
        <v>83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25</v>
      </c>
      <c r="M200" s="26" t="s">
        <v>128</v>
      </c>
      <c r="N200" s="26" t="s">
        <v>119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25</v>
      </c>
      <c r="M201" s="33" t="s">
        <v>128</v>
      </c>
      <c r="N201" s="33" t="s">
        <v>119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1" t="s">
        <v>241</v>
      </c>
      <c r="B203" s="152"/>
      <c r="C203" s="152"/>
      <c r="D203" s="152"/>
      <c r="E203" s="152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242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25</v>
      </c>
      <c r="M204" s="26" t="s">
        <v>52</v>
      </c>
      <c r="N204" s="26" t="s">
        <v>56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25</v>
      </c>
      <c r="M205" s="33" t="s">
        <v>52</v>
      </c>
      <c r="N205" s="33" t="s">
        <v>61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305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25</v>
      </c>
      <c r="M206" s="26"/>
      <c r="N206" s="26" t="s">
        <v>79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1" t="s">
        <v>244</v>
      </c>
      <c r="B216" s="152"/>
      <c r="C216" s="152"/>
      <c r="D216" s="152"/>
      <c r="E216" s="152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242</v>
      </c>
      <c r="S216" s="39">
        <v>148720</v>
      </c>
      <c r="T216" s="119">
        <f>IFERROR(J216,"")</f>
        <v>0</v>
      </c>
    </row>
    <row r="217" spans="1:20" ht="18" customHeight="1">
      <c r="A217" s="153" t="s">
        <v>245</v>
      </c>
      <c r="B217" s="154"/>
      <c r="C217" s="154"/>
      <c r="D217" s="154"/>
      <c r="E217" s="154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246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24</v>
      </c>
      <c r="M218" s="26" t="s">
        <v>140</v>
      </c>
      <c r="N218" s="26" t="s">
        <v>66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25</v>
      </c>
      <c r="M219" s="33" t="s">
        <v>52</v>
      </c>
      <c r="N219" s="33" t="s">
        <v>41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25</v>
      </c>
      <c r="M220" s="26" t="s">
        <v>163</v>
      </c>
      <c r="N220" s="26" t="s">
        <v>79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23</v>
      </c>
      <c r="M221" s="33" t="s">
        <v>140</v>
      </c>
      <c r="N221" s="33" t="s">
        <v>105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306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23</v>
      </c>
      <c r="M222" s="26" t="s">
        <v>140</v>
      </c>
      <c r="N222" s="26" t="s">
        <v>66</v>
      </c>
      <c r="O222" s="29">
        <v>0.69930555555555551</v>
      </c>
      <c r="P222" s="29" t="s">
        <v>307</v>
      </c>
      <c r="Q222" s="30" t="str">
        <f t="shared" ca="1" si="49"/>
        <v/>
      </c>
      <c r="R222" s="27" t="s">
        <v>308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24</v>
      </c>
      <c r="M223" s="33" t="s">
        <v>52</v>
      </c>
      <c r="N223" s="33" t="s">
        <v>32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1" t="s">
        <v>241</v>
      </c>
      <c r="B230" s="152"/>
      <c r="C230" s="152"/>
      <c r="D230" s="152"/>
      <c r="E230" s="152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242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24</v>
      </c>
      <c r="M231" s="33" t="s">
        <v>52</v>
      </c>
      <c r="N231" s="33" t="s">
        <v>32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1" t="s">
        <v>244</v>
      </c>
      <c r="B243" s="152"/>
      <c r="C243" s="152"/>
      <c r="D243" s="152"/>
      <c r="E243" s="152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242</v>
      </c>
      <c r="S243" s="39">
        <v>352720</v>
      </c>
      <c r="T243" s="119">
        <f>IFERROR(J243,"")</f>
        <v>0</v>
      </c>
    </row>
    <row r="244" spans="1:20" ht="18" customHeight="1">
      <c r="A244" s="153" t="s">
        <v>245</v>
      </c>
      <c r="B244" s="154"/>
      <c r="C244" s="154"/>
      <c r="D244" s="154"/>
      <c r="E244" s="154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246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24</v>
      </c>
      <c r="M245" s="33" t="s">
        <v>52</v>
      </c>
      <c r="N245" s="33" t="s">
        <v>32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309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25</v>
      </c>
      <c r="M246" s="26" t="s">
        <v>52</v>
      </c>
      <c r="N246" s="33" t="s">
        <v>56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25</v>
      </c>
      <c r="M247" s="33" t="s">
        <v>52</v>
      </c>
      <c r="N247" s="33" t="s">
        <v>41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240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240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1" t="s">
        <v>241</v>
      </c>
      <c r="B257" s="152"/>
      <c r="C257" s="152"/>
      <c r="D257" s="152"/>
      <c r="E257" s="152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242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43</v>
      </c>
      <c r="E258" s="20" t="s">
        <v>256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43</v>
      </c>
      <c r="E259" s="20" t="s">
        <v>256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43</v>
      </c>
      <c r="E260" s="62" t="s">
        <v>256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43</v>
      </c>
      <c r="E261" s="62" t="s">
        <v>256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43</v>
      </c>
      <c r="E262" s="20" t="s">
        <v>256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43</v>
      </c>
      <c r="E263" s="62" t="s">
        <v>256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43</v>
      </c>
      <c r="E264" s="62" t="s">
        <v>256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43</v>
      </c>
      <c r="E265" s="62" t="s">
        <v>256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43</v>
      </c>
      <c r="E266" s="62" t="s">
        <v>256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43</v>
      </c>
      <c r="E267" s="62" t="s">
        <v>256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43</v>
      </c>
      <c r="E268" s="62" t="s">
        <v>256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43</v>
      </c>
      <c r="E269" s="62" t="s">
        <v>256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1" t="s">
        <v>244</v>
      </c>
      <c r="B270" s="152"/>
      <c r="C270" s="152"/>
      <c r="D270" s="152"/>
      <c r="E270" s="152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242</v>
      </c>
      <c r="S270" s="39">
        <v>327900</v>
      </c>
      <c r="T270" s="119">
        <f>IFERROR(J270,"")</f>
        <v>0</v>
      </c>
    </row>
    <row r="271" spans="1:20" ht="18" customHeight="1">
      <c r="A271" s="153" t="s">
        <v>245</v>
      </c>
      <c r="B271" s="154"/>
      <c r="C271" s="154"/>
      <c r="D271" s="154"/>
      <c r="E271" s="154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246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34</v>
      </c>
      <c r="D278" s="59" t="s">
        <v>35</v>
      </c>
      <c r="E278" s="59" t="s">
        <v>256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34</v>
      </c>
      <c r="D279" s="59" t="s">
        <v>35</v>
      </c>
      <c r="E279" s="59" t="s">
        <v>256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34</v>
      </c>
      <c r="D280" s="59" t="s">
        <v>35</v>
      </c>
      <c r="E280" s="59" t="s">
        <v>256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34</v>
      </c>
      <c r="D281" s="59" t="s">
        <v>35</v>
      </c>
      <c r="E281" s="59" t="s">
        <v>256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34</v>
      </c>
      <c r="D282" s="59" t="s">
        <v>35</v>
      </c>
      <c r="E282" s="59" t="s">
        <v>240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34</v>
      </c>
      <c r="D283" s="59" t="s">
        <v>35</v>
      </c>
      <c r="E283" s="59" t="s">
        <v>256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1" t="s">
        <v>241</v>
      </c>
      <c r="B284" s="152"/>
      <c r="C284" s="152"/>
      <c r="D284" s="152"/>
      <c r="E284" s="152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242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50</v>
      </c>
      <c r="D285" s="62" t="s">
        <v>51</v>
      </c>
      <c r="E285" s="62" t="s">
        <v>240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50</v>
      </c>
      <c r="D286" s="62" t="s">
        <v>51</v>
      </c>
      <c r="E286" s="62" t="s">
        <v>240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50</v>
      </c>
      <c r="D287" s="62" t="s">
        <v>51</v>
      </c>
      <c r="E287" s="62" t="s">
        <v>256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50</v>
      </c>
      <c r="D288" s="62" t="s">
        <v>51</v>
      </c>
      <c r="E288" s="62" t="s">
        <v>240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50</v>
      </c>
      <c r="D289" s="62" t="s">
        <v>51</v>
      </c>
      <c r="E289" s="62" t="s">
        <v>240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50</v>
      </c>
      <c r="D290" s="62" t="s">
        <v>35</v>
      </c>
      <c r="E290" s="62" t="s">
        <v>240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50</v>
      </c>
      <c r="D291" s="62" t="s">
        <v>35</v>
      </c>
      <c r="E291" s="62" t="s">
        <v>240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50</v>
      </c>
      <c r="D292" s="62" t="s">
        <v>35</v>
      </c>
      <c r="E292" s="62" t="s">
        <v>240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50</v>
      </c>
      <c r="D293" s="62" t="s">
        <v>35</v>
      </c>
      <c r="E293" s="62" t="s">
        <v>240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50</v>
      </c>
      <c r="D294" s="62" t="s">
        <v>35</v>
      </c>
      <c r="E294" s="62" t="s">
        <v>240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50</v>
      </c>
      <c r="D295" s="62" t="s">
        <v>35</v>
      </c>
      <c r="E295" s="62" t="s">
        <v>240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50</v>
      </c>
      <c r="D296" s="62" t="s">
        <v>35</v>
      </c>
      <c r="E296" s="62" t="s">
        <v>240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1" t="s">
        <v>244</v>
      </c>
      <c r="B297" s="152"/>
      <c r="C297" s="152"/>
      <c r="D297" s="152"/>
      <c r="E297" s="152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242</v>
      </c>
      <c r="S297" s="39">
        <v>462190</v>
      </c>
      <c r="T297" s="119">
        <f>IFERROR(J297,"")</f>
        <v>0</v>
      </c>
    </row>
    <row r="298" spans="1:20" ht="18" customHeight="1">
      <c r="A298" s="153" t="s">
        <v>245</v>
      </c>
      <c r="B298" s="154"/>
      <c r="C298" s="154"/>
      <c r="D298" s="154"/>
      <c r="E298" s="154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246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109" t="s">
        <v>256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25</v>
      </c>
      <c r="M299" s="33"/>
      <c r="N299" s="33" t="s">
        <v>204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34</v>
      </c>
      <c r="D300" s="62" t="s">
        <v>35</v>
      </c>
      <c r="E300" s="109" t="s">
        <v>256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25</v>
      </c>
      <c r="M300" s="26"/>
      <c r="N300" s="26" t="s">
        <v>204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34</v>
      </c>
      <c r="D301" s="62" t="s">
        <v>35</v>
      </c>
      <c r="E301" s="109" t="s">
        <v>256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25</v>
      </c>
      <c r="M301" s="33" t="s">
        <v>52</v>
      </c>
      <c r="N301" s="33" t="s">
        <v>189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32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34</v>
      </c>
      <c r="D302" s="62" t="s">
        <v>35</v>
      </c>
      <c r="E302" s="109" t="s">
        <v>256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22</v>
      </c>
      <c r="M302" s="26"/>
      <c r="N302" s="26" t="s">
        <v>30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34</v>
      </c>
      <c r="D303" s="62" t="s">
        <v>35</v>
      </c>
      <c r="E303" s="109" t="s">
        <v>256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34</v>
      </c>
      <c r="D304" s="62" t="s">
        <v>35</v>
      </c>
      <c r="E304" s="109" t="s">
        <v>256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34</v>
      </c>
      <c r="D305" s="62" t="s">
        <v>27</v>
      </c>
      <c r="E305" s="109" t="s">
        <v>256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34</v>
      </c>
      <c r="D306" s="62" t="s">
        <v>27</v>
      </c>
      <c r="E306" s="109" t="s">
        <v>256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34</v>
      </c>
      <c r="D307" s="62" t="s">
        <v>27</v>
      </c>
      <c r="E307" s="109" t="s">
        <v>256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34</v>
      </c>
      <c r="D308" s="62" t="s">
        <v>27</v>
      </c>
      <c r="E308" s="109" t="s">
        <v>256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34</v>
      </c>
      <c r="D309" s="62" t="s">
        <v>27</v>
      </c>
      <c r="E309" s="109" t="s">
        <v>256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34</v>
      </c>
      <c r="D310" s="62" t="s">
        <v>27</v>
      </c>
      <c r="E310" s="109" t="s">
        <v>256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1" t="s">
        <v>241</v>
      </c>
      <c r="B311" s="152"/>
      <c r="C311" s="152"/>
      <c r="D311" s="152"/>
      <c r="E311" s="152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242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108" t="s">
        <v>256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24</v>
      </c>
      <c r="M312" s="26" t="s">
        <v>52</v>
      </c>
      <c r="N312" s="26" t="s">
        <v>32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26</v>
      </c>
      <c r="D313" s="59" t="s">
        <v>35</v>
      </c>
      <c r="E313" s="108" t="s">
        <v>256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23</v>
      </c>
      <c r="M313" s="33" t="s">
        <v>143</v>
      </c>
      <c r="N313" s="33" t="s">
        <v>105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26</v>
      </c>
      <c r="D314" s="59" t="s">
        <v>35</v>
      </c>
      <c r="E314" s="108" t="s">
        <v>256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22</v>
      </c>
      <c r="M314" s="26"/>
      <c r="N314" s="26" t="s">
        <v>30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26</v>
      </c>
      <c r="D315" s="59" t="s">
        <v>35</v>
      </c>
      <c r="E315" s="108" t="s">
        <v>256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22</v>
      </c>
      <c r="M315" s="33" t="s">
        <v>140</v>
      </c>
      <c r="N315" s="33" t="s">
        <v>54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26</v>
      </c>
      <c r="D316" s="59" t="s">
        <v>35</v>
      </c>
      <c r="E316" s="108" t="s">
        <v>256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22</v>
      </c>
      <c r="M316" s="26" t="s">
        <v>140</v>
      </c>
      <c r="N316" s="26" t="s">
        <v>54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26</v>
      </c>
      <c r="D317" s="59" t="s">
        <v>35</v>
      </c>
      <c r="E317" s="108" t="s">
        <v>256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26</v>
      </c>
      <c r="D318" s="59" t="s">
        <v>35</v>
      </c>
      <c r="E318" s="108" t="s">
        <v>256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26</v>
      </c>
      <c r="D319" s="59" t="s">
        <v>35</v>
      </c>
      <c r="E319" s="108" t="s">
        <v>256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26</v>
      </c>
      <c r="D320" s="59" t="s">
        <v>35</v>
      </c>
      <c r="E320" s="108" t="s">
        <v>256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26</v>
      </c>
      <c r="D321" s="59" t="s">
        <v>35</v>
      </c>
      <c r="E321" s="108" t="s">
        <v>256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26</v>
      </c>
      <c r="D322" s="59" t="s">
        <v>35</v>
      </c>
      <c r="E322" s="108" t="s">
        <v>256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26</v>
      </c>
      <c r="D323" s="59" t="s">
        <v>35</v>
      </c>
      <c r="E323" s="108" t="s">
        <v>256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1" t="s">
        <v>244</v>
      </c>
      <c r="B324" s="152"/>
      <c r="C324" s="152"/>
      <c r="D324" s="152"/>
      <c r="E324" s="152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242</v>
      </c>
      <c r="S324" s="39">
        <v>289490</v>
      </c>
      <c r="T324" s="119">
        <f>IFERROR(J324,"")</f>
        <v>41.68656</v>
      </c>
    </row>
    <row r="325" spans="1:20" ht="18" customHeight="1">
      <c r="A325" s="153" t="s">
        <v>245</v>
      </c>
      <c r="B325" s="154"/>
      <c r="C325" s="154"/>
      <c r="D325" s="154"/>
      <c r="E325" s="154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246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12</v>
      </c>
      <c r="H326" s="140">
        <f>IFERROR(IF($G326="","",$G326*$S$338/$G$338/Cadastro!$E$33),"")</f>
        <v>0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0</v>
      </c>
      <c r="K326" s="28">
        <f t="shared" ref="K326:K337" si="73">IF(G326="","",IF(E326="PC 17",G326*4.2,IF(E326="PC 19",G326*5,IF(E326="CB",G326*24,""))))</f>
        <v>60</v>
      </c>
      <c r="L326" s="26" t="s">
        <v>23</v>
      </c>
      <c r="M326" s="26" t="s">
        <v>143</v>
      </c>
      <c r="N326" s="26" t="s">
        <v>135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310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11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2"/>
        <v>0</v>
      </c>
      <c r="K327" s="34">
        <f t="shared" si="73"/>
        <v>55</v>
      </c>
      <c r="L327" s="26"/>
      <c r="M327" s="26"/>
      <c r="N327" s="26"/>
      <c r="O327" s="29">
        <v>0.4861111111111111</v>
      </c>
      <c r="P327" s="29"/>
      <c r="Q327" s="35">
        <f t="shared" ca="1" si="74"/>
        <v>1.2519212963525206E-2</v>
      </c>
      <c r="R327" s="27"/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11</v>
      </c>
      <c r="H328" s="134">
        <f>IFERROR(IF($G328="","",$G328*$S$338/$G$338/Cadastro!$E$33),"")</f>
        <v>0</v>
      </c>
      <c r="I328" s="135">
        <f>IFERROR(IF($D328="","",VLOOKUP($D328,Cadastro!$C$4:$G$7,5,FALSE)),"")</f>
        <v>0.6</v>
      </c>
      <c r="J328" s="136">
        <f t="shared" si="72"/>
        <v>0</v>
      </c>
      <c r="K328" s="28">
        <f t="shared" si="73"/>
        <v>55</v>
      </c>
      <c r="L328" s="26"/>
      <c r="M328" s="26"/>
      <c r="N328" s="26"/>
      <c r="O328" s="29"/>
      <c r="P328" s="29"/>
      <c r="Q328" s="30" t="str">
        <f t="shared" ca="1" si="74"/>
        <v/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12</v>
      </c>
      <c r="H329" s="134">
        <f>IFERROR(IF($G329="","",$G329*$S$338/$G$338/Cadastro!$E$33),"")</f>
        <v>0</v>
      </c>
      <c r="I329" s="135">
        <f>IFERROR(IF($D329="","",VLOOKUP($D329,Cadastro!$C$4:$G$7,5,FALSE)),"")</f>
        <v>0.6</v>
      </c>
      <c r="J329" s="136">
        <f t="shared" si="72"/>
        <v>0</v>
      </c>
      <c r="K329" s="34">
        <f t="shared" si="73"/>
        <v>60</v>
      </c>
      <c r="L329" s="33"/>
      <c r="M329" s="33"/>
      <c r="N329" s="33"/>
      <c r="O329" s="29"/>
      <c r="P329" s="29"/>
      <c r="Q329" s="35" t="str">
        <f t="shared" ca="1" si="74"/>
        <v/>
      </c>
      <c r="R329" s="27"/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34</v>
      </c>
      <c r="D330" s="59" t="s">
        <v>35</v>
      </c>
      <c r="E330" s="108"/>
      <c r="F330" s="134">
        <f>IFERROR(IF($D330="","",VLOOKUP($D330,Cadastro!$C$4:$E$7,3,FALSE)),"")</f>
        <v>0.24</v>
      </c>
      <c r="G330" s="105"/>
      <c r="H330" s="134" t="str">
        <f>IFERROR(IF($G330="","",$G330*$S$338/$G$338/Cadastro!$E$33),"")</f>
        <v/>
      </c>
      <c r="I330" s="135">
        <f>IFERROR(IF($D330="","",VLOOKUP($D330,Cadastro!$C$4:$G$7,5,FALSE)),"")</f>
        <v>0.6</v>
      </c>
      <c r="J330" s="136" t="str">
        <f t="shared" si="72"/>
        <v/>
      </c>
      <c r="K330" s="28" t="str">
        <f t="shared" si="73"/>
        <v/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34</v>
      </c>
      <c r="D331" s="59" t="s">
        <v>35</v>
      </c>
      <c r="E331" s="108"/>
      <c r="F331" s="134">
        <f>IFERROR(IF($D331="","",VLOOKUP($D331,Cadastro!$C$4:$E$7,3,FALSE)),"")</f>
        <v>0.24</v>
      </c>
      <c r="G331" s="105"/>
      <c r="H331" s="134" t="str">
        <f>IFERROR(IF($G331="","",$G331*$S$338/$G$338/Cadastro!$E$33),"")</f>
        <v/>
      </c>
      <c r="I331" s="135">
        <f>IFERROR(IF($D331="","",VLOOKUP($D331,Cadastro!$C$4:$G$7,5,FALSE)),"")</f>
        <v>0.6</v>
      </c>
      <c r="J331" s="136" t="str">
        <f t="shared" si="72"/>
        <v/>
      </c>
      <c r="K331" s="34" t="str">
        <f t="shared" si="73"/>
        <v/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34</v>
      </c>
      <c r="D332" s="59" t="s">
        <v>35</v>
      </c>
      <c r="E332" s="108"/>
      <c r="F332" s="134">
        <f>IFERROR(IF($D332="","",VLOOKUP($D332,Cadastro!$C$4:$E$7,3,FALSE)),"")</f>
        <v>0.24</v>
      </c>
      <c r="G332" s="105"/>
      <c r="H332" s="134" t="str">
        <f>IFERROR(IF($G332="","",$G332*$S$338/$G$338/Cadastro!$E$33),"")</f>
        <v/>
      </c>
      <c r="I332" s="135">
        <f>IFERROR(IF($D332="","",VLOOKUP($D332,Cadastro!$C$4:$G$7,5,FALSE)),"")</f>
        <v>0.6</v>
      </c>
      <c r="J332" s="136" t="str">
        <f t="shared" si="72"/>
        <v/>
      </c>
      <c r="K332" s="28" t="str">
        <f t="shared" si="73"/>
        <v/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34</v>
      </c>
      <c r="D333" s="59" t="s">
        <v>35</v>
      </c>
      <c r="E333" s="108"/>
      <c r="F333" s="134">
        <f>IFERROR(IF($D333="","",VLOOKUP($D333,Cadastro!$C$4:$E$7,3,FALSE)),"")</f>
        <v>0.24</v>
      </c>
      <c r="G333" s="105"/>
      <c r="H333" s="134" t="str">
        <f>IFERROR(IF($G333="","",$G333*$S$338/$G$338/Cadastro!$E$33),"")</f>
        <v/>
      </c>
      <c r="I333" s="135">
        <f>IFERROR(IF($D333="","",VLOOKUP($D333,Cadastro!$C$4:$G$7,5,FALSE)),"")</f>
        <v>0.6</v>
      </c>
      <c r="J333" s="136" t="str">
        <f t="shared" si="72"/>
        <v/>
      </c>
      <c r="K333" s="34" t="str">
        <f t="shared" si="73"/>
        <v/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34</v>
      </c>
      <c r="D334" s="59" t="s">
        <v>35</v>
      </c>
      <c r="E334" s="108"/>
      <c r="F334" s="134">
        <f>IFERROR(IF($D334="","",VLOOKUP($D334,Cadastro!$C$4:$E$7,3,FALSE)),"")</f>
        <v>0.24</v>
      </c>
      <c r="G334" s="105"/>
      <c r="H334" s="134" t="str">
        <f>IFERROR(IF($G334="","",$G334*$S$338/$G$338/Cadastro!$E$33),"")</f>
        <v/>
      </c>
      <c r="I334" s="135">
        <f>IFERROR(IF($D334="","",VLOOKUP($D334,Cadastro!$C$4:$G$7,5,FALSE)),"")</f>
        <v>0.6</v>
      </c>
      <c r="J334" s="136" t="str">
        <f t="shared" si="72"/>
        <v/>
      </c>
      <c r="K334" s="28" t="str">
        <f t="shared" si="73"/>
        <v/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34</v>
      </c>
      <c r="D335" s="59" t="s">
        <v>35</v>
      </c>
      <c r="E335" s="108"/>
      <c r="F335" s="134">
        <f>IFERROR(IF($D335="","",VLOOKUP($D335,Cadastro!$C$4:$E$7,3,FALSE)),"")</f>
        <v>0.24</v>
      </c>
      <c r="G335" s="105"/>
      <c r="H335" s="134" t="str">
        <f>IFERROR(IF($G335="","",$G335*$S$338/$G$338/Cadastro!$E$33),"")</f>
        <v/>
      </c>
      <c r="I335" s="135">
        <f>IFERROR(IF($D335="","",VLOOKUP($D335,Cadastro!$C$4:$G$7,5,FALSE)),"")</f>
        <v>0.6</v>
      </c>
      <c r="J335" s="136" t="str">
        <f t="shared" si="72"/>
        <v/>
      </c>
      <c r="K335" s="34" t="str">
        <f t="shared" si="73"/>
        <v/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34</v>
      </c>
      <c r="D336" s="59" t="s">
        <v>35</v>
      </c>
      <c r="E336" s="108"/>
      <c r="F336" s="134">
        <f>IFERROR(IF($D336="","",VLOOKUP($D336,Cadastro!$C$4:$E$7,3,FALSE)),"")</f>
        <v>0.24</v>
      </c>
      <c r="G336" s="105"/>
      <c r="H336" s="134" t="str">
        <f>IFERROR(IF($G336="","",$G336*$S$338/$G$338/Cadastro!$E$33),"")</f>
        <v/>
      </c>
      <c r="I336" s="135">
        <f>IFERROR(IF($D336="","",VLOOKUP($D336,Cadastro!$C$4:$G$7,5,FALSE)),"")</f>
        <v>0.6</v>
      </c>
      <c r="J336" s="136" t="str">
        <f t="shared" si="72"/>
        <v/>
      </c>
      <c r="K336" s="28" t="str">
        <f t="shared" si="73"/>
        <v/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34</v>
      </c>
      <c r="D337" s="59" t="s">
        <v>35</v>
      </c>
      <c r="E337" s="108"/>
      <c r="F337" s="137">
        <f>IFERROR(IF($D337="","",VLOOKUP($D337,Cadastro!$C$4:$E$7,3,FALSE)),"")</f>
        <v>0.24</v>
      </c>
      <c r="G337" s="105"/>
      <c r="H337" s="137" t="str">
        <f>IFERROR(IF($G337="","",$G337*$S$338/$G$338/Cadastro!$E$33),"")</f>
        <v/>
      </c>
      <c r="I337" s="138">
        <f>IFERROR(IF($D337="","",VLOOKUP($D337,Cadastro!$C$4:$G$7,5,FALSE)),"")</f>
        <v>0.6</v>
      </c>
      <c r="J337" s="139" t="str">
        <f t="shared" si="72"/>
        <v/>
      </c>
      <c r="K337" s="34" t="str">
        <f t="shared" si="73"/>
        <v/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1" t="s">
        <v>241</v>
      </c>
      <c r="B338" s="152"/>
      <c r="C338" s="152"/>
      <c r="D338" s="152"/>
      <c r="E338" s="152">
        <f>SUM(E326:E337)</f>
        <v>0</v>
      </c>
      <c r="F338" s="110"/>
      <c r="G338" s="80">
        <f>SUM(G326:G337)</f>
        <v>46</v>
      </c>
      <c r="H338" s="110">
        <f>IFERROR(SUM(H326:H337),"")</f>
        <v>0</v>
      </c>
      <c r="I338" s="114"/>
      <c r="J338" s="123">
        <f>IFERROR(SUM(J326:J337),"")</f>
        <v>0</v>
      </c>
      <c r="K338" s="36">
        <f>SUM(K326:K337)</f>
        <v>230</v>
      </c>
      <c r="L338" s="37"/>
      <c r="M338" s="37"/>
      <c r="N338" s="37"/>
      <c r="O338" s="37"/>
      <c r="P338" s="37"/>
      <c r="Q338" s="38">
        <f ca="1">IFERROR(SUM(Q326:Q337),"")</f>
        <v>2.7796990741302985E-2</v>
      </c>
      <c r="R338" s="36" t="s">
        <v>242</v>
      </c>
      <c r="S338" s="39"/>
      <c r="T338" s="119">
        <f>IFERROR(J338,"")</f>
        <v>0</v>
      </c>
    </row>
    <row r="339" spans="1:20" ht="15" customHeight="1">
      <c r="A339" s="68">
        <v>46247</v>
      </c>
      <c r="B339" s="32">
        <v>0.83333333333333304</v>
      </c>
      <c r="C339" s="33"/>
      <c r="D339" s="62"/>
      <c r="E339" s="109"/>
      <c r="F339" s="140" t="str">
        <f>IFERROR(IF($D339="","",VLOOKUP($D339,Cadastro!$C$4:$E$7,3,FALSE)),"")</f>
        <v/>
      </c>
      <c r="G339" s="105"/>
      <c r="H339" s="140" t="str">
        <f>IFERROR(IF($G339="","",$G339*$S$351/$G$351/Cadastro!$E$33),"")</f>
        <v/>
      </c>
      <c r="I339" s="141" t="str">
        <f>IFERROR(IF($D339="","",VLOOKUP($D339,Cadastro!$C$4:$G$7,5,FALSE)),"")</f>
        <v/>
      </c>
      <c r="J339" s="142" t="str">
        <f t="shared" ref="J339:J350" si="76">IFERROR(IF($H339="","",$H339*$F339*$I339),"")</f>
        <v/>
      </c>
      <c r="K339" s="34" t="str">
        <f t="shared" ref="K339:K350" si="77">IF(G339="","",IF(E339="PC 17",G339*4.2,IF(E339="PC 19",G339*5,IF(E339="CB",G339*24,""))))</f>
        <v/>
      </c>
      <c r="L339" s="33"/>
      <c r="M339" s="33"/>
      <c r="N339" s="33"/>
      <c r="O339" s="29"/>
      <c r="P339" s="29"/>
      <c r="Q339" s="35" t="str">
        <f t="shared" ref="Q339:Q350" ca="1" si="78">IFERROR(IF(O339="","",IF(P339="",MOD(NOW()-O339,1),IF(P339&gt;=O339,P339-O339,P339+1-O339))),"")</f>
        <v/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/>
      <c r="D340" s="62"/>
      <c r="E340" s="109"/>
      <c r="F340" s="134" t="str">
        <f>IFERROR(IF($D340="","",VLOOKUP($D340,Cadastro!$C$4:$E$7,3,FALSE)),"")</f>
        <v/>
      </c>
      <c r="G340" s="105"/>
      <c r="H340" s="134" t="str">
        <f>IFERROR(IF($G340="","",$G340*$S$351/$G$351/Cadastro!$E$33),"")</f>
        <v/>
      </c>
      <c r="I340" s="135" t="str">
        <f>IFERROR(IF($D340="","",VLOOKUP($D340,Cadastro!$C$4:$G$7,5,FALSE)),"")</f>
        <v/>
      </c>
      <c r="J340" s="136" t="str">
        <f t="shared" si="76"/>
        <v/>
      </c>
      <c r="K340" s="28" t="str">
        <f t="shared" si="77"/>
        <v/>
      </c>
      <c r="L340" s="26"/>
      <c r="M340" s="26"/>
      <c r="N340" s="26"/>
      <c r="O340" s="29"/>
      <c r="P340" s="29"/>
      <c r="Q340" s="30" t="str">
        <f t="shared" ca="1" si="78"/>
        <v/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/>
      <c r="D341" s="62"/>
      <c r="E341" s="109"/>
      <c r="F341" s="134" t="str">
        <f>IFERROR(IF($D341="","",VLOOKUP($D341,Cadastro!$C$4:$E$7,3,FALSE)),"")</f>
        <v/>
      </c>
      <c r="G341" s="105"/>
      <c r="H341" s="134" t="str">
        <f>IFERROR(IF($G341="","",$G341*$S$351/$G$351/Cadastro!$E$33),"")</f>
        <v/>
      </c>
      <c r="I341" s="135" t="str">
        <f>IFERROR(IF($D341="","",VLOOKUP($D341,Cadastro!$C$4:$G$7,5,FALSE)),"")</f>
        <v/>
      </c>
      <c r="J341" s="136" t="str">
        <f t="shared" si="76"/>
        <v/>
      </c>
      <c r="K341" s="34" t="str">
        <f t="shared" si="77"/>
        <v/>
      </c>
      <c r="L341" s="33"/>
      <c r="M341" s="33"/>
      <c r="N341" s="33"/>
      <c r="O341" s="29"/>
      <c r="P341" s="29"/>
      <c r="Q341" s="35" t="str">
        <f t="shared" ca="1" si="78"/>
        <v/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/>
      <c r="D342" s="62"/>
      <c r="E342" s="109"/>
      <c r="F342" s="134" t="str">
        <f>IFERROR(IF($D342="","",VLOOKUP($D342,Cadastro!$C$4:$E$7,3,FALSE)),"")</f>
        <v/>
      </c>
      <c r="G342" s="105"/>
      <c r="H342" s="134" t="str">
        <f>IFERROR(IF($G342="","",$G342*$S$351/$G$351/Cadastro!$E$33),"")</f>
        <v/>
      </c>
      <c r="I342" s="135" t="str">
        <f>IFERROR(IF($D342="","",VLOOKUP($D342,Cadastro!$C$4:$G$7,5,FALSE)),"")</f>
        <v/>
      </c>
      <c r="J342" s="136" t="str">
        <f t="shared" si="76"/>
        <v/>
      </c>
      <c r="K342" s="28" t="str">
        <f t="shared" si="77"/>
        <v/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/>
      <c r="D343" s="62"/>
      <c r="E343" s="109"/>
      <c r="F343" s="134" t="str">
        <f>IFERROR(IF($D343="","",VLOOKUP($D343,Cadastro!$C$4:$E$7,3,FALSE)),"")</f>
        <v/>
      </c>
      <c r="G343" s="105"/>
      <c r="H343" s="134" t="str">
        <f>IFERROR(IF($G343="","",$G343*$S$351/$G$351/Cadastro!$E$33),"")</f>
        <v/>
      </c>
      <c r="I343" s="135" t="str">
        <f>IFERROR(IF($D343="","",VLOOKUP($D343,Cadastro!$C$4:$G$7,5,FALSE)),"")</f>
        <v/>
      </c>
      <c r="J343" s="136" t="str">
        <f t="shared" si="76"/>
        <v/>
      </c>
      <c r="K343" s="34" t="str">
        <f t="shared" si="77"/>
        <v/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/>
      <c r="D344" s="62"/>
      <c r="E344" s="109"/>
      <c r="F344" s="134" t="str">
        <f>IFERROR(IF($D344="","",VLOOKUP($D344,Cadastro!$C$4:$E$7,3,FALSE)),"")</f>
        <v/>
      </c>
      <c r="G344" s="105"/>
      <c r="H344" s="134" t="str">
        <f>IFERROR(IF($G344="","",$G344*$S$351/$G$351/Cadastro!$E$33),"")</f>
        <v/>
      </c>
      <c r="I344" s="135" t="str">
        <f>IFERROR(IF($D344="","",VLOOKUP($D344,Cadastro!$C$4:$G$7,5,FALSE)),"")</f>
        <v/>
      </c>
      <c r="J344" s="136" t="str">
        <f t="shared" si="76"/>
        <v/>
      </c>
      <c r="K344" s="28" t="str">
        <f t="shared" si="77"/>
        <v/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/>
      <c r="D345" s="62"/>
      <c r="E345" s="109"/>
      <c r="F345" s="134" t="str">
        <f>IFERROR(IF($D345="","",VLOOKUP($D345,Cadastro!$C$4:$E$7,3,FALSE)),"")</f>
        <v/>
      </c>
      <c r="G345" s="105"/>
      <c r="H345" s="134" t="str">
        <f>IFERROR(IF($G345="","",$G345*$S$351/$G$351/Cadastro!$E$33),"")</f>
        <v/>
      </c>
      <c r="I345" s="135" t="str">
        <f>IFERROR(IF($D345="","",VLOOKUP($D345,Cadastro!$C$4:$G$7,5,FALSE)),"")</f>
        <v/>
      </c>
      <c r="J345" s="136" t="str">
        <f t="shared" si="76"/>
        <v/>
      </c>
      <c r="K345" s="34" t="str">
        <f t="shared" si="77"/>
        <v/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/>
      <c r="D346" s="62"/>
      <c r="E346" s="109"/>
      <c r="F346" s="134" t="str">
        <f>IFERROR(IF($D346="","",VLOOKUP($D346,Cadastro!$C$4:$E$7,3,FALSE)),"")</f>
        <v/>
      </c>
      <c r="G346" s="105"/>
      <c r="H346" s="134" t="str">
        <f>IFERROR(IF($G346="","",$G346*$S$351/$G$351/Cadastro!$E$33),"")</f>
        <v/>
      </c>
      <c r="I346" s="135" t="str">
        <f>IFERROR(IF($D346="","",VLOOKUP($D346,Cadastro!$C$4:$G$7,5,FALSE)),"")</f>
        <v/>
      </c>
      <c r="J346" s="136" t="str">
        <f t="shared" si="76"/>
        <v/>
      </c>
      <c r="K346" s="28" t="str">
        <f t="shared" si="77"/>
        <v/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/>
      <c r="D347" s="62"/>
      <c r="E347" s="109"/>
      <c r="F347" s="134" t="str">
        <f>IFERROR(IF($D347="","",VLOOKUP($D347,Cadastro!$C$4:$E$7,3,FALSE)),"")</f>
        <v/>
      </c>
      <c r="G347" s="105"/>
      <c r="H347" s="134" t="str">
        <f>IFERROR(IF($G347="","",$G347*$S$351/$G$351/Cadastro!$E$33),"")</f>
        <v/>
      </c>
      <c r="I347" s="135" t="str">
        <f>IFERROR(IF($D347="","",VLOOKUP($D347,Cadastro!$C$4:$G$7,5,FALSE)),"")</f>
        <v/>
      </c>
      <c r="J347" s="136" t="str">
        <f t="shared" si="76"/>
        <v/>
      </c>
      <c r="K347" s="34" t="str">
        <f t="shared" si="77"/>
        <v/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/>
      <c r="D348" s="62"/>
      <c r="E348" s="109"/>
      <c r="F348" s="134" t="str">
        <f>IFERROR(IF($D348="","",VLOOKUP($D348,Cadastro!$C$4:$E$7,3,FALSE)),"")</f>
        <v/>
      </c>
      <c r="G348" s="105"/>
      <c r="H348" s="134" t="str">
        <f>IFERROR(IF($G348="","",$G348*$S$351/$G$351/Cadastro!$E$33),"")</f>
        <v/>
      </c>
      <c r="I348" s="135" t="str">
        <f>IFERROR(IF($D348="","",VLOOKUP($D348,Cadastro!$C$4:$G$7,5,FALSE)),"")</f>
        <v/>
      </c>
      <c r="J348" s="136" t="str">
        <f t="shared" si="76"/>
        <v/>
      </c>
      <c r="K348" s="28" t="str">
        <f t="shared" si="77"/>
        <v/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/>
      <c r="D349" s="62"/>
      <c r="E349" s="109"/>
      <c r="F349" s="134" t="str">
        <f>IFERROR(IF($D349="","",VLOOKUP($D349,Cadastro!$C$4:$E$7,3,FALSE)),"")</f>
        <v/>
      </c>
      <c r="G349" s="105"/>
      <c r="H349" s="134" t="str">
        <f>IFERROR(IF($G349="","",$G349*$S$351/$G$351/Cadastro!$E$33),"")</f>
        <v/>
      </c>
      <c r="I349" s="135" t="str">
        <f>IFERROR(IF($D349="","",VLOOKUP($D349,Cadastro!$C$4:$G$7,5,FALSE)),"")</f>
        <v/>
      </c>
      <c r="J349" s="136" t="str">
        <f t="shared" si="76"/>
        <v/>
      </c>
      <c r="K349" s="34" t="str">
        <f t="shared" si="77"/>
        <v/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/>
      <c r="D350" s="62"/>
      <c r="E350" s="109"/>
      <c r="F350" s="137" t="str">
        <f>IFERROR(IF($D350="","",VLOOKUP($D350,Cadastro!$C$4:$E$7,3,FALSE)),"")</f>
        <v/>
      </c>
      <c r="G350" s="105"/>
      <c r="H350" s="137" t="str">
        <f>IFERROR(IF($G350="","",$G350*$S$351/$G$351/Cadastro!$E$33),"")</f>
        <v/>
      </c>
      <c r="I350" s="138" t="str">
        <f>IFERROR(IF($D350="","",VLOOKUP($D350,Cadastro!$C$4:$G$7,5,FALSE)),"")</f>
        <v/>
      </c>
      <c r="J350" s="139" t="str">
        <f t="shared" si="76"/>
        <v/>
      </c>
      <c r="K350" s="28" t="str">
        <f t="shared" si="77"/>
        <v/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1" t="s">
        <v>244</v>
      </c>
      <c r="B351" s="152"/>
      <c r="C351" s="152"/>
      <c r="D351" s="152"/>
      <c r="E351" s="152">
        <f>SUM(E339:E350)</f>
        <v>0</v>
      </c>
      <c r="F351" s="111"/>
      <c r="G351" s="80">
        <f>SUM(G339:G350)</f>
        <v>0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0</v>
      </c>
      <c r="L351" s="37"/>
      <c r="M351" s="37"/>
      <c r="N351" s="37"/>
      <c r="O351" s="37"/>
      <c r="P351" s="37"/>
      <c r="Q351" s="38">
        <f ca="1">IFERROR(SUM(Q339:Q350),"")</f>
        <v>0</v>
      </c>
      <c r="R351" s="36" t="s">
        <v>242</v>
      </c>
      <c r="S351" s="39"/>
      <c r="T351" s="119">
        <f>IFERROR(J351,"")</f>
        <v>0</v>
      </c>
    </row>
    <row r="352" spans="1:20" ht="18" customHeight="1">
      <c r="A352" s="153" t="s">
        <v>245</v>
      </c>
      <c r="B352" s="154"/>
      <c r="C352" s="154"/>
      <c r="D352" s="154"/>
      <c r="E352" s="154">
        <f>E338+E351</f>
        <v>0</v>
      </c>
      <c r="F352" s="112"/>
      <c r="G352" s="91">
        <f>G338+G351</f>
        <v>46</v>
      </c>
      <c r="H352" s="112">
        <f>IFERROR(H338+H351,"")</f>
        <v>0</v>
      </c>
      <c r="I352" s="116"/>
      <c r="J352" s="125">
        <f>IFERROR(J338+J351,"")</f>
        <v>0</v>
      </c>
      <c r="K352" s="40">
        <f>K338+K351</f>
        <v>230</v>
      </c>
      <c r="L352" s="41"/>
      <c r="M352" s="41"/>
      <c r="N352" s="41"/>
      <c r="O352" s="41"/>
      <c r="P352" s="41"/>
      <c r="Q352" s="42">
        <f ca="1">IFERROR(Q338+Q351,"")</f>
        <v>2.7796990741302985E-2</v>
      </c>
      <c r="R352" s="40" t="s">
        <v>246</v>
      </c>
      <c r="S352" s="48">
        <f>IFERROR(S338+S351,"")</f>
        <v>0</v>
      </c>
      <c r="T352" s="121">
        <f>IFERROR(J352,"")</f>
        <v>0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0">IFERROR(IF($H353="","",$H353*$F353*$I353),"")</f>
        <v/>
      </c>
      <c r="K353" s="34" t="str">
        <f t="shared" ref="K353:K364" si="81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2">IFERROR(IF(O353="","",IF(P353="",MOD(NOW()-O353,1),IF(P353&gt;=O353,P353-O353,P353+1-O353))),"")</f>
        <v/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0"/>
        <v/>
      </c>
      <c r="K354" s="28" t="str">
        <f t="shared" si="81"/>
        <v/>
      </c>
      <c r="L354" s="26"/>
      <c r="M354" s="26"/>
      <c r="N354" s="26"/>
      <c r="O354" s="29"/>
      <c r="P354" s="29"/>
      <c r="Q354" s="30" t="str">
        <f t="shared" ca="1" si="82"/>
        <v/>
      </c>
      <c r="R354" s="46"/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0"/>
        <v/>
      </c>
      <c r="K355" s="34" t="str">
        <f t="shared" si="81"/>
        <v/>
      </c>
      <c r="L355" s="33"/>
      <c r="M355" s="33"/>
      <c r="N355" s="33"/>
      <c r="O355" s="29"/>
      <c r="P355" s="29"/>
      <c r="Q355" s="35" t="str">
        <f t="shared" ca="1" si="82"/>
        <v/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0"/>
        <v/>
      </c>
      <c r="K356" s="28" t="str">
        <f t="shared" si="81"/>
        <v/>
      </c>
      <c r="L356" s="26"/>
      <c r="M356" s="26"/>
      <c r="N356" s="26"/>
      <c r="O356" s="29"/>
      <c r="P356" s="29"/>
      <c r="Q356" s="30" t="str">
        <f t="shared" ca="1" si="82"/>
        <v/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0"/>
        <v/>
      </c>
      <c r="K357" s="34" t="str">
        <f t="shared" si="81"/>
        <v/>
      </c>
      <c r="L357" s="33"/>
      <c r="M357" s="33"/>
      <c r="N357" s="33"/>
      <c r="O357" s="29"/>
      <c r="P357" s="29"/>
      <c r="Q357" s="35" t="str">
        <f t="shared" ca="1" si="82"/>
        <v/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0"/>
        <v/>
      </c>
      <c r="K358" s="28" t="str">
        <f t="shared" si="81"/>
        <v/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0"/>
        <v/>
      </c>
      <c r="K359" s="34" t="str">
        <f t="shared" si="81"/>
        <v/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0"/>
        <v/>
      </c>
      <c r="K360" s="28" t="str">
        <f t="shared" si="81"/>
        <v/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0"/>
        <v/>
      </c>
      <c r="K361" s="34" t="str">
        <f t="shared" si="81"/>
        <v/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0"/>
        <v/>
      </c>
      <c r="K362" s="28" t="str">
        <f t="shared" si="81"/>
        <v/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0"/>
        <v/>
      </c>
      <c r="K363" s="34" t="str">
        <f t="shared" si="81"/>
        <v/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0"/>
        <v/>
      </c>
      <c r="K364" s="28" t="str">
        <f t="shared" si="81"/>
        <v/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1" t="s">
        <v>241</v>
      </c>
      <c r="B365" s="152"/>
      <c r="C365" s="152"/>
      <c r="D365" s="152"/>
      <c r="E365" s="152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37"/>
      <c r="P365" s="37"/>
      <c r="Q365" s="38">
        <f ca="1">IFERROR(SUM(Q353:Q364),"")</f>
        <v>0</v>
      </c>
      <c r="R365" s="36" t="s">
        <v>242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4">IFERROR(IF($H366="","",$H366*$F366*$I366),"")</f>
        <v/>
      </c>
      <c r="K366" s="28" t="str">
        <f t="shared" ref="K366:K377" si="85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6">IFERROR(IF(O366="","",IF(P366="",MOD(NOW()-O366,1),IF(P366&gt;=O366,P366-O366,P366+1-O366))),"")</f>
        <v/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4"/>
        <v/>
      </c>
      <c r="K367" s="34" t="str">
        <f t="shared" si="85"/>
        <v/>
      </c>
      <c r="L367" s="33"/>
      <c r="M367" s="33"/>
      <c r="N367" s="33"/>
      <c r="O367" s="29"/>
      <c r="P367" s="29"/>
      <c r="Q367" s="35" t="str">
        <f t="shared" ca="1" si="86"/>
        <v/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4"/>
        <v/>
      </c>
      <c r="K368" s="28" t="str">
        <f t="shared" si="85"/>
        <v/>
      </c>
      <c r="L368" s="26"/>
      <c r="M368" s="26"/>
      <c r="N368" s="26"/>
      <c r="O368" s="29"/>
      <c r="P368" s="29"/>
      <c r="Q368" s="30" t="str">
        <f t="shared" ca="1" si="86"/>
        <v/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4"/>
        <v/>
      </c>
      <c r="K369" s="34" t="str">
        <f t="shared" si="85"/>
        <v/>
      </c>
      <c r="L369" s="33"/>
      <c r="M369" s="33"/>
      <c r="N369" s="33"/>
      <c r="O369" s="29"/>
      <c r="P369" s="29"/>
      <c r="Q369" s="35" t="str">
        <f t="shared" ca="1" si="86"/>
        <v/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4"/>
        <v/>
      </c>
      <c r="K370" s="28" t="str">
        <f t="shared" si="85"/>
        <v/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4"/>
        <v/>
      </c>
      <c r="K371" s="34" t="str">
        <f t="shared" si="85"/>
        <v/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4"/>
        <v/>
      </c>
      <c r="K372" s="28" t="str">
        <f t="shared" si="85"/>
        <v/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4"/>
        <v/>
      </c>
      <c r="K373" s="34" t="str">
        <f t="shared" si="85"/>
        <v/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4"/>
        <v/>
      </c>
      <c r="K374" s="28" t="str">
        <f t="shared" si="85"/>
        <v/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4"/>
        <v/>
      </c>
      <c r="K375" s="34" t="str">
        <f t="shared" si="85"/>
        <v/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4"/>
        <v/>
      </c>
      <c r="K376" s="28" t="str">
        <f t="shared" si="85"/>
        <v/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4"/>
        <v/>
      </c>
      <c r="K377" s="34" t="str">
        <f t="shared" si="85"/>
        <v/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1" t="s">
        <v>244</v>
      </c>
      <c r="B378" s="152"/>
      <c r="C378" s="152"/>
      <c r="D378" s="152"/>
      <c r="E378" s="15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242</v>
      </c>
      <c r="S378" s="39"/>
      <c r="T378" s="119">
        <f>IFERROR(J378,"")</f>
        <v>0</v>
      </c>
    </row>
    <row r="379" spans="1:20" ht="18" customHeight="1">
      <c r="A379" s="153" t="s">
        <v>245</v>
      </c>
      <c r="B379" s="154"/>
      <c r="C379" s="154"/>
      <c r="D379" s="154"/>
      <c r="E379" s="154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41"/>
      <c r="P379" s="41"/>
      <c r="Q379" s="42">
        <f ca="1">IFERROR(Q365+Q378,"")</f>
        <v>0</v>
      </c>
      <c r="R379" s="40" t="s">
        <v>246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88">IFERROR(IF($H380="","",$H380*$F380*$I380),"")</f>
        <v/>
      </c>
      <c r="K380" s="28" t="str">
        <f t="shared" ref="K380:K391" si="89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0">IFERROR(IF(O380="","",IF(P380="",MOD(NOW()-O380,1),IF(P380&gt;=O380,P380-O380,P380+1-O380))),"")</f>
        <v/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/>
      <c r="D381" s="59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88"/>
        <v/>
      </c>
      <c r="K381" s="34" t="str">
        <f>IF(G381="","",IF(E382="PC 17",G381*4.2,IF(E382="PC 19",G381*5,"")))</f>
        <v/>
      </c>
      <c r="L381" s="33"/>
      <c r="M381" s="33"/>
      <c r="N381" s="33"/>
      <c r="O381" s="29"/>
      <c r="P381" s="29"/>
      <c r="Q381" s="35" t="str">
        <f t="shared" ca="1" si="90"/>
        <v/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88"/>
        <v/>
      </c>
      <c r="K382" s="28"/>
      <c r="L382" s="26"/>
      <c r="M382" s="26"/>
      <c r="N382" s="33"/>
      <c r="O382" s="29"/>
      <c r="P382" s="29"/>
      <c r="Q382" s="30" t="str">
        <f t="shared" ca="1" si="90"/>
        <v/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88"/>
        <v/>
      </c>
      <c r="K383" s="34" t="str">
        <f t="shared" si="89"/>
        <v/>
      </c>
      <c r="L383" s="33"/>
      <c r="M383" s="33"/>
      <c r="N383" s="33"/>
      <c r="O383" s="29"/>
      <c r="P383" s="29"/>
      <c r="Q383" s="35" t="str">
        <f t="shared" ca="1" si="90"/>
        <v/>
      </c>
      <c r="R383" s="27"/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88"/>
        <v/>
      </c>
      <c r="K384" s="28" t="str">
        <f t="shared" si="89"/>
        <v/>
      </c>
      <c r="L384" s="26"/>
      <c r="M384" s="26"/>
      <c r="N384" s="26"/>
      <c r="O384" s="29"/>
      <c r="P384" s="29"/>
      <c r="Q384" s="30" t="str">
        <f t="shared" ca="1" si="90"/>
        <v/>
      </c>
      <c r="R384" s="27"/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88"/>
        <v/>
      </c>
      <c r="K385" s="34" t="str">
        <f t="shared" si="89"/>
        <v/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88"/>
        <v/>
      </c>
      <c r="K386" s="28" t="str">
        <f t="shared" si="89"/>
        <v/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88"/>
        <v/>
      </c>
      <c r="K387" s="34" t="str">
        <f t="shared" si="89"/>
        <v/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88"/>
        <v/>
      </c>
      <c r="K388" s="28" t="str">
        <f t="shared" si="89"/>
        <v/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88"/>
        <v/>
      </c>
      <c r="K389" s="34" t="str">
        <f t="shared" si="89"/>
        <v/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88"/>
        <v/>
      </c>
      <c r="K390" s="28" t="str">
        <f t="shared" si="89"/>
        <v/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88"/>
        <v/>
      </c>
      <c r="K391" s="34" t="str">
        <f t="shared" si="89"/>
        <v/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1" t="s">
        <v>241</v>
      </c>
      <c r="B392" s="152"/>
      <c r="C392" s="152"/>
      <c r="D392" s="152"/>
      <c r="E392" s="15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242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1" t="s">
        <v>244</v>
      </c>
      <c r="B405" s="152"/>
      <c r="C405" s="152"/>
      <c r="D405" s="152"/>
      <c r="E405" s="15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242</v>
      </c>
      <c r="S405" s="39"/>
      <c r="T405" s="119">
        <f>IFERROR(J405,"")</f>
        <v>0</v>
      </c>
    </row>
    <row r="406" spans="1:20" ht="18" customHeight="1">
      <c r="A406" s="153" t="s">
        <v>245</v>
      </c>
      <c r="B406" s="154"/>
      <c r="C406" s="154"/>
      <c r="D406" s="154"/>
      <c r="E406" s="154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246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1" t="s">
        <v>241</v>
      </c>
      <c r="B419" s="152"/>
      <c r="C419" s="152"/>
      <c r="D419" s="152"/>
      <c r="E419" s="15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242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1" t="s">
        <v>244</v>
      </c>
      <c r="B432" s="152"/>
      <c r="C432" s="152"/>
      <c r="D432" s="152"/>
      <c r="E432" s="152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242</v>
      </c>
      <c r="S432" s="39"/>
      <c r="T432" s="119">
        <f>IFERROR(J432,"")</f>
        <v>0</v>
      </c>
    </row>
    <row r="433" spans="1:20" ht="18" customHeight="1">
      <c r="A433" s="153" t="s">
        <v>245</v>
      </c>
      <c r="B433" s="154"/>
      <c r="C433" s="154"/>
      <c r="D433" s="154"/>
      <c r="E433" s="154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246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1" t="s">
        <v>241</v>
      </c>
      <c r="B446" s="152"/>
      <c r="C446" s="152"/>
      <c r="D446" s="152"/>
      <c r="E446" s="15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242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1" t="s">
        <v>244</v>
      </c>
      <c r="B459" s="152"/>
      <c r="C459" s="152"/>
      <c r="D459" s="152"/>
      <c r="E459" s="15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242</v>
      </c>
      <c r="S459" s="39"/>
      <c r="T459" s="119">
        <f>IFERROR(J459,"")</f>
        <v>0</v>
      </c>
    </row>
    <row r="460" spans="1:20" ht="18" customHeight="1">
      <c r="A460" s="153" t="s">
        <v>245</v>
      </c>
      <c r="B460" s="154"/>
      <c r="C460" s="154"/>
      <c r="D460" s="154"/>
      <c r="E460" s="154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246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1" t="s">
        <v>241</v>
      </c>
      <c r="B473" s="152"/>
      <c r="C473" s="152"/>
      <c r="D473" s="152"/>
      <c r="E473" s="15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242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1" t="s">
        <v>244</v>
      </c>
      <c r="B486" s="152"/>
      <c r="C486" s="152"/>
      <c r="D486" s="152"/>
      <c r="E486" s="15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242</v>
      </c>
      <c r="S486" s="39"/>
      <c r="T486" s="119">
        <f>IFERROR(J486,"")</f>
        <v>0</v>
      </c>
    </row>
    <row r="487" spans="1:20" ht="18" customHeight="1">
      <c r="A487" s="153" t="s">
        <v>245</v>
      </c>
      <c r="B487" s="154"/>
      <c r="C487" s="154"/>
      <c r="D487" s="154"/>
      <c r="E487" s="15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246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1" t="s">
        <v>241</v>
      </c>
      <c r="B500" s="152"/>
      <c r="C500" s="152"/>
      <c r="D500" s="152"/>
      <c r="E500" s="15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242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1" t="s">
        <v>244</v>
      </c>
      <c r="B513" s="152"/>
      <c r="C513" s="152"/>
      <c r="D513" s="152"/>
      <c r="E513" s="152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242</v>
      </c>
      <c r="S513" s="39"/>
      <c r="T513" s="119">
        <f>IFERROR(J513,"")</f>
        <v>0</v>
      </c>
    </row>
    <row r="514" spans="1:20" ht="18" customHeight="1">
      <c r="A514" s="153" t="s">
        <v>245</v>
      </c>
      <c r="B514" s="154"/>
      <c r="C514" s="154"/>
      <c r="D514" s="154"/>
      <c r="E514" s="154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246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1" t="s">
        <v>241</v>
      </c>
      <c r="B527" s="152"/>
      <c r="C527" s="152"/>
      <c r="D527" s="152"/>
      <c r="E527" s="15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242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1" t="s">
        <v>244</v>
      </c>
      <c r="B540" s="152"/>
      <c r="C540" s="152"/>
      <c r="D540" s="152"/>
      <c r="E540" s="15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242</v>
      </c>
      <c r="S540" s="39"/>
      <c r="T540" s="119">
        <f>IFERROR(J540,"")</f>
        <v>0</v>
      </c>
    </row>
    <row r="541" spans="1:20" ht="18" customHeight="1">
      <c r="A541" s="153" t="s">
        <v>245</v>
      </c>
      <c r="B541" s="154"/>
      <c r="C541" s="154"/>
      <c r="D541" s="154"/>
      <c r="E541" s="15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246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1" t="s">
        <v>241</v>
      </c>
      <c r="B554" s="152"/>
      <c r="C554" s="152"/>
      <c r="D554" s="152"/>
      <c r="E554" s="15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242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1" t="s">
        <v>244</v>
      </c>
      <c r="B567" s="152"/>
      <c r="C567" s="152"/>
      <c r="D567" s="152"/>
      <c r="E567" s="15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242</v>
      </c>
      <c r="S567" s="39"/>
      <c r="T567" s="119">
        <f>IFERROR(J567,"")</f>
        <v>0</v>
      </c>
    </row>
    <row r="568" spans="1:20" ht="18" customHeight="1">
      <c r="A568" s="153" t="s">
        <v>245</v>
      </c>
      <c r="B568" s="154"/>
      <c r="C568" s="154"/>
      <c r="D568" s="154"/>
      <c r="E568" s="15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246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1" t="s">
        <v>241</v>
      </c>
      <c r="B581" s="152"/>
      <c r="C581" s="152"/>
      <c r="D581" s="152"/>
      <c r="E581" s="15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242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1" t="s">
        <v>244</v>
      </c>
      <c r="B594" s="152"/>
      <c r="C594" s="152"/>
      <c r="D594" s="152"/>
      <c r="E594" s="15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242</v>
      </c>
      <c r="S594" s="39"/>
      <c r="T594" s="119">
        <f>IFERROR(J594,"")</f>
        <v>0</v>
      </c>
    </row>
    <row r="595" spans="1:20" ht="18" customHeight="1">
      <c r="A595" s="153" t="s">
        <v>245</v>
      </c>
      <c r="B595" s="154"/>
      <c r="C595" s="154"/>
      <c r="D595" s="154"/>
      <c r="E595" s="15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246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1" t="s">
        <v>241</v>
      </c>
      <c r="B608" s="152"/>
      <c r="C608" s="152"/>
      <c r="D608" s="152"/>
      <c r="E608" s="15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242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1" t="s">
        <v>244</v>
      </c>
      <c r="B621" s="152"/>
      <c r="C621" s="152"/>
      <c r="D621" s="152"/>
      <c r="E621" s="15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242</v>
      </c>
      <c r="S621" s="39"/>
      <c r="T621" s="119">
        <f>IFERROR(J621,"")</f>
        <v>0</v>
      </c>
    </row>
    <row r="622" spans="1:20" ht="18" customHeight="1">
      <c r="A622" s="153" t="s">
        <v>245</v>
      </c>
      <c r="B622" s="154"/>
      <c r="C622" s="154"/>
      <c r="D622" s="154"/>
      <c r="E622" s="15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246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1" t="s">
        <v>241</v>
      </c>
      <c r="B635" s="152"/>
      <c r="C635" s="152"/>
      <c r="D635" s="152"/>
      <c r="E635" s="15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242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1" t="s">
        <v>244</v>
      </c>
      <c r="B648" s="152"/>
      <c r="C648" s="152"/>
      <c r="D648" s="152"/>
      <c r="E648" s="15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242</v>
      </c>
      <c r="S648" s="39"/>
      <c r="T648" s="119">
        <f>IFERROR(J648,"")</f>
        <v>0</v>
      </c>
    </row>
    <row r="649" spans="1:20" ht="18" customHeight="1">
      <c r="A649" s="153" t="s">
        <v>245</v>
      </c>
      <c r="B649" s="154"/>
      <c r="C649" s="154"/>
      <c r="D649" s="154"/>
      <c r="E649" s="15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246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1" t="s">
        <v>241</v>
      </c>
      <c r="B662" s="152"/>
      <c r="C662" s="152"/>
      <c r="D662" s="152"/>
      <c r="E662" s="15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242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1" t="s">
        <v>244</v>
      </c>
      <c r="B675" s="152"/>
      <c r="C675" s="152"/>
      <c r="D675" s="152"/>
      <c r="E675" s="15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242</v>
      </c>
      <c r="S675" s="39"/>
      <c r="T675" s="119">
        <f>IFERROR(J675,"")</f>
        <v>0</v>
      </c>
    </row>
    <row r="676" spans="1:20" ht="18" customHeight="1">
      <c r="A676" s="153" t="s">
        <v>245</v>
      </c>
      <c r="B676" s="154"/>
      <c r="C676" s="154"/>
      <c r="D676" s="154"/>
      <c r="E676" s="15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246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1" t="s">
        <v>241</v>
      </c>
      <c r="B689" s="152"/>
      <c r="C689" s="152"/>
      <c r="D689" s="152"/>
      <c r="E689" s="15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242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1" t="s">
        <v>244</v>
      </c>
      <c r="B702" s="152"/>
      <c r="C702" s="152"/>
      <c r="D702" s="152"/>
      <c r="E702" s="15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242</v>
      </c>
      <c r="S702" s="39"/>
      <c r="T702" s="119">
        <f>IFERROR(J702,"")</f>
        <v>0</v>
      </c>
    </row>
    <row r="703" spans="1:20" ht="18" customHeight="1">
      <c r="A703" s="153" t="s">
        <v>245</v>
      </c>
      <c r="B703" s="154"/>
      <c r="C703" s="154"/>
      <c r="D703" s="154"/>
      <c r="E703" s="15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246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1" t="s">
        <v>241</v>
      </c>
      <c r="B716" s="152"/>
      <c r="C716" s="152"/>
      <c r="D716" s="152"/>
      <c r="E716" s="15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242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1" t="s">
        <v>244</v>
      </c>
      <c r="B729" s="152"/>
      <c r="C729" s="152"/>
      <c r="D729" s="152"/>
      <c r="E729" s="15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242</v>
      </c>
      <c r="S729" s="39"/>
      <c r="T729" s="119">
        <f>IFERROR(J729,"")</f>
        <v>0</v>
      </c>
    </row>
    <row r="730" spans="1:20" ht="18" customHeight="1">
      <c r="A730" s="153" t="s">
        <v>245</v>
      </c>
      <c r="B730" s="154"/>
      <c r="C730" s="154"/>
      <c r="D730" s="154"/>
      <c r="E730" s="15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246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1" t="s">
        <v>241</v>
      </c>
      <c r="B743" s="152"/>
      <c r="C743" s="152"/>
      <c r="D743" s="152"/>
      <c r="E743" s="15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242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1" t="s">
        <v>244</v>
      </c>
      <c r="B756" s="152"/>
      <c r="C756" s="152"/>
      <c r="D756" s="152"/>
      <c r="E756" s="15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3" t="s">
        <v>245</v>
      </c>
      <c r="B757" s="154"/>
      <c r="C757" s="154"/>
      <c r="D757" s="154"/>
      <c r="E757" s="15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246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1" t="s">
        <v>241</v>
      </c>
      <c r="B770" s="152"/>
      <c r="C770" s="152"/>
      <c r="D770" s="152"/>
      <c r="E770" s="15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242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1" t="s">
        <v>244</v>
      </c>
      <c r="B783" s="152"/>
      <c r="C783" s="152"/>
      <c r="D783" s="152"/>
      <c r="E783" s="15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3" t="s">
        <v>245</v>
      </c>
      <c r="B784" s="154"/>
      <c r="C784" s="154"/>
      <c r="D784" s="154"/>
      <c r="E784" s="15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246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1" t="s">
        <v>241</v>
      </c>
      <c r="B797" s="152"/>
      <c r="C797" s="152"/>
      <c r="D797" s="152"/>
      <c r="E797" s="15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242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1" t="s">
        <v>244</v>
      </c>
      <c r="B810" s="152"/>
      <c r="C810" s="152"/>
      <c r="D810" s="152"/>
      <c r="E810" s="15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3" t="s">
        <v>245</v>
      </c>
      <c r="B811" s="154"/>
      <c r="C811" s="154"/>
      <c r="D811" s="154"/>
      <c r="E811" s="15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246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1" t="s">
        <v>241</v>
      </c>
      <c r="B824" s="152"/>
      <c r="C824" s="152"/>
      <c r="D824" s="152"/>
      <c r="E824" s="15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242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1" t="s">
        <v>244</v>
      </c>
      <c r="B837" s="152"/>
      <c r="C837" s="152"/>
      <c r="D837" s="152"/>
      <c r="E837" s="15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242</v>
      </c>
      <c r="S837" s="39"/>
      <c r="T837" s="119">
        <f>IFERROR(J837,"")</f>
        <v>0</v>
      </c>
    </row>
    <row r="838" spans="1:20" ht="18" customHeight="1">
      <c r="A838" s="153" t="s">
        <v>245</v>
      </c>
      <c r="B838" s="154"/>
      <c r="C838" s="154"/>
      <c r="D838" s="154"/>
      <c r="E838" s="15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246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08" activePane="bottomLeft" state="frozen"/>
      <selection pane="bottomLeft" activeCell="G331" sqref="G331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265</v>
      </c>
      <c r="I1" s="133" t="s">
        <v>18</v>
      </c>
      <c r="J1" s="133" t="s">
        <v>266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266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24</v>
      </c>
      <c r="M2" s="26" t="s">
        <v>57</v>
      </c>
      <c r="N2" s="26" t="s">
        <v>32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25</v>
      </c>
      <c r="M3" s="33" t="s">
        <v>62</v>
      </c>
      <c r="N3" s="33" t="s">
        <v>33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25</v>
      </c>
      <c r="M4" s="26" t="s">
        <v>62</v>
      </c>
      <c r="N4" s="26" t="s">
        <v>33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1" t="s">
        <v>241</v>
      </c>
      <c r="B14" s="152"/>
      <c r="C14" s="152"/>
      <c r="D14" s="152"/>
      <c r="E14" s="152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242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43</v>
      </c>
      <c r="E15" s="109" t="s">
        <v>256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25</v>
      </c>
      <c r="M15" s="33" t="s">
        <v>57</v>
      </c>
      <c r="N15" s="33" t="s">
        <v>67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43</v>
      </c>
      <c r="E16" s="109" t="s">
        <v>256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24</v>
      </c>
      <c r="M16" s="26" t="s">
        <v>62</v>
      </c>
      <c r="N16" s="26" t="s">
        <v>32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311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43</v>
      </c>
      <c r="E17" s="109" t="s">
        <v>256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24</v>
      </c>
      <c r="M17" s="33" t="s">
        <v>57</v>
      </c>
      <c r="N17" s="33" t="s">
        <v>32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273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43</v>
      </c>
      <c r="E18" s="109" t="s">
        <v>256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23</v>
      </c>
      <c r="M18" s="26" t="s">
        <v>57</v>
      </c>
      <c r="N18" s="26" t="s">
        <v>135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294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43</v>
      </c>
      <c r="E19" s="109" t="s">
        <v>256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23</v>
      </c>
      <c r="M19" s="33" t="s">
        <v>57</v>
      </c>
      <c r="N19" s="33" t="s">
        <v>135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312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43</v>
      </c>
      <c r="E20" s="109" t="s">
        <v>256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25</v>
      </c>
      <c r="M20" s="26" t="s">
        <v>62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43</v>
      </c>
      <c r="E21" s="109" t="s">
        <v>256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25</v>
      </c>
      <c r="M21" s="33" t="s">
        <v>62</v>
      </c>
      <c r="N21" s="33" t="s">
        <v>67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43</v>
      </c>
      <c r="E22" s="109" t="s">
        <v>256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25</v>
      </c>
      <c r="M22" s="26"/>
      <c r="N22" s="26" t="s">
        <v>167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313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43</v>
      </c>
      <c r="E23" s="109" t="s">
        <v>256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43</v>
      </c>
      <c r="E24" s="109" t="s">
        <v>256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34</v>
      </c>
      <c r="D25" s="62" t="s">
        <v>43</v>
      </c>
      <c r="E25" s="109" t="s">
        <v>256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34</v>
      </c>
      <c r="D26" s="62" t="s">
        <v>43</v>
      </c>
      <c r="E26" s="109" t="s">
        <v>256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1" t="s">
        <v>244</v>
      </c>
      <c r="B27" s="152"/>
      <c r="C27" s="152"/>
      <c r="D27" s="152"/>
      <c r="E27" s="152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242</v>
      </c>
      <c r="S27" s="39">
        <v>491520</v>
      </c>
      <c r="T27" s="119">
        <f>IFERROR(J27,"")</f>
        <v>0</v>
      </c>
    </row>
    <row r="28" spans="1:20" ht="18" customHeight="1">
      <c r="A28" s="153" t="s">
        <v>245</v>
      </c>
      <c r="B28" s="154"/>
      <c r="C28" s="154"/>
      <c r="D28" s="154"/>
      <c r="E28" s="154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246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43</v>
      </c>
      <c r="E29" s="108" t="s">
        <v>256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24</v>
      </c>
      <c r="M29" s="33" t="s">
        <v>62</v>
      </c>
      <c r="N29" s="33" t="s">
        <v>32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43</v>
      </c>
      <c r="E30" s="108" t="s">
        <v>256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43</v>
      </c>
      <c r="E31" s="108" t="s">
        <v>256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43</v>
      </c>
      <c r="E32" s="108" t="s">
        <v>256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43</v>
      </c>
      <c r="E33" s="108" t="s">
        <v>256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43</v>
      </c>
      <c r="E34" s="108" t="s">
        <v>256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43</v>
      </c>
      <c r="E35" s="108" t="s">
        <v>256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43</v>
      </c>
      <c r="E36" s="108" t="s">
        <v>256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43</v>
      </c>
      <c r="E37" s="108" t="s">
        <v>256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43</v>
      </c>
      <c r="E38" s="108" t="s">
        <v>256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43</v>
      </c>
      <c r="E39" s="108" t="s">
        <v>256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43</v>
      </c>
      <c r="E40" s="108" t="s">
        <v>256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1" t="s">
        <v>241</v>
      </c>
      <c r="B41" s="152"/>
      <c r="C41" s="152"/>
      <c r="D41" s="152"/>
      <c r="E41" s="152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242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25</v>
      </c>
      <c r="M42" s="26" t="s">
        <v>57</v>
      </c>
      <c r="N42" s="26" t="s">
        <v>56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25</v>
      </c>
      <c r="M43" s="33" t="s">
        <v>62</v>
      </c>
      <c r="N43" s="33" t="s">
        <v>56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24</v>
      </c>
      <c r="M44" s="26" t="s">
        <v>57</v>
      </c>
      <c r="N44" s="26" t="s">
        <v>32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25</v>
      </c>
      <c r="M45" s="33" t="s">
        <v>62</v>
      </c>
      <c r="N45" s="33" t="s">
        <v>67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314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25</v>
      </c>
      <c r="M46" s="26" t="s">
        <v>62</v>
      </c>
      <c r="N46" s="26" t="s">
        <v>41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24</v>
      </c>
      <c r="M47" s="33" t="s">
        <v>62</v>
      </c>
      <c r="N47" s="33" t="s">
        <v>32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25</v>
      </c>
      <c r="M48" s="26" t="s">
        <v>62</v>
      </c>
      <c r="N48" s="26" t="s">
        <v>33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1" t="s">
        <v>244</v>
      </c>
      <c r="B54" s="152"/>
      <c r="C54" s="152"/>
      <c r="D54" s="152"/>
      <c r="E54" s="152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242</v>
      </c>
      <c r="S54" s="39">
        <v>352430</v>
      </c>
      <c r="T54" s="119">
        <f>IFERROR(J54,"")</f>
        <v>0</v>
      </c>
    </row>
    <row r="55" spans="1:20" ht="18" customHeight="1">
      <c r="A55" s="153" t="s">
        <v>245</v>
      </c>
      <c r="B55" s="154"/>
      <c r="C55" s="154"/>
      <c r="D55" s="154"/>
      <c r="E55" s="154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246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25</v>
      </c>
      <c r="M56" s="26" t="s">
        <v>62</v>
      </c>
      <c r="N56" s="33" t="s">
        <v>56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108" t="s">
        <v>256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24</v>
      </c>
      <c r="M57" s="33" t="s">
        <v>57</v>
      </c>
      <c r="N57" s="33" t="s">
        <v>32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25</v>
      </c>
      <c r="M58" s="26" t="s">
        <v>62</v>
      </c>
      <c r="N58" s="26" t="s">
        <v>212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108" t="s">
        <v>256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23</v>
      </c>
      <c r="M59" s="33" t="s">
        <v>57</v>
      </c>
      <c r="N59" s="33" t="s">
        <v>39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315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108" t="s">
        <v>256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23</v>
      </c>
      <c r="M60" s="26" t="s">
        <v>57</v>
      </c>
      <c r="N60" s="26" t="s">
        <v>135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316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108" t="s">
        <v>256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108" t="s">
        <v>256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108" t="s">
        <v>256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108" t="s">
        <v>256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108" t="s">
        <v>256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108" t="s">
        <v>256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108" t="s">
        <v>256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1" t="s">
        <v>241</v>
      </c>
      <c r="B68" s="152"/>
      <c r="C68" s="152"/>
      <c r="D68" s="152"/>
      <c r="E68" s="152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242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23</v>
      </c>
      <c r="M69" s="33" t="s">
        <v>57</v>
      </c>
      <c r="N69" s="33" t="s">
        <v>223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317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25</v>
      </c>
      <c r="M70" s="26" t="s">
        <v>62</v>
      </c>
      <c r="N70" s="26" t="s">
        <v>67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24</v>
      </c>
      <c r="M71" s="33" t="s">
        <v>62</v>
      </c>
      <c r="N71" s="33" t="s">
        <v>32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23</v>
      </c>
      <c r="M72" s="26" t="s">
        <v>62</v>
      </c>
      <c r="N72" s="26" t="s">
        <v>135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294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24</v>
      </c>
      <c r="M73" s="33" t="s">
        <v>57</v>
      </c>
      <c r="N73" s="33" t="s">
        <v>32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25</v>
      </c>
      <c r="M74" s="26" t="s">
        <v>57</v>
      </c>
      <c r="N74" s="33" t="s">
        <v>212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109" t="s">
        <v>256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1" t="s">
        <v>244</v>
      </c>
      <c r="B81" s="152"/>
      <c r="C81" s="152"/>
      <c r="D81" s="152"/>
      <c r="E81" s="152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242</v>
      </c>
      <c r="S81" s="39">
        <v>612410</v>
      </c>
      <c r="T81" s="119">
        <f>IFERROR(J81,"")</f>
        <v>0</v>
      </c>
    </row>
    <row r="82" spans="1:20" ht="18" customHeight="1">
      <c r="A82" s="153" t="s">
        <v>245</v>
      </c>
      <c r="B82" s="154"/>
      <c r="C82" s="154"/>
      <c r="D82" s="154"/>
      <c r="E82" s="154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246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108" t="s">
        <v>256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24</v>
      </c>
      <c r="M83" s="33" t="s">
        <v>168</v>
      </c>
      <c r="N83" s="33" t="s">
        <v>32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24</v>
      </c>
      <c r="M84" s="26" t="s">
        <v>57</v>
      </c>
      <c r="N84" s="26" t="s">
        <v>32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1" t="s">
        <v>241</v>
      </c>
      <c r="B95" s="152"/>
      <c r="C95" s="152"/>
      <c r="D95" s="152"/>
      <c r="E95" s="152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242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24</v>
      </c>
      <c r="M96" s="26" t="s">
        <v>168</v>
      </c>
      <c r="N96" s="26" t="s">
        <v>32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23</v>
      </c>
      <c r="M97" s="33" t="s">
        <v>57</v>
      </c>
      <c r="N97" s="33" t="s">
        <v>135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294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1" t="s">
        <v>244</v>
      </c>
      <c r="B108" s="152"/>
      <c r="C108" s="152"/>
      <c r="D108" s="152"/>
      <c r="E108" s="152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242</v>
      </c>
      <c r="S108" s="39">
        <v>956070</v>
      </c>
      <c r="T108" s="119">
        <f>IFERROR(J108,"")</f>
        <v>0</v>
      </c>
    </row>
    <row r="109" spans="1:20" ht="18" customHeight="1">
      <c r="A109" s="153" t="s">
        <v>245</v>
      </c>
      <c r="B109" s="154"/>
      <c r="C109" s="154"/>
      <c r="D109" s="154"/>
      <c r="E109" s="154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246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24</v>
      </c>
      <c r="M110" s="26" t="s">
        <v>168</v>
      </c>
      <c r="N110" s="26" t="s">
        <v>32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23</v>
      </c>
      <c r="M111" s="33" t="s">
        <v>62</v>
      </c>
      <c r="N111" s="33" t="s">
        <v>223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23</v>
      </c>
      <c r="M112" s="26"/>
      <c r="N112" s="33" t="s">
        <v>228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23</v>
      </c>
      <c r="M113" s="33"/>
      <c r="N113" s="33" t="s">
        <v>228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24</v>
      </c>
      <c r="M114" s="26" t="s">
        <v>168</v>
      </c>
      <c r="N114" s="26" t="s">
        <v>32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318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1" t="s">
        <v>241</v>
      </c>
      <c r="B122" s="152"/>
      <c r="C122" s="152"/>
      <c r="D122" s="152"/>
      <c r="E122" s="152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242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25</v>
      </c>
      <c r="M123" s="33" t="s">
        <v>57</v>
      </c>
      <c r="N123" s="33" t="s">
        <v>212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57</v>
      </c>
      <c r="N124" s="26" t="s">
        <v>61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319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25</v>
      </c>
      <c r="M125" s="33" t="s">
        <v>57</v>
      </c>
      <c r="N125" s="33" t="s">
        <v>41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24</v>
      </c>
      <c r="H126" s="134"/>
      <c r="I126" s="135"/>
      <c r="J126" s="136"/>
      <c r="K126" s="28"/>
      <c r="L126" s="26" t="s">
        <v>24</v>
      </c>
      <c r="M126" s="26" t="s">
        <v>62</v>
      </c>
      <c r="N126" s="26" t="s">
        <v>32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24</v>
      </c>
      <c r="M127" s="33" t="s">
        <v>57</v>
      </c>
      <c r="N127" s="33" t="s">
        <v>276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24</v>
      </c>
      <c r="M128" s="26" t="s">
        <v>62</v>
      </c>
      <c r="N128" s="26" t="s">
        <v>32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23</v>
      </c>
      <c r="M129" s="33" t="s">
        <v>57</v>
      </c>
      <c r="N129" s="33" t="s">
        <v>135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294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25</v>
      </c>
      <c r="M130" s="26" t="s">
        <v>62</v>
      </c>
      <c r="N130" s="26" t="s">
        <v>56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1" t="s">
        <v>244</v>
      </c>
      <c r="B135" s="152"/>
      <c r="C135" s="152"/>
      <c r="D135" s="152"/>
      <c r="E135" s="152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242</v>
      </c>
      <c r="S135" s="39">
        <v>912240</v>
      </c>
      <c r="T135" s="119">
        <f>IFERROR(J135,"")</f>
        <v>0</v>
      </c>
    </row>
    <row r="136" spans="1:22" ht="18" customHeight="1">
      <c r="A136" s="153" t="s">
        <v>245</v>
      </c>
      <c r="B136" s="154"/>
      <c r="C136" s="154"/>
      <c r="D136" s="154"/>
      <c r="E136" s="154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246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22</v>
      </c>
      <c r="M137" s="33"/>
      <c r="N137" s="33" t="s">
        <v>30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25</v>
      </c>
      <c r="M138" s="26" t="s">
        <v>168</v>
      </c>
      <c r="N138" s="26" t="s">
        <v>41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320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21</v>
      </c>
      <c r="M139" s="33" t="s">
        <v>57</v>
      </c>
      <c r="N139" s="33" t="s">
        <v>115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321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25</v>
      </c>
      <c r="M140" s="26" t="s">
        <v>62</v>
      </c>
      <c r="N140" s="26" t="s">
        <v>56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25</v>
      </c>
      <c r="M141" s="33" t="s">
        <v>146</v>
      </c>
      <c r="N141" s="33" t="s">
        <v>79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25</v>
      </c>
      <c r="M142" s="26" t="s">
        <v>57</v>
      </c>
      <c r="N142" s="26" t="s">
        <v>56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24</v>
      </c>
      <c r="M143" s="33" t="s">
        <v>168</v>
      </c>
      <c r="N143" s="33" t="s">
        <v>32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21</v>
      </c>
      <c r="M144" s="26" t="s">
        <v>62</v>
      </c>
      <c r="N144" s="26" t="s">
        <v>115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284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241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242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24</v>
      </c>
      <c r="M150" s="26" t="s">
        <v>168</v>
      </c>
      <c r="N150" s="26" t="s">
        <v>32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322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21</v>
      </c>
      <c r="M151" s="33" t="s">
        <v>145</v>
      </c>
      <c r="N151" s="33" t="s">
        <v>63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323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1" t="s">
        <v>244</v>
      </c>
      <c r="B162" s="152"/>
      <c r="C162" s="152"/>
      <c r="D162" s="152"/>
      <c r="E162" s="152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242</v>
      </c>
      <c r="S162" s="39">
        <v>573230</v>
      </c>
      <c r="T162" s="119">
        <f>IFERROR(J162,"")</f>
        <v>0</v>
      </c>
    </row>
    <row r="163" spans="1:20" ht="18" customHeight="1">
      <c r="A163" s="153" t="s">
        <v>245</v>
      </c>
      <c r="B163" s="154"/>
      <c r="C163" s="154"/>
      <c r="D163" s="154"/>
      <c r="E163" s="154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246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25</v>
      </c>
      <c r="M164" s="26" t="s">
        <v>145</v>
      </c>
      <c r="N164" s="26" t="s">
        <v>139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8" t="s">
        <v>256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25</v>
      </c>
      <c r="M165" s="33" t="s">
        <v>168</v>
      </c>
      <c r="N165" s="33" t="s">
        <v>189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8" t="s">
        <v>256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24</v>
      </c>
      <c r="M166" s="26" t="s">
        <v>168</v>
      </c>
      <c r="N166" s="26" t="s">
        <v>32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8" t="s">
        <v>256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25</v>
      </c>
      <c r="M167" s="33" t="s">
        <v>62</v>
      </c>
      <c r="N167" s="33" t="s">
        <v>41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8" t="s">
        <v>256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23</v>
      </c>
      <c r="M168" s="26" t="s">
        <v>62</v>
      </c>
      <c r="N168" s="26" t="s">
        <v>162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8" t="s">
        <v>256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25</v>
      </c>
      <c r="M169" s="33" t="s">
        <v>146</v>
      </c>
      <c r="N169" s="33" t="s">
        <v>79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8" t="s">
        <v>256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24</v>
      </c>
      <c r="M170" s="26" t="s">
        <v>168</v>
      </c>
      <c r="N170" s="26" t="s">
        <v>32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324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8" t="s">
        <v>256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25</v>
      </c>
      <c r="M171" s="33" t="s">
        <v>146</v>
      </c>
      <c r="N171" s="33" t="s">
        <v>79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8" t="s">
        <v>256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8" t="s">
        <v>256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8" t="s">
        <v>256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8" t="s">
        <v>256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1" t="s">
        <v>241</v>
      </c>
      <c r="B176" s="152"/>
      <c r="C176" s="152"/>
      <c r="D176" s="152"/>
      <c r="E176" s="152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242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22</v>
      </c>
      <c r="M177" s="33"/>
      <c r="N177" s="33" t="s">
        <v>122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325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9" t="s">
        <v>256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23</v>
      </c>
      <c r="M178" s="26" t="s">
        <v>146</v>
      </c>
      <c r="N178" s="26" t="s">
        <v>135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24</v>
      </c>
      <c r="M179" s="33" t="s">
        <v>168</v>
      </c>
      <c r="N179" s="26" t="s">
        <v>32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9" t="s">
        <v>256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9" t="s">
        <v>256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9" t="s">
        <v>256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9" t="s">
        <v>256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9" t="s">
        <v>256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1" t="s">
        <v>244</v>
      </c>
      <c r="B189" s="152"/>
      <c r="C189" s="152"/>
      <c r="D189" s="152"/>
      <c r="E189" s="152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242</v>
      </c>
      <c r="S189" s="39">
        <v>692750</v>
      </c>
      <c r="T189" s="119">
        <f>IFERROR(J189,"")</f>
        <v>0</v>
      </c>
    </row>
    <row r="190" spans="1:20" ht="18" customHeight="1">
      <c r="A190" s="153" t="s">
        <v>245</v>
      </c>
      <c r="B190" s="154"/>
      <c r="C190" s="154"/>
      <c r="D190" s="154"/>
      <c r="E190" s="154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246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24</v>
      </c>
      <c r="M191" s="33" t="s">
        <v>168</v>
      </c>
      <c r="N191" s="33" t="s">
        <v>32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23</v>
      </c>
      <c r="M192" s="26" t="s">
        <v>57</v>
      </c>
      <c r="N192" s="33" t="s">
        <v>162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326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25</v>
      </c>
      <c r="M193" s="33" t="s">
        <v>62</v>
      </c>
      <c r="N193" s="33" t="s">
        <v>33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25</v>
      </c>
      <c r="M194" s="26" t="s">
        <v>163</v>
      </c>
      <c r="N194" s="26" t="s">
        <v>79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1" t="s">
        <v>241</v>
      </c>
      <c r="B203" s="152"/>
      <c r="C203" s="152"/>
      <c r="D203" s="152"/>
      <c r="E203" s="152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242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23</v>
      </c>
      <c r="M204" s="33" t="s">
        <v>62</v>
      </c>
      <c r="N204" s="26" t="s">
        <v>39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327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25</v>
      </c>
      <c r="M205" s="57" t="s">
        <v>328</v>
      </c>
      <c r="N205" s="33" t="s">
        <v>33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25</v>
      </c>
      <c r="M206" s="26" t="s">
        <v>57</v>
      </c>
      <c r="N206" s="26" t="s">
        <v>41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329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1" t="s">
        <v>244</v>
      </c>
      <c r="B216" s="152"/>
      <c r="C216" s="152"/>
      <c r="D216" s="152"/>
      <c r="E216" s="152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242</v>
      </c>
      <c r="S216" s="45">
        <v>607180</v>
      </c>
      <c r="T216" s="122">
        <f>IFERROR(J216,"")</f>
        <v>0</v>
      </c>
    </row>
    <row r="217" spans="1:20" ht="18" customHeight="1">
      <c r="A217" s="153" t="s">
        <v>245</v>
      </c>
      <c r="B217" s="154"/>
      <c r="C217" s="154"/>
      <c r="D217" s="154"/>
      <c r="E217" s="154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246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24</v>
      </c>
      <c r="M218" s="26" t="s">
        <v>62</v>
      </c>
      <c r="N218" s="26" t="s">
        <v>32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24</v>
      </c>
      <c r="M219" s="33" t="s">
        <v>57</v>
      </c>
      <c r="N219" s="33" t="s">
        <v>32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25</v>
      </c>
      <c r="M220" s="26" t="s">
        <v>57</v>
      </c>
      <c r="N220" s="26" t="s">
        <v>61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330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24</v>
      </c>
      <c r="M221" s="33" t="s">
        <v>62</v>
      </c>
      <c r="N221" s="33" t="s">
        <v>83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331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1" t="s">
        <v>241</v>
      </c>
      <c r="B230" s="152"/>
      <c r="C230" s="152"/>
      <c r="D230" s="152"/>
      <c r="E230" s="152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242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25</v>
      </c>
      <c r="M231" s="33" t="s">
        <v>62</v>
      </c>
      <c r="N231" s="33" t="s">
        <v>41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332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25</v>
      </c>
      <c r="M232" s="26" t="s">
        <v>62</v>
      </c>
      <c r="N232" s="26" t="s">
        <v>61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333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23</v>
      </c>
      <c r="M233" s="33" t="s">
        <v>157</v>
      </c>
      <c r="N233" s="33" t="s">
        <v>135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24</v>
      </c>
      <c r="M234" s="26" t="s">
        <v>57</v>
      </c>
      <c r="N234" s="26" t="s">
        <v>32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1" t="s">
        <v>244</v>
      </c>
      <c r="B243" s="152"/>
      <c r="C243" s="152"/>
      <c r="D243" s="152"/>
      <c r="E243" s="152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242</v>
      </c>
      <c r="S243" s="39">
        <v>795250</v>
      </c>
      <c r="T243" s="119">
        <f>IFERROR(J243,"")</f>
        <v>0</v>
      </c>
    </row>
    <row r="244" spans="1:20" ht="18" customHeight="1">
      <c r="A244" s="153" t="s">
        <v>245</v>
      </c>
      <c r="B244" s="154"/>
      <c r="C244" s="154"/>
      <c r="D244" s="154"/>
      <c r="E244" s="154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246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23</v>
      </c>
      <c r="M245" s="33" t="s">
        <v>57</v>
      </c>
      <c r="N245" s="33" t="s">
        <v>172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27" t="s">
        <v>334</v>
      </c>
      <c r="H246" s="134"/>
      <c r="I246" s="135"/>
      <c r="J246" s="136"/>
      <c r="K246" s="34" t="e">
        <f t="shared" si="54"/>
        <v>#VALUE!</v>
      </c>
      <c r="L246" s="33" t="s">
        <v>25</v>
      </c>
      <c r="M246" s="26" t="s">
        <v>62</v>
      </c>
      <c r="N246" s="33" t="s">
        <v>33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25</v>
      </c>
      <c r="M247" s="33" t="s">
        <v>57</v>
      </c>
      <c r="N247" s="33" t="s">
        <v>67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24</v>
      </c>
      <c r="M248" s="26" t="s">
        <v>62</v>
      </c>
      <c r="N248" s="26" t="s">
        <v>32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23</v>
      </c>
      <c r="M249" s="33" t="s">
        <v>157</v>
      </c>
      <c r="N249" s="33" t="s">
        <v>135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335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24</v>
      </c>
      <c r="M250" s="26" t="s">
        <v>57</v>
      </c>
      <c r="N250" s="26" t="s">
        <v>32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25</v>
      </c>
      <c r="M251" s="33" t="s">
        <v>57</v>
      </c>
      <c r="N251" s="33" t="s">
        <v>56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256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256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1" t="s">
        <v>241</v>
      </c>
      <c r="B257" s="152"/>
      <c r="C257" s="152"/>
      <c r="D257" s="152"/>
      <c r="E257" s="152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242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43</v>
      </c>
      <c r="E258" s="109" t="s">
        <v>256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43</v>
      </c>
      <c r="E259" s="109" t="s">
        <v>256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43</v>
      </c>
      <c r="E260" s="109" t="s">
        <v>256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43</v>
      </c>
      <c r="E261" s="109" t="s">
        <v>256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43</v>
      </c>
      <c r="E262" s="109" t="s">
        <v>256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43</v>
      </c>
      <c r="E263" s="109" t="s">
        <v>256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43</v>
      </c>
      <c r="E264" s="109" t="s">
        <v>256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43</v>
      </c>
      <c r="E265" s="109" t="s">
        <v>256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43</v>
      </c>
      <c r="E266" s="109" t="s">
        <v>256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43</v>
      </c>
      <c r="E267" s="109" t="s">
        <v>256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43</v>
      </c>
      <c r="E268" s="109" t="s">
        <v>256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43</v>
      </c>
      <c r="E269" s="109" t="s">
        <v>256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1" t="s">
        <v>244</v>
      </c>
      <c r="B270" s="152"/>
      <c r="C270" s="152"/>
      <c r="D270" s="152"/>
      <c r="E270" s="152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242</v>
      </c>
      <c r="S270" s="39">
        <v>683360</v>
      </c>
      <c r="T270" s="119">
        <f>IFERROR(J270,"")</f>
        <v>0</v>
      </c>
    </row>
    <row r="271" spans="1:20" ht="18" customHeight="1">
      <c r="A271" s="153" t="s">
        <v>245</v>
      </c>
      <c r="B271" s="154"/>
      <c r="C271" s="154"/>
      <c r="D271" s="154"/>
      <c r="E271" s="154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246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34</v>
      </c>
      <c r="D278" s="59" t="s">
        <v>35</v>
      </c>
      <c r="E278" s="59" t="s">
        <v>256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34</v>
      </c>
      <c r="D279" s="59" t="s">
        <v>35</v>
      </c>
      <c r="E279" s="59" t="s">
        <v>256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34</v>
      </c>
      <c r="D280" s="59" t="s">
        <v>35</v>
      </c>
      <c r="E280" s="59" t="s">
        <v>256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34</v>
      </c>
      <c r="D281" s="59" t="s">
        <v>35</v>
      </c>
      <c r="E281" s="59" t="s">
        <v>256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34</v>
      </c>
      <c r="D282" s="59" t="s">
        <v>35</v>
      </c>
      <c r="E282" s="59" t="s">
        <v>256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34</v>
      </c>
      <c r="D283" s="59" t="s">
        <v>35</v>
      </c>
      <c r="E283" s="59" t="s">
        <v>256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1" t="s">
        <v>241</v>
      </c>
      <c r="B284" s="152"/>
      <c r="C284" s="152"/>
      <c r="D284" s="152"/>
      <c r="E284" s="152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242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50</v>
      </c>
      <c r="D285" s="62" t="s">
        <v>51</v>
      </c>
      <c r="E285" s="62" t="s">
        <v>240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50</v>
      </c>
      <c r="D286" s="62" t="s">
        <v>51</v>
      </c>
      <c r="E286" s="62" t="s">
        <v>240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50</v>
      </c>
      <c r="D287" s="62" t="s">
        <v>51</v>
      </c>
      <c r="E287" s="62" t="s">
        <v>256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50</v>
      </c>
      <c r="D288" s="62" t="s">
        <v>51</v>
      </c>
      <c r="E288" s="62" t="s">
        <v>240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50</v>
      </c>
      <c r="D289" s="62" t="s">
        <v>51</v>
      </c>
      <c r="E289" s="62" t="s">
        <v>240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50</v>
      </c>
      <c r="D290" s="62" t="s">
        <v>35</v>
      </c>
      <c r="E290" s="62" t="s">
        <v>240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50</v>
      </c>
      <c r="D291" s="62" t="s">
        <v>35</v>
      </c>
      <c r="E291" s="62" t="s">
        <v>240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50</v>
      </c>
      <c r="D292" s="62" t="s">
        <v>35</v>
      </c>
      <c r="E292" s="62" t="s">
        <v>240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50</v>
      </c>
      <c r="D293" s="62" t="s">
        <v>35</v>
      </c>
      <c r="E293" s="62" t="s">
        <v>240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50</v>
      </c>
      <c r="D294" s="62" t="s">
        <v>35</v>
      </c>
      <c r="E294" s="62" t="s">
        <v>240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50</v>
      </c>
      <c r="D295" s="62" t="s">
        <v>35</v>
      </c>
      <c r="E295" s="62" t="s">
        <v>240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50</v>
      </c>
      <c r="D296" s="62" t="s">
        <v>35</v>
      </c>
      <c r="E296" s="62" t="s">
        <v>240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1" t="s">
        <v>244</v>
      </c>
      <c r="B297" s="152"/>
      <c r="C297" s="152"/>
      <c r="D297" s="152"/>
      <c r="E297" s="152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242</v>
      </c>
      <c r="S297" s="39">
        <v>904710</v>
      </c>
      <c r="T297" s="119">
        <f>IFERROR(J297,"")</f>
        <v>0</v>
      </c>
    </row>
    <row r="298" spans="1:20" ht="18" customHeight="1">
      <c r="A298" s="153" t="s">
        <v>245</v>
      </c>
      <c r="B298" s="154"/>
      <c r="C298" s="154"/>
      <c r="D298" s="154"/>
      <c r="E298" s="154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246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109" t="s">
        <v>256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25</v>
      </c>
      <c r="M299" s="33" t="s">
        <v>57</v>
      </c>
      <c r="N299" s="33" t="s">
        <v>189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34</v>
      </c>
      <c r="D300" s="62" t="s">
        <v>35</v>
      </c>
      <c r="E300" s="109" t="s">
        <v>256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24</v>
      </c>
      <c r="M300" s="26" t="s">
        <v>62</v>
      </c>
      <c r="N300" s="26" t="s">
        <v>32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34</v>
      </c>
      <c r="D301" s="62" t="s">
        <v>35</v>
      </c>
      <c r="E301" s="109" t="s">
        <v>256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21</v>
      </c>
      <c r="M301" s="33"/>
      <c r="N301" s="33" t="s">
        <v>91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34</v>
      </c>
      <c r="D302" s="62" t="s">
        <v>35</v>
      </c>
      <c r="E302" s="109" t="s">
        <v>256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22</v>
      </c>
      <c r="M302" s="26"/>
      <c r="N302" s="26" t="s">
        <v>30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34</v>
      </c>
      <c r="D303" s="62" t="s">
        <v>35</v>
      </c>
      <c r="E303" s="109" t="s">
        <v>256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34</v>
      </c>
      <c r="D304" s="62" t="s">
        <v>35</v>
      </c>
      <c r="E304" s="109" t="s">
        <v>256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34</v>
      </c>
      <c r="D305" s="62" t="s">
        <v>27</v>
      </c>
      <c r="E305" s="109" t="s">
        <v>256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34</v>
      </c>
      <c r="D306" s="62" t="s">
        <v>27</v>
      </c>
      <c r="E306" s="109" t="s">
        <v>256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34</v>
      </c>
      <c r="D307" s="62" t="s">
        <v>27</v>
      </c>
      <c r="E307" s="109" t="s">
        <v>256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34</v>
      </c>
      <c r="D308" s="62" t="s">
        <v>27</v>
      </c>
      <c r="E308" s="109" t="s">
        <v>256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34</v>
      </c>
      <c r="D309" s="62" t="s">
        <v>27</v>
      </c>
      <c r="E309" s="109" t="s">
        <v>256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34</v>
      </c>
      <c r="D310" s="62" t="s">
        <v>27</v>
      </c>
      <c r="E310" s="109" t="s">
        <v>256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1" t="s">
        <v>241</v>
      </c>
      <c r="B311" s="152"/>
      <c r="C311" s="152"/>
      <c r="D311" s="152"/>
      <c r="E311" s="152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242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108" t="s">
        <v>256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25</v>
      </c>
      <c r="M312" s="26" t="s">
        <v>163</v>
      </c>
      <c r="N312" s="26" t="s">
        <v>79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26</v>
      </c>
      <c r="D313" s="59" t="s">
        <v>35</v>
      </c>
      <c r="E313" s="108" t="s">
        <v>256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24</v>
      </c>
      <c r="M313" s="33" t="s">
        <v>168</v>
      </c>
      <c r="N313" s="33" t="s">
        <v>32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26</v>
      </c>
      <c r="D314" s="59" t="s">
        <v>35</v>
      </c>
      <c r="E314" s="108" t="s">
        <v>256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22</v>
      </c>
      <c r="M314" s="26"/>
      <c r="N314" s="26" t="s">
        <v>30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26</v>
      </c>
      <c r="D315" s="59" t="s">
        <v>35</v>
      </c>
      <c r="E315" s="108" t="s">
        <v>256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26</v>
      </c>
      <c r="D316" s="59" t="s">
        <v>35</v>
      </c>
      <c r="E316" s="108" t="s">
        <v>256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26</v>
      </c>
      <c r="D317" s="59" t="s">
        <v>35</v>
      </c>
      <c r="E317" s="108" t="s">
        <v>256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26</v>
      </c>
      <c r="D318" s="59" t="s">
        <v>35</v>
      </c>
      <c r="E318" s="108" t="s">
        <v>256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26</v>
      </c>
      <c r="D319" s="59" t="s">
        <v>35</v>
      </c>
      <c r="E319" s="108" t="s">
        <v>256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26</v>
      </c>
      <c r="D320" s="59" t="s">
        <v>35</v>
      </c>
      <c r="E320" s="108" t="s">
        <v>256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26</v>
      </c>
      <c r="D321" s="59" t="s">
        <v>35</v>
      </c>
      <c r="E321" s="108" t="s">
        <v>256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26</v>
      </c>
      <c r="D322" s="59" t="s">
        <v>35</v>
      </c>
      <c r="E322" s="108" t="s">
        <v>256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26</v>
      </c>
      <c r="D323" s="59" t="s">
        <v>35</v>
      </c>
      <c r="E323" s="108" t="s">
        <v>256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1" t="s">
        <v>244</v>
      </c>
      <c r="B324" s="152"/>
      <c r="C324" s="152"/>
      <c r="D324" s="152"/>
      <c r="E324" s="152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242</v>
      </c>
      <c r="S324" s="39">
        <v>1049720</v>
      </c>
      <c r="T324" s="119">
        <f>IFERROR(J324,"")</f>
        <v>151.15967999999998</v>
      </c>
    </row>
    <row r="325" spans="1:20" ht="18" customHeight="1">
      <c r="A325" s="153" t="s">
        <v>245</v>
      </c>
      <c r="B325" s="154"/>
      <c r="C325" s="154"/>
      <c r="D325" s="154"/>
      <c r="E325" s="154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246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13</v>
      </c>
      <c r="H326" s="140">
        <f>IFERROR(IF($G326="","",$G326*$S$338/$G$338/Cadastro!$E$33),"")</f>
        <v>0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0</v>
      </c>
      <c r="K326" s="28">
        <f>IF(G326="","",IF(E327="PC 17",G326*4.2,IF(E327="PC 19",G326*5,"")))</f>
        <v>65</v>
      </c>
      <c r="L326" s="26" t="s">
        <v>24</v>
      </c>
      <c r="M326" s="26" t="s">
        <v>168</v>
      </c>
      <c r="N326" s="26" t="s">
        <v>32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17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170">
        <f>IF(G327="","",IF(E328="PC 17",G327*4.2,IF(E328="PC 19",G327*5,"")))</f>
        <v>85</v>
      </c>
      <c r="L327" s="33"/>
      <c r="M327" s="33"/>
      <c r="N327" s="33"/>
      <c r="O327" s="29"/>
      <c r="P327" s="29"/>
      <c r="Q327" s="35" t="str">
        <f t="shared" ca="1" si="75"/>
        <v/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15</v>
      </c>
      <c r="H328" s="134">
        <f>IFERROR(IF($G328="","",$G328*$S$338/$G$338/Cadastro!$E$33),"")</f>
        <v>0</v>
      </c>
      <c r="I328" s="135">
        <f>IFERROR(IF($D328="","",VLOOKUP($D328,Cadastro!$C$4:$G$7,5,FALSE)),"")</f>
        <v>0.6</v>
      </c>
      <c r="J328" s="136">
        <f t="shared" si="74"/>
        <v>0</v>
      </c>
      <c r="K328" s="28">
        <f t="shared" ref="K328:K337" si="77">IF(G328="","",IF(E328="PC 17",G328*4.2,IF(E328="PC 19",G328*5,IF(E328="CB",G328*24,""))))</f>
        <v>75</v>
      </c>
      <c r="L328" s="26"/>
      <c r="M328" s="26"/>
      <c r="N328" s="26"/>
      <c r="O328" s="29"/>
      <c r="P328" s="29"/>
      <c r="Q328" s="30" t="str">
        <f t="shared" ca="1" si="75"/>
        <v/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11</v>
      </c>
      <c r="H329" s="134">
        <f>IFERROR(IF($G329="","",$G329*$S$338/$G$338/Cadastro!$E$33),"")</f>
        <v>0</v>
      </c>
      <c r="I329" s="135">
        <f>IFERROR(IF($D329="","",VLOOKUP($D329,Cadastro!$C$4:$G$7,5,FALSE)),"")</f>
        <v>0.6</v>
      </c>
      <c r="J329" s="136">
        <f t="shared" si="74"/>
        <v>0</v>
      </c>
      <c r="K329" s="34">
        <f t="shared" si="77"/>
        <v>55</v>
      </c>
      <c r="L329" s="33"/>
      <c r="M329" s="33"/>
      <c r="N329" s="33"/>
      <c r="O329" s="29"/>
      <c r="P329" s="29"/>
      <c r="Q329" s="35" t="str">
        <f t="shared" ca="1" si="75"/>
        <v/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34</v>
      </c>
      <c r="D330" s="59" t="s">
        <v>35</v>
      </c>
      <c r="E330" s="108" t="s">
        <v>256</v>
      </c>
      <c r="F330" s="134">
        <f>IFERROR(IF($D330="","",VLOOKUP($D330,Cadastro!$C$4:$E$7,3,FALSE)),"")</f>
        <v>0.24</v>
      </c>
      <c r="G330" s="105">
        <v>17</v>
      </c>
      <c r="H330" s="134">
        <f>IFERROR(IF($G330="","",$G330*$S$338/$G$338/Cadastro!$E$33),"")</f>
        <v>0</v>
      </c>
      <c r="I330" s="135">
        <f>IFERROR(IF($D330="","",VLOOKUP($D330,Cadastro!$C$4:$G$7,5,FALSE)),"")</f>
        <v>0.6</v>
      </c>
      <c r="J330" s="136">
        <f t="shared" si="74"/>
        <v>0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34</v>
      </c>
      <c r="D331" s="59" t="s">
        <v>35</v>
      </c>
      <c r="E331" s="108" t="s">
        <v>240</v>
      </c>
      <c r="F331" s="134">
        <f>IFERROR(IF($D331="","",VLOOKUP($D331,Cadastro!$C$4:$E$7,3,FALSE)),"")</f>
        <v>0.24</v>
      </c>
      <c r="G331" s="105"/>
      <c r="H331" s="134" t="str">
        <f>IFERROR(IF($G331="","",$G331*$S$338/$G$338/Cadastro!$E$33),"")</f>
        <v/>
      </c>
      <c r="I331" s="135">
        <f>IFERROR(IF($D331="","",VLOOKUP($D331,Cadastro!$C$4:$G$7,5,FALSE)),"")</f>
        <v>0.6</v>
      </c>
      <c r="J331" s="136" t="str">
        <f t="shared" si="74"/>
        <v/>
      </c>
      <c r="K331" s="34" t="str">
        <f t="shared" si="77"/>
        <v/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34</v>
      </c>
      <c r="D332" s="59" t="s">
        <v>35</v>
      </c>
      <c r="E332" s="108" t="s">
        <v>240</v>
      </c>
      <c r="F332" s="134">
        <f>IFERROR(IF($D332="","",VLOOKUP($D332,Cadastro!$C$4:$E$7,3,FALSE)),"")</f>
        <v>0.24</v>
      </c>
      <c r="G332" s="105"/>
      <c r="H332" s="134" t="str">
        <f>IFERROR(IF($G332="","",$G332*$S$338/$G$338/Cadastro!$E$33),"")</f>
        <v/>
      </c>
      <c r="I332" s="135">
        <f>IFERROR(IF($D332="","",VLOOKUP($D332,Cadastro!$C$4:$G$7,5,FALSE)),"")</f>
        <v>0.6</v>
      </c>
      <c r="J332" s="136" t="str">
        <f t="shared" si="74"/>
        <v/>
      </c>
      <c r="K332" s="28" t="str">
        <f t="shared" si="77"/>
        <v/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34</v>
      </c>
      <c r="D333" s="59" t="s">
        <v>35</v>
      </c>
      <c r="E333" s="108"/>
      <c r="F333" s="134">
        <f>IFERROR(IF($D333="","",VLOOKUP($D333,Cadastro!$C$4:$E$7,3,FALSE)),"")</f>
        <v>0.24</v>
      </c>
      <c r="G333" s="105"/>
      <c r="H333" s="134" t="str">
        <f>IFERROR(IF($G333="","",$G333*$S$338/$G$338/Cadastro!$E$33),"")</f>
        <v/>
      </c>
      <c r="I333" s="135">
        <f>IFERROR(IF($D333="","",VLOOKUP($D333,Cadastro!$C$4:$G$7,5,FALSE)),"")</f>
        <v>0.6</v>
      </c>
      <c r="J333" s="136" t="str">
        <f t="shared" si="74"/>
        <v/>
      </c>
      <c r="K333" s="34" t="str">
        <f t="shared" si="77"/>
        <v/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34</v>
      </c>
      <c r="D334" s="59" t="s">
        <v>35</v>
      </c>
      <c r="E334" s="108"/>
      <c r="F334" s="134">
        <f>IFERROR(IF($D334="","",VLOOKUP($D334,Cadastro!$C$4:$E$7,3,FALSE)),"")</f>
        <v>0.24</v>
      </c>
      <c r="G334" s="105"/>
      <c r="H334" s="134" t="str">
        <f>IFERROR(IF($G334="","",$G334*$S$338/$G$338/Cadastro!$E$33),"")</f>
        <v/>
      </c>
      <c r="I334" s="135">
        <f>IFERROR(IF($D334="","",VLOOKUP($D334,Cadastro!$C$4:$G$7,5,FALSE)),"")</f>
        <v>0.6</v>
      </c>
      <c r="J334" s="136" t="str">
        <f t="shared" si="74"/>
        <v/>
      </c>
      <c r="K334" s="28" t="str">
        <f t="shared" si="77"/>
        <v/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34</v>
      </c>
      <c r="D335" s="59" t="s">
        <v>35</v>
      </c>
      <c r="E335" s="108"/>
      <c r="F335" s="134">
        <f>IFERROR(IF($D335="","",VLOOKUP($D335,Cadastro!$C$4:$E$7,3,FALSE)),"")</f>
        <v>0.24</v>
      </c>
      <c r="G335" s="105"/>
      <c r="H335" s="134" t="str">
        <f>IFERROR(IF($G335="","",$G335*$S$338/$G$338/Cadastro!$E$33),"")</f>
        <v/>
      </c>
      <c r="I335" s="135">
        <f>IFERROR(IF($D335="","",VLOOKUP($D335,Cadastro!$C$4:$G$7,5,FALSE)),"")</f>
        <v>0.6</v>
      </c>
      <c r="J335" s="136" t="str">
        <f t="shared" si="74"/>
        <v/>
      </c>
      <c r="K335" s="34" t="str">
        <f t="shared" si="77"/>
        <v/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34</v>
      </c>
      <c r="D336" s="59" t="s">
        <v>35</v>
      </c>
      <c r="E336" s="108"/>
      <c r="F336" s="134">
        <f>IFERROR(IF($D336="","",VLOOKUP($D336,Cadastro!$C$4:$E$7,3,FALSE)),"")</f>
        <v>0.24</v>
      </c>
      <c r="G336" s="105"/>
      <c r="H336" s="134" t="str">
        <f>IFERROR(IF($G336="","",$G336*$S$338/$G$338/Cadastro!$E$33),"")</f>
        <v/>
      </c>
      <c r="I336" s="135">
        <f>IFERROR(IF($D336="","",VLOOKUP($D336,Cadastro!$C$4:$G$7,5,FALSE)),"")</f>
        <v>0.6</v>
      </c>
      <c r="J336" s="136" t="str">
        <f t="shared" si="74"/>
        <v/>
      </c>
      <c r="K336" s="28" t="str">
        <f t="shared" si="77"/>
        <v/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34</v>
      </c>
      <c r="D337" s="59" t="s">
        <v>35</v>
      </c>
      <c r="E337" s="108"/>
      <c r="F337" s="137">
        <f>IFERROR(IF($D337="","",VLOOKUP($D337,Cadastro!$C$4:$E$7,3,FALSE)),"")</f>
        <v>0.24</v>
      </c>
      <c r="G337" s="105"/>
      <c r="H337" s="137" t="str">
        <f>IFERROR(IF($G337="","",$G337*$S$338/$G$338/Cadastro!$E$33),"")</f>
        <v/>
      </c>
      <c r="I337" s="138">
        <f>IFERROR(IF($D337="","",VLOOKUP($D337,Cadastro!$C$4:$G$7,5,FALSE)),"")</f>
        <v>0.6</v>
      </c>
      <c r="J337" s="139" t="str">
        <f t="shared" si="74"/>
        <v/>
      </c>
      <c r="K337" s="34" t="str">
        <f t="shared" si="77"/>
        <v/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1" t="s">
        <v>241</v>
      </c>
      <c r="B338" s="152"/>
      <c r="C338" s="152"/>
      <c r="D338" s="152"/>
      <c r="E338" s="152">
        <f>SUM(E327:E337)</f>
        <v>0</v>
      </c>
      <c r="F338" s="110"/>
      <c r="G338" s="80">
        <f>SUM(G326:G337)</f>
        <v>73</v>
      </c>
      <c r="H338" s="110">
        <f>IFERROR(SUM(H326:H337),"")</f>
        <v>0</v>
      </c>
      <c r="I338" s="114"/>
      <c r="J338" s="123">
        <f>IFERROR(SUM(J326:J337),"")</f>
        <v>0</v>
      </c>
      <c r="K338" s="36">
        <f>SUM(K326:K337)</f>
        <v>351.4</v>
      </c>
      <c r="L338" s="37"/>
      <c r="M338" s="37"/>
      <c r="N338" s="37"/>
      <c r="O338" s="61"/>
      <c r="P338" s="61"/>
      <c r="Q338" s="38">
        <f ca="1">IFERROR(SUM(Q326:Q337),"")</f>
        <v>1.1805555555555569E-2</v>
      </c>
      <c r="R338" s="36" t="s">
        <v>242</v>
      </c>
      <c r="S338" s="39"/>
      <c r="T338" s="119">
        <f>IFERROR(J338,"")</f>
        <v>0</v>
      </c>
    </row>
    <row r="339" spans="1:20" ht="15" customHeight="1">
      <c r="A339" s="68">
        <v>46247</v>
      </c>
      <c r="B339" s="32">
        <v>0.83333333333333304</v>
      </c>
      <c r="C339" s="33"/>
      <c r="D339" s="62"/>
      <c r="E339" s="109"/>
      <c r="F339" s="140" t="str">
        <f>IFERROR(IF($D339="","",VLOOKUP($D339,Cadastro!$C$4:$E$7,3,FALSE)),"")</f>
        <v/>
      </c>
      <c r="G339" s="105"/>
      <c r="H339" s="140" t="str">
        <f>IFERROR(IF($G339="","",$G339*$S$351/$G$351/Cadastro!$E$33),"")</f>
        <v/>
      </c>
      <c r="I339" s="141" t="str">
        <f>IFERROR(IF($D339="","",VLOOKUP($D339,Cadastro!$C$4:$G$7,5,FALSE)),"")</f>
        <v/>
      </c>
      <c r="J339" s="142" t="str">
        <f t="shared" ref="J339:J350" si="78">IFERROR(IF($H339="","",$H339*$F339*$I339),"")</f>
        <v/>
      </c>
      <c r="K339" s="34" t="str">
        <f t="shared" ref="K339:K350" si="79">IF(G339="","",IF(E339="PC 17",G339*4.2,IF(E339="PC 19",G339*5,IF(E339="CB",G339*24,""))))</f>
        <v/>
      </c>
      <c r="L339" s="33"/>
      <c r="M339" s="33"/>
      <c r="N339" s="33"/>
      <c r="O339" s="29"/>
      <c r="P339" s="29"/>
      <c r="Q339" s="35" t="str">
        <f t="shared" ref="Q339:Q350" ca="1" si="80">IFERROR(IF(O339="","",IF(P339="",MOD(NOW()-O339,1),IF(P339&gt;=O339,P339-O339,P339+1-O339))),"")</f>
        <v/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/>
      <c r="D340" s="62"/>
      <c r="E340" s="109"/>
      <c r="F340" s="134" t="str">
        <f>IFERROR(IF($D340="","",VLOOKUP($D340,Cadastro!$C$4:$E$7,3,FALSE)),"")</f>
        <v/>
      </c>
      <c r="G340" s="105"/>
      <c r="H340" s="134" t="str">
        <f>IFERROR(IF($G340="","",$G340*$S$351/$G$351/Cadastro!$E$33),"")</f>
        <v/>
      </c>
      <c r="I340" s="135" t="str">
        <f>IFERROR(IF($D340="","",VLOOKUP($D340,Cadastro!$C$4:$G$7,5,FALSE)),"")</f>
        <v/>
      </c>
      <c r="J340" s="136" t="str">
        <f t="shared" si="78"/>
        <v/>
      </c>
      <c r="K340" s="28" t="str">
        <f t="shared" si="79"/>
        <v/>
      </c>
      <c r="L340" s="26"/>
      <c r="M340" s="26"/>
      <c r="N340" s="26"/>
      <c r="O340" s="29"/>
      <c r="P340" s="29"/>
      <c r="Q340" s="30" t="str">
        <f t="shared" ca="1" si="80"/>
        <v/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/>
      <c r="D341" s="62"/>
      <c r="E341" s="109"/>
      <c r="F341" s="134" t="str">
        <f>IFERROR(IF($D341="","",VLOOKUP($D341,Cadastro!$C$4:$E$7,3,FALSE)),"")</f>
        <v/>
      </c>
      <c r="G341" s="105"/>
      <c r="H341" s="134" t="str">
        <f>IFERROR(IF($G341="","",$G341*$S$351/$G$351/Cadastro!$E$33),"")</f>
        <v/>
      </c>
      <c r="I341" s="135" t="str">
        <f>IFERROR(IF($D341="","",VLOOKUP($D341,Cadastro!$C$4:$G$7,5,FALSE)),"")</f>
        <v/>
      </c>
      <c r="J341" s="136" t="str">
        <f t="shared" si="78"/>
        <v/>
      </c>
      <c r="K341" s="34" t="str">
        <f t="shared" si="79"/>
        <v/>
      </c>
      <c r="L341" s="33"/>
      <c r="M341" s="33"/>
      <c r="N341" s="33"/>
      <c r="O341" s="29"/>
      <c r="P341" s="29"/>
      <c r="Q341" s="35" t="str">
        <f t="shared" ca="1" si="80"/>
        <v/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/>
      <c r="D342" s="62"/>
      <c r="E342" s="109"/>
      <c r="F342" s="134" t="str">
        <f>IFERROR(IF($D342="","",VLOOKUP($D342,Cadastro!$C$4:$E$7,3,FALSE)),"")</f>
        <v/>
      </c>
      <c r="G342" s="105"/>
      <c r="H342" s="134" t="str">
        <f>IFERROR(IF($G342="","",$G342*$S$351/$G$351/Cadastro!$E$33),"")</f>
        <v/>
      </c>
      <c r="I342" s="135" t="str">
        <f>IFERROR(IF($D342="","",VLOOKUP($D342,Cadastro!$C$4:$G$7,5,FALSE)),"")</f>
        <v/>
      </c>
      <c r="J342" s="136" t="str">
        <f t="shared" si="78"/>
        <v/>
      </c>
      <c r="K342" s="28" t="str">
        <f t="shared" si="79"/>
        <v/>
      </c>
      <c r="L342" s="26"/>
      <c r="M342" s="26"/>
      <c r="N342" s="26"/>
      <c r="O342" s="29"/>
      <c r="P342" s="29"/>
      <c r="Q342" s="30" t="str">
        <f t="shared" ca="1" si="80"/>
        <v/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/>
      <c r="D343" s="62"/>
      <c r="E343" s="109"/>
      <c r="F343" s="134" t="str">
        <f>IFERROR(IF($D343="","",VLOOKUP($D343,Cadastro!$C$4:$E$7,3,FALSE)),"")</f>
        <v/>
      </c>
      <c r="G343" s="105"/>
      <c r="H343" s="134" t="str">
        <f>IFERROR(IF($G343="","",$G343*$S$351/$G$351/Cadastro!$E$33),"")</f>
        <v/>
      </c>
      <c r="I343" s="135" t="str">
        <f>IFERROR(IF($D343="","",VLOOKUP($D343,Cadastro!$C$4:$G$7,5,FALSE)),"")</f>
        <v/>
      </c>
      <c r="J343" s="136" t="str">
        <f t="shared" si="78"/>
        <v/>
      </c>
      <c r="K343" s="34" t="str">
        <f t="shared" si="79"/>
        <v/>
      </c>
      <c r="L343" s="33"/>
      <c r="M343" s="33"/>
      <c r="N343" s="33"/>
      <c r="O343" s="29"/>
      <c r="P343" s="29"/>
      <c r="Q343" s="35" t="str">
        <f t="shared" ca="1" si="80"/>
        <v/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/>
      <c r="D344" s="62"/>
      <c r="E344" s="109"/>
      <c r="F344" s="134" t="str">
        <f>IFERROR(IF($D344="","",VLOOKUP($D344,Cadastro!$C$4:$E$7,3,FALSE)),"")</f>
        <v/>
      </c>
      <c r="G344" s="105"/>
      <c r="H344" s="134" t="str">
        <f>IFERROR(IF($G344="","",$G344*$S$351/$G$351/Cadastro!$E$33),"")</f>
        <v/>
      </c>
      <c r="I344" s="135" t="str">
        <f>IFERROR(IF($D344="","",VLOOKUP($D344,Cadastro!$C$4:$G$7,5,FALSE)),"")</f>
        <v/>
      </c>
      <c r="J344" s="136" t="str">
        <f t="shared" si="78"/>
        <v/>
      </c>
      <c r="K344" s="28" t="str">
        <f t="shared" si="79"/>
        <v/>
      </c>
      <c r="L344" s="26"/>
      <c r="M344" s="26"/>
      <c r="N344" s="26"/>
      <c r="O344" s="29"/>
      <c r="P344" s="29"/>
      <c r="Q344" s="30" t="str">
        <f t="shared" ca="1" si="80"/>
        <v/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/>
      <c r="D345" s="62"/>
      <c r="E345" s="109"/>
      <c r="F345" s="134" t="str">
        <f>IFERROR(IF($D345="","",VLOOKUP($D345,Cadastro!$C$4:$E$7,3,FALSE)),"")</f>
        <v/>
      </c>
      <c r="G345" s="105"/>
      <c r="H345" s="134" t="str">
        <f>IFERROR(IF($G345="","",$G345*$S$351/$G$351/Cadastro!$E$33),"")</f>
        <v/>
      </c>
      <c r="I345" s="135" t="str">
        <f>IFERROR(IF($D345="","",VLOOKUP($D345,Cadastro!$C$4:$G$7,5,FALSE)),"")</f>
        <v/>
      </c>
      <c r="J345" s="136" t="str">
        <f t="shared" si="78"/>
        <v/>
      </c>
      <c r="K345" s="34" t="str">
        <f t="shared" si="79"/>
        <v/>
      </c>
      <c r="L345" s="33"/>
      <c r="M345" s="33"/>
      <c r="N345" s="33"/>
      <c r="O345" s="29"/>
      <c r="P345" s="29"/>
      <c r="Q345" s="35" t="str">
        <f t="shared" ca="1" si="80"/>
        <v/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/>
      <c r="D346" s="62"/>
      <c r="E346" s="109"/>
      <c r="F346" s="134" t="str">
        <f>IFERROR(IF($D346="","",VLOOKUP($D346,Cadastro!$C$4:$E$7,3,FALSE)),"")</f>
        <v/>
      </c>
      <c r="G346" s="105"/>
      <c r="H346" s="134" t="str">
        <f>IFERROR(IF($G346="","",$G346*$S$351/$G$351/Cadastro!$E$33),"")</f>
        <v/>
      </c>
      <c r="I346" s="135" t="str">
        <f>IFERROR(IF($D346="","",VLOOKUP($D346,Cadastro!$C$4:$G$7,5,FALSE)),"")</f>
        <v/>
      </c>
      <c r="J346" s="136" t="str">
        <f t="shared" si="78"/>
        <v/>
      </c>
      <c r="K346" s="28" t="str">
        <f t="shared" si="79"/>
        <v/>
      </c>
      <c r="L346" s="26"/>
      <c r="M346" s="26"/>
      <c r="N346" s="26"/>
      <c r="O346" s="29"/>
      <c r="P346" s="29"/>
      <c r="Q346" s="30" t="str">
        <f t="shared" ca="1" si="80"/>
        <v/>
      </c>
      <c r="R346" s="27"/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/>
      <c r="D347" s="62"/>
      <c r="E347" s="109"/>
      <c r="F347" s="134" t="str">
        <f>IFERROR(IF($D347="","",VLOOKUP($D347,Cadastro!$C$4:$E$7,3,FALSE)),"")</f>
        <v/>
      </c>
      <c r="G347" s="105"/>
      <c r="H347" s="134" t="str">
        <f>IFERROR(IF($G347="","",$G347*$S$351/$G$351/Cadastro!$E$33),"")</f>
        <v/>
      </c>
      <c r="I347" s="135" t="str">
        <f>IFERROR(IF($D347="","",VLOOKUP($D347,Cadastro!$C$4:$G$7,5,FALSE)),"")</f>
        <v/>
      </c>
      <c r="J347" s="136" t="str">
        <f t="shared" si="78"/>
        <v/>
      </c>
      <c r="K347" s="34" t="str">
        <f t="shared" si="79"/>
        <v/>
      </c>
      <c r="L347" s="33"/>
      <c r="M347" s="33"/>
      <c r="N347" s="33"/>
      <c r="O347" s="29"/>
      <c r="P347" s="29"/>
      <c r="Q347" s="35" t="str">
        <f t="shared" ca="1" si="80"/>
        <v/>
      </c>
      <c r="R347" s="27"/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/>
      <c r="D348" s="62"/>
      <c r="E348" s="109"/>
      <c r="F348" s="134" t="str">
        <f>IFERROR(IF($D348="","",VLOOKUP($D348,Cadastro!$C$4:$E$7,3,FALSE)),"")</f>
        <v/>
      </c>
      <c r="G348" s="105"/>
      <c r="H348" s="134" t="str">
        <f>IFERROR(IF($G348="","",$G348*$S$351/$G$351/Cadastro!$E$33),"")</f>
        <v/>
      </c>
      <c r="I348" s="135" t="str">
        <f>IFERROR(IF($D348="","",VLOOKUP($D348,Cadastro!$C$4:$G$7,5,FALSE)),"")</f>
        <v/>
      </c>
      <c r="J348" s="136" t="str">
        <f t="shared" si="78"/>
        <v/>
      </c>
      <c r="K348" s="28" t="str">
        <f t="shared" si="79"/>
        <v/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/>
      <c r="D349" s="62"/>
      <c r="E349" s="109"/>
      <c r="F349" s="134" t="str">
        <f>IFERROR(IF($D349="","",VLOOKUP($D349,Cadastro!$C$4:$E$7,3,FALSE)),"")</f>
        <v/>
      </c>
      <c r="G349" s="105"/>
      <c r="H349" s="134" t="str">
        <f>IFERROR(IF($G349="","",$G349*$S$351/$G$351/Cadastro!$E$33),"")</f>
        <v/>
      </c>
      <c r="I349" s="135" t="str">
        <f>IFERROR(IF($D349="","",VLOOKUP($D349,Cadastro!$C$4:$G$7,5,FALSE)),"")</f>
        <v/>
      </c>
      <c r="J349" s="136" t="str">
        <f t="shared" si="78"/>
        <v/>
      </c>
      <c r="K349" s="34" t="str">
        <f t="shared" si="79"/>
        <v/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/>
      <c r="D350" s="62"/>
      <c r="E350" s="109"/>
      <c r="F350" s="137" t="str">
        <f>IFERROR(IF($D350="","",VLOOKUP($D350,Cadastro!$C$4:$E$7,3,FALSE)),"")</f>
        <v/>
      </c>
      <c r="G350" s="105"/>
      <c r="H350" s="137" t="str">
        <f>IFERROR(IF($G350="","",$G350*$S$351/$G$351/Cadastro!$E$33),"")</f>
        <v/>
      </c>
      <c r="I350" s="138" t="str">
        <f>IFERROR(IF($D350="","",VLOOKUP($D350,Cadastro!$C$4:$G$7,5,FALSE)),"")</f>
        <v/>
      </c>
      <c r="J350" s="139" t="str">
        <f t="shared" si="78"/>
        <v/>
      </c>
      <c r="K350" s="28" t="str">
        <f t="shared" si="79"/>
        <v/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1" t="s">
        <v>244</v>
      </c>
      <c r="B351" s="152"/>
      <c r="C351" s="152"/>
      <c r="D351" s="152"/>
      <c r="E351" s="152">
        <f>SUM(E339:E350)</f>
        <v>0</v>
      </c>
      <c r="F351" s="111"/>
      <c r="G351" s="80">
        <f>SUM(G339:G350)</f>
        <v>0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0</v>
      </c>
      <c r="L351" s="37"/>
      <c r="M351" s="37"/>
      <c r="N351" s="37"/>
      <c r="O351" s="61"/>
      <c r="P351" s="61"/>
      <c r="Q351" s="38">
        <f ca="1">IFERROR(SUM(Q339:Q350),"")</f>
        <v>0</v>
      </c>
      <c r="R351" s="36" t="s">
        <v>242</v>
      </c>
      <c r="S351" s="39"/>
      <c r="T351" s="119">
        <f>IFERROR(J351,"")</f>
        <v>0</v>
      </c>
    </row>
    <row r="352" spans="1:20" ht="18" customHeight="1">
      <c r="A352" s="153" t="s">
        <v>245</v>
      </c>
      <c r="B352" s="154"/>
      <c r="C352" s="154"/>
      <c r="D352" s="154"/>
      <c r="E352" s="154">
        <f>E338+E351</f>
        <v>0</v>
      </c>
      <c r="F352" s="112"/>
      <c r="G352" s="91">
        <f>G338+G351</f>
        <v>73</v>
      </c>
      <c r="H352" s="112">
        <f>IFERROR(H338+H351,"")</f>
        <v>0</v>
      </c>
      <c r="I352" s="116"/>
      <c r="J352" s="125">
        <f>IFERROR(J338+J351,"")</f>
        <v>0</v>
      </c>
      <c r="K352" s="40">
        <f>K338+K351</f>
        <v>351.4</v>
      </c>
      <c r="L352" s="41"/>
      <c r="M352" s="41"/>
      <c r="N352" s="41"/>
      <c r="O352" s="63"/>
      <c r="P352" s="63"/>
      <c r="Q352" s="42">
        <f ca="1">IFERROR(Q338+Q351,"")</f>
        <v>1.1805555555555569E-2</v>
      </c>
      <c r="R352" s="40" t="s">
        <v>246</v>
      </c>
      <c r="S352" s="48">
        <f>IFERROR(S338+S351,"")</f>
        <v>0</v>
      </c>
      <c r="T352" s="121">
        <f>IFERROR(J352,"")</f>
        <v>0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2">IFERROR(IF($H353="","",$H353*$F353*$I353),"")</f>
        <v/>
      </c>
      <c r="K353" s="34" t="str">
        <f t="shared" ref="K353:K364" si="83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4">IFERROR(IF(O353="","",IF(P353="",MOD(NOW()-O353,1),IF(P353&gt;=O353,P353-O353,P353+1-O353))),"")</f>
        <v/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2"/>
        <v/>
      </c>
      <c r="K354" s="28" t="str">
        <f t="shared" si="83"/>
        <v/>
      </c>
      <c r="L354" s="33"/>
      <c r="M354" s="26"/>
      <c r="N354" s="33"/>
      <c r="O354" s="29"/>
      <c r="P354" s="29"/>
      <c r="Q354" s="30" t="str">
        <f t="shared" ca="1" si="84"/>
        <v/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27"/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27"/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241</v>
      </c>
      <c r="B365" s="79"/>
      <c r="C365" s="79"/>
      <c r="D365" s="79"/>
      <c r="E365" s="79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61"/>
      <c r="P365" s="61"/>
      <c r="Q365" s="38">
        <f ca="1">IFERROR(SUM(Q353:Q364),"")</f>
        <v>0</v>
      </c>
      <c r="R365" s="36" t="s">
        <v>242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27"/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1" t="s">
        <v>244</v>
      </c>
      <c r="B378" s="152"/>
      <c r="C378" s="152"/>
      <c r="D378" s="152"/>
      <c r="E378" s="15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61"/>
      <c r="P378" s="61"/>
      <c r="Q378" s="38">
        <f ca="1">IFERROR(SUM(Q366:Q377),"")</f>
        <v>0</v>
      </c>
      <c r="R378" s="36" t="s">
        <v>242</v>
      </c>
      <c r="S378" s="39"/>
      <c r="T378" s="119">
        <f>IFERROR(J378,"")</f>
        <v>0</v>
      </c>
    </row>
    <row r="379" spans="1:20" ht="18" customHeight="1">
      <c r="A379" s="153" t="s">
        <v>245</v>
      </c>
      <c r="B379" s="154"/>
      <c r="C379" s="154"/>
      <c r="D379" s="154"/>
      <c r="E379" s="154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63"/>
      <c r="P379" s="63"/>
      <c r="Q379" s="42">
        <f ca="1">IFERROR(Q365+Q378,"")</f>
        <v>0</v>
      </c>
      <c r="R379" s="40" t="s">
        <v>246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27"/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1" t="s">
        <v>241</v>
      </c>
      <c r="B392" s="152"/>
      <c r="C392" s="152"/>
      <c r="D392" s="152"/>
      <c r="E392" s="15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61"/>
      <c r="P392" s="61"/>
      <c r="Q392" s="38">
        <f ca="1">IFERROR(SUM(Q380:Q391),"")</f>
        <v>0</v>
      </c>
      <c r="R392" s="36" t="s">
        <v>242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1" t="s">
        <v>244</v>
      </c>
      <c r="B405" s="152"/>
      <c r="C405" s="152"/>
      <c r="D405" s="152"/>
      <c r="E405" s="15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242</v>
      </c>
      <c r="S405" s="39"/>
      <c r="T405" s="119">
        <f>IFERROR(J405,"")</f>
        <v>0</v>
      </c>
    </row>
    <row r="406" spans="1:20" ht="18" customHeight="1">
      <c r="A406" s="153" t="s">
        <v>245</v>
      </c>
      <c r="B406" s="154"/>
      <c r="C406" s="154"/>
      <c r="D406" s="154"/>
      <c r="E406" s="154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63"/>
      <c r="P406" s="63"/>
      <c r="Q406" s="42">
        <f ca="1">IFERROR(Q392+Q405,"")</f>
        <v>0</v>
      </c>
      <c r="R406" s="40" t="s">
        <v>246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1" t="s">
        <v>241</v>
      </c>
      <c r="B419" s="152"/>
      <c r="C419" s="152"/>
      <c r="D419" s="152"/>
      <c r="E419" s="15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242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1" t="s">
        <v>244</v>
      </c>
      <c r="B432" s="152"/>
      <c r="C432" s="152"/>
      <c r="D432" s="152"/>
      <c r="E432" s="152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242</v>
      </c>
      <c r="S432" s="39"/>
      <c r="T432" s="119">
        <f>IFERROR(J432,"")</f>
        <v>0</v>
      </c>
    </row>
    <row r="433" spans="1:21" ht="18" customHeight="1">
      <c r="A433" s="153" t="s">
        <v>245</v>
      </c>
      <c r="B433" s="154"/>
      <c r="C433" s="154"/>
      <c r="D433" s="154"/>
      <c r="E433" s="154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246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1" t="s">
        <v>241</v>
      </c>
      <c r="B446" s="152"/>
      <c r="C446" s="152"/>
      <c r="D446" s="152"/>
      <c r="E446" s="15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242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1" t="s">
        <v>244</v>
      </c>
      <c r="B459" s="152"/>
      <c r="C459" s="152"/>
      <c r="D459" s="152"/>
      <c r="E459" s="15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242</v>
      </c>
      <c r="S459" s="39"/>
      <c r="T459" s="119">
        <f>IFERROR(J459,"")</f>
        <v>0</v>
      </c>
    </row>
    <row r="460" spans="1:20" ht="18" customHeight="1">
      <c r="A460" s="153" t="s">
        <v>245</v>
      </c>
      <c r="B460" s="154"/>
      <c r="C460" s="154"/>
      <c r="D460" s="154"/>
      <c r="E460" s="154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246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1" t="s">
        <v>241</v>
      </c>
      <c r="B473" s="152"/>
      <c r="C473" s="152"/>
      <c r="D473" s="152"/>
      <c r="E473" s="15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242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1" t="s">
        <v>244</v>
      </c>
      <c r="B486" s="152"/>
      <c r="C486" s="152"/>
      <c r="D486" s="152"/>
      <c r="E486" s="15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242</v>
      </c>
      <c r="S486" s="39"/>
      <c r="T486" s="119">
        <f>IFERROR(J486,"")</f>
        <v>0</v>
      </c>
    </row>
    <row r="487" spans="1:20" ht="18" customHeight="1">
      <c r="A487" s="153" t="s">
        <v>245</v>
      </c>
      <c r="B487" s="154"/>
      <c r="C487" s="154"/>
      <c r="D487" s="154"/>
      <c r="E487" s="15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246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1" t="s">
        <v>241</v>
      </c>
      <c r="B500" s="152"/>
      <c r="C500" s="152"/>
      <c r="D500" s="152"/>
      <c r="E500" s="15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242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1" t="s">
        <v>244</v>
      </c>
      <c r="B513" s="152"/>
      <c r="C513" s="152"/>
      <c r="D513" s="152"/>
      <c r="E513" s="152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242</v>
      </c>
      <c r="S513" s="39"/>
      <c r="T513" s="119">
        <f>IFERROR(J513,"")</f>
        <v>0</v>
      </c>
    </row>
    <row r="514" spans="1:20" ht="18" customHeight="1">
      <c r="A514" s="153" t="s">
        <v>245</v>
      </c>
      <c r="B514" s="154"/>
      <c r="C514" s="154"/>
      <c r="D514" s="154"/>
      <c r="E514" s="154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246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1" t="s">
        <v>241</v>
      </c>
      <c r="B527" s="152"/>
      <c r="C527" s="152"/>
      <c r="D527" s="152"/>
      <c r="E527" s="15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242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1" t="s">
        <v>244</v>
      </c>
      <c r="B540" s="152"/>
      <c r="C540" s="152"/>
      <c r="D540" s="152"/>
      <c r="E540" s="15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242</v>
      </c>
      <c r="S540" s="39"/>
      <c r="T540" s="119">
        <f>IFERROR(J540,"")</f>
        <v>0</v>
      </c>
    </row>
    <row r="541" spans="1:20" ht="18" customHeight="1">
      <c r="A541" s="153" t="s">
        <v>245</v>
      </c>
      <c r="B541" s="154"/>
      <c r="C541" s="154"/>
      <c r="D541" s="154"/>
      <c r="E541" s="15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246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1" t="s">
        <v>241</v>
      </c>
      <c r="B554" s="152"/>
      <c r="C554" s="152"/>
      <c r="D554" s="152"/>
      <c r="E554" s="15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242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1" t="s">
        <v>244</v>
      </c>
      <c r="B567" s="152"/>
      <c r="C567" s="152"/>
      <c r="D567" s="152"/>
      <c r="E567" s="15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242</v>
      </c>
      <c r="S567" s="39"/>
      <c r="T567" s="119">
        <f>IFERROR(J567,"")</f>
        <v>0</v>
      </c>
    </row>
    <row r="568" spans="1:20" ht="18" customHeight="1">
      <c r="A568" s="153" t="s">
        <v>245</v>
      </c>
      <c r="B568" s="154"/>
      <c r="C568" s="154"/>
      <c r="D568" s="154"/>
      <c r="E568" s="15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246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1" t="s">
        <v>241</v>
      </c>
      <c r="B581" s="152"/>
      <c r="C581" s="152"/>
      <c r="D581" s="152"/>
      <c r="E581" s="15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242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1" t="s">
        <v>244</v>
      </c>
      <c r="B594" s="152"/>
      <c r="C594" s="152"/>
      <c r="D594" s="152"/>
      <c r="E594" s="15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242</v>
      </c>
      <c r="S594" s="39"/>
      <c r="T594" s="119">
        <f>IFERROR(J594,"")</f>
        <v>0</v>
      </c>
    </row>
    <row r="595" spans="1:20" ht="18" customHeight="1">
      <c r="A595" s="153" t="s">
        <v>245</v>
      </c>
      <c r="B595" s="154"/>
      <c r="C595" s="154"/>
      <c r="D595" s="154"/>
      <c r="E595" s="15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246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1" t="s">
        <v>241</v>
      </c>
      <c r="B608" s="152"/>
      <c r="C608" s="152"/>
      <c r="D608" s="152"/>
      <c r="E608" s="15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242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1" t="s">
        <v>244</v>
      </c>
      <c r="B621" s="152"/>
      <c r="C621" s="152"/>
      <c r="D621" s="152"/>
      <c r="E621" s="15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242</v>
      </c>
      <c r="S621" s="39"/>
      <c r="T621" s="119">
        <f>IFERROR(J621,"")</f>
        <v>0</v>
      </c>
    </row>
    <row r="622" spans="1:20" ht="18" customHeight="1">
      <c r="A622" s="153" t="s">
        <v>245</v>
      </c>
      <c r="B622" s="154"/>
      <c r="C622" s="154"/>
      <c r="D622" s="154"/>
      <c r="E622" s="15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246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1" t="s">
        <v>241</v>
      </c>
      <c r="B635" s="152"/>
      <c r="C635" s="152"/>
      <c r="D635" s="152"/>
      <c r="E635" s="15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242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1" t="s">
        <v>244</v>
      </c>
      <c r="B648" s="152"/>
      <c r="C648" s="152"/>
      <c r="D648" s="152"/>
      <c r="E648" s="15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242</v>
      </c>
      <c r="S648" s="39"/>
      <c r="T648" s="119">
        <f>IFERROR(J648,"")</f>
        <v>0</v>
      </c>
    </row>
    <row r="649" spans="1:20" ht="18" customHeight="1">
      <c r="A649" s="153" t="s">
        <v>245</v>
      </c>
      <c r="B649" s="154"/>
      <c r="C649" s="154"/>
      <c r="D649" s="154"/>
      <c r="E649" s="15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246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1" t="s">
        <v>241</v>
      </c>
      <c r="B662" s="152"/>
      <c r="C662" s="152"/>
      <c r="D662" s="152"/>
      <c r="E662" s="15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242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1" t="s">
        <v>244</v>
      </c>
      <c r="B675" s="152"/>
      <c r="C675" s="152"/>
      <c r="D675" s="152"/>
      <c r="E675" s="15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242</v>
      </c>
      <c r="S675" s="39"/>
      <c r="T675" s="119">
        <f>IFERROR(J675,"")</f>
        <v>0</v>
      </c>
    </row>
    <row r="676" spans="1:20" ht="18" customHeight="1">
      <c r="A676" s="153" t="s">
        <v>245</v>
      </c>
      <c r="B676" s="154"/>
      <c r="C676" s="154"/>
      <c r="D676" s="154"/>
      <c r="E676" s="15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246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1" t="s">
        <v>241</v>
      </c>
      <c r="B689" s="152"/>
      <c r="C689" s="152"/>
      <c r="D689" s="152"/>
      <c r="E689" s="15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242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1" t="s">
        <v>244</v>
      </c>
      <c r="B702" s="152"/>
      <c r="C702" s="152"/>
      <c r="D702" s="152"/>
      <c r="E702" s="15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242</v>
      </c>
      <c r="S702" s="39"/>
      <c r="T702" s="119">
        <f>IFERROR(J702,"")</f>
        <v>0</v>
      </c>
    </row>
    <row r="703" spans="1:20" ht="18" customHeight="1">
      <c r="A703" s="153" t="s">
        <v>245</v>
      </c>
      <c r="B703" s="154"/>
      <c r="C703" s="154"/>
      <c r="D703" s="154"/>
      <c r="E703" s="15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246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1" t="s">
        <v>241</v>
      </c>
      <c r="B716" s="152"/>
      <c r="C716" s="152"/>
      <c r="D716" s="152"/>
      <c r="E716" s="15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242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1" t="s">
        <v>244</v>
      </c>
      <c r="B729" s="152"/>
      <c r="C729" s="152"/>
      <c r="D729" s="152"/>
      <c r="E729" s="15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242</v>
      </c>
      <c r="S729" s="39"/>
      <c r="T729" s="119">
        <f>IFERROR(J729,"")</f>
        <v>0</v>
      </c>
    </row>
    <row r="730" spans="1:20" ht="18" customHeight="1">
      <c r="A730" s="153" t="s">
        <v>245</v>
      </c>
      <c r="B730" s="154"/>
      <c r="C730" s="154"/>
      <c r="D730" s="154"/>
      <c r="E730" s="15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246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1" t="s">
        <v>241</v>
      </c>
      <c r="B743" s="152"/>
      <c r="C743" s="152"/>
      <c r="D743" s="152"/>
      <c r="E743" s="15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242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1" t="s">
        <v>244</v>
      </c>
      <c r="B756" s="152"/>
      <c r="C756" s="152"/>
      <c r="D756" s="152"/>
      <c r="E756" s="15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3" t="s">
        <v>245</v>
      </c>
      <c r="B757" s="154"/>
      <c r="C757" s="154"/>
      <c r="D757" s="154"/>
      <c r="E757" s="15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246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1" t="s">
        <v>241</v>
      </c>
      <c r="B770" s="152"/>
      <c r="C770" s="152"/>
      <c r="D770" s="152"/>
      <c r="E770" s="15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242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1" t="s">
        <v>244</v>
      </c>
      <c r="B783" s="152"/>
      <c r="C783" s="152"/>
      <c r="D783" s="152"/>
      <c r="E783" s="15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3" t="s">
        <v>245</v>
      </c>
      <c r="B784" s="154"/>
      <c r="C784" s="154"/>
      <c r="D784" s="154"/>
      <c r="E784" s="15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246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1" t="s">
        <v>241</v>
      </c>
      <c r="B797" s="152"/>
      <c r="C797" s="152"/>
      <c r="D797" s="152"/>
      <c r="E797" s="15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242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1" t="s">
        <v>244</v>
      </c>
      <c r="B810" s="152"/>
      <c r="C810" s="152"/>
      <c r="D810" s="152"/>
      <c r="E810" s="15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3" t="s">
        <v>245</v>
      </c>
      <c r="B811" s="154"/>
      <c r="C811" s="154"/>
      <c r="D811" s="154"/>
      <c r="E811" s="15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246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1" t="s">
        <v>241</v>
      </c>
      <c r="B824" s="152"/>
      <c r="C824" s="152"/>
      <c r="D824" s="152"/>
      <c r="E824" s="15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242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1" t="s">
        <v>244</v>
      </c>
      <c r="B837" s="152"/>
      <c r="C837" s="152"/>
      <c r="D837" s="152"/>
      <c r="E837" s="15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242</v>
      </c>
      <c r="S837" s="39"/>
      <c r="T837" s="119">
        <f>IFERROR(J837,"")</f>
        <v>0</v>
      </c>
    </row>
    <row r="838" spans="1:20" ht="18" customHeight="1">
      <c r="A838" s="153" t="s">
        <v>245</v>
      </c>
      <c r="B838" s="154"/>
      <c r="C838" s="154"/>
      <c r="D838" s="154"/>
      <c r="E838" s="15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246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8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2026-08-13T15:58:32Z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