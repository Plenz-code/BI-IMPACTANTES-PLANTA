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66" documentId="8_{C51EB6CB-002B-4D6B-B68F-DDEBDB4460C0}" xr6:coauthVersionLast="47" xr6:coauthVersionMax="47" xr10:uidLastSave="{A3E16E82-F657-41AF-A216-3BBD9D83BF71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<sst xmlns="http://schemas.openxmlformats.org/spreadsheetml/2006/main" count="3683" uniqueCount="291">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</sst>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39" activePane="bottomLeft" state="frozen"/>
      <selection pane="bottomLeft" activeCell="F170" sqref="F17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189</v>
      </c>
      <c r="G176" s="36">
        <f>SUM(G164:G175)</f>
        <v>945</v>
      </c>
      <c r="H176" s="37"/>
      <c r="I176" s="37"/>
      <c r="J176" s="37"/>
      <c r="K176" s="37"/>
      <c r="L176" s="37"/>
      <c r="M176" s="38">
        <f ca="1">IFERROR(SUM(M164:M175),"")</f>
        <v>4.5833333333333337E-2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189</v>
      </c>
      <c r="G190" s="40">
        <f>G176+G189</f>
        <v>945</v>
      </c>
      <c r="H190" s="41"/>
      <c r="I190" s="41"/>
      <c r="J190" s="41"/>
      <c r="K190" s="41"/>
      <c r="L190" s="41"/>
      <c r="M190" s="42">
        <f ca="1">IFERROR(M176+M189,"")</f>
        <v>4.5833333333333337E-2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40" activePane="bottomLeft" state="frozen"/>
      <selection pane="bottomLeft" activeCell="L167" sqref="L1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0.42755150462471647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0.56644039351360531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0.65116261573582768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>
        <v>8</v>
      </c>
      <c r="G168" s="28">
        <f t="shared" si="36"/>
        <v>33.6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35</v>
      </c>
      <c r="G176" s="36">
        <f>SUM(G164:G175)</f>
        <v>147</v>
      </c>
      <c r="H176" s="37"/>
      <c r="I176" s="37"/>
      <c r="J176" s="37"/>
      <c r="K176" s="37"/>
      <c r="L176" s="37"/>
      <c r="M176" s="38">
        <f ca="1">IFERROR(SUM(M164:M175),"")</f>
        <v>7.0138888888888973E-2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35</v>
      </c>
      <c r="G190" s="40">
        <f>G176+G189</f>
        <v>147</v>
      </c>
      <c r="H190" s="41"/>
      <c r="I190" s="41"/>
      <c r="J190" s="41"/>
      <c r="K190" s="41"/>
      <c r="L190" s="41"/>
      <c r="M190" s="42">
        <f ca="1">IFERROR(M176+M189,"")</f>
        <v>7.0138888888888973E-2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38" zoomScale="50" zoomScaleNormal="50" workbookViewId="0">
      <selection activeCell="F170" sqref="F1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40</v>
      </c>
      <c r="G176" s="36">
        <f>SUM(G164:G175)</f>
        <v>168.00000000000003</v>
      </c>
      <c r="H176" s="37"/>
      <c r="I176" s="37"/>
      <c r="J176" s="37"/>
      <c r="K176" s="37"/>
      <c r="L176" s="37"/>
      <c r="M176" s="38">
        <f ca="1">IFERROR(SUM(M164:M175),"")</f>
        <v>6.6666666666666763E-2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40</v>
      </c>
      <c r="G190" s="40">
        <f>G176+G189</f>
        <v>168.00000000000003</v>
      </c>
      <c r="H190" s="41"/>
      <c r="I190" s="41"/>
      <c r="J190" s="41"/>
      <c r="K190" s="41"/>
      <c r="L190" s="41"/>
      <c r="M190" s="42">
        <f ca="1">IFERROR(M176+M189,"")</f>
        <v>6.6666666666666763E-2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41" activePane="bottomLeft" state="frozen"/>
      <selection pane="bottomLeft" activeCell="F170" sqref="F1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14</v>
      </c>
      <c r="G169" s="34">
        <f t="shared" si="36"/>
        <v>58.800000000000004</v>
      </c>
      <c r="H169" s="33" t="s">
        <v>20</v>
      </c>
      <c r="I169" s="33"/>
      <c r="J169" s="33"/>
      <c r="K169" s="29">
        <v>0.52569444444444446</v>
      </c>
      <c r="L169" s="29"/>
      <c r="M169" s="35">
        <f t="shared" ca="1" si="37"/>
        <v>2.3384837964840699E-2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83</v>
      </c>
      <c r="G176" s="36">
        <f>SUM(G164:G175)</f>
        <v>348.6</v>
      </c>
      <c r="H176" s="37"/>
      <c r="I176" s="37"/>
      <c r="J176" s="37"/>
      <c r="K176" s="61"/>
      <c r="L176" s="61"/>
      <c r="M176" s="38">
        <f ca="1">IFERROR(SUM(M164:M175),"")</f>
        <v>9.6301504631507329E-2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83</v>
      </c>
      <c r="G190" s="40">
        <f>G176+G189</f>
        <v>348.6</v>
      </c>
      <c r="H190" s="41"/>
      <c r="I190" s="41"/>
      <c r="J190" s="41"/>
      <c r="K190" s="63"/>
      <c r="L190" s="63"/>
      <c r="M190" s="42">
        <f ca="1">IFERROR(M176+M189,"")</f>
        <v>9.6301504631507329E-2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2026-08-07T17:12:42Z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