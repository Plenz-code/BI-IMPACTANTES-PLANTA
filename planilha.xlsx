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4908" documentId="8_{C51EB6CB-002B-4D6B-B68F-DDEBDB4460C0}" xr6:coauthVersionLast="47" xr6:coauthVersionMax="47" xr10:uidLastSave="{F8CCF77C-579B-49DB-95AA-936810A8AAE1}"/>
  <bookViews>
    <workbookView xWindow="-108" yWindow="-108" windowWidth="23256" windowHeight="12456" tabRatio="500" firstSheet="2" activeTab="5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257" i="5" l="1"/>
  <c r="F176" i="6"/>
  <c r="G137" i="4"/>
  <c r="G34" i="3"/>
  <c r="G36" i="3"/>
  <c r="M166" i="5"/>
  <c r="M225" i="6"/>
  <c r="M303" i="5"/>
  <c r="O838" i="6"/>
  <c r="F837" i="6"/>
  <c r="E837" i="6"/>
  <c r="M836" i="6"/>
  <c r="G836" i="6"/>
  <c r="M835" i="6"/>
  <c r="G835" i="6"/>
  <c r="M834" i="6"/>
  <c r="G834" i="6"/>
  <c r="M833" i="6"/>
  <c r="G833" i="6"/>
  <c r="M832" i="6"/>
  <c r="G832" i="6"/>
  <c r="M831" i="6"/>
  <c r="G831" i="6"/>
  <c r="M830" i="6"/>
  <c r="G830" i="6"/>
  <c r="M829" i="6"/>
  <c r="G829" i="6"/>
  <c r="M828" i="6"/>
  <c r="G828" i="6"/>
  <c r="M827" i="6"/>
  <c r="G827" i="6"/>
  <c r="M826" i="6"/>
  <c r="G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M825" i="6"/>
  <c r="G825" i="6"/>
  <c r="F824" i="6"/>
  <c r="E824" i="6"/>
  <c r="E838" i="6" s="1"/>
  <c r="M823" i="6"/>
  <c r="G823" i="6"/>
  <c r="M822" i="6"/>
  <c r="G822" i="6"/>
  <c r="M821" i="6"/>
  <c r="G821" i="6"/>
  <c r="M820" i="6"/>
  <c r="G820" i="6"/>
  <c r="M819" i="6"/>
  <c r="G819" i="6"/>
  <c r="M818" i="6"/>
  <c r="G818" i="6"/>
  <c r="M817" i="6"/>
  <c r="G817" i="6"/>
  <c r="M816" i="6"/>
  <c r="G816" i="6"/>
  <c r="M815" i="6"/>
  <c r="G815" i="6"/>
  <c r="M814" i="6"/>
  <c r="G814" i="6"/>
  <c r="M813" i="6"/>
  <c r="G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M812" i="6"/>
  <c r="G812" i="6"/>
  <c r="O811" i="6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E797" i="6"/>
  <c r="E811" i="6" s="1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E757" i="6" s="1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F716" i="6"/>
  <c r="E716" i="6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O703" i="6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F703" i="6" s="1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G635" i="6" s="1"/>
  <c r="O622" i="6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F581" i="6"/>
  <c r="E581" i="6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G567" i="6" s="1"/>
  <c r="F554" i="6"/>
  <c r="E554" i="6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E541" i="6" s="1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F514" i="6" s="1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O487" i="6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G473" i="6" s="1"/>
  <c r="O460" i="6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O433" i="6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G270" i="6" s="1"/>
  <c r="F257" i="6"/>
  <c r="F271" i="6" s="1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E230" i="6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E203" i="6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E176" i="6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G162" i="6" s="1"/>
  <c r="F149" i="6"/>
  <c r="F163" i="6" s="1"/>
  <c r="E149" i="6"/>
  <c r="E163" i="6" s="1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O136" i="6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108" i="6"/>
  <c r="E108" i="6"/>
  <c r="M107" i="6"/>
  <c r="G107" i="6"/>
  <c r="M106" i="6"/>
  <c r="G106" i="6"/>
  <c r="M105" i="6"/>
  <c r="G105" i="6"/>
  <c r="M104" i="6"/>
  <c r="G104" i="6"/>
  <c r="M103" i="6"/>
  <c r="G103" i="6"/>
  <c r="M102" i="6"/>
  <c r="G102" i="6"/>
  <c r="M101" i="6"/>
  <c r="G101" i="6"/>
  <c r="M100" i="6"/>
  <c r="G100" i="6"/>
  <c r="M99" i="6"/>
  <c r="G99" i="6"/>
  <c r="M98" i="6"/>
  <c r="G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E95" i="6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O82" i="6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F68" i="6"/>
  <c r="F82" i="6" s="1"/>
  <c r="E68" i="6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O55" i="6"/>
  <c r="F54" i="6"/>
  <c r="E54" i="6"/>
  <c r="M53" i="6"/>
  <c r="G53" i="6"/>
  <c r="M52" i="6"/>
  <c r="G52" i="6"/>
  <c r="M51" i="6"/>
  <c r="G51" i="6"/>
  <c r="M50" i="6"/>
  <c r="M49" i="6"/>
  <c r="G49" i="6"/>
  <c r="M48" i="6"/>
  <c r="G48" i="6"/>
  <c r="M47" i="6"/>
  <c r="G47" i="6"/>
  <c r="M46" i="6"/>
  <c r="G46" i="6"/>
  <c r="M45" i="6"/>
  <c r="G45" i="6"/>
  <c r="M44" i="6"/>
  <c r="G44" i="6"/>
  <c r="M43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M42" i="6"/>
  <c r="G42" i="6"/>
  <c r="F41" i="6"/>
  <c r="F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G41" i="6" s="1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M16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F14" i="6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O838" i="5"/>
  <c r="F837" i="5"/>
  <c r="E837" i="5"/>
  <c r="M836" i="5"/>
  <c r="G836" i="5"/>
  <c r="M835" i="5"/>
  <c r="G835" i="5"/>
  <c r="M834" i="5"/>
  <c r="G834" i="5"/>
  <c r="M833" i="5"/>
  <c r="G833" i="5"/>
  <c r="M832" i="5"/>
  <c r="G832" i="5"/>
  <c r="M831" i="5"/>
  <c r="G831" i="5"/>
  <c r="M830" i="5"/>
  <c r="G830" i="5"/>
  <c r="M829" i="5"/>
  <c r="G829" i="5"/>
  <c r="M828" i="5"/>
  <c r="G828" i="5"/>
  <c r="M827" i="5"/>
  <c r="G827" i="5"/>
  <c r="M826" i="5"/>
  <c r="G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M825" i="5"/>
  <c r="G825" i="5"/>
  <c r="F824" i="5"/>
  <c r="F838" i="5" s="1"/>
  <c r="E824" i="5"/>
  <c r="M823" i="5"/>
  <c r="G823" i="5"/>
  <c r="M822" i="5"/>
  <c r="G822" i="5"/>
  <c r="M821" i="5"/>
  <c r="G821" i="5"/>
  <c r="M820" i="5"/>
  <c r="G820" i="5"/>
  <c r="M819" i="5"/>
  <c r="G819" i="5"/>
  <c r="M818" i="5"/>
  <c r="G818" i="5"/>
  <c r="M817" i="5"/>
  <c r="G817" i="5"/>
  <c r="M816" i="5"/>
  <c r="G816" i="5"/>
  <c r="M815" i="5"/>
  <c r="G815" i="5"/>
  <c r="M814" i="5"/>
  <c r="G814" i="5"/>
  <c r="M813" i="5"/>
  <c r="G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M812" i="5"/>
  <c r="G812" i="5"/>
  <c r="O811" i="5"/>
  <c r="F810" i="5"/>
  <c r="E810" i="5"/>
  <c r="M809" i="5"/>
  <c r="G809" i="5"/>
  <c r="M808" i="5"/>
  <c r="G808" i="5"/>
  <c r="M807" i="5"/>
  <c r="G807" i="5"/>
  <c r="M806" i="5"/>
  <c r="G806" i="5"/>
  <c r="M805" i="5"/>
  <c r="G805" i="5"/>
  <c r="M804" i="5"/>
  <c r="G804" i="5"/>
  <c r="M803" i="5"/>
  <c r="G803" i="5"/>
  <c r="M802" i="5"/>
  <c r="G802" i="5"/>
  <c r="M801" i="5"/>
  <c r="G801" i="5"/>
  <c r="M800" i="5"/>
  <c r="M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M798" i="5"/>
  <c r="G797" i="5"/>
  <c r="F797" i="5"/>
  <c r="F811" i="5" s="1"/>
  <c r="E797" i="5"/>
  <c r="M796" i="5"/>
  <c r="M795" i="5"/>
  <c r="M794" i="5"/>
  <c r="M793" i="5"/>
  <c r="M792" i="5"/>
  <c r="M791" i="5"/>
  <c r="M790" i="5"/>
  <c r="M789" i="5"/>
  <c r="M788" i="5"/>
  <c r="M787" i="5"/>
  <c r="M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M785" i="5"/>
  <c r="O784" i="5"/>
  <c r="F783" i="5"/>
  <c r="E783" i="5"/>
  <c r="M782" i="5"/>
  <c r="G782" i="5"/>
  <c r="M781" i="5"/>
  <c r="G781" i="5"/>
  <c r="M780" i="5"/>
  <c r="G780" i="5"/>
  <c r="M779" i="5"/>
  <c r="G779" i="5"/>
  <c r="M778" i="5"/>
  <c r="G778" i="5"/>
  <c r="M777" i="5"/>
  <c r="G777" i="5"/>
  <c r="M776" i="5"/>
  <c r="G776" i="5"/>
  <c r="M775" i="5"/>
  <c r="G775" i="5"/>
  <c r="M774" i="5"/>
  <c r="G774" i="5"/>
  <c r="M773" i="5"/>
  <c r="G773" i="5"/>
  <c r="M772" i="5"/>
  <c r="G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M771" i="5"/>
  <c r="G771" i="5"/>
  <c r="F770" i="5"/>
  <c r="E770" i="5"/>
  <c r="E784" i="5" s="1"/>
  <c r="M769" i="5"/>
  <c r="G769" i="5"/>
  <c r="M768" i="5"/>
  <c r="G768" i="5"/>
  <c r="M767" i="5"/>
  <c r="G767" i="5"/>
  <c r="M766" i="5"/>
  <c r="G766" i="5"/>
  <c r="M765" i="5"/>
  <c r="G765" i="5"/>
  <c r="M764" i="5"/>
  <c r="G764" i="5"/>
  <c r="M763" i="5"/>
  <c r="G763" i="5"/>
  <c r="M762" i="5"/>
  <c r="G762" i="5"/>
  <c r="M761" i="5"/>
  <c r="G761" i="5"/>
  <c r="M760" i="5"/>
  <c r="G760" i="5"/>
  <c r="M759" i="5"/>
  <c r="G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M758" i="5"/>
  <c r="G758" i="5"/>
  <c r="O757" i="5"/>
  <c r="F756" i="5"/>
  <c r="E756" i="5"/>
  <c r="M755" i="5"/>
  <c r="G755" i="5"/>
  <c r="M754" i="5"/>
  <c r="G754" i="5"/>
  <c r="M753" i="5"/>
  <c r="G753" i="5"/>
  <c r="M752" i="5"/>
  <c r="G752" i="5"/>
  <c r="M751" i="5"/>
  <c r="G751" i="5"/>
  <c r="M750" i="5"/>
  <c r="G750" i="5"/>
  <c r="M749" i="5"/>
  <c r="G749" i="5"/>
  <c r="M748" i="5"/>
  <c r="G748" i="5"/>
  <c r="M747" i="5"/>
  <c r="G747" i="5"/>
  <c r="M746" i="5"/>
  <c r="G746" i="5"/>
  <c r="M745" i="5"/>
  <c r="G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M744" i="5"/>
  <c r="G744" i="5"/>
  <c r="F743" i="5"/>
  <c r="F757" i="5" s="1"/>
  <c r="E743" i="5"/>
  <c r="E757" i="5" s="1"/>
  <c r="M742" i="5"/>
  <c r="G742" i="5"/>
  <c r="M741" i="5"/>
  <c r="G741" i="5"/>
  <c r="M740" i="5"/>
  <c r="G740" i="5"/>
  <c r="M739" i="5"/>
  <c r="G739" i="5"/>
  <c r="M738" i="5"/>
  <c r="G738" i="5"/>
  <c r="M737" i="5"/>
  <c r="G737" i="5"/>
  <c r="M736" i="5"/>
  <c r="G736" i="5"/>
  <c r="M735" i="5"/>
  <c r="G735" i="5"/>
  <c r="M734" i="5"/>
  <c r="G734" i="5"/>
  <c r="M733" i="5"/>
  <c r="G733" i="5"/>
  <c r="M732" i="5"/>
  <c r="G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M731" i="5"/>
  <c r="G731" i="5"/>
  <c r="O730" i="5"/>
  <c r="E30" i="1" s="1"/>
  <c r="F729" i="5"/>
  <c r="E729" i="5"/>
  <c r="M728" i="5"/>
  <c r="G728" i="5"/>
  <c r="M727" i="5"/>
  <c r="G727" i="5"/>
  <c r="M726" i="5"/>
  <c r="G726" i="5"/>
  <c r="M725" i="5"/>
  <c r="G725" i="5"/>
  <c r="M724" i="5"/>
  <c r="G724" i="5"/>
  <c r="M723" i="5"/>
  <c r="G723" i="5"/>
  <c r="M722" i="5"/>
  <c r="G722" i="5"/>
  <c r="M721" i="5"/>
  <c r="G721" i="5"/>
  <c r="M720" i="5"/>
  <c r="G720" i="5"/>
  <c r="M719" i="5"/>
  <c r="G719" i="5"/>
  <c r="M718" i="5"/>
  <c r="G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M717" i="5"/>
  <c r="G717" i="5"/>
  <c r="G729" i="5" s="1"/>
  <c r="F716" i="5"/>
  <c r="F730" i="5" s="1"/>
  <c r="E716" i="5"/>
  <c r="E730" i="5" s="1"/>
  <c r="M715" i="5"/>
  <c r="G715" i="5"/>
  <c r="M714" i="5"/>
  <c r="G714" i="5"/>
  <c r="M713" i="5"/>
  <c r="G713" i="5"/>
  <c r="M712" i="5"/>
  <c r="G712" i="5"/>
  <c r="M711" i="5"/>
  <c r="G711" i="5"/>
  <c r="M710" i="5"/>
  <c r="G710" i="5"/>
  <c r="M709" i="5"/>
  <c r="G709" i="5"/>
  <c r="M708" i="5"/>
  <c r="G708" i="5"/>
  <c r="M707" i="5"/>
  <c r="G707" i="5"/>
  <c r="M706" i="5"/>
  <c r="G706" i="5"/>
  <c r="M705" i="5"/>
  <c r="G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M704" i="5"/>
  <c r="G704" i="5"/>
  <c r="O703" i="5"/>
  <c r="E29" i="1" s="1"/>
  <c r="F702" i="5"/>
  <c r="E702" i="5"/>
  <c r="M701" i="5"/>
  <c r="G701" i="5"/>
  <c r="M700" i="5"/>
  <c r="G700" i="5"/>
  <c r="M699" i="5"/>
  <c r="G699" i="5"/>
  <c r="M698" i="5"/>
  <c r="G698" i="5"/>
  <c r="M697" i="5"/>
  <c r="G697" i="5"/>
  <c r="M696" i="5"/>
  <c r="G696" i="5"/>
  <c r="M695" i="5"/>
  <c r="G695" i="5"/>
  <c r="M694" i="5"/>
  <c r="G694" i="5"/>
  <c r="M693" i="5"/>
  <c r="G693" i="5"/>
  <c r="M692" i="5"/>
  <c r="G692" i="5"/>
  <c r="M691" i="5"/>
  <c r="G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M690" i="5"/>
  <c r="G690" i="5"/>
  <c r="F689" i="5"/>
  <c r="E689" i="5"/>
  <c r="M688" i="5"/>
  <c r="G688" i="5"/>
  <c r="M687" i="5"/>
  <c r="G687" i="5"/>
  <c r="M686" i="5"/>
  <c r="G686" i="5"/>
  <c r="M685" i="5"/>
  <c r="G685" i="5"/>
  <c r="M684" i="5"/>
  <c r="G684" i="5"/>
  <c r="M683" i="5"/>
  <c r="G683" i="5"/>
  <c r="M682" i="5"/>
  <c r="G682" i="5"/>
  <c r="M681" i="5"/>
  <c r="G681" i="5"/>
  <c r="M680" i="5"/>
  <c r="G680" i="5"/>
  <c r="M679" i="5"/>
  <c r="G679" i="5"/>
  <c r="M678" i="5"/>
  <c r="G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M677" i="5"/>
  <c r="G677" i="5"/>
  <c r="O676" i="5"/>
  <c r="F675" i="5"/>
  <c r="E675" i="5"/>
  <c r="M674" i="5"/>
  <c r="G674" i="5"/>
  <c r="M673" i="5"/>
  <c r="G673" i="5"/>
  <c r="M672" i="5"/>
  <c r="G672" i="5"/>
  <c r="M671" i="5"/>
  <c r="G671" i="5"/>
  <c r="M670" i="5"/>
  <c r="G670" i="5"/>
  <c r="M669" i="5"/>
  <c r="G669" i="5"/>
  <c r="M668" i="5"/>
  <c r="G668" i="5"/>
  <c r="M667" i="5"/>
  <c r="G667" i="5"/>
  <c r="M666" i="5"/>
  <c r="G666" i="5"/>
  <c r="M665" i="5"/>
  <c r="G665" i="5"/>
  <c r="M664" i="5"/>
  <c r="G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M663" i="5"/>
  <c r="G663" i="5"/>
  <c r="G675" i="5" s="1"/>
  <c r="F662" i="5"/>
  <c r="F676" i="5" s="1"/>
  <c r="E662" i="5"/>
  <c r="E676" i="5" s="1"/>
  <c r="M661" i="5"/>
  <c r="G661" i="5"/>
  <c r="M660" i="5"/>
  <c r="G660" i="5"/>
  <c r="M659" i="5"/>
  <c r="G659" i="5"/>
  <c r="M658" i="5"/>
  <c r="G658" i="5"/>
  <c r="M657" i="5"/>
  <c r="G657" i="5"/>
  <c r="M656" i="5"/>
  <c r="G656" i="5"/>
  <c r="M655" i="5"/>
  <c r="G655" i="5"/>
  <c r="M654" i="5"/>
  <c r="G654" i="5"/>
  <c r="M653" i="5"/>
  <c r="G653" i="5"/>
  <c r="M652" i="5"/>
  <c r="G652" i="5"/>
  <c r="M651" i="5"/>
  <c r="G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M650" i="5"/>
  <c r="G650" i="5"/>
  <c r="O649" i="5"/>
  <c r="F648" i="5"/>
  <c r="E648" i="5"/>
  <c r="M647" i="5"/>
  <c r="G647" i="5"/>
  <c r="M646" i="5"/>
  <c r="G646" i="5"/>
  <c r="M645" i="5"/>
  <c r="G645" i="5"/>
  <c r="M644" i="5"/>
  <c r="G644" i="5"/>
  <c r="M643" i="5"/>
  <c r="G643" i="5"/>
  <c r="M642" i="5"/>
  <c r="G642" i="5"/>
  <c r="M641" i="5"/>
  <c r="G641" i="5"/>
  <c r="M640" i="5"/>
  <c r="G640" i="5"/>
  <c r="M639" i="5"/>
  <c r="G639" i="5"/>
  <c r="M638" i="5"/>
  <c r="G638" i="5"/>
  <c r="M637" i="5"/>
  <c r="G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M636" i="5"/>
  <c r="G636" i="5"/>
  <c r="F635" i="5"/>
  <c r="E635" i="5"/>
  <c r="M634" i="5"/>
  <c r="G634" i="5"/>
  <c r="M633" i="5"/>
  <c r="G633" i="5"/>
  <c r="M632" i="5"/>
  <c r="G632" i="5"/>
  <c r="M631" i="5"/>
  <c r="G631" i="5"/>
  <c r="M630" i="5"/>
  <c r="G630" i="5"/>
  <c r="M629" i="5"/>
  <c r="G629" i="5"/>
  <c r="M628" i="5"/>
  <c r="G628" i="5"/>
  <c r="M627" i="5"/>
  <c r="G627" i="5"/>
  <c r="M626" i="5"/>
  <c r="G626" i="5"/>
  <c r="M625" i="5"/>
  <c r="G625" i="5"/>
  <c r="M624" i="5"/>
  <c r="G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M623" i="5"/>
  <c r="G623" i="5"/>
  <c r="O622" i="5"/>
  <c r="F621" i="5"/>
  <c r="E621" i="5"/>
  <c r="M620" i="5"/>
  <c r="G620" i="5"/>
  <c r="M619" i="5"/>
  <c r="G619" i="5"/>
  <c r="M618" i="5"/>
  <c r="G618" i="5"/>
  <c r="M617" i="5"/>
  <c r="G617" i="5"/>
  <c r="M616" i="5"/>
  <c r="G616" i="5"/>
  <c r="M615" i="5"/>
  <c r="M614" i="5"/>
  <c r="G614" i="5"/>
  <c r="M613" i="5"/>
  <c r="G613" i="5"/>
  <c r="M612" i="5"/>
  <c r="G612" i="5"/>
  <c r="M611" i="5"/>
  <c r="G611" i="5"/>
  <c r="M610" i="5"/>
  <c r="G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M609" i="5"/>
  <c r="G609" i="5"/>
  <c r="F608" i="5"/>
  <c r="F622" i="5" s="1"/>
  <c r="E608" i="5"/>
  <c r="E622" i="5" s="1"/>
  <c r="M607" i="5"/>
  <c r="G607" i="5"/>
  <c r="M606" i="5"/>
  <c r="G606" i="5"/>
  <c r="M605" i="5"/>
  <c r="G605" i="5"/>
  <c r="M604" i="5"/>
  <c r="G604" i="5"/>
  <c r="M603" i="5"/>
  <c r="G603" i="5"/>
  <c r="M602" i="5"/>
  <c r="G602" i="5"/>
  <c r="M601" i="5"/>
  <c r="G601" i="5"/>
  <c r="M600" i="5"/>
  <c r="G600" i="5"/>
  <c r="M599" i="5"/>
  <c r="G599" i="5"/>
  <c r="M598" i="5"/>
  <c r="G598" i="5"/>
  <c r="M597" i="5"/>
  <c r="G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M596" i="5"/>
  <c r="G596" i="5"/>
  <c r="O595" i="5"/>
  <c r="E25" i="1" s="1"/>
  <c r="F594" i="5"/>
  <c r="E594" i="5"/>
  <c r="M593" i="5"/>
  <c r="G593" i="5"/>
  <c r="M592" i="5"/>
  <c r="G592" i="5"/>
  <c r="M591" i="5"/>
  <c r="G591" i="5"/>
  <c r="M590" i="5"/>
  <c r="G590" i="5"/>
  <c r="M589" i="5"/>
  <c r="G589" i="5"/>
  <c r="M588" i="5"/>
  <c r="G588" i="5"/>
  <c r="M587" i="5"/>
  <c r="G587" i="5"/>
  <c r="M586" i="5"/>
  <c r="G586" i="5"/>
  <c r="M585" i="5"/>
  <c r="G585" i="5"/>
  <c r="M584" i="5"/>
  <c r="G584" i="5"/>
  <c r="M583" i="5"/>
  <c r="G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M582" i="5"/>
  <c r="G582" i="5"/>
  <c r="F581" i="5"/>
  <c r="F595" i="5" s="1"/>
  <c r="E581" i="5"/>
  <c r="E595" i="5" s="1"/>
  <c r="M580" i="5"/>
  <c r="G580" i="5"/>
  <c r="M579" i="5"/>
  <c r="G579" i="5"/>
  <c r="M578" i="5"/>
  <c r="G578" i="5"/>
  <c r="M577" i="5"/>
  <c r="G577" i="5"/>
  <c r="M576" i="5"/>
  <c r="G576" i="5"/>
  <c r="M575" i="5"/>
  <c r="G575" i="5"/>
  <c r="M574" i="5"/>
  <c r="G574" i="5"/>
  <c r="M573" i="5"/>
  <c r="G573" i="5"/>
  <c r="M572" i="5"/>
  <c r="G572" i="5"/>
  <c r="M571" i="5"/>
  <c r="G571" i="5"/>
  <c r="M570" i="5"/>
  <c r="G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M569" i="5"/>
  <c r="G569" i="5"/>
  <c r="O568" i="5"/>
  <c r="F567" i="5"/>
  <c r="E567" i="5"/>
  <c r="M566" i="5"/>
  <c r="G566" i="5"/>
  <c r="M565" i="5"/>
  <c r="G565" i="5"/>
  <c r="M564" i="5"/>
  <c r="G564" i="5"/>
  <c r="M563" i="5"/>
  <c r="G563" i="5"/>
  <c r="M562" i="5"/>
  <c r="G562" i="5"/>
  <c r="M561" i="5"/>
  <c r="G561" i="5"/>
  <c r="M560" i="5"/>
  <c r="G560" i="5"/>
  <c r="M559" i="5"/>
  <c r="G559" i="5"/>
  <c r="M558" i="5"/>
  <c r="G558" i="5"/>
  <c r="M557" i="5"/>
  <c r="G557" i="5"/>
  <c r="M556" i="5"/>
  <c r="G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M555" i="5"/>
  <c r="G555" i="5"/>
  <c r="F554" i="5"/>
  <c r="E554" i="5"/>
  <c r="M553" i="5"/>
  <c r="G553" i="5"/>
  <c r="M552" i="5"/>
  <c r="G552" i="5"/>
  <c r="M551" i="5"/>
  <c r="G551" i="5"/>
  <c r="M550" i="5"/>
  <c r="G550" i="5"/>
  <c r="M549" i="5"/>
  <c r="G549" i="5"/>
  <c r="M548" i="5"/>
  <c r="G548" i="5"/>
  <c r="M547" i="5"/>
  <c r="G547" i="5"/>
  <c r="M546" i="5"/>
  <c r="G546" i="5"/>
  <c r="M545" i="5"/>
  <c r="G545" i="5"/>
  <c r="M544" i="5"/>
  <c r="G544" i="5"/>
  <c r="M543" i="5"/>
  <c r="G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M542" i="5"/>
  <c r="G542" i="5"/>
  <c r="O541" i="5"/>
  <c r="F540" i="5"/>
  <c r="E540" i="5"/>
  <c r="M539" i="5"/>
  <c r="G539" i="5"/>
  <c r="M538" i="5"/>
  <c r="G538" i="5"/>
  <c r="M537" i="5"/>
  <c r="G537" i="5"/>
  <c r="M536" i="5"/>
  <c r="G536" i="5"/>
  <c r="M535" i="5"/>
  <c r="G535" i="5"/>
  <c r="M534" i="5"/>
  <c r="G534" i="5"/>
  <c r="M533" i="5"/>
  <c r="G533" i="5"/>
  <c r="M532" i="5"/>
  <c r="G532" i="5"/>
  <c r="M531" i="5"/>
  <c r="G531" i="5"/>
  <c r="M530" i="5"/>
  <c r="G530" i="5"/>
  <c r="M529" i="5"/>
  <c r="G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M528" i="5"/>
  <c r="G528" i="5"/>
  <c r="F527" i="5"/>
  <c r="F541" i="5" s="1"/>
  <c r="E527" i="5"/>
  <c r="M526" i="5"/>
  <c r="G526" i="5"/>
  <c r="M525" i="5"/>
  <c r="G525" i="5"/>
  <c r="M524" i="5"/>
  <c r="G524" i="5"/>
  <c r="M523" i="5"/>
  <c r="G523" i="5"/>
  <c r="M522" i="5"/>
  <c r="G522" i="5"/>
  <c r="M521" i="5"/>
  <c r="G521" i="5"/>
  <c r="M520" i="5"/>
  <c r="G520" i="5"/>
  <c r="M519" i="5"/>
  <c r="G519" i="5"/>
  <c r="M518" i="5"/>
  <c r="G518" i="5"/>
  <c r="M517" i="5"/>
  <c r="G517" i="5"/>
  <c r="M516" i="5"/>
  <c r="G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M515" i="5"/>
  <c r="G515" i="5"/>
  <c r="O514" i="5"/>
  <c r="E22" i="1" s="1"/>
  <c r="F513" i="5"/>
  <c r="E513" i="5"/>
  <c r="M512" i="5"/>
  <c r="G512" i="5"/>
  <c r="M511" i="5"/>
  <c r="G511" i="5"/>
  <c r="M510" i="5"/>
  <c r="G510" i="5"/>
  <c r="M509" i="5"/>
  <c r="G509" i="5"/>
  <c r="M508" i="5"/>
  <c r="G508" i="5"/>
  <c r="M507" i="5"/>
  <c r="G507" i="5"/>
  <c r="M506" i="5"/>
  <c r="G506" i="5"/>
  <c r="M505" i="5"/>
  <c r="G505" i="5"/>
  <c r="M504" i="5"/>
  <c r="G504" i="5"/>
  <c r="M503" i="5"/>
  <c r="G503" i="5"/>
  <c r="M502" i="5"/>
  <c r="G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M501" i="5"/>
  <c r="G501" i="5"/>
  <c r="F500" i="5"/>
  <c r="E500" i="5"/>
  <c r="E514" i="5" s="1"/>
  <c r="M499" i="5"/>
  <c r="G499" i="5"/>
  <c r="M498" i="5"/>
  <c r="G498" i="5"/>
  <c r="M497" i="5"/>
  <c r="G497" i="5"/>
  <c r="M496" i="5"/>
  <c r="G496" i="5"/>
  <c r="M495" i="5"/>
  <c r="G495" i="5"/>
  <c r="M494" i="5"/>
  <c r="G494" i="5"/>
  <c r="M493" i="5"/>
  <c r="G493" i="5"/>
  <c r="M492" i="5"/>
  <c r="G492" i="5"/>
  <c r="M491" i="5"/>
  <c r="G491" i="5"/>
  <c r="M490" i="5"/>
  <c r="G490" i="5"/>
  <c r="M489" i="5"/>
  <c r="G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M488" i="5"/>
  <c r="G488" i="5"/>
  <c r="O487" i="5"/>
  <c r="F486" i="5"/>
  <c r="E486" i="5"/>
  <c r="M485" i="5"/>
  <c r="G485" i="5"/>
  <c r="M484" i="5"/>
  <c r="G484" i="5"/>
  <c r="M483" i="5"/>
  <c r="G483" i="5"/>
  <c r="M482" i="5"/>
  <c r="G482" i="5"/>
  <c r="M481" i="5"/>
  <c r="G481" i="5"/>
  <c r="M480" i="5"/>
  <c r="G480" i="5"/>
  <c r="M479" i="5"/>
  <c r="G479" i="5"/>
  <c r="M478" i="5"/>
  <c r="G478" i="5"/>
  <c r="M477" i="5"/>
  <c r="G477" i="5"/>
  <c r="M476" i="5"/>
  <c r="G476" i="5"/>
  <c r="M475" i="5"/>
  <c r="G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M474" i="5"/>
  <c r="G474" i="5"/>
  <c r="F473" i="5"/>
  <c r="E473" i="5"/>
  <c r="M472" i="5"/>
  <c r="G472" i="5"/>
  <c r="M471" i="5"/>
  <c r="G471" i="5"/>
  <c r="M470" i="5"/>
  <c r="G470" i="5"/>
  <c r="M469" i="5"/>
  <c r="G469" i="5"/>
  <c r="M468" i="5"/>
  <c r="G468" i="5"/>
  <c r="M467" i="5"/>
  <c r="G467" i="5"/>
  <c r="M466" i="5"/>
  <c r="G466" i="5"/>
  <c r="M465" i="5"/>
  <c r="G465" i="5"/>
  <c r="M464" i="5"/>
  <c r="G464" i="5"/>
  <c r="M463" i="5"/>
  <c r="G463" i="5"/>
  <c r="M462" i="5"/>
  <c r="G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M461" i="5"/>
  <c r="G461" i="5"/>
  <c r="O460" i="5"/>
  <c r="F459" i="5"/>
  <c r="E459" i="5"/>
  <c r="M458" i="5"/>
  <c r="G458" i="5"/>
  <c r="M457" i="5"/>
  <c r="G457" i="5"/>
  <c r="M456" i="5"/>
  <c r="G456" i="5"/>
  <c r="M455" i="5"/>
  <c r="G455" i="5"/>
  <c r="M454" i="5"/>
  <c r="G454" i="5"/>
  <c r="M453" i="5"/>
  <c r="G453" i="5"/>
  <c r="M452" i="5"/>
  <c r="G452" i="5"/>
  <c r="M451" i="5"/>
  <c r="G451" i="5"/>
  <c r="M450" i="5"/>
  <c r="G450" i="5"/>
  <c r="M449" i="5"/>
  <c r="G449" i="5"/>
  <c r="M448" i="5"/>
  <c r="G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M447" i="5"/>
  <c r="G447" i="5"/>
  <c r="F446" i="5"/>
  <c r="F460" i="5" s="1"/>
  <c r="E446" i="5"/>
  <c r="M445" i="5"/>
  <c r="G445" i="5"/>
  <c r="M444" i="5"/>
  <c r="G444" i="5"/>
  <c r="M443" i="5"/>
  <c r="G443" i="5"/>
  <c r="M442" i="5"/>
  <c r="G442" i="5"/>
  <c r="M441" i="5"/>
  <c r="G441" i="5"/>
  <c r="M440" i="5"/>
  <c r="G440" i="5"/>
  <c r="M439" i="5"/>
  <c r="G439" i="5"/>
  <c r="M438" i="5"/>
  <c r="G438" i="5"/>
  <c r="M437" i="5"/>
  <c r="G437" i="5"/>
  <c r="M436" i="5"/>
  <c r="G436" i="5"/>
  <c r="M435" i="5"/>
  <c r="G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M434" i="5"/>
  <c r="G434" i="5"/>
  <c r="O433" i="5"/>
  <c r="E19" i="1" s="1"/>
  <c r="F432" i="5"/>
  <c r="E432" i="5"/>
  <c r="M431" i="5"/>
  <c r="G431" i="5"/>
  <c r="M430" i="5"/>
  <c r="G430" i="5"/>
  <c r="M429" i="5"/>
  <c r="G429" i="5"/>
  <c r="M428" i="5"/>
  <c r="G428" i="5"/>
  <c r="M427" i="5"/>
  <c r="G427" i="5"/>
  <c r="M426" i="5"/>
  <c r="G426" i="5"/>
  <c r="M425" i="5"/>
  <c r="G425" i="5"/>
  <c r="M424" i="5"/>
  <c r="G424" i="5"/>
  <c r="M423" i="5"/>
  <c r="G423" i="5"/>
  <c r="M422" i="5"/>
  <c r="G422" i="5"/>
  <c r="M421" i="5"/>
  <c r="G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M420" i="5"/>
  <c r="G420" i="5"/>
  <c r="F419" i="5"/>
  <c r="E419" i="5"/>
  <c r="E433" i="5" s="1"/>
  <c r="M418" i="5"/>
  <c r="G418" i="5"/>
  <c r="M417" i="5"/>
  <c r="G417" i="5"/>
  <c r="M416" i="5"/>
  <c r="G416" i="5"/>
  <c r="M415" i="5"/>
  <c r="G415" i="5"/>
  <c r="M414" i="5"/>
  <c r="G414" i="5"/>
  <c r="M413" i="5"/>
  <c r="G413" i="5"/>
  <c r="M412" i="5"/>
  <c r="G412" i="5"/>
  <c r="M411" i="5"/>
  <c r="G411" i="5"/>
  <c r="M410" i="5"/>
  <c r="G410" i="5"/>
  <c r="M409" i="5"/>
  <c r="G409" i="5"/>
  <c r="M408" i="5"/>
  <c r="G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M407" i="5"/>
  <c r="G407" i="5"/>
  <c r="O406" i="5"/>
  <c r="E18" i="1" s="1"/>
  <c r="F405" i="5"/>
  <c r="E405" i="5"/>
  <c r="M404" i="5"/>
  <c r="G404" i="5"/>
  <c r="M403" i="5"/>
  <c r="G403" i="5"/>
  <c r="M402" i="5"/>
  <c r="G402" i="5"/>
  <c r="M401" i="5"/>
  <c r="G401" i="5"/>
  <c r="M400" i="5"/>
  <c r="G400" i="5"/>
  <c r="M399" i="5"/>
  <c r="G399" i="5"/>
  <c r="M398" i="5"/>
  <c r="G398" i="5"/>
  <c r="M397" i="5"/>
  <c r="G397" i="5"/>
  <c r="M396" i="5"/>
  <c r="G396" i="5"/>
  <c r="M395" i="5"/>
  <c r="G395" i="5"/>
  <c r="M394" i="5"/>
  <c r="G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M393" i="5"/>
  <c r="G393" i="5"/>
  <c r="G405" i="5" s="1"/>
  <c r="F392" i="5"/>
  <c r="F406" i="5" s="1"/>
  <c r="E392" i="5"/>
  <c r="E406" i="5" s="1"/>
  <c r="M391" i="5"/>
  <c r="G391" i="5"/>
  <c r="M390" i="5"/>
  <c r="G390" i="5"/>
  <c r="M389" i="5"/>
  <c r="G389" i="5"/>
  <c r="M388" i="5"/>
  <c r="G388" i="5"/>
  <c r="M387" i="5"/>
  <c r="G387" i="5"/>
  <c r="M386" i="5"/>
  <c r="G386" i="5"/>
  <c r="M385" i="5"/>
  <c r="G385" i="5"/>
  <c r="M384" i="5"/>
  <c r="G384" i="5"/>
  <c r="M383" i="5"/>
  <c r="G383" i="5"/>
  <c r="M382" i="5"/>
  <c r="M381" i="5"/>
  <c r="G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M380" i="5"/>
  <c r="G380" i="5"/>
  <c r="O379" i="5"/>
  <c r="F378" i="5"/>
  <c r="E378" i="5"/>
  <c r="M377" i="5"/>
  <c r="G377" i="5"/>
  <c r="M376" i="5"/>
  <c r="G376" i="5"/>
  <c r="M375" i="5"/>
  <c r="G375" i="5"/>
  <c r="M374" i="5"/>
  <c r="G374" i="5"/>
  <c r="M373" i="5"/>
  <c r="G373" i="5"/>
  <c r="M372" i="5"/>
  <c r="G372" i="5"/>
  <c r="M371" i="5"/>
  <c r="G371" i="5"/>
  <c r="M370" i="5"/>
  <c r="G370" i="5"/>
  <c r="M369" i="5"/>
  <c r="G369" i="5"/>
  <c r="M368" i="5"/>
  <c r="G368" i="5"/>
  <c r="M367" i="5"/>
  <c r="G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M366" i="5"/>
  <c r="G366" i="5"/>
  <c r="F365" i="5"/>
  <c r="F379" i="5" s="1"/>
  <c r="E365" i="5"/>
  <c r="E379" i="5" s="1"/>
  <c r="M364" i="5"/>
  <c r="G364" i="5"/>
  <c r="M363" i="5"/>
  <c r="G363" i="5"/>
  <c r="M362" i="5"/>
  <c r="G362" i="5"/>
  <c r="M361" i="5"/>
  <c r="G361" i="5"/>
  <c r="M360" i="5"/>
  <c r="G360" i="5"/>
  <c r="M359" i="5"/>
  <c r="G359" i="5"/>
  <c r="M358" i="5"/>
  <c r="G358" i="5"/>
  <c r="M357" i="5"/>
  <c r="G357" i="5"/>
  <c r="M356" i="5"/>
  <c r="G356" i="5"/>
  <c r="M355" i="5"/>
  <c r="G355" i="5"/>
  <c r="M354" i="5"/>
  <c r="G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M353" i="5"/>
  <c r="G353" i="5"/>
  <c r="O352" i="5"/>
  <c r="F351" i="5"/>
  <c r="E351" i="5"/>
  <c r="M350" i="5"/>
  <c r="G350" i="5"/>
  <c r="M349" i="5"/>
  <c r="G349" i="5"/>
  <c r="M348" i="5"/>
  <c r="G348" i="5"/>
  <c r="M347" i="5"/>
  <c r="G347" i="5"/>
  <c r="M346" i="5"/>
  <c r="G346" i="5"/>
  <c r="M345" i="5"/>
  <c r="G345" i="5"/>
  <c r="M344" i="5"/>
  <c r="G344" i="5"/>
  <c r="M343" i="5"/>
  <c r="G343" i="5"/>
  <c r="M342" i="5"/>
  <c r="G342" i="5"/>
  <c r="M341" i="5"/>
  <c r="G341" i="5"/>
  <c r="M340" i="5"/>
  <c r="G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M339" i="5"/>
  <c r="G339" i="5"/>
  <c r="G351" i="5" s="1"/>
  <c r="F338" i="5"/>
  <c r="F352" i="5" s="1"/>
  <c r="E338" i="5"/>
  <c r="E352" i="5" s="1"/>
  <c r="M337" i="5"/>
  <c r="G337" i="5"/>
  <c r="M336" i="5"/>
  <c r="G336" i="5"/>
  <c r="M335" i="5"/>
  <c r="G335" i="5"/>
  <c r="M334" i="5"/>
  <c r="G334" i="5"/>
  <c r="M333" i="5"/>
  <c r="G333" i="5"/>
  <c r="M332" i="5"/>
  <c r="G332" i="5"/>
  <c r="M331" i="5"/>
  <c r="G331" i="5"/>
  <c r="M330" i="5"/>
  <c r="G330" i="5"/>
  <c r="M329" i="5"/>
  <c r="G329" i="5"/>
  <c r="M328" i="5"/>
  <c r="G328" i="5"/>
  <c r="M327" i="5"/>
  <c r="G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M326" i="5"/>
  <c r="G326" i="5"/>
  <c r="G338" i="5" s="1"/>
  <c r="O325" i="5"/>
  <c r="F324" i="5"/>
  <c r="E324" i="5"/>
  <c r="M323" i="5"/>
  <c r="G323" i="5"/>
  <c r="M322" i="5"/>
  <c r="G322" i="5"/>
  <c r="M321" i="5"/>
  <c r="G321" i="5"/>
  <c r="M320" i="5"/>
  <c r="G320" i="5"/>
  <c r="M319" i="5"/>
  <c r="G319" i="5"/>
  <c r="M318" i="5"/>
  <c r="G318" i="5"/>
  <c r="M317" i="5"/>
  <c r="G317" i="5"/>
  <c r="M316" i="5"/>
  <c r="G316" i="5"/>
  <c r="M315" i="5"/>
  <c r="G315" i="5"/>
  <c r="M314" i="5"/>
  <c r="G314" i="5"/>
  <c r="M313" i="5"/>
  <c r="G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M312" i="5"/>
  <c r="G312" i="5"/>
  <c r="F311" i="5"/>
  <c r="F325" i="5" s="1"/>
  <c r="E311" i="5"/>
  <c r="E325" i="5" s="1"/>
  <c r="M310" i="5"/>
  <c r="G310" i="5"/>
  <c r="M309" i="5"/>
  <c r="G309" i="5"/>
  <c r="M308" i="5"/>
  <c r="G308" i="5"/>
  <c r="M307" i="5"/>
  <c r="G307" i="5"/>
  <c r="M306" i="5"/>
  <c r="G306" i="5"/>
  <c r="M305" i="5"/>
  <c r="G305" i="5"/>
  <c r="M304" i="5"/>
  <c r="G304" i="5"/>
  <c r="G303" i="5"/>
  <c r="M302" i="5"/>
  <c r="G302" i="5"/>
  <c r="M301" i="5"/>
  <c r="G301" i="5"/>
  <c r="M300" i="5"/>
  <c r="G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M299" i="5"/>
  <c r="G299" i="5"/>
  <c r="O298" i="5"/>
  <c r="F297" i="5"/>
  <c r="E297" i="5"/>
  <c r="M296" i="5"/>
  <c r="G296" i="5"/>
  <c r="M295" i="5"/>
  <c r="G295" i="5"/>
  <c r="M294" i="5"/>
  <c r="G294" i="5"/>
  <c r="M293" i="5"/>
  <c r="G293" i="5"/>
  <c r="M292" i="5"/>
  <c r="G292" i="5"/>
  <c r="M291" i="5"/>
  <c r="G291" i="5"/>
  <c r="M290" i="5"/>
  <c r="G290" i="5"/>
  <c r="M289" i="5"/>
  <c r="G289" i="5"/>
  <c r="M288" i="5"/>
  <c r="G288" i="5"/>
  <c r="M287" i="5"/>
  <c r="G287" i="5"/>
  <c r="M286" i="5"/>
  <c r="G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M285" i="5"/>
  <c r="G285" i="5"/>
  <c r="F284" i="5"/>
  <c r="F298" i="5" s="1"/>
  <c r="E284" i="5"/>
  <c r="E298" i="5" s="1"/>
  <c r="M283" i="5"/>
  <c r="G283" i="5"/>
  <c r="M282" i="5"/>
  <c r="G282" i="5"/>
  <c r="M281" i="5"/>
  <c r="G281" i="5"/>
  <c r="M280" i="5"/>
  <c r="G280" i="5"/>
  <c r="M279" i="5"/>
  <c r="G279" i="5"/>
  <c r="M278" i="5"/>
  <c r="G278" i="5"/>
  <c r="M277" i="5"/>
  <c r="G277" i="5"/>
  <c r="M276" i="5"/>
  <c r="G276" i="5"/>
  <c r="M275" i="5"/>
  <c r="G275" i="5"/>
  <c r="M274" i="5"/>
  <c r="G274" i="5"/>
  <c r="M273" i="5"/>
  <c r="G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M272" i="5"/>
  <c r="G272" i="5"/>
  <c r="O271" i="5"/>
  <c r="E13" i="1" s="1"/>
  <c r="F270" i="5"/>
  <c r="E270" i="5"/>
  <c r="M269" i="5"/>
  <c r="G269" i="5"/>
  <c r="M268" i="5"/>
  <c r="G268" i="5"/>
  <c r="M267" i="5"/>
  <c r="G267" i="5"/>
  <c r="M266" i="5"/>
  <c r="G266" i="5"/>
  <c r="M265" i="5"/>
  <c r="G265" i="5"/>
  <c r="M264" i="5"/>
  <c r="G264" i="5"/>
  <c r="M263" i="5"/>
  <c r="G263" i="5"/>
  <c r="M262" i="5"/>
  <c r="G262" i="5"/>
  <c r="M261" i="5"/>
  <c r="G261" i="5"/>
  <c r="M260" i="5"/>
  <c r="G260" i="5"/>
  <c r="M259" i="5"/>
  <c r="G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M258" i="5"/>
  <c r="G258" i="5"/>
  <c r="F271" i="5"/>
  <c r="E271" i="5"/>
  <c r="M256" i="5"/>
  <c r="G256" i="5"/>
  <c r="M255" i="5"/>
  <c r="G255" i="5"/>
  <c r="M254" i="5"/>
  <c r="G254" i="5"/>
  <c r="M253" i="5"/>
  <c r="G253" i="5"/>
  <c r="M252" i="5"/>
  <c r="G252" i="5"/>
  <c r="M251" i="5"/>
  <c r="G251" i="5"/>
  <c r="M250" i="5"/>
  <c r="G250" i="5"/>
  <c r="M249" i="5"/>
  <c r="G249" i="5"/>
  <c r="M248" i="5"/>
  <c r="G248" i="5"/>
  <c r="M247" i="5"/>
  <c r="G247" i="5"/>
  <c r="M246" i="5"/>
  <c r="G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M245" i="5"/>
  <c r="G245" i="5"/>
  <c r="O244" i="5"/>
  <c r="F243" i="5"/>
  <c r="E243" i="5"/>
  <c r="M242" i="5"/>
  <c r="G242" i="5"/>
  <c r="M241" i="5"/>
  <c r="G241" i="5"/>
  <c r="M240" i="5"/>
  <c r="G240" i="5"/>
  <c r="M239" i="5"/>
  <c r="G239" i="5"/>
  <c r="M238" i="5"/>
  <c r="G238" i="5"/>
  <c r="M237" i="5"/>
  <c r="G237" i="5"/>
  <c r="M236" i="5"/>
  <c r="G236" i="5"/>
  <c r="M235" i="5"/>
  <c r="G235" i="5"/>
  <c r="M234" i="5"/>
  <c r="G234" i="5"/>
  <c r="M233" i="5"/>
  <c r="G233" i="5"/>
  <c r="M232" i="5"/>
  <c r="G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M231" i="5"/>
  <c r="G231" i="5"/>
  <c r="F230" i="5"/>
  <c r="F244" i="5" s="1"/>
  <c r="E230" i="5"/>
  <c r="E244" i="5" s="1"/>
  <c r="M229" i="5"/>
  <c r="G229" i="5"/>
  <c r="M228" i="5"/>
  <c r="G228" i="5"/>
  <c r="M227" i="5"/>
  <c r="G227" i="5"/>
  <c r="M226" i="5"/>
  <c r="G226" i="5"/>
  <c r="M225" i="5"/>
  <c r="G225" i="5"/>
  <c r="M224" i="5"/>
  <c r="G224" i="5"/>
  <c r="M223" i="5"/>
  <c r="G223" i="5"/>
  <c r="M222" i="5"/>
  <c r="G222" i="5"/>
  <c r="M221" i="5"/>
  <c r="G221" i="5"/>
  <c r="M220" i="5"/>
  <c r="G220" i="5"/>
  <c r="M219" i="5"/>
  <c r="G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M218" i="5"/>
  <c r="G218" i="5"/>
  <c r="O217" i="5"/>
  <c r="E11" i="1" s="1"/>
  <c r="F216" i="5"/>
  <c r="E216" i="5"/>
  <c r="M215" i="5"/>
  <c r="G215" i="5"/>
  <c r="M214" i="5"/>
  <c r="G214" i="5"/>
  <c r="M213" i="5"/>
  <c r="G213" i="5"/>
  <c r="M212" i="5"/>
  <c r="G212" i="5"/>
  <c r="M211" i="5"/>
  <c r="G211" i="5"/>
  <c r="M210" i="5"/>
  <c r="G210" i="5"/>
  <c r="M209" i="5"/>
  <c r="G209" i="5"/>
  <c r="M208" i="5"/>
  <c r="G208" i="5"/>
  <c r="M207" i="5"/>
  <c r="G207" i="5"/>
  <c r="M206" i="5"/>
  <c r="G206" i="5"/>
  <c r="M205" i="5"/>
  <c r="G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M204" i="5"/>
  <c r="G204" i="5"/>
  <c r="F203" i="5"/>
  <c r="F217" i="5" s="1"/>
  <c r="E203" i="5"/>
  <c r="M202" i="5"/>
  <c r="G202" i="5"/>
  <c r="M201" i="5"/>
  <c r="G201" i="5"/>
  <c r="M200" i="5"/>
  <c r="G200" i="5"/>
  <c r="M199" i="5"/>
  <c r="G199" i="5"/>
  <c r="M198" i="5"/>
  <c r="G198" i="5"/>
  <c r="M197" i="5"/>
  <c r="G197" i="5"/>
  <c r="M196" i="5"/>
  <c r="G196" i="5"/>
  <c r="M195" i="5"/>
  <c r="G195" i="5"/>
  <c r="M194" i="5"/>
  <c r="G194" i="5"/>
  <c r="M193" i="5"/>
  <c r="G193" i="5"/>
  <c r="M192" i="5"/>
  <c r="G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M191" i="5"/>
  <c r="G191" i="5"/>
  <c r="O190" i="5"/>
  <c r="E10" i="1" s="1"/>
  <c r="F189" i="5"/>
  <c r="E189" i="5"/>
  <c r="M188" i="5"/>
  <c r="G188" i="5"/>
  <c r="M187" i="5"/>
  <c r="G187" i="5"/>
  <c r="M186" i="5"/>
  <c r="G186" i="5"/>
  <c r="M185" i="5"/>
  <c r="G185" i="5"/>
  <c r="M184" i="5"/>
  <c r="G184" i="5"/>
  <c r="M183" i="5"/>
  <c r="G183" i="5"/>
  <c r="M182" i="5"/>
  <c r="G182" i="5"/>
  <c r="M181" i="5"/>
  <c r="G181" i="5"/>
  <c r="M180" i="5"/>
  <c r="G180" i="5"/>
  <c r="M179" i="5"/>
  <c r="G179" i="5"/>
  <c r="M178" i="5"/>
  <c r="G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M177" i="5"/>
  <c r="G177" i="5"/>
  <c r="F176" i="5"/>
  <c r="F190" i="5" s="1"/>
  <c r="E176" i="5"/>
  <c r="E190" i="5" s="1"/>
  <c r="M175" i="5"/>
  <c r="G175" i="5"/>
  <c r="M174" i="5"/>
  <c r="G174" i="5"/>
  <c r="M173" i="5"/>
  <c r="G173" i="5"/>
  <c r="M172" i="5"/>
  <c r="G172" i="5"/>
  <c r="M171" i="5"/>
  <c r="G171" i="5"/>
  <c r="M170" i="5"/>
  <c r="G170" i="5"/>
  <c r="M169" i="5"/>
  <c r="G169" i="5"/>
  <c r="M168" i="5"/>
  <c r="G168" i="5"/>
  <c r="M167" i="5"/>
  <c r="G167" i="5"/>
  <c r="G166" i="5"/>
  <c r="M165" i="5"/>
  <c r="G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M164" i="5"/>
  <c r="G164" i="5"/>
  <c r="O163" i="5"/>
  <c r="F162" i="5"/>
  <c r="E162" i="5"/>
  <c r="M161" i="5"/>
  <c r="G161" i="5"/>
  <c r="M160" i="5"/>
  <c r="G160" i="5"/>
  <c r="M159" i="5"/>
  <c r="G159" i="5"/>
  <c r="M158" i="5"/>
  <c r="G158" i="5"/>
  <c r="M157" i="5"/>
  <c r="G157" i="5"/>
  <c r="M156" i="5"/>
  <c r="G156" i="5"/>
  <c r="M155" i="5"/>
  <c r="G155" i="5"/>
  <c r="M154" i="5"/>
  <c r="G154" i="5"/>
  <c r="M153" i="5"/>
  <c r="G153" i="5"/>
  <c r="M152" i="5"/>
  <c r="G152" i="5"/>
  <c r="M151" i="5"/>
  <c r="G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M150" i="5"/>
  <c r="G150" i="5"/>
  <c r="F149" i="5"/>
  <c r="E149" i="5"/>
  <c r="M148" i="5"/>
  <c r="G148" i="5"/>
  <c r="M147" i="5"/>
  <c r="G147" i="5"/>
  <c r="M146" i="5"/>
  <c r="G146" i="5"/>
  <c r="M145" i="5"/>
  <c r="G145" i="5"/>
  <c r="M144" i="5"/>
  <c r="G144" i="5"/>
  <c r="M143" i="5"/>
  <c r="G143" i="5"/>
  <c r="M142" i="5"/>
  <c r="G142" i="5"/>
  <c r="M141" i="5"/>
  <c r="G141" i="5"/>
  <c r="M140" i="5"/>
  <c r="G140" i="5"/>
  <c r="M139" i="5"/>
  <c r="G139" i="5"/>
  <c r="M138" i="5"/>
  <c r="G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M137" i="5"/>
  <c r="G137" i="5"/>
  <c r="O136" i="5"/>
  <c r="F135" i="5"/>
  <c r="E135" i="5"/>
  <c r="M134" i="5"/>
  <c r="G134" i="5"/>
  <c r="M133" i="5"/>
  <c r="G133" i="5"/>
  <c r="M132" i="5"/>
  <c r="G132" i="5"/>
  <c r="M131" i="5"/>
  <c r="G131" i="5"/>
  <c r="M130" i="5"/>
  <c r="G130" i="5"/>
  <c r="M129" i="5"/>
  <c r="G129" i="5"/>
  <c r="M128" i="5"/>
  <c r="G128" i="5"/>
  <c r="M127" i="5"/>
  <c r="G127" i="5"/>
  <c r="M126" i="5"/>
  <c r="G126" i="5"/>
  <c r="M125" i="5"/>
  <c r="G125" i="5"/>
  <c r="M124" i="5"/>
  <c r="G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M123" i="5"/>
  <c r="G123" i="5"/>
  <c r="F122" i="5"/>
  <c r="F136" i="5" s="1"/>
  <c r="E122" i="5"/>
  <c r="E136" i="5" s="1"/>
  <c r="M121" i="5"/>
  <c r="G121" i="5"/>
  <c r="M120" i="5"/>
  <c r="G120" i="5"/>
  <c r="M119" i="5"/>
  <c r="G119" i="5"/>
  <c r="M118" i="5"/>
  <c r="G118" i="5"/>
  <c r="M117" i="5"/>
  <c r="G117" i="5"/>
  <c r="M116" i="5"/>
  <c r="G116" i="5"/>
  <c r="M115" i="5"/>
  <c r="G115" i="5"/>
  <c r="M114" i="5"/>
  <c r="G114" i="5"/>
  <c r="M113" i="5"/>
  <c r="G113" i="5"/>
  <c r="M112" i="5"/>
  <c r="G112" i="5"/>
  <c r="M111" i="5"/>
  <c r="G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M110" i="5"/>
  <c r="G110" i="5"/>
  <c r="O109" i="5"/>
  <c r="F108" i="5"/>
  <c r="E108" i="5"/>
  <c r="M107" i="5"/>
  <c r="G107" i="5"/>
  <c r="M106" i="5"/>
  <c r="G106" i="5"/>
  <c r="M105" i="5"/>
  <c r="G105" i="5"/>
  <c r="M104" i="5"/>
  <c r="G104" i="5"/>
  <c r="M103" i="5"/>
  <c r="G103" i="5"/>
  <c r="M102" i="5"/>
  <c r="G102" i="5"/>
  <c r="M101" i="5"/>
  <c r="G101" i="5"/>
  <c r="M100" i="5"/>
  <c r="G100" i="5"/>
  <c r="M99" i="5"/>
  <c r="G99" i="5"/>
  <c r="M98" i="5"/>
  <c r="G98" i="5"/>
  <c r="M97" i="5"/>
  <c r="G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M96" i="5"/>
  <c r="G96" i="5"/>
  <c r="F95" i="5"/>
  <c r="E95" i="5"/>
  <c r="M94" i="5"/>
  <c r="G94" i="5"/>
  <c r="M93" i="5"/>
  <c r="G93" i="5"/>
  <c r="M92" i="5"/>
  <c r="G92" i="5"/>
  <c r="M91" i="5"/>
  <c r="G91" i="5"/>
  <c r="M90" i="5"/>
  <c r="G90" i="5"/>
  <c r="M89" i="5"/>
  <c r="G89" i="5"/>
  <c r="M88" i="5"/>
  <c r="G88" i="5"/>
  <c r="M87" i="5"/>
  <c r="G87" i="5"/>
  <c r="M86" i="5"/>
  <c r="G86" i="5"/>
  <c r="M85" i="5"/>
  <c r="G85" i="5"/>
  <c r="M84" i="5"/>
  <c r="G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M83" i="5"/>
  <c r="G83" i="5"/>
  <c r="O82" i="5"/>
  <c r="E6" i="1" s="1"/>
  <c r="F81" i="5"/>
  <c r="E81" i="5"/>
  <c r="M80" i="5"/>
  <c r="G80" i="5"/>
  <c r="M79" i="5"/>
  <c r="G79" i="5"/>
  <c r="M78" i="5"/>
  <c r="G78" i="5"/>
  <c r="M77" i="5"/>
  <c r="G77" i="5"/>
  <c r="M76" i="5"/>
  <c r="G76" i="5"/>
  <c r="M75" i="5"/>
  <c r="G75" i="5"/>
  <c r="M74" i="5"/>
  <c r="G74" i="5"/>
  <c r="M73" i="5"/>
  <c r="G73" i="5"/>
  <c r="M72" i="5"/>
  <c r="G72" i="5"/>
  <c r="M71" i="5"/>
  <c r="G71" i="5"/>
  <c r="M70" i="5"/>
  <c r="G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M69" i="5"/>
  <c r="G69" i="5"/>
  <c r="F68" i="5"/>
  <c r="F82" i="5" s="1"/>
  <c r="E68" i="5"/>
  <c r="E82" i="5" s="1"/>
  <c r="M67" i="5"/>
  <c r="G67" i="5"/>
  <c r="M66" i="5"/>
  <c r="G66" i="5"/>
  <c r="M65" i="5"/>
  <c r="G65" i="5"/>
  <c r="M64" i="5"/>
  <c r="G64" i="5"/>
  <c r="M63" i="5"/>
  <c r="G63" i="5"/>
  <c r="M62" i="5"/>
  <c r="G62" i="5"/>
  <c r="M61" i="5"/>
  <c r="G61" i="5"/>
  <c r="M60" i="5"/>
  <c r="G60" i="5"/>
  <c r="M59" i="5"/>
  <c r="G59" i="5"/>
  <c r="M58" i="5"/>
  <c r="G58" i="5"/>
  <c r="M57" i="5"/>
  <c r="G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M56" i="5"/>
  <c r="G56" i="5"/>
  <c r="O55" i="5"/>
  <c r="F54" i="5"/>
  <c r="E54" i="5"/>
  <c r="M53" i="5"/>
  <c r="G53" i="5"/>
  <c r="M52" i="5"/>
  <c r="G52" i="5"/>
  <c r="M51" i="5"/>
  <c r="G51" i="5"/>
  <c r="M50" i="5"/>
  <c r="G50" i="5"/>
  <c r="M49" i="5"/>
  <c r="G49" i="5"/>
  <c r="M48" i="5"/>
  <c r="G48" i="5"/>
  <c r="M47" i="5"/>
  <c r="G47" i="5"/>
  <c r="M46" i="5"/>
  <c r="G46" i="5"/>
  <c r="M45" i="5"/>
  <c r="G45" i="5"/>
  <c r="M44" i="5"/>
  <c r="G44" i="5"/>
  <c r="M43" i="5"/>
  <c r="G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M42" i="5"/>
  <c r="G42" i="5"/>
  <c r="F41" i="5"/>
  <c r="F55" i="5" s="1"/>
  <c r="E41" i="5"/>
  <c r="E55" i="5" s="1"/>
  <c r="M40" i="5"/>
  <c r="G40" i="5"/>
  <c r="M39" i="5"/>
  <c r="G39" i="5"/>
  <c r="M38" i="5"/>
  <c r="G38" i="5"/>
  <c r="M37" i="5"/>
  <c r="G37" i="5"/>
  <c r="M36" i="5"/>
  <c r="G36" i="5"/>
  <c r="M35" i="5"/>
  <c r="G35" i="5"/>
  <c r="M34" i="5"/>
  <c r="G34" i="5"/>
  <c r="M33" i="5"/>
  <c r="G33" i="5"/>
  <c r="M32" i="5"/>
  <c r="G32" i="5"/>
  <c r="M31" i="5"/>
  <c r="G31" i="5"/>
  <c r="M30" i="5"/>
  <c r="G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M29" i="5"/>
  <c r="G29" i="5"/>
  <c r="G41" i="5" s="1"/>
  <c r="O28" i="5"/>
  <c r="M26" i="5"/>
  <c r="G26" i="5"/>
  <c r="M25" i="5"/>
  <c r="G25" i="5"/>
  <c r="M24" i="5"/>
  <c r="G24" i="5"/>
  <c r="M23" i="5"/>
  <c r="G23" i="5"/>
  <c r="M22" i="5"/>
  <c r="G22" i="5"/>
  <c r="M21" i="5"/>
  <c r="G21" i="5"/>
  <c r="M20" i="5"/>
  <c r="G20" i="5"/>
  <c r="M19" i="5"/>
  <c r="G19" i="5"/>
  <c r="M18" i="5"/>
  <c r="G18" i="5"/>
  <c r="M17" i="5"/>
  <c r="G17" i="5"/>
  <c r="M16" i="5"/>
  <c r="G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M15" i="5"/>
  <c r="G15" i="5"/>
  <c r="F14" i="5"/>
  <c r="F28" i="5" s="1"/>
  <c r="M13" i="5"/>
  <c r="G13" i="5"/>
  <c r="M12" i="5"/>
  <c r="G12" i="5"/>
  <c r="M11" i="5"/>
  <c r="G11" i="5"/>
  <c r="M10" i="5"/>
  <c r="G10" i="5"/>
  <c r="M9" i="5"/>
  <c r="G9" i="5"/>
  <c r="M8" i="5"/>
  <c r="G8" i="5"/>
  <c r="M7" i="5"/>
  <c r="G7" i="5"/>
  <c r="M6" i="5"/>
  <c r="G6" i="5"/>
  <c r="M5" i="5"/>
  <c r="G5" i="5"/>
  <c r="M4" i="5"/>
  <c r="G4" i="5"/>
  <c r="M3" i="5"/>
  <c r="G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M2" i="5"/>
  <c r="G2" i="5"/>
  <c r="O838" i="3"/>
  <c r="F837" i="3"/>
  <c r="E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F824" i="3"/>
  <c r="F838" i="3" s="1"/>
  <c r="E824" i="3"/>
  <c r="E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O811" i="3"/>
  <c r="F810" i="3"/>
  <c r="E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F797" i="3"/>
  <c r="F811" i="3" s="1"/>
  <c r="E797" i="3"/>
  <c r="E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C32" i="1" s="1"/>
  <c r="F783" i="3"/>
  <c r="E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F770" i="3"/>
  <c r="F784" i="3" s="1"/>
  <c r="E770" i="3"/>
  <c r="E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O757" i="3"/>
  <c r="C31" i="1" s="1"/>
  <c r="F756" i="3"/>
  <c r="E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F743" i="3"/>
  <c r="F757" i="3" s="1"/>
  <c r="E743" i="3"/>
  <c r="E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O730" i="3"/>
  <c r="F729" i="3"/>
  <c r="E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F716" i="3"/>
  <c r="E716" i="3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G716" i="3" s="1"/>
  <c r="O703" i="3"/>
  <c r="F702" i="3"/>
  <c r="E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F689" i="3"/>
  <c r="F703" i="3" s="1"/>
  <c r="E689" i="3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O676" i="3"/>
  <c r="F675" i="3"/>
  <c r="E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G675" i="3" s="1"/>
  <c r="F662" i="3"/>
  <c r="E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C27" i="1" s="1"/>
  <c r="F648" i="3"/>
  <c r="E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F635" i="3"/>
  <c r="E635" i="3"/>
  <c r="E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F621" i="3"/>
  <c r="E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F622" i="3" s="1"/>
  <c r="E608" i="3"/>
  <c r="E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F594" i="3"/>
  <c r="E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F595" i="3" s="1"/>
  <c r="E581" i="3"/>
  <c r="E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O568" i="3"/>
  <c r="C24" i="1" s="1"/>
  <c r="F567" i="3"/>
  <c r="E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F554" i="3"/>
  <c r="F568" i="3" s="1"/>
  <c r="E554" i="3"/>
  <c r="E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O541" i="3"/>
  <c r="F540" i="3"/>
  <c r="E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F527" i="3"/>
  <c r="E527" i="3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O514" i="3"/>
  <c r="C22" i="1" s="1"/>
  <c r="F513" i="3"/>
  <c r="E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F500" i="3"/>
  <c r="F514" i="3" s="1"/>
  <c r="E500" i="3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G491" i="3"/>
  <c r="M490" i="3"/>
  <c r="G490" i="3"/>
  <c r="M489" i="3"/>
  <c r="G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488" i="3"/>
  <c r="O487" i="3"/>
  <c r="C21" i="1" s="1"/>
  <c r="F486" i="3"/>
  <c r="E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F473" i="3"/>
  <c r="F487" i="3" s="1"/>
  <c r="E473" i="3"/>
  <c r="E487" i="3" s="1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O460" i="3"/>
  <c r="F459" i="3"/>
  <c r="E459" i="3"/>
  <c r="M458" i="3"/>
  <c r="G458" i="3"/>
  <c r="M457" i="3"/>
  <c r="G457" i="3"/>
  <c r="M456" i="3"/>
  <c r="G456" i="3"/>
  <c r="M455" i="3"/>
  <c r="G455" i="3"/>
  <c r="M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F446" i="3"/>
  <c r="F460" i="3" s="1"/>
  <c r="E446" i="3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O433" i="3"/>
  <c r="C19" i="1" s="1"/>
  <c r="F432" i="3"/>
  <c r="E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F419" i="3"/>
  <c r="E419" i="3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O406" i="3"/>
  <c r="C18" i="1" s="1"/>
  <c r="F405" i="3"/>
  <c r="E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F392" i="3"/>
  <c r="E392" i="3"/>
  <c r="E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G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O379" i="3"/>
  <c r="F378" i="3"/>
  <c r="E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F365" i="3"/>
  <c r="F379" i="3" s="1"/>
  <c r="E365" i="3"/>
  <c r="E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O352" i="3"/>
  <c r="F351" i="3"/>
  <c r="E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G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F338" i="3"/>
  <c r="E338" i="3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O325" i="3"/>
  <c r="C15" i="1" s="1"/>
  <c r="F324" i="3"/>
  <c r="E324" i="3"/>
  <c r="M323" i="3"/>
  <c r="G323" i="3"/>
  <c r="M322" i="3"/>
  <c r="G322" i="3"/>
  <c r="M321" i="3"/>
  <c r="G321" i="3"/>
  <c r="M320" i="3"/>
  <c r="G320" i="3"/>
  <c r="M319" i="3"/>
  <c r="G319" i="3"/>
  <c r="M318" i="3"/>
  <c r="G318" i="3"/>
  <c r="M317" i="3"/>
  <c r="G317" i="3"/>
  <c r="M316" i="3"/>
  <c r="G316" i="3"/>
  <c r="M315" i="3"/>
  <c r="G315" i="3"/>
  <c r="M314" i="3"/>
  <c r="G314" i="3"/>
  <c r="M313" i="3"/>
  <c r="G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G312" i="3"/>
  <c r="F311" i="3"/>
  <c r="F325" i="3" s="1"/>
  <c r="E311" i="3"/>
  <c r="E325" i="3" s="1"/>
  <c r="M310" i="3"/>
  <c r="G310" i="3"/>
  <c r="M309" i="3"/>
  <c r="G309" i="3"/>
  <c r="M308" i="3"/>
  <c r="G308" i="3"/>
  <c r="M307" i="3"/>
  <c r="G307" i="3"/>
  <c r="M306" i="3"/>
  <c r="G306" i="3"/>
  <c r="M305" i="3"/>
  <c r="G305" i="3"/>
  <c r="M304" i="3"/>
  <c r="G304" i="3"/>
  <c r="M303" i="3"/>
  <c r="G303" i="3"/>
  <c r="M302" i="3"/>
  <c r="G302" i="3"/>
  <c r="M301" i="3"/>
  <c r="G301" i="3"/>
  <c r="M300" i="3"/>
  <c r="G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G299" i="3"/>
  <c r="O298" i="3"/>
  <c r="C14" i="1" s="1"/>
  <c r="F297" i="3"/>
  <c r="E297" i="3"/>
  <c r="M296" i="3"/>
  <c r="G296" i="3"/>
  <c r="M295" i="3"/>
  <c r="G295" i="3"/>
  <c r="M294" i="3"/>
  <c r="G294" i="3"/>
  <c r="M293" i="3"/>
  <c r="G293" i="3"/>
  <c r="M292" i="3"/>
  <c r="G292" i="3"/>
  <c r="M291" i="3"/>
  <c r="G291" i="3"/>
  <c r="M290" i="3"/>
  <c r="G290" i="3"/>
  <c r="M289" i="3"/>
  <c r="G289" i="3"/>
  <c r="M288" i="3"/>
  <c r="G288" i="3"/>
  <c r="M287" i="3"/>
  <c r="G287" i="3"/>
  <c r="M286" i="3"/>
  <c r="G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G285" i="3"/>
  <c r="G297" i="3" s="1"/>
  <c r="F284" i="3"/>
  <c r="F298" i="3" s="1"/>
  <c r="E284" i="3"/>
  <c r="M283" i="3"/>
  <c r="G283" i="3"/>
  <c r="M282" i="3"/>
  <c r="G282" i="3"/>
  <c r="M281" i="3"/>
  <c r="G281" i="3"/>
  <c r="M280" i="3"/>
  <c r="G280" i="3"/>
  <c r="M279" i="3"/>
  <c r="G279" i="3"/>
  <c r="M278" i="3"/>
  <c r="G278" i="3"/>
  <c r="M277" i="3"/>
  <c r="G277" i="3"/>
  <c r="M276" i="3"/>
  <c r="G276" i="3"/>
  <c r="M275" i="3"/>
  <c r="G275" i="3"/>
  <c r="M274" i="3"/>
  <c r="G274" i="3"/>
  <c r="M273" i="3"/>
  <c r="G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G272" i="3"/>
  <c r="O271" i="3"/>
  <c r="C13" i="1" s="1"/>
  <c r="F270" i="3"/>
  <c r="E270" i="3"/>
  <c r="M269" i="3"/>
  <c r="G269" i="3"/>
  <c r="M268" i="3"/>
  <c r="G268" i="3"/>
  <c r="M267" i="3"/>
  <c r="G267" i="3"/>
  <c r="M266" i="3"/>
  <c r="G266" i="3"/>
  <c r="M265" i="3"/>
  <c r="G265" i="3"/>
  <c r="M264" i="3"/>
  <c r="G264" i="3"/>
  <c r="M263" i="3"/>
  <c r="G263" i="3"/>
  <c r="M262" i="3"/>
  <c r="G262" i="3"/>
  <c r="M261" i="3"/>
  <c r="G261" i="3"/>
  <c r="M260" i="3"/>
  <c r="G260" i="3"/>
  <c r="M259" i="3"/>
  <c r="G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G258" i="3"/>
  <c r="F257" i="3"/>
  <c r="E257" i="3"/>
  <c r="M256" i="3"/>
  <c r="G256" i="3"/>
  <c r="M255" i="3"/>
  <c r="G255" i="3"/>
  <c r="M254" i="3"/>
  <c r="G254" i="3"/>
  <c r="M253" i="3"/>
  <c r="G253" i="3"/>
  <c r="M252" i="3"/>
  <c r="G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O244" i="3"/>
  <c r="F243" i="3"/>
  <c r="E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O217" i="3"/>
  <c r="F216" i="3"/>
  <c r="E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F203" i="3"/>
  <c r="E203" i="3"/>
  <c r="E217" i="3" s="1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O190" i="3"/>
  <c r="F189" i="3"/>
  <c r="E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F176" i="3"/>
  <c r="E176" i="3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O163" i="3"/>
  <c r="F162" i="3"/>
  <c r="E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F149" i="3"/>
  <c r="F163" i="3" s="1"/>
  <c r="E149" i="3"/>
  <c r="E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O136" i="3"/>
  <c r="C8" i="1" s="1"/>
  <c r="F135" i="3"/>
  <c r="E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F122" i="3"/>
  <c r="E122" i="3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O109" i="3"/>
  <c r="C7" i="1" s="1"/>
  <c r="F108" i="3"/>
  <c r="E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F95" i="3"/>
  <c r="F109" i="3" s="1"/>
  <c r="E95" i="3"/>
  <c r="E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O82" i="3"/>
  <c r="C6" i="1" s="1"/>
  <c r="F81" i="3"/>
  <c r="E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F68" i="3"/>
  <c r="E68" i="3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O55" i="3"/>
  <c r="C5" i="1" s="1"/>
  <c r="F54" i="3"/>
  <c r="E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F41" i="3"/>
  <c r="E41" i="3"/>
  <c r="E55" i="3" s="1"/>
  <c r="M40" i="3"/>
  <c r="G40" i="3"/>
  <c r="M39" i="3"/>
  <c r="G39" i="3"/>
  <c r="M38" i="3"/>
  <c r="G38" i="3"/>
  <c r="M37" i="3"/>
  <c r="G37" i="3"/>
  <c r="M36" i="3"/>
  <c r="M35" i="3"/>
  <c r="G35" i="3"/>
  <c r="M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F34" i="1"/>
  <c r="E34" i="1"/>
  <c r="C34" i="1"/>
  <c r="F33" i="1"/>
  <c r="E33" i="1"/>
  <c r="C33" i="1"/>
  <c r="F32" i="1"/>
  <c r="E32" i="1"/>
  <c r="E31" i="1"/>
  <c r="F30" i="1"/>
  <c r="C30" i="1"/>
  <c r="F29" i="1"/>
  <c r="C29" i="1"/>
  <c r="F28" i="1"/>
  <c r="E28" i="1"/>
  <c r="C28" i="1"/>
  <c r="F27" i="1"/>
  <c r="E27" i="1"/>
  <c r="F26" i="1"/>
  <c r="E26" i="1"/>
  <c r="C26" i="1"/>
  <c r="F25" i="1"/>
  <c r="C25" i="1"/>
  <c r="F24" i="1"/>
  <c r="E24" i="1"/>
  <c r="F23" i="1"/>
  <c r="E23" i="1"/>
  <c r="C23" i="1"/>
  <c r="F22" i="1"/>
  <c r="F21" i="1"/>
  <c r="E21" i="1"/>
  <c r="F20" i="1"/>
  <c r="E20" i="1"/>
  <c r="C20" i="1"/>
  <c r="F19" i="1"/>
  <c r="F18" i="1"/>
  <c r="F17" i="1"/>
  <c r="E17" i="1"/>
  <c r="C17" i="1"/>
  <c r="E16" i="1"/>
  <c r="C16" i="1"/>
  <c r="F15" i="1"/>
  <c r="E15" i="1"/>
  <c r="F14" i="1"/>
  <c r="E14" i="1"/>
  <c r="E12" i="1"/>
  <c r="C12" i="1"/>
  <c r="F11" i="1"/>
  <c r="C11" i="1"/>
  <c r="F10" i="1"/>
  <c r="C10" i="1"/>
  <c r="E9" i="1"/>
  <c r="C9" i="1"/>
  <c r="F8" i="1"/>
  <c r="E8" i="1"/>
  <c r="F7" i="1"/>
  <c r="E7" i="1"/>
  <c r="F6" i="1"/>
  <c r="F5" i="1"/>
  <c r="E5" i="1"/>
  <c r="E4" i="1"/>
  <c r="C4" i="1"/>
  <c r="O838" i="4"/>
  <c r="D34" i="1" s="1"/>
  <c r="G34" i="1" s="1"/>
  <c r="F837" i="4"/>
  <c r="E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E824" i="4"/>
  <c r="E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D33" i="1" s="1"/>
  <c r="F810" i="4"/>
  <c r="E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G802" i="4"/>
  <c r="M801" i="4"/>
  <c r="G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G797" i="4"/>
  <c r="F797" i="4"/>
  <c r="E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D32" i="1" s="1"/>
  <c r="F783" i="4"/>
  <c r="E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E770" i="4"/>
  <c r="E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D31" i="1" s="1"/>
  <c r="G31" i="1" s="1"/>
  <c r="F756" i="4"/>
  <c r="E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F757" i="4" s="1"/>
  <c r="E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D30" i="1" s="1"/>
  <c r="F729" i="4"/>
  <c r="E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G722" i="4"/>
  <c r="M721" i="4"/>
  <c r="G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E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D29" i="1" s="1"/>
  <c r="F702" i="4"/>
  <c r="E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E689" i="4"/>
  <c r="E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D28" i="1" s="1"/>
  <c r="F675" i="4"/>
  <c r="E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E662" i="4"/>
  <c r="E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G662" i="4" s="1"/>
  <c r="O649" i="4"/>
  <c r="D27" i="1" s="1"/>
  <c r="F648" i="4"/>
  <c r="E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G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E635" i="4"/>
  <c r="E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O622" i="4"/>
  <c r="D26" i="1" s="1"/>
  <c r="G26" i="1" s="1"/>
  <c r="F621" i="4"/>
  <c r="E621" i="4"/>
  <c r="M620" i="4"/>
  <c r="G620" i="4"/>
  <c r="M619" i="4"/>
  <c r="G619" i="4"/>
  <c r="M618" i="4"/>
  <c r="G618" i="4"/>
  <c r="M617" i="4"/>
  <c r="G617" i="4"/>
  <c r="M616" i="4"/>
  <c r="G616" i="4"/>
  <c r="M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F608" i="4"/>
  <c r="F622" i="4" s="1"/>
  <c r="E608" i="4"/>
  <c r="E622" i="4" s="1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D25" i="1" s="1"/>
  <c r="F594" i="4"/>
  <c r="E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E581" i="4"/>
  <c r="E595" i="4" s="1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D24" i="1" s="1"/>
  <c r="G24" i="1" s="1"/>
  <c r="F567" i="4"/>
  <c r="E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E554" i="4"/>
  <c r="E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D23" i="1" s="1"/>
  <c r="G23" i="1" s="1"/>
  <c r="F540" i="4"/>
  <c r="E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M528" i="4"/>
  <c r="G528" i="4"/>
  <c r="F527" i="4"/>
  <c r="F541" i="4" s="1"/>
  <c r="E527" i="4"/>
  <c r="E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D22" i="1" s="1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F514" i="4" s="1"/>
  <c r="E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D21" i="1" s="1"/>
  <c r="G21" i="1" s="1"/>
  <c r="F486" i="4"/>
  <c r="E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E473" i="4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D20" i="1" s="1"/>
  <c r="G20" i="1" s="1"/>
  <c r="F459" i="4"/>
  <c r="E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F460" i="4" s="1"/>
  <c r="E446" i="4"/>
  <c r="E460" i="4" s="1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G446" i="4" s="1"/>
  <c r="O433" i="4"/>
  <c r="D19" i="1" s="1"/>
  <c r="G19" i="1" s="1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F433" i="4" s="1"/>
  <c r="E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D18" i="1" s="1"/>
  <c r="G18" i="1" s="1"/>
  <c r="F405" i="4"/>
  <c r="E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E392" i="4"/>
  <c r="E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G383" i="4"/>
  <c r="M382" i="4"/>
  <c r="G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D17" i="1" s="1"/>
  <c r="G17" i="1" s="1"/>
  <c r="F378" i="4"/>
  <c r="E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E365" i="4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D16" i="1" s="1"/>
  <c r="G16" i="1" s="1"/>
  <c r="F351" i="4"/>
  <c r="E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G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E338" i="4"/>
  <c r="E352" i="4" s="1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D15" i="1" s="1"/>
  <c r="G15" i="1" s="1"/>
  <c r="F324" i="4"/>
  <c r="E324" i="4"/>
  <c r="M323" i="4"/>
  <c r="G323" i="4"/>
  <c r="M322" i="4"/>
  <c r="G322" i="4"/>
  <c r="M321" i="4"/>
  <c r="G321" i="4"/>
  <c r="M320" i="4"/>
  <c r="G320" i="4"/>
  <c r="M319" i="4"/>
  <c r="G319" i="4"/>
  <c r="M318" i="4"/>
  <c r="G318" i="4"/>
  <c r="M317" i="4"/>
  <c r="G317" i="4"/>
  <c r="M316" i="4"/>
  <c r="G316" i="4"/>
  <c r="M315" i="4"/>
  <c r="G315" i="4"/>
  <c r="M314" i="4"/>
  <c r="G314" i="4"/>
  <c r="M313" i="4"/>
  <c r="G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G312" i="4"/>
  <c r="F311" i="4"/>
  <c r="F325" i="4" s="1"/>
  <c r="E311" i="4"/>
  <c r="M310" i="4"/>
  <c r="G310" i="4"/>
  <c r="M309" i="4"/>
  <c r="G309" i="4"/>
  <c r="M308" i="4"/>
  <c r="G308" i="4"/>
  <c r="M307" i="4"/>
  <c r="G307" i="4"/>
  <c r="M306" i="4"/>
  <c r="G306" i="4"/>
  <c r="M305" i="4"/>
  <c r="G305" i="4"/>
  <c r="M304" i="4"/>
  <c r="G304" i="4"/>
  <c r="M303" i="4"/>
  <c r="G303" i="4"/>
  <c r="M302" i="4"/>
  <c r="G302" i="4"/>
  <c r="M301" i="4"/>
  <c r="G301" i="4"/>
  <c r="M300" i="4"/>
  <c r="G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G299" i="4"/>
  <c r="O298" i="4"/>
  <c r="D14" i="1" s="1"/>
  <c r="G14" i="1" s="1"/>
  <c r="F297" i="4"/>
  <c r="E297" i="4"/>
  <c r="M296" i="4"/>
  <c r="G296" i="4"/>
  <c r="M295" i="4"/>
  <c r="G295" i="4"/>
  <c r="M294" i="4"/>
  <c r="G294" i="4"/>
  <c r="M293" i="4"/>
  <c r="G293" i="4"/>
  <c r="M292" i="4"/>
  <c r="G292" i="4"/>
  <c r="M291" i="4"/>
  <c r="G291" i="4"/>
  <c r="M290" i="4"/>
  <c r="G290" i="4"/>
  <c r="M289" i="4"/>
  <c r="G289" i="4"/>
  <c r="M288" i="4"/>
  <c r="G288" i="4"/>
  <c r="M287" i="4"/>
  <c r="G287" i="4"/>
  <c r="M286" i="4"/>
  <c r="G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G285" i="4"/>
  <c r="F284" i="4"/>
  <c r="F298" i="4" s="1"/>
  <c r="E284" i="4"/>
  <c r="E298" i="4" s="1"/>
  <c r="M283" i="4"/>
  <c r="G283" i="4"/>
  <c r="M282" i="4"/>
  <c r="G282" i="4"/>
  <c r="M281" i="4"/>
  <c r="G281" i="4"/>
  <c r="M280" i="4"/>
  <c r="G280" i="4"/>
  <c r="M279" i="4"/>
  <c r="G279" i="4"/>
  <c r="M278" i="4"/>
  <c r="G278" i="4"/>
  <c r="M277" i="4"/>
  <c r="G277" i="4"/>
  <c r="M276" i="4"/>
  <c r="G276" i="4"/>
  <c r="M275" i="4"/>
  <c r="G275" i="4"/>
  <c r="M274" i="4"/>
  <c r="G274" i="4"/>
  <c r="M273" i="4"/>
  <c r="G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G272" i="4"/>
  <c r="O271" i="4"/>
  <c r="D13" i="1" s="1"/>
  <c r="F270" i="4"/>
  <c r="E270" i="4"/>
  <c r="M269" i="4"/>
  <c r="G269" i="4"/>
  <c r="M268" i="4"/>
  <c r="G268" i="4"/>
  <c r="M267" i="4"/>
  <c r="G267" i="4"/>
  <c r="M266" i="4"/>
  <c r="G266" i="4"/>
  <c r="M265" i="4"/>
  <c r="G265" i="4"/>
  <c r="M264" i="4"/>
  <c r="G264" i="4"/>
  <c r="M263" i="4"/>
  <c r="G263" i="4"/>
  <c r="M262" i="4"/>
  <c r="G262" i="4"/>
  <c r="M261" i="4"/>
  <c r="G261" i="4"/>
  <c r="M260" i="4"/>
  <c r="G260" i="4"/>
  <c r="M259" i="4"/>
  <c r="G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G258" i="4"/>
  <c r="G270" i="4" s="1"/>
  <c r="F257" i="4"/>
  <c r="F271" i="4" s="1"/>
  <c r="E257" i="4"/>
  <c r="E271" i="4" s="1"/>
  <c r="M256" i="4"/>
  <c r="G256" i="4"/>
  <c r="M255" i="4"/>
  <c r="G255" i="4"/>
  <c r="M254" i="4"/>
  <c r="G254" i="4"/>
  <c r="M253" i="4"/>
  <c r="G253" i="4"/>
  <c r="M252" i="4"/>
  <c r="G252" i="4"/>
  <c r="M251" i="4"/>
  <c r="G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D12" i="1" s="1"/>
  <c r="F243" i="4"/>
  <c r="E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E230" i="4"/>
  <c r="E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D11" i="1" s="1"/>
  <c r="F216" i="4"/>
  <c r="E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E203" i="4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D10" i="1" s="1"/>
  <c r="F189" i="4"/>
  <c r="E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E176" i="4"/>
  <c r="E190" i="4" s="1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D9" i="1" s="1"/>
  <c r="G9" i="1" s="1"/>
  <c r="F162" i="4"/>
  <c r="E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E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O136" i="4"/>
  <c r="D8" i="1" s="1"/>
  <c r="F135" i="4"/>
  <c r="E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G135" i="4" s="1"/>
  <c r="F122" i="4"/>
  <c r="E122" i="4"/>
  <c r="E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D7" i="1" s="1"/>
  <c r="G7" i="1" s="1"/>
  <c r="F108" i="4"/>
  <c r="E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F109" i="4" s="1"/>
  <c r="E95" i="4"/>
  <c r="E109" i="4" s="1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D6" i="1" s="1"/>
  <c r="F81" i="4"/>
  <c r="E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E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G58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G68" i="4" s="1"/>
  <c r="O55" i="4"/>
  <c r="D5" i="1" s="1"/>
  <c r="G5" i="1" s="1"/>
  <c r="F54" i="4"/>
  <c r="E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F55" i="4" s="1"/>
  <c r="E41" i="4"/>
  <c r="E55" i="4" s="1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G32" i="4"/>
  <c r="M31" i="4"/>
  <c r="G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D4" i="1" s="1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G6" i="1" l="1"/>
  <c r="G54" i="3"/>
  <c r="G81" i="3"/>
  <c r="E82" i="3"/>
  <c r="G95" i="3"/>
  <c r="E136" i="3"/>
  <c r="G149" i="3"/>
  <c r="F190" i="3"/>
  <c r="G203" i="3"/>
  <c r="F217" i="3"/>
  <c r="E244" i="3"/>
  <c r="G270" i="3"/>
  <c r="E271" i="3"/>
  <c r="G284" i="3"/>
  <c r="E298" i="3"/>
  <c r="G311" i="3"/>
  <c r="E352" i="3"/>
  <c r="F352" i="3"/>
  <c r="G365" i="3"/>
  <c r="G405" i="3"/>
  <c r="G406" i="3" s="1"/>
  <c r="G473" i="3"/>
  <c r="E514" i="3"/>
  <c r="G540" i="3"/>
  <c r="E541" i="3"/>
  <c r="F541" i="3"/>
  <c r="G554" i="3"/>
  <c r="G594" i="3"/>
  <c r="F649" i="3"/>
  <c r="E676" i="3"/>
  <c r="F676" i="3"/>
  <c r="G702" i="3"/>
  <c r="G743" i="3"/>
  <c r="G783" i="3"/>
  <c r="G837" i="3"/>
  <c r="F109" i="6"/>
  <c r="G135" i="6"/>
  <c r="E136" i="6"/>
  <c r="G216" i="6"/>
  <c r="E217" i="6"/>
  <c r="G230" i="6"/>
  <c r="G243" i="6"/>
  <c r="G284" i="6"/>
  <c r="G297" i="6"/>
  <c r="G311" i="6"/>
  <c r="E352" i="6"/>
  <c r="F433" i="6"/>
  <c r="G459" i="6"/>
  <c r="G486" i="6"/>
  <c r="G487" i="6" s="1"/>
  <c r="G513" i="6"/>
  <c r="E568" i="6"/>
  <c r="E595" i="6"/>
  <c r="F595" i="6"/>
  <c r="G608" i="6"/>
  <c r="G648" i="6"/>
  <c r="E676" i="6"/>
  <c r="E730" i="6"/>
  <c r="F730" i="6"/>
  <c r="F784" i="6"/>
  <c r="F811" i="6"/>
  <c r="F838" i="6"/>
  <c r="G54" i="5"/>
  <c r="G55" i="5" s="1"/>
  <c r="G68" i="5"/>
  <c r="E109" i="5"/>
  <c r="F109" i="5"/>
  <c r="G122" i="5"/>
  <c r="G135" i="5"/>
  <c r="G162" i="5"/>
  <c r="F163" i="5"/>
  <c r="G230" i="5"/>
  <c r="G378" i="5"/>
  <c r="F433" i="5"/>
  <c r="G459" i="5"/>
  <c r="G486" i="5"/>
  <c r="F487" i="5"/>
  <c r="G500" i="5"/>
  <c r="F514" i="5"/>
  <c r="E541" i="5"/>
  <c r="G581" i="5"/>
  <c r="G648" i="5"/>
  <c r="F649" i="5"/>
  <c r="G689" i="5"/>
  <c r="E703" i="5"/>
  <c r="F703" i="5"/>
  <c r="G716" i="5"/>
  <c r="G730" i="5"/>
  <c r="E838" i="5"/>
  <c r="G81" i="4"/>
  <c r="E82" i="4"/>
  <c r="F82" i="4"/>
  <c r="G95" i="4"/>
  <c r="E163" i="4"/>
  <c r="F163" i="4"/>
  <c r="G189" i="4"/>
  <c r="F190" i="4"/>
  <c r="G297" i="4"/>
  <c r="G324" i="4"/>
  <c r="G351" i="4"/>
  <c r="F352" i="4"/>
  <c r="E379" i="4"/>
  <c r="G392" i="4"/>
  <c r="G486" i="4"/>
  <c r="E487" i="4"/>
  <c r="G527" i="4"/>
  <c r="F595" i="4"/>
  <c r="G689" i="4"/>
  <c r="G716" i="4"/>
  <c r="E757" i="4"/>
  <c r="E811" i="4"/>
  <c r="F811" i="4"/>
  <c r="G27" i="1"/>
  <c r="G28" i="1"/>
  <c r="G33" i="1"/>
  <c r="G10" i="1"/>
  <c r="E55" i="6"/>
  <c r="G14" i="6"/>
  <c r="G14" i="5"/>
  <c r="G14" i="3"/>
  <c r="M216" i="4"/>
  <c r="M756" i="5"/>
  <c r="M702" i="3"/>
  <c r="M351" i="3"/>
  <c r="M473" i="3"/>
  <c r="M716" i="3"/>
  <c r="M392" i="5"/>
  <c r="M270" i="4"/>
  <c r="M95" i="3"/>
  <c r="M284" i="3"/>
  <c r="M54" i="4"/>
  <c r="M230" i="3"/>
  <c r="M540" i="4"/>
  <c r="M635" i="6"/>
  <c r="M324" i="5"/>
  <c r="M378" i="6"/>
  <c r="M608" i="3"/>
  <c r="M743" i="3"/>
  <c r="M122" i="5"/>
  <c r="M824" i="5"/>
  <c r="M54" i="3"/>
  <c r="M189" i="5"/>
  <c r="M635" i="5"/>
  <c r="M446" i="3"/>
  <c r="M324" i="4"/>
  <c r="M365" i="3"/>
  <c r="M540" i="3"/>
  <c r="M824" i="3"/>
  <c r="M351" i="4"/>
  <c r="M743" i="4"/>
  <c r="G14" i="4"/>
  <c r="M14" i="3"/>
  <c r="M41" i="3"/>
  <c r="M419" i="3"/>
  <c r="M783" i="3"/>
  <c r="M41" i="5"/>
  <c r="M297" i="6"/>
  <c r="M500" i="5"/>
  <c r="M837" i="5"/>
  <c r="M486" i="6"/>
  <c r="M81" i="3"/>
  <c r="M162" i="3"/>
  <c r="M486" i="5"/>
  <c r="M216" i="6"/>
  <c r="M756" i="6"/>
  <c r="M189" i="4"/>
  <c r="M675" i="6"/>
  <c r="M68" i="5"/>
  <c r="M486" i="4"/>
  <c r="M567" i="5"/>
  <c r="M837" i="4"/>
  <c r="M648" i="5"/>
  <c r="M770" i="5"/>
  <c r="M783" i="5"/>
  <c r="M594" i="6"/>
  <c r="M162" i="4"/>
  <c r="M392" i="3"/>
  <c r="M513" i="3"/>
  <c r="M162" i="6"/>
  <c r="M176" i="3"/>
  <c r="M243" i="5"/>
  <c r="M135" i="6"/>
  <c r="M729" i="6"/>
  <c r="M257" i="3"/>
  <c r="M554" i="3"/>
  <c r="M297" i="4"/>
  <c r="M14" i="5"/>
  <c r="M95" i="4"/>
  <c r="M149" i="4"/>
  <c r="M797" i="4"/>
  <c r="M689" i="6"/>
  <c r="M27" i="4"/>
  <c r="M311" i="3"/>
  <c r="M230" i="5"/>
  <c r="M14" i="4"/>
  <c r="M270" i="3"/>
  <c r="M567" i="3"/>
  <c r="G284" i="5"/>
  <c r="M405" i="5"/>
  <c r="G149" i="6"/>
  <c r="G163" i="6" s="1"/>
  <c r="G11" i="1"/>
  <c r="G635" i="4"/>
  <c r="G824" i="4"/>
  <c r="M554" i="5"/>
  <c r="G230" i="4"/>
  <c r="G432" i="4"/>
  <c r="M527" i="4"/>
  <c r="M203" i="4"/>
  <c r="M216" i="3"/>
  <c r="G30" i="1"/>
  <c r="G135" i="3"/>
  <c r="G352" i="5"/>
  <c r="G203" i="5"/>
  <c r="M338" i="5"/>
  <c r="M527" i="5"/>
  <c r="D35" i="1"/>
  <c r="G4" i="1"/>
  <c r="G729" i="3"/>
  <c r="G730" i="3" s="1"/>
  <c r="M203" i="5"/>
  <c r="G41" i="4"/>
  <c r="M567" i="4"/>
  <c r="G621" i="3"/>
  <c r="M689" i="3"/>
  <c r="M41" i="4"/>
  <c r="G8" i="1"/>
  <c r="M108" i="3"/>
  <c r="M621" i="3"/>
  <c r="M257" i="6"/>
  <c r="G783" i="5"/>
  <c r="G473" i="4"/>
  <c r="G487" i="4" s="1"/>
  <c r="G257" i="6"/>
  <c r="G271" i="6" s="1"/>
  <c r="M608" i="4"/>
  <c r="M243" i="4"/>
  <c r="G540" i="4"/>
  <c r="G541" i="4" s="1"/>
  <c r="M95" i="6"/>
  <c r="M567" i="6"/>
  <c r="G635" i="3"/>
  <c r="M770" i="6"/>
  <c r="M378" i="4"/>
  <c r="G162" i="3"/>
  <c r="G163" i="3" s="1"/>
  <c r="M756" i="3"/>
  <c r="M621" i="6"/>
  <c r="G432" i="5"/>
  <c r="G621" i="5"/>
  <c r="M648" i="6"/>
  <c r="G27" i="6"/>
  <c r="G28" i="6" s="1"/>
  <c r="G68" i="6"/>
  <c r="G567" i="3"/>
  <c r="M459" i="4"/>
  <c r="M243" i="3"/>
  <c r="M459" i="3"/>
  <c r="M824" i="4"/>
  <c r="M838" i="4" s="1"/>
  <c r="G662" i="5"/>
  <c r="G676" i="5" s="1"/>
  <c r="F35" i="1"/>
  <c r="G459" i="4"/>
  <c r="G460" i="4" s="1"/>
  <c r="G743" i="5"/>
  <c r="G41" i="3"/>
  <c r="G55" i="3" s="1"/>
  <c r="G568" i="3"/>
  <c r="M81" i="5"/>
  <c r="G82" i="4"/>
  <c r="M432" i="4"/>
  <c r="G432" i="3"/>
  <c r="M540" i="5"/>
  <c r="M68" i="4"/>
  <c r="M662" i="4"/>
  <c r="M432" i="3"/>
  <c r="M378" i="5"/>
  <c r="G527" i="5"/>
  <c r="G203" i="4"/>
  <c r="G351" i="3"/>
  <c r="G649" i="6"/>
  <c r="G122" i="6"/>
  <c r="G136" i="6" s="1"/>
  <c r="G189" i="6"/>
  <c r="M176" i="4"/>
  <c r="G29" i="1"/>
  <c r="M297" i="3"/>
  <c r="M459" i="5"/>
  <c r="M500" i="6"/>
  <c r="M392" i="4"/>
  <c r="M500" i="4"/>
  <c r="M365" i="4"/>
  <c r="G298" i="3"/>
  <c r="G824" i="3"/>
  <c r="G838" i="3" s="1"/>
  <c r="G311" i="5"/>
  <c r="G648" i="4"/>
  <c r="M230" i="4"/>
  <c r="G378" i="4"/>
  <c r="M648" i="4"/>
  <c r="M54" i="5"/>
  <c r="M54" i="6"/>
  <c r="G243" i="4"/>
  <c r="M486" i="3"/>
  <c r="M487" i="3" s="1"/>
  <c r="M635" i="3"/>
  <c r="G13" i="1"/>
  <c r="G554" i="4"/>
  <c r="G446" i="3"/>
  <c r="M432" i="5"/>
  <c r="M608" i="6"/>
  <c r="G770" i="3"/>
  <c r="G784" i="3" s="1"/>
  <c r="G216" i="5"/>
  <c r="M662" i="5"/>
  <c r="G446" i="6"/>
  <c r="G460" i="6" s="1"/>
  <c r="M473" i="4"/>
  <c r="M635" i="4"/>
  <c r="G743" i="4"/>
  <c r="G108" i="3"/>
  <c r="G109" i="3" s="1"/>
  <c r="E460" i="3"/>
  <c r="M770" i="3"/>
  <c r="G365" i="5"/>
  <c r="G379" i="5" s="1"/>
  <c r="G635" i="5"/>
  <c r="G649" i="5" s="1"/>
  <c r="F784" i="5"/>
  <c r="M338" i="6"/>
  <c r="M446" i="6"/>
  <c r="G675" i="6"/>
  <c r="M716" i="6"/>
  <c r="G756" i="6"/>
  <c r="G783" i="6"/>
  <c r="G122" i="4"/>
  <c r="G136" i="4" s="1"/>
  <c r="G149" i="4"/>
  <c r="G25" i="1"/>
  <c r="M716" i="4"/>
  <c r="G810" i="4"/>
  <c r="G811" i="4" s="1"/>
  <c r="G27" i="3"/>
  <c r="G28" i="3" s="1"/>
  <c r="G324" i="3"/>
  <c r="G325" i="3" s="1"/>
  <c r="G486" i="3"/>
  <c r="G487" i="3" s="1"/>
  <c r="G662" i="3"/>
  <c r="G676" i="3" s="1"/>
  <c r="M365" i="5"/>
  <c r="M122" i="4"/>
  <c r="G405" i="4"/>
  <c r="G406" i="4" s="1"/>
  <c r="G608" i="4"/>
  <c r="M27" i="3"/>
  <c r="G189" i="3"/>
  <c r="M324" i="3"/>
  <c r="M594" i="3"/>
  <c r="M662" i="3"/>
  <c r="G689" i="3"/>
  <c r="G703" i="3" s="1"/>
  <c r="G54" i="6"/>
  <c r="G55" i="6" s="1"/>
  <c r="M122" i="6"/>
  <c r="M243" i="6"/>
  <c r="G338" i="6"/>
  <c r="M581" i="6"/>
  <c r="G621" i="6"/>
  <c r="G622" i="6" s="1"/>
  <c r="G810" i="6"/>
  <c r="G811" i="6" s="1"/>
  <c r="G756" i="4"/>
  <c r="M581" i="5"/>
  <c r="M621" i="5"/>
  <c r="M68" i="6"/>
  <c r="G837" i="6"/>
  <c r="G108" i="4"/>
  <c r="G109" i="4" s="1"/>
  <c r="M257" i="4"/>
  <c r="M783" i="4"/>
  <c r="M108" i="5"/>
  <c r="G594" i="5"/>
  <c r="G595" i="5" s="1"/>
  <c r="M392" i="6"/>
  <c r="M837" i="6"/>
  <c r="M108" i="4"/>
  <c r="M554" i="4"/>
  <c r="M675" i="4"/>
  <c r="G12" i="1"/>
  <c r="G68" i="3"/>
  <c r="G82" i="3" s="1"/>
  <c r="G122" i="3"/>
  <c r="G338" i="3"/>
  <c r="G702" i="6"/>
  <c r="M81" i="4"/>
  <c r="M338" i="3"/>
  <c r="M176" i="5"/>
  <c r="M648" i="3"/>
  <c r="E487" i="5"/>
  <c r="G338" i="4"/>
  <c r="G352" i="4" s="1"/>
  <c r="G419" i="4"/>
  <c r="G594" i="4"/>
  <c r="G837" i="4"/>
  <c r="M122" i="3"/>
  <c r="G257" i="3"/>
  <c r="G271" i="3" s="1"/>
  <c r="G419" i="3"/>
  <c r="G433" i="3" s="1"/>
  <c r="M513" i="5"/>
  <c r="M149" i="6"/>
  <c r="G203" i="6"/>
  <c r="G217" i="6" s="1"/>
  <c r="M783" i="6"/>
  <c r="G284" i="4"/>
  <c r="G298" i="4" s="1"/>
  <c r="C35" i="1"/>
  <c r="M68" i="3"/>
  <c r="G378" i="3"/>
  <c r="G379" i="3" s="1"/>
  <c r="G108" i="5"/>
  <c r="G392" i="6"/>
  <c r="G662" i="6"/>
  <c r="G513" i="4"/>
  <c r="G675" i="4"/>
  <c r="G676" i="4" s="1"/>
  <c r="G702" i="4"/>
  <c r="G703" i="4" s="1"/>
  <c r="M756" i="4"/>
  <c r="M378" i="3"/>
  <c r="G527" i="3"/>
  <c r="G541" i="3" s="1"/>
  <c r="G419" i="6"/>
  <c r="G527" i="6"/>
  <c r="M513" i="4"/>
  <c r="E35" i="1"/>
  <c r="M527" i="3"/>
  <c r="M729" i="3"/>
  <c r="G176" i="5"/>
  <c r="M716" i="5"/>
  <c r="M41" i="6"/>
  <c r="G27" i="4"/>
  <c r="G783" i="4"/>
  <c r="G500" i="3"/>
  <c r="G648" i="3"/>
  <c r="M797" i="5"/>
  <c r="G176" i="6"/>
  <c r="M284" i="4"/>
  <c r="M500" i="3"/>
  <c r="M689" i="5"/>
  <c r="M176" i="6"/>
  <c r="G324" i="6"/>
  <c r="G325" i="6" s="1"/>
  <c r="M297" i="5"/>
  <c r="G513" i="5"/>
  <c r="G514" i="5" s="1"/>
  <c r="M594" i="5"/>
  <c r="G810" i="5"/>
  <c r="G811" i="5" s="1"/>
  <c r="M743" i="6"/>
  <c r="M338" i="4"/>
  <c r="M419" i="4"/>
  <c r="M594" i="4"/>
  <c r="M702" i="4"/>
  <c r="M810" i="4"/>
  <c r="F55" i="3"/>
  <c r="G176" i="3"/>
  <c r="G190" i="3" s="1"/>
  <c r="M270" i="5"/>
  <c r="G324" i="5"/>
  <c r="G824" i="5"/>
  <c r="M108" i="6"/>
  <c r="M203" i="6"/>
  <c r="M351" i="6"/>
  <c r="G378" i="6"/>
  <c r="M473" i="6"/>
  <c r="F271" i="3"/>
  <c r="M675" i="5"/>
  <c r="G554" i="6"/>
  <c r="G568" i="6" s="1"/>
  <c r="F730" i="4"/>
  <c r="M405" i="3"/>
  <c r="G432" i="6"/>
  <c r="G621" i="4"/>
  <c r="M729" i="5"/>
  <c r="E217" i="4"/>
  <c r="G230" i="3"/>
  <c r="G244" i="3" s="1"/>
  <c r="G446" i="5"/>
  <c r="G460" i="5" s="1"/>
  <c r="G608" i="5"/>
  <c r="G622" i="5" s="1"/>
  <c r="M405" i="6"/>
  <c r="M162" i="5"/>
  <c r="M608" i="5"/>
  <c r="F28" i="6"/>
  <c r="G311" i="4"/>
  <c r="G325" i="4" s="1"/>
  <c r="M581" i="4"/>
  <c r="F433" i="3"/>
  <c r="M675" i="3"/>
  <c r="M230" i="6"/>
  <c r="G405" i="6"/>
  <c r="M311" i="4"/>
  <c r="M621" i="4"/>
  <c r="M689" i="4"/>
  <c r="G770" i="4"/>
  <c r="G784" i="4" s="1"/>
  <c r="M351" i="5"/>
  <c r="M81" i="6"/>
  <c r="F217" i="6"/>
  <c r="M797" i="6"/>
  <c r="E730" i="4"/>
  <c r="M797" i="3"/>
  <c r="G27" i="5"/>
  <c r="G28" i="5" s="1"/>
  <c r="M27" i="5"/>
  <c r="M135" i="5"/>
  <c r="E163" i="5"/>
  <c r="M135" i="3"/>
  <c r="G756" i="3"/>
  <c r="G757" i="3" s="1"/>
  <c r="M95" i="5"/>
  <c r="G473" i="5"/>
  <c r="G487" i="5" s="1"/>
  <c r="F568" i="5"/>
  <c r="G581" i="4"/>
  <c r="G729" i="4"/>
  <c r="G730" i="4" s="1"/>
  <c r="G513" i="3"/>
  <c r="G702" i="5"/>
  <c r="G703" i="5" s="1"/>
  <c r="M810" i="5"/>
  <c r="M419" i="5"/>
  <c r="M27" i="6"/>
  <c r="E244" i="6"/>
  <c r="G365" i="6"/>
  <c r="G379" i="6" s="1"/>
  <c r="G540" i="6"/>
  <c r="G594" i="6"/>
  <c r="G716" i="6"/>
  <c r="M189" i="3"/>
  <c r="G392" i="5"/>
  <c r="G406" i="5" s="1"/>
  <c r="F136" i="6"/>
  <c r="M405" i="4"/>
  <c r="G419" i="5"/>
  <c r="G433" i="5" s="1"/>
  <c r="E109" i="6"/>
  <c r="F136" i="4"/>
  <c r="G95" i="5"/>
  <c r="G109" i="5" s="1"/>
  <c r="E217" i="5"/>
  <c r="E568" i="5"/>
  <c r="M702" i="5"/>
  <c r="E82" i="6"/>
  <c r="G365" i="4"/>
  <c r="E703" i="3"/>
  <c r="M446" i="5"/>
  <c r="M473" i="5"/>
  <c r="G567" i="5"/>
  <c r="M810" i="6"/>
  <c r="G54" i="4"/>
  <c r="G216" i="4"/>
  <c r="G257" i="5"/>
  <c r="G81" i="6"/>
  <c r="M284" i="6"/>
  <c r="M432" i="6"/>
  <c r="G567" i="4"/>
  <c r="M770" i="4"/>
  <c r="G216" i="3"/>
  <c r="G217" i="3" s="1"/>
  <c r="G257" i="4"/>
  <c r="G271" i="4" s="1"/>
  <c r="M729" i="4"/>
  <c r="G81" i="5"/>
  <c r="G82" i="5" s="1"/>
  <c r="F244" i="6"/>
  <c r="M365" i="6"/>
  <c r="M540" i="6"/>
  <c r="G500" i="4"/>
  <c r="G514" i="4" s="1"/>
  <c r="G459" i="3"/>
  <c r="G581" i="3"/>
  <c r="G595" i="3" s="1"/>
  <c r="F325" i="6"/>
  <c r="G176" i="4"/>
  <c r="G190" i="4" s="1"/>
  <c r="F379" i="4"/>
  <c r="G32" i="1"/>
  <c r="M203" i="3"/>
  <c r="F406" i="3"/>
  <c r="M581" i="3"/>
  <c r="G149" i="5"/>
  <c r="G163" i="5" s="1"/>
  <c r="M216" i="5"/>
  <c r="G540" i="5"/>
  <c r="M513" i="6"/>
  <c r="G581" i="6"/>
  <c r="G595" i="6" s="1"/>
  <c r="M702" i="6"/>
  <c r="M703" i="6" s="1"/>
  <c r="M446" i="4"/>
  <c r="E190" i="3"/>
  <c r="G810" i="3"/>
  <c r="G811" i="3" s="1"/>
  <c r="M257" i="5"/>
  <c r="E460" i="5"/>
  <c r="E811" i="5"/>
  <c r="E325" i="4"/>
  <c r="G22" i="1"/>
  <c r="F82" i="3"/>
  <c r="F136" i="3"/>
  <c r="M149" i="5"/>
  <c r="G95" i="6"/>
  <c r="M324" i="6"/>
  <c r="G351" i="6"/>
  <c r="M459" i="6"/>
  <c r="M662" i="6"/>
  <c r="G729" i="6"/>
  <c r="G554" i="5"/>
  <c r="G568" i="5" s="1"/>
  <c r="M743" i="5"/>
  <c r="M554" i="6"/>
  <c r="G108" i="6"/>
  <c r="E730" i="3"/>
  <c r="M284" i="5"/>
  <c r="M189" i="6"/>
  <c r="F460" i="6"/>
  <c r="M135" i="4"/>
  <c r="M149" i="3"/>
  <c r="F730" i="3"/>
  <c r="M810" i="3"/>
  <c r="G189" i="5"/>
  <c r="G243" i="5"/>
  <c r="G244" i="5" s="1"/>
  <c r="M270" i="6"/>
  <c r="G500" i="6"/>
  <c r="G514" i="6" s="1"/>
  <c r="F568" i="6"/>
  <c r="G162" i="4"/>
  <c r="G608" i="3"/>
  <c r="M527" i="6"/>
  <c r="G824" i="6"/>
  <c r="G838" i="6" s="1"/>
  <c r="M837" i="3"/>
  <c r="G837" i="5"/>
  <c r="G689" i="6"/>
  <c r="G703" i="6" s="1"/>
  <c r="E433" i="3"/>
  <c r="G270" i="5"/>
  <c r="M14" i="6"/>
  <c r="E190" i="6"/>
  <c r="G770" i="6"/>
  <c r="G784" i="6" s="1"/>
  <c r="G743" i="6"/>
  <c r="M311" i="6"/>
  <c r="M419" i="6"/>
  <c r="E460" i="6"/>
  <c r="M824" i="6"/>
  <c r="E622" i="6"/>
  <c r="G770" i="5"/>
  <c r="G784" i="5" s="1"/>
  <c r="F190" i="6"/>
  <c r="G756" i="5"/>
  <c r="G297" i="5"/>
  <c r="M311" i="5"/>
  <c r="E649" i="5"/>
  <c r="G649" i="3" l="1"/>
  <c r="G298" i="6"/>
  <c r="G244" i="6"/>
  <c r="G190" i="5"/>
  <c r="G325" i="5"/>
  <c r="G757" i="5"/>
  <c r="G217" i="5"/>
  <c r="G136" i="5"/>
  <c r="G757" i="4"/>
  <c r="G55" i="4"/>
  <c r="G244" i="4"/>
  <c r="G838" i="4"/>
  <c r="G649" i="4"/>
  <c r="M703" i="5"/>
  <c r="M217" i="4"/>
  <c r="M757" i="5"/>
  <c r="M352" i="3"/>
  <c r="M406" i="5"/>
  <c r="M379" i="3"/>
  <c r="M244" i="5"/>
  <c r="M622" i="3"/>
  <c r="M460" i="5"/>
  <c r="M325" i="4"/>
  <c r="M190" i="6"/>
  <c r="M271" i="5"/>
  <c r="M541" i="3"/>
  <c r="M244" i="6"/>
  <c r="M730" i="4"/>
  <c r="M568" i="3"/>
  <c r="M271" i="3"/>
  <c r="M406" i="3"/>
  <c r="M163" i="4"/>
  <c r="M514" i="5"/>
  <c r="G28" i="4"/>
  <c r="M784" i="4"/>
  <c r="M325" i="3"/>
  <c r="M568" i="5"/>
  <c r="M730" i="3"/>
  <c r="M757" i="3"/>
  <c r="M190" i="5"/>
  <c r="M379" i="6"/>
  <c r="M55" i="3"/>
  <c r="M298" i="3"/>
  <c r="M163" i="6"/>
  <c r="M55" i="5"/>
  <c r="M838" i="3"/>
  <c r="M244" i="3"/>
  <c r="M568" i="4"/>
  <c r="M460" i="6"/>
  <c r="M541" i="4"/>
  <c r="M676" i="6"/>
  <c r="M811" i="6"/>
  <c r="M352" i="4"/>
  <c r="M703" i="3"/>
  <c r="M109" i="6"/>
  <c r="M82" i="3"/>
  <c r="M190" i="4"/>
  <c r="M730" i="6"/>
  <c r="M649" i="3"/>
  <c r="M136" i="5"/>
  <c r="M55" i="6"/>
  <c r="M676" i="3"/>
  <c r="M568" i="6"/>
  <c r="M28" i="5"/>
  <c r="M730" i="5"/>
  <c r="M109" i="4"/>
  <c r="M352" i="6"/>
  <c r="M460" i="3"/>
  <c r="M298" i="4"/>
  <c r="M811" i="3"/>
  <c r="M433" i="4"/>
  <c r="M28" i="3"/>
  <c r="M109" i="3"/>
  <c r="M541" i="6"/>
  <c r="M757" i="6"/>
  <c r="M136" i="3"/>
  <c r="M271" i="4"/>
  <c r="M136" i="4"/>
  <c r="M649" i="6"/>
  <c r="M55" i="4"/>
  <c r="M325" i="5"/>
  <c r="M811" i="4"/>
  <c r="M487" i="5"/>
  <c r="M433" i="5"/>
  <c r="M487" i="4"/>
  <c r="M82" i="4"/>
  <c r="M190" i="3"/>
  <c r="M244" i="4"/>
  <c r="M433" i="3"/>
  <c r="M784" i="5"/>
  <c r="M514" i="3"/>
  <c r="M163" i="3"/>
  <c r="M217" i="6"/>
  <c r="M595" i="6"/>
  <c r="M82" i="5"/>
  <c r="M649" i="5"/>
  <c r="M784" i="3"/>
  <c r="M217" i="3"/>
  <c r="M379" i="5"/>
  <c r="M757" i="4"/>
  <c r="M487" i="6"/>
  <c r="M541" i="5"/>
  <c r="M298" i="6"/>
  <c r="M136" i="6"/>
  <c r="M28" i="4"/>
  <c r="M838" i="5"/>
  <c r="G622" i="3"/>
  <c r="G622" i="4"/>
  <c r="G109" i="6"/>
  <c r="G217" i="4"/>
  <c r="M82" i="6"/>
  <c r="M838" i="6"/>
  <c r="G379" i="4"/>
  <c r="M379" i="4"/>
  <c r="M622" i="4"/>
  <c r="G595" i="4"/>
  <c r="M676" i="4"/>
  <c r="M811" i="5"/>
  <c r="M109" i="5"/>
  <c r="G838" i="5"/>
  <c r="G406" i="6"/>
  <c r="G163" i="4"/>
  <c r="M514" i="6"/>
  <c r="M271" i="6"/>
  <c r="M595" i="3"/>
  <c r="M217" i="5"/>
  <c r="G541" i="6"/>
  <c r="G35" i="1"/>
  <c r="M352" i="5"/>
  <c r="G730" i="6"/>
  <c r="G271" i="5"/>
  <c r="M406" i="6"/>
  <c r="M784" i="6"/>
  <c r="G433" i="6"/>
  <c r="M163" i="5"/>
  <c r="M703" i="4"/>
  <c r="G298" i="5"/>
  <c r="G433" i="4"/>
  <c r="M649" i="4"/>
  <c r="G541" i="5"/>
  <c r="M595" i="5"/>
  <c r="M676" i="5"/>
  <c r="G82" i="6"/>
  <c r="M433" i="6"/>
  <c r="M514" i="4"/>
  <c r="M325" i="6"/>
  <c r="G190" i="6"/>
  <c r="M406" i="4"/>
  <c r="G757" i="6"/>
  <c r="M595" i="4"/>
  <c r="G676" i="6"/>
  <c r="M622" i="6"/>
  <c r="M298" i="5"/>
  <c r="G514" i="3"/>
  <c r="G352" i="3"/>
  <c r="G352" i="6"/>
  <c r="G460" i="3"/>
  <c r="M28" i="6"/>
  <c r="M460" i="4"/>
  <c r="M622" i="5"/>
  <c r="G136" i="3"/>
  <c r="G568" i="4"/>
</calcChain>
</file>

<file path=xl/sharedStrings.xml><?xml version="1.0" encoding="utf-8"?>
<sst xmlns="http://schemas.openxmlformats.org/spreadsheetml/2006/main" count="4890" uniqueCount="321">
  <si>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</si>
  <si>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</si>
  <si>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</si>
  <si>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</si>
  <si>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</si>
  <si>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</si>
  <si>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</si>
  <si>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</si>
  <si>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</si>
  <si>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</si>
  <si>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</si>
  <si>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</si>
  <si>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</si>
  <si>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</si>
  <si>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</si>
  <si>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</si>
  <si>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</si>
  <si>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</si>
  <si>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</si>
  <si>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</si>
  <si>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</si>
  <si>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</si>
  <si>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</si>
  <si>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</si>
  <si>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</si>
  <si>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</si>
  <si>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</si>
  <si>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</si>
  <si>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</si>
  <si>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</si>
  <si>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</si>
  <si>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</si>
  <si>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</si>
  <si>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</si>
  <si>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</si>
  <si>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</si>
  <si>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</si>
  <si>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</si>
  <si>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</si>
  <si>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</si>
  <si>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</si>
  <si>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</si>
  <si>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</si>
  <si>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</si>
  <si>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</si>
  <si>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</si>
  <si>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</si>
  <si>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</si>
  <si>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</si>
  <si>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</si>
  <si>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</si>
  <si>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</si>
  <si>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</si>
  <si>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</si>
  <si>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</si>
  <si>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</si>
  <si>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</si>
  <si>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</si>
  <si>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</si>
  <si>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</si>
  <si>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</si>
  <si>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</si>
  <si>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</si>
  <si>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</si>
  <si>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</si>
  <si>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</si>
  <si>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</si>
  <si>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</si>
  <si>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</si>
  <si>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</si>
  <si>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</si>
  <si>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</si>
  <si>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</si>
  <si>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</si>
  <si>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</si>
  <si>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</si>
  <si>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</si>
  <si>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</si>
  <si>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</si>
  <si>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</si>
  <si>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</si>
  <si>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</si>
  <si>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</si>
  <si>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</si>
  <si>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</si>
  <si>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</si>
  <si>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</si>
  <si>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</si>
  <si>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</si>
  <si>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</si>
  <si>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</si>
  <si>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</si>
  <si>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</si>
  <si>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</si>
  <si>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</si>
  <si>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</si>
  <si>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</si>
  <si>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</si>
  <si>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</si>
  <si>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</si>
  <si>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</si>
  <si>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</si>
  <si>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</si>
  <si>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</si>
  <si>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</si>
  <si>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</si>
  <si>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</si>
  <si>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</si>
  <si>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</si>
  <si>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</si>
  <si>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</si>
  <si>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</si>
  <si>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</si>
  <si>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</si>
  <si>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</si>
  <si>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</si>
  <si>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</si>
  <si>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</si>
  <si>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</si>
  <si>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</si>
  <si>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</si>
  <si>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</si>
  <si>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</si>
  <si>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</si>
  <si>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</si>
  <si>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</si>
  <si>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</si>
  <si>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</si>
  <si>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</si>
  <si>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</si>
  <si>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</si>
  <si>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</si>
  <si>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</si>
  <si>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</si>
  <si>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</si>
  <si>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</si>
  <si>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</si>
  <si>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</si>
  <si>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</si>
  <si>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</si>
  <si>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</si>
  <si>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</si>
  <si>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</si>
  <si>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</si>
  <si>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</si>
  <si>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</si>
  <si>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</si>
  <si>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</si>
  <si>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</si>
  <si>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</si>
  <si>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</si>
  <si>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</si>
  <si>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</si>
  <si>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</si>
  <si>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</si>
  <si>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</si>
  <si>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</si>
  <si>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</si>
  <si>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</si>
  <si>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</si>
  <si>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</si>
  <si>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</si>
  <si>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</si>
  <si>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</si>
  <si>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</si>
  <si>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</si>
  <si>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</si>
  <si>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</si>
  <si>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</si>
  <si>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</si>
  <si>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</si>
  <si>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</si>
  <si>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</si>
  <si>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</si>
  <si>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</si>
  <si>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</si>
  <si>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</si>
  <si>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</si>
  <si>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</si>
  <si>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</si>
  <si>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</si>
  <si>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</si>
  <si>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</si>
  <si>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</si>
  <si>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</si>
  <si>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</si>
  <si>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</si>
  <si>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</si>
  <si>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</si>
  <si>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</si>
  <si>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</si>
  <si>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</si>
  <si>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</si>
  <si>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</si>
  <si>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</si>
  <si>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</si>
  <si>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</si>
  <si>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</si>
  <si>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</si>
  <si>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</si>
  <si>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</si>
  <si>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</si>
  <si>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</si>
  <si>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</si>
  <si>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</si>
  <si>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</si>
  <si>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</si>
  <si>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</si>
  <si>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</si>
  <si>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</si>
  <si>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</si>
  <si>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</si>
  <si>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</si>
  <si>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</si>
  <si>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</si>
  <si>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</si>
  <si>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</si>
  <si>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</si>
  <si>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</si>
  <si>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</si>
  <si>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</si>
  <si>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</si>
  <si>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</si>
  <si>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</si>
  <si>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</si>
  <si>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</si>
  <si>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</si>
  <si>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</si>
  <si>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</si>
  <si>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</si>
  <si>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</si>
  <si>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</si>
  <si>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</si>
  <si>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</si>
  <si>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</si>
  <si>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</si>
  <si>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</si>
  <si>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</si>
  <si>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</si>
  <si>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 GLOBAL DO DIA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</si>
  <si>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</si>
  <si>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</si>
  <si>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</si>
  <si>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</si>
  <si>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</si>
  <si>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</si>
  <si>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</si>
  <si>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</si>
  <si>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</si>
  <si>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</si>
  <si>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</si>
  <si>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</si>
  <si>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</si>
  <si>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</si>
  <si>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carregamento com caminhão basculante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</si>
  <si>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</si>
  <si>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</si>
  <si>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</si>
  <si>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</si>
  <si>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</si>
  <si>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</si>
  <si>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</si>
  <si>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</si>
  <si>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</si>
  <si>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</si>
  <si>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alto teor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</si>
  <si>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</si>
  <si>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</si>
  <si>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</si>
  <si>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</si>
  <si>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</si>
  <si>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</si>
  <si>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</si>
  <si>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</si>
  <si>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</si>
  <si>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</si>
  <si>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</si>
  <si>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</si>
  <si>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</si>
  <si>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</si>
  <si>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</si>
  <si>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</si>
  <si>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</si>
  <si>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</si>
  <si>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</si>
  <si>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</si>
  <si>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</si>
  <si>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</si>
  <si>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</si>
  <si>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</si>
  <si>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</si>
  <si>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</si>
  <si>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</si>
  <si>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</si>
  <si>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</si>
  <si>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</si>
  <si>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</si>
  <si>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</si>
  <si>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</si>
  <si>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</si>
  <si>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</si>
  <si>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</si>
  <si>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</si>
  <si>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</si>
  <si>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</si>
  <si>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</si>
  <si>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</si>
  <si>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</si>
  <si>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</si>
  <si>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</si>
  <si>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</si>
  <si>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</si>
  <si>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</si>
  <si>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</si>
  <si>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</si>
  <si>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</si>
  <si>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</si>
  <si>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</si>
  <si>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</si>
  <si>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</si>
  <si>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>solda na caixa do hidrociclone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</si>
</sst>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22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0" fontId="24" fillId="2" borderId="2" xfId="0" applyFont="1" applyFill="1" applyBorder="1" applyAlignment="1">
      <alignment horizontal="center" vertical="center"/>
    </xf>
    <xf numFmtId="21" fontId="11" fillId="13" borderId="1" xfId="0" applyNumberFormat="1" applyFont="1" applyFill="1" applyBorder="1" applyAlignment="1" applyProtection="1">
      <alignment horizontal="center" vertical="center"/>
      <protection locked="0"/>
    </xf>
    <xf numFmtId="3" fontId="14" fillId="14" borderId="6" xfId="0" applyNumberFormat="1" applyFont="1" applyFill="1" applyBorder="1" applyAlignment="1" applyProtection="1">
      <alignment horizontal="center"/>
      <protection locked="0"/>
    </xf>
    <xf numFmtId="164" fontId="20" fillId="11" borderId="2" xfId="0" applyNumberFormat="1" applyFont="1" applyFill="1" applyBorder="1" applyAlignment="1" applyProtection="1">
      <alignment horizontal="center" vertical="center"/>
      <protection locked="0"/>
    </xf>
    <xf numFmtId="0" fontId="24" fillId="3" borderId="2" xfId="0" applyFont="1" applyFill="1" applyBorder="1" applyAlignment="1">
      <alignment horizontal="center" vertical="center"/>
    </xf>
    <xf numFmtId="0" fontId="20" fillId="13" borderId="2" xfId="0" applyFont="1" applyFill="1" applyBorder="1" applyAlignment="1" applyProtection="1">
      <alignment horizontal="center" vertical="center"/>
      <protection locked="0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24" fillId="3" borderId="1" xfId="0" applyFont="1" applyFill="1" applyBorder="1" applyAlignment="1">
      <alignment horizontal="center" vertical="center"/>
    </xf>
    <xf numFmtId="0" fontId="24" fillId="3" borderId="8" xfId="0" applyFont="1" applyFill="1" applyBorder="1" applyAlignment="1">
      <alignment horizontal="center" vertical="center"/>
    </xf>
    <xf numFmtId="0" fontId="24" fillId="3" borderId="4" xfId="0" applyFont="1" applyFill="1" applyBorder="1" applyAlignment="1">
      <alignment horizontal="center" vertical="center"/>
    </xf>
    <xf numFmtId="0" fontId="24" fillId="2" borderId="1" xfId="0" applyFont="1" applyFill="1" applyBorder="1" applyAlignment="1">
      <alignment horizontal="center" vertical="center"/>
    </xf>
    <xf numFmtId="0" fontId="24" fillId="2" borderId="8" xfId="0" applyFont="1" applyFill="1" applyBorder="1" applyAlignment="1">
      <alignment horizontal="center" vertical="center"/>
    </xf>
    <xf numFmtId="0" fontId="24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23" sqref="G23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16" t="s">
        <v>0</v>
      </c>
      <c r="B1" s="116"/>
      <c r="C1" s="116"/>
      <c r="D1" s="116"/>
      <c r="E1" s="116"/>
      <c r="F1" s="116"/>
      <c r="G1" s="116"/>
    </row>
    <row r="2" spans="1:7" ht="24.75" customHeight="1">
      <c r="A2" s="117"/>
      <c r="B2" s="117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46235</v>
      </c>
      <c r="C4" s="8">
        <f>IFERROR(Britador!O28,"")</f>
        <v>1795675</v>
      </c>
      <c r="D4" s="8">
        <f>IFERROR('Linha 1'!O28,"")</f>
        <v>1031140</v>
      </c>
      <c r="E4" s="8">
        <f>IFERROR('Linha 2'!O28,"")</f>
        <v>684520</v>
      </c>
      <c r="F4" s="8">
        <f>IFERROR('Linha 3'!O28,"")</f>
        <v>1052940</v>
      </c>
      <c r="G4" s="9">
        <f t="shared" ref="G4:G34" si="0">IFERROR(D4+E4+F4,"")</f>
        <v>2768600</v>
      </c>
    </row>
    <row r="5" spans="1:7" ht="15.75" customHeight="1">
      <c r="A5" s="10">
        <v>2</v>
      </c>
      <c r="B5" s="73">
        <v>46236</v>
      </c>
      <c r="C5" s="11">
        <f>IFERROR(Britador!O55,"")</f>
        <v>2332870</v>
      </c>
      <c r="D5" s="11">
        <f>IFERROR('Linha 1'!O55,"")</f>
        <v>663500</v>
      </c>
      <c r="E5" s="11">
        <f>IFERROR('Linha 2'!O55,"")</f>
        <v>517060</v>
      </c>
      <c r="F5" s="11">
        <f>IFERROR('Linha 3'!O55,"")</f>
        <v>1119230</v>
      </c>
      <c r="G5" s="12">
        <f t="shared" si="0"/>
        <v>2299790</v>
      </c>
    </row>
    <row r="6" spans="1:7" ht="15.75" customHeight="1">
      <c r="A6" s="7">
        <v>3</v>
      </c>
      <c r="B6" s="72">
        <v>46237</v>
      </c>
      <c r="C6" s="8">
        <f>IFERROR(Britador!O82,"")</f>
        <v>3650860</v>
      </c>
      <c r="D6" s="8">
        <f>IFERROR('Linha 1'!O82,"")</f>
        <v>1199440</v>
      </c>
      <c r="E6" s="8">
        <f>IFERROR('Linha 2'!O82,"")</f>
        <v>407300</v>
      </c>
      <c r="F6" s="8">
        <f>IFERROR('Linha 3'!O82,"")</f>
        <v>1089500</v>
      </c>
      <c r="G6" s="9">
        <f>IFERROR(D6+E6+F6,"")</f>
        <v>2696240</v>
      </c>
    </row>
    <row r="7" spans="1:7" ht="15.75" customHeight="1">
      <c r="A7" s="10">
        <v>4</v>
      </c>
      <c r="B7" s="73">
        <v>46238</v>
      </c>
      <c r="C7" s="11">
        <f>IFERROR(Britador!O109,"")</f>
        <v>5206240</v>
      </c>
      <c r="D7" s="11">
        <f>IFERROR('Linha 1'!O109,"")</f>
        <v>906430</v>
      </c>
      <c r="E7" s="11">
        <f>IFERROR('Linha 2'!O109,"")</f>
        <v>638530</v>
      </c>
      <c r="F7" s="11">
        <f>IFERROR('Linha 3'!O109,"")</f>
        <v>1742770</v>
      </c>
      <c r="G7" s="12">
        <f t="shared" si="0"/>
        <v>3287730</v>
      </c>
    </row>
    <row r="8" spans="1:7" ht="15.75" customHeight="1">
      <c r="A8" s="7">
        <v>5</v>
      </c>
      <c r="B8" s="72">
        <v>46239</v>
      </c>
      <c r="C8" s="8">
        <f>IFERROR(Britador!O136,"")</f>
        <v>3721840</v>
      </c>
      <c r="D8" s="8">
        <f>IFERROR('Linha 1'!O136,"")</f>
        <v>1547790</v>
      </c>
      <c r="E8" s="8">
        <f>IFERROR('Linha 2'!O136,"")</f>
        <v>736720</v>
      </c>
      <c r="F8" s="8">
        <f>IFERROR('Linha 3'!O136,"")</f>
        <v>1723820</v>
      </c>
      <c r="G8" s="9">
        <f t="shared" si="0"/>
        <v>4008330</v>
      </c>
    </row>
    <row r="9" spans="1:7" ht="15.75" customHeight="1">
      <c r="A9" s="10">
        <v>6</v>
      </c>
      <c r="B9" s="73">
        <v>46240</v>
      </c>
      <c r="C9" s="11">
        <f>IFERROR(Britador!O163,"")</f>
        <v>2492350</v>
      </c>
      <c r="D9" s="11">
        <f>IFERROR('Linha 1'!O163,"")</f>
        <v>1035610</v>
      </c>
      <c r="E9" s="11">
        <f>IFERROR('Linha 2'!O163,"")</f>
        <v>308650</v>
      </c>
      <c r="F9" s="11">
        <f>IFERROR('Linha 3'!O163,"")</f>
        <v>1371090</v>
      </c>
      <c r="G9" s="12">
        <f t="shared" si="0"/>
        <v>2715350</v>
      </c>
    </row>
    <row r="10" spans="1:7" ht="15.75" customHeight="1">
      <c r="A10" s="7">
        <v>7</v>
      </c>
      <c r="B10" s="72">
        <v>46241</v>
      </c>
      <c r="C10" s="8">
        <f>IFERROR(Britador!O190,"")</f>
        <v>4836450</v>
      </c>
      <c r="D10" s="8">
        <f>IFERROR('Linha 1'!O190,"")</f>
        <v>728820</v>
      </c>
      <c r="E10" s="8">
        <f>IFERROR('Linha 2'!O190,"")</f>
        <v>343570</v>
      </c>
      <c r="F10" s="8">
        <f>IFERROR('Linha 3'!O190,"")</f>
        <v>1352150</v>
      </c>
      <c r="G10" s="9">
        <f t="shared" si="0"/>
        <v>2424540</v>
      </c>
    </row>
    <row r="11" spans="1:7" ht="15.75" customHeight="1">
      <c r="A11" s="10">
        <v>8</v>
      </c>
      <c r="B11" s="73">
        <v>46242</v>
      </c>
      <c r="C11" s="11">
        <f>IFERROR(Britador!O217,"")</f>
        <v>3244595</v>
      </c>
      <c r="D11" s="11">
        <f>IFERROR('Linha 1'!O217,"")</f>
        <v>1211130</v>
      </c>
      <c r="E11" s="11">
        <f>IFERROR('Linha 2'!O217,"")</f>
        <v>241230</v>
      </c>
      <c r="F11" s="11">
        <f>IFERROR('Linha 3'!O217,"")</f>
        <v>1397250</v>
      </c>
      <c r="G11" s="12">
        <f t="shared" si="0"/>
        <v>2849610</v>
      </c>
    </row>
    <row r="12" spans="1:7" ht="15.75" customHeight="1">
      <c r="A12" s="7">
        <v>9</v>
      </c>
      <c r="B12" s="72">
        <v>46243</v>
      </c>
      <c r="C12" s="8">
        <f>IFERROR(Britador!O244,"")</f>
        <v>3156630</v>
      </c>
      <c r="D12" s="8">
        <f>IFERROR('Linha 1'!O244,"")</f>
        <v>1329240</v>
      </c>
      <c r="E12" s="8">
        <f>IFERROR('Linha 2'!O244,"")</f>
        <v>682360</v>
      </c>
      <c r="F12" s="8">
        <f>IFERROR('Linha 3'!O244,"")</f>
        <v>1550470</v>
      </c>
      <c r="G12" s="9">
        <f t="shared" si="0"/>
        <v>3562070</v>
      </c>
    </row>
    <row r="13" spans="1:7" ht="15.75" customHeight="1">
      <c r="A13" s="10">
        <v>10</v>
      </c>
      <c r="B13" s="73">
        <v>46244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2">
        <v>46245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3">
        <v>46246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2">
        <v>46247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3">
        <v>46248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2">
        <v>46249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>IFERROR(D18+E18+F18,"")</f>
        <v>0</v>
      </c>
    </row>
    <row r="19" spans="1:7" ht="15.75" customHeight="1">
      <c r="A19" s="10">
        <v>16</v>
      </c>
      <c r="B19" s="73">
        <v>46250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2">
        <v>46251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3">
        <v>46252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2">
        <v>46253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3">
        <v>46254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2">
        <v>46255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3">
        <v>46256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2">
        <v>46257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3">
        <v>46258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2">
        <v>46259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3">
        <v>46260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2">
        <v>46261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3">
        <v>46262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46263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46264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46265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18" t="s">
        <v>9</v>
      </c>
      <c r="B35" s="118"/>
      <c r="C35" s="13">
        <f>IFERROR(SUM(C4:C34),"")</f>
        <v>30437510</v>
      </c>
      <c r="D35" s="13">
        <f>IFERROR(SUM(D4:D34),"")</f>
        <v>9653100</v>
      </c>
      <c r="E35" s="13">
        <f>IFERROR(SUM(E4:E34),"")</f>
        <v>4559940</v>
      </c>
      <c r="F35" s="13">
        <f>IFERROR(SUM(F4:F34),"")</f>
        <v>12399220</v>
      </c>
      <c r="G35" s="13">
        <f>IFERROR(SUM(G4:G34),"")</f>
        <v>26612260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32" zoomScale="85" zoomScaleNormal="85" workbookViewId="0">
      <selection activeCell="M58" sqref="M58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19" t="s">
        <v>10</v>
      </c>
      <c r="B1" s="119"/>
      <c r="C1" s="119"/>
      <c r="D1" s="119"/>
      <c r="E1" s="119"/>
      <c r="F1" s="119"/>
      <c r="G1" s="119"/>
      <c r="H1" s="120"/>
      <c r="I1" s="121" t="s">
        <v>11</v>
      </c>
      <c r="J1" s="121"/>
      <c r="K1" s="121"/>
      <c r="L1" s="121"/>
      <c r="M1" s="121"/>
    </row>
    <row r="2" spans="1:13" ht="4.5" customHeight="1">
      <c r="H2" s="120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20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20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20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20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20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20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20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20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20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20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20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20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20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20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20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20"/>
      <c r="I18" s="16" t="s">
        <v>110</v>
      </c>
      <c r="J18" s="16" t="s">
        <v>111</v>
      </c>
      <c r="K18" s="16" t="s">
        <v>112</v>
      </c>
      <c r="L18" s="16" t="s">
        <v>113</v>
      </c>
      <c r="M18" s="16" t="s">
        <v>114</v>
      </c>
    </row>
    <row r="19" spans="1:13" ht="15.75" customHeight="1">
      <c r="A19" s="17"/>
      <c r="C19" s="17"/>
      <c r="E19" s="17"/>
      <c r="G19" s="17" t="s">
        <v>115</v>
      </c>
      <c r="H19" s="120"/>
      <c r="I19" s="17" t="s">
        <v>116</v>
      </c>
      <c r="J19" s="17" t="s">
        <v>117</v>
      </c>
      <c r="K19" s="17" t="s">
        <v>118</v>
      </c>
      <c r="L19" s="17"/>
      <c r="M19" s="17" t="s">
        <v>119</v>
      </c>
    </row>
    <row r="20" spans="1:13" ht="15.75" customHeight="1">
      <c r="A20" s="16"/>
      <c r="C20" s="16"/>
      <c r="E20" s="16"/>
      <c r="G20" s="16" t="s">
        <v>120</v>
      </c>
      <c r="H20" s="120"/>
      <c r="I20" s="16"/>
      <c r="J20" s="16"/>
      <c r="K20" s="16" t="s">
        <v>121</v>
      </c>
      <c r="L20" s="16"/>
      <c r="M20" s="16" t="s">
        <v>122</v>
      </c>
    </row>
    <row r="21" spans="1:13" ht="15.75" customHeight="1">
      <c r="A21" s="17"/>
      <c r="C21" s="17"/>
      <c r="E21" s="17"/>
      <c r="G21" s="17" t="s">
        <v>123</v>
      </c>
      <c r="H21" s="120"/>
      <c r="I21" s="17"/>
      <c r="J21" s="17"/>
      <c r="K21" s="17" t="s">
        <v>124</v>
      </c>
      <c r="L21" s="17"/>
      <c r="M21" s="17" t="s">
        <v>125</v>
      </c>
    </row>
    <row r="22" spans="1:13" ht="15.75" customHeight="1">
      <c r="A22" s="16"/>
      <c r="C22" s="16"/>
      <c r="E22" s="16"/>
      <c r="G22" s="16" t="s">
        <v>126</v>
      </c>
      <c r="H22" s="120"/>
      <c r="I22" s="16"/>
      <c r="J22" s="16"/>
      <c r="K22" s="16" t="s">
        <v>127</v>
      </c>
      <c r="L22" s="16"/>
      <c r="M22" s="16" t="s">
        <v>128</v>
      </c>
    </row>
    <row r="23" spans="1:13" ht="15.75" customHeight="1">
      <c r="A23" s="17"/>
      <c r="C23" s="17"/>
      <c r="E23" s="17"/>
      <c r="G23" s="17" t="s">
        <v>129</v>
      </c>
      <c r="H23" s="120"/>
      <c r="I23" s="17"/>
      <c r="J23" s="17"/>
      <c r="K23" s="17" t="s">
        <v>130</v>
      </c>
      <c r="L23" s="17"/>
      <c r="M23" s="17" t="s">
        <v>131</v>
      </c>
    </row>
    <row r="24" spans="1:13" ht="15.75" customHeight="1">
      <c r="A24" s="16"/>
      <c r="C24" s="16"/>
      <c r="E24" s="16"/>
      <c r="G24" s="16" t="s">
        <v>132</v>
      </c>
      <c r="H24" s="120"/>
      <c r="I24" s="16"/>
      <c r="J24" s="16"/>
      <c r="K24" s="16" t="s">
        <v>133</v>
      </c>
      <c r="L24" s="16"/>
      <c r="M24" s="16" t="s">
        <v>134</v>
      </c>
    </row>
    <row r="25" spans="1:13" ht="15.75" customHeight="1">
      <c r="A25" s="17"/>
      <c r="C25" s="17"/>
      <c r="E25" s="17"/>
      <c r="G25" s="17" t="s">
        <v>135</v>
      </c>
      <c r="H25" s="120"/>
      <c r="I25" s="17"/>
      <c r="J25" s="17"/>
      <c r="K25" s="17" t="s">
        <v>136</v>
      </c>
      <c r="L25" s="17"/>
      <c r="M25" s="17" t="s">
        <v>137</v>
      </c>
    </row>
    <row r="26" spans="1:13" ht="15.75" customHeight="1">
      <c r="A26" s="16"/>
      <c r="C26" s="16"/>
      <c r="E26" s="16"/>
      <c r="G26" s="16" t="s">
        <v>138</v>
      </c>
      <c r="H26" s="120"/>
      <c r="I26" s="16"/>
      <c r="J26" s="16"/>
      <c r="K26" s="16" t="s">
        <v>139</v>
      </c>
      <c r="L26" s="16"/>
      <c r="M26" s="16"/>
    </row>
    <row r="27" spans="1:13" ht="15.75" customHeight="1">
      <c r="A27" s="17"/>
      <c r="C27" s="17"/>
      <c r="E27" s="17"/>
      <c r="G27" s="17" t="s">
        <v>140</v>
      </c>
      <c r="H27" s="120"/>
      <c r="I27" s="17"/>
      <c r="J27" s="17"/>
      <c r="K27" s="17" t="s">
        <v>131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141</v>
      </c>
      <c r="H28" s="120"/>
      <c r="I28" s="16"/>
      <c r="J28" s="16"/>
      <c r="K28" s="16" t="s">
        <v>134</v>
      </c>
      <c r="L28" s="16"/>
      <c r="M28" s="16" t="s">
        <v>142</v>
      </c>
    </row>
    <row r="29" spans="1:13" ht="15.75" customHeight="1">
      <c r="A29" s="17"/>
      <c r="C29" s="17"/>
      <c r="E29" s="17"/>
      <c r="G29" s="17" t="s">
        <v>143</v>
      </c>
      <c r="H29" s="120"/>
      <c r="I29" s="17"/>
      <c r="J29" s="17"/>
      <c r="K29" s="17" t="s">
        <v>144</v>
      </c>
      <c r="L29" s="17"/>
      <c r="M29" s="17" t="s">
        <v>145</v>
      </c>
    </row>
    <row r="30" spans="1:13" ht="15.75" customHeight="1">
      <c r="A30" s="16"/>
      <c r="C30" s="16"/>
      <c r="E30" s="16"/>
      <c r="G30" s="16" t="s">
        <v>146</v>
      </c>
      <c r="H30" s="120"/>
      <c r="I30" s="16"/>
      <c r="J30" s="16"/>
      <c r="K30" s="16" t="s">
        <v>147</v>
      </c>
      <c r="L30" s="16"/>
      <c r="M30" s="16" t="s">
        <v>148</v>
      </c>
    </row>
    <row r="31" spans="1:13" ht="15.75" customHeight="1">
      <c r="A31" s="17"/>
      <c r="C31" s="17"/>
      <c r="E31" s="17"/>
      <c r="G31" s="17" t="s">
        <v>149</v>
      </c>
      <c r="H31" s="120"/>
      <c r="I31" s="17"/>
      <c r="J31" s="17"/>
      <c r="K31" s="18" t="s">
        <v>150</v>
      </c>
      <c r="L31" s="17"/>
      <c r="M31" s="17" t="s">
        <v>151</v>
      </c>
    </row>
    <row r="32" spans="1:13" ht="15.75" customHeight="1">
      <c r="A32" s="16"/>
      <c r="C32" s="16"/>
      <c r="E32" s="16"/>
      <c r="G32" s="16" t="s">
        <v>152</v>
      </c>
      <c r="H32" s="120"/>
      <c r="I32" s="16"/>
      <c r="J32" s="16"/>
      <c r="K32" s="16" t="s">
        <v>153</v>
      </c>
      <c r="L32" s="16"/>
      <c r="M32" t="s">
        <v>154</v>
      </c>
    </row>
    <row r="33" spans="1:13" ht="15.75" customHeight="1">
      <c r="A33" s="17"/>
      <c r="C33" s="17"/>
      <c r="E33" s="17"/>
      <c r="G33" s="17" t="s">
        <v>155</v>
      </c>
      <c r="H33" s="120"/>
      <c r="I33" s="17"/>
      <c r="J33" s="17"/>
      <c r="K33" s="18" t="s">
        <v>156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157</v>
      </c>
      <c r="H34" s="120"/>
      <c r="I34" s="16"/>
      <c r="J34" s="16"/>
      <c r="K34" s="16" t="s">
        <v>79</v>
      </c>
      <c r="L34" s="16"/>
      <c r="M34" s="16" t="s">
        <v>158</v>
      </c>
    </row>
    <row r="35" spans="1:13" ht="15.75" customHeight="1">
      <c r="A35" s="17"/>
      <c r="C35" s="17"/>
      <c r="E35" s="17"/>
      <c r="G35" s="17" t="s">
        <v>159</v>
      </c>
      <c r="H35" s="120"/>
      <c r="I35" s="17"/>
      <c r="J35" s="17"/>
      <c r="K35" s="17" t="s">
        <v>160</v>
      </c>
      <c r="L35" s="17"/>
      <c r="M35" s="17" t="s">
        <v>161</v>
      </c>
    </row>
    <row r="36" spans="1:13" ht="15.75" customHeight="1">
      <c r="A36" s="16"/>
      <c r="C36" s="16"/>
      <c r="E36" s="16"/>
      <c r="G36" s="16" t="s">
        <v>162</v>
      </c>
      <c r="H36" s="120"/>
      <c r="I36" s="16"/>
      <c r="J36" s="16"/>
      <c r="K36" s="16" t="s">
        <v>163</v>
      </c>
      <c r="L36" s="16"/>
      <c r="M36" s="16" t="s">
        <v>164</v>
      </c>
    </row>
    <row r="37" spans="1:13" ht="15.75" customHeight="1">
      <c r="A37" s="17"/>
      <c r="C37" s="17"/>
      <c r="E37" s="17"/>
      <c r="G37" s="17" t="s">
        <v>165</v>
      </c>
      <c r="H37" s="120"/>
      <c r="I37" s="17"/>
      <c r="J37" s="17"/>
      <c r="K37" s="17" t="s">
        <v>166</v>
      </c>
      <c r="L37" s="17"/>
      <c r="M37" s="17" t="s">
        <v>167</v>
      </c>
    </row>
    <row r="38" spans="1:13" ht="15.75" customHeight="1">
      <c r="A38" s="16"/>
      <c r="C38" s="16"/>
      <c r="E38" s="16"/>
      <c r="G38" s="16" t="s">
        <v>168</v>
      </c>
      <c r="H38" s="120"/>
      <c r="I38" s="16"/>
      <c r="J38" s="16"/>
      <c r="K38" s="16" t="s">
        <v>169</v>
      </c>
      <c r="L38" s="16"/>
      <c r="M38" s="16" t="s">
        <v>170</v>
      </c>
    </row>
    <row r="39" spans="1:13" ht="15.75" customHeight="1">
      <c r="A39" s="17"/>
      <c r="C39" s="17"/>
      <c r="E39" s="17"/>
      <c r="G39" s="17"/>
      <c r="H39" s="120"/>
      <c r="I39" s="17"/>
      <c r="J39" s="17"/>
      <c r="K39" s="17" t="s">
        <v>171</v>
      </c>
      <c r="L39" s="17"/>
      <c r="M39" s="17" t="s">
        <v>172</v>
      </c>
    </row>
    <row r="40" spans="1:13" ht="15.75" customHeight="1">
      <c r="A40" s="16"/>
      <c r="C40" s="16"/>
      <c r="E40" s="16"/>
      <c r="G40" s="16"/>
      <c r="H40" s="120"/>
      <c r="I40" s="16"/>
      <c r="J40" s="16"/>
      <c r="K40" s="16" t="s">
        <v>173</v>
      </c>
      <c r="L40" s="16"/>
      <c r="M40" s="16" t="s">
        <v>174</v>
      </c>
    </row>
    <row r="41" spans="1:13" ht="15.75" customHeight="1">
      <c r="A41" s="17"/>
      <c r="C41" s="17"/>
      <c r="E41" s="17"/>
      <c r="G41" s="17"/>
      <c r="H41" s="120"/>
      <c r="I41" s="17"/>
      <c r="J41" s="17"/>
      <c r="K41" s="17" t="s">
        <v>175</v>
      </c>
      <c r="L41" s="17"/>
      <c r="M41" s="17" t="s">
        <v>176</v>
      </c>
    </row>
    <row r="42" spans="1:13" ht="15.75" customHeight="1">
      <c r="A42" s="16"/>
      <c r="C42" s="16"/>
      <c r="E42" s="16"/>
      <c r="G42" s="16"/>
      <c r="H42" s="120"/>
      <c r="I42" s="16"/>
      <c r="J42" s="16"/>
      <c r="K42" s="16" t="s">
        <v>177</v>
      </c>
      <c r="L42" s="16"/>
      <c r="M42" s="16" t="s">
        <v>178</v>
      </c>
    </row>
    <row r="43" spans="1:13" ht="15.75" customHeight="1">
      <c r="A43" s="17"/>
      <c r="C43" s="17"/>
      <c r="E43" s="17"/>
      <c r="G43" s="17"/>
      <c r="H43" s="120"/>
      <c r="I43" s="17"/>
      <c r="J43" s="17"/>
      <c r="K43" s="17" t="s">
        <v>179</v>
      </c>
      <c r="L43" s="17"/>
      <c r="M43" s="17" t="s">
        <v>180</v>
      </c>
    </row>
    <row r="44" spans="1:13" ht="15.75" customHeight="1">
      <c r="A44" s="16"/>
      <c r="C44" s="16"/>
      <c r="E44" s="16"/>
      <c r="G44" s="16"/>
      <c r="H44" s="120"/>
      <c r="I44" s="16"/>
      <c r="J44" s="16"/>
      <c r="K44" s="16" t="s">
        <v>181</v>
      </c>
      <c r="L44" s="16"/>
      <c r="M44" s="16" t="s">
        <v>182</v>
      </c>
    </row>
    <row r="45" spans="1:13" ht="15.75" customHeight="1">
      <c r="A45" s="17"/>
      <c r="C45" s="17"/>
      <c r="E45" s="17"/>
      <c r="G45" s="17"/>
      <c r="H45" s="120"/>
      <c r="I45" s="17"/>
      <c r="J45" s="17"/>
      <c r="K45" s="17"/>
      <c r="L45" s="17"/>
      <c r="M45" s="17" t="s">
        <v>183</v>
      </c>
    </row>
    <row r="46" spans="1:13" ht="15.75" customHeight="1">
      <c r="A46" s="16"/>
      <c r="C46" s="16"/>
      <c r="E46" s="16"/>
      <c r="G46" s="16"/>
      <c r="H46" s="120"/>
      <c r="I46" s="16"/>
      <c r="J46" s="16"/>
      <c r="K46" s="16" t="s">
        <v>184</v>
      </c>
      <c r="L46" s="16"/>
      <c r="M46" s="16" t="s">
        <v>185</v>
      </c>
    </row>
    <row r="47" spans="1:13" ht="15.75" customHeight="1">
      <c r="A47" s="17"/>
      <c r="C47" s="17"/>
      <c r="E47" s="17"/>
      <c r="G47" s="17"/>
      <c r="H47" s="120"/>
      <c r="I47" s="17"/>
      <c r="J47" s="17"/>
      <c r="K47" s="17" t="s">
        <v>186</v>
      </c>
      <c r="L47" s="17"/>
      <c r="M47" s="17" t="s">
        <v>187</v>
      </c>
    </row>
    <row r="48" spans="1:13" ht="15.75" customHeight="1">
      <c r="A48" s="16"/>
      <c r="C48" s="16"/>
      <c r="E48" s="16"/>
      <c r="G48" s="16"/>
      <c r="H48" s="120"/>
      <c r="I48" s="16"/>
      <c r="J48" s="16"/>
      <c r="K48" s="16" t="s">
        <v>188</v>
      </c>
      <c r="L48" s="16"/>
      <c r="M48" s="16" t="s">
        <v>189</v>
      </c>
    </row>
    <row r="49" spans="1:13" ht="18" customHeight="1">
      <c r="H49" s="120"/>
      <c r="I49" s="17"/>
      <c r="J49" s="17"/>
      <c r="K49" s="17" t="s">
        <v>190</v>
      </c>
      <c r="L49" s="17"/>
      <c r="M49" s="17" t="s">
        <v>191</v>
      </c>
    </row>
    <row r="50" spans="1:13" ht="21" customHeight="1">
      <c r="A50" s="19" t="s">
        <v>192</v>
      </c>
      <c r="B50" s="19"/>
      <c r="C50" s="19"/>
      <c r="D50" s="19"/>
      <c r="E50" s="19"/>
      <c r="F50" s="19"/>
      <c r="G50" s="19"/>
      <c r="H50" s="120"/>
      <c r="I50" s="16"/>
      <c r="J50" s="16"/>
      <c r="K50" s="16" t="s">
        <v>193</v>
      </c>
      <c r="L50" s="16"/>
      <c r="M50" s="16" t="s">
        <v>194</v>
      </c>
    </row>
    <row r="51" spans="1:13" ht="24" customHeight="1">
      <c r="H51" s="120"/>
      <c r="I51" s="17"/>
      <c r="J51" s="17"/>
      <c r="K51" s="17" t="s">
        <v>195</v>
      </c>
      <c r="L51" s="17"/>
      <c r="M51" s="17" t="s">
        <v>196</v>
      </c>
    </row>
    <row r="52" spans="1:13" ht="24" customHeight="1">
      <c r="H52" s="120"/>
      <c r="I52" s="16"/>
      <c r="J52" s="16"/>
      <c r="K52" s="16" t="s">
        <v>197</v>
      </c>
      <c r="L52" s="16"/>
      <c r="M52" s="16" t="s">
        <v>198</v>
      </c>
    </row>
    <row r="53" spans="1:13" ht="36" customHeight="1">
      <c r="H53" s="120"/>
      <c r="I53" s="17"/>
      <c r="J53" s="17"/>
      <c r="K53" s="17" t="s">
        <v>199</v>
      </c>
      <c r="L53" s="17"/>
      <c r="M53" s="17" t="s">
        <v>200</v>
      </c>
    </row>
    <row r="54" spans="1:13" ht="15" customHeight="1">
      <c r="H54" s="120"/>
      <c r="I54" s="16"/>
      <c r="J54" s="16"/>
      <c r="K54" s="16" t="s">
        <v>201</v>
      </c>
      <c r="L54" s="16"/>
      <c r="M54" s="16" t="s">
        <v>202</v>
      </c>
    </row>
    <row r="55" spans="1:13" ht="15" customHeight="1">
      <c r="H55" s="120"/>
      <c r="I55" s="17"/>
      <c r="J55" s="17"/>
      <c r="K55" s="17" t="s">
        <v>203</v>
      </c>
      <c r="L55" s="17"/>
      <c r="M55" s="17" t="s">
        <v>204</v>
      </c>
    </row>
    <row r="56" spans="1:13" ht="15" customHeight="1">
      <c r="H56" s="120"/>
      <c r="I56" s="16"/>
      <c r="J56" s="16"/>
      <c r="K56" s="16" t="s">
        <v>205</v>
      </c>
      <c r="L56" s="16"/>
      <c r="M56" s="16" t="s">
        <v>206</v>
      </c>
    </row>
    <row r="57" spans="1:13" ht="15" customHeight="1">
      <c r="H57" s="120"/>
      <c r="I57" s="17"/>
      <c r="J57" s="17"/>
      <c r="K57" s="17" t="s">
        <v>50</v>
      </c>
      <c r="L57" s="17"/>
      <c r="M57" s="17" t="s">
        <v>207</v>
      </c>
    </row>
    <row r="58" spans="1:13" ht="15" customHeight="1">
      <c r="H58" s="120"/>
      <c r="I58" s="16"/>
      <c r="J58" s="16"/>
      <c r="K58" s="16" t="s">
        <v>208</v>
      </c>
      <c r="L58" s="16"/>
      <c r="M58" s="16"/>
    </row>
    <row r="59" spans="1:13" ht="15" customHeight="1">
      <c r="H59" s="120"/>
      <c r="I59" s="17"/>
      <c r="J59" s="17"/>
      <c r="K59" s="17" t="s">
        <v>209</v>
      </c>
      <c r="L59" s="17"/>
      <c r="M59" s="17"/>
    </row>
    <row r="60" spans="1:13" ht="15" customHeight="1">
      <c r="H60" s="120"/>
      <c r="I60" s="16"/>
      <c r="J60" s="16"/>
      <c r="K60" s="86" t="s">
        <v>105</v>
      </c>
      <c r="L60" s="16"/>
      <c r="M60" s="16"/>
    </row>
    <row r="61" spans="1:13" ht="15" customHeight="1">
      <c r="H61" s="120"/>
      <c r="I61" s="17"/>
      <c r="J61" s="17"/>
      <c r="K61" s="17" t="s">
        <v>210</v>
      </c>
      <c r="L61" s="17"/>
      <c r="M61" s="17"/>
    </row>
    <row r="62" spans="1:13" ht="15" customHeight="1">
      <c r="H62" s="120"/>
      <c r="I62" s="16"/>
      <c r="J62" s="16"/>
      <c r="K62" s="16" t="s">
        <v>211</v>
      </c>
      <c r="L62" s="16"/>
      <c r="M62" s="16"/>
    </row>
    <row r="63" spans="1:13" ht="15" customHeight="1">
      <c r="H63" s="120"/>
      <c r="I63" s="17"/>
      <c r="J63" s="17"/>
      <c r="K63" s="17" t="s">
        <v>212</v>
      </c>
      <c r="L63" s="17"/>
      <c r="M63" s="17"/>
    </row>
    <row r="64" spans="1:13" ht="15" customHeight="1">
      <c r="H64" s="120"/>
      <c r="I64" s="16"/>
      <c r="J64" s="16"/>
      <c r="K64" s="16" t="s">
        <v>213</v>
      </c>
      <c r="L64" s="16"/>
      <c r="M64" s="16"/>
    </row>
    <row r="65" spans="8:13" ht="15" customHeight="1">
      <c r="H65" s="120"/>
      <c r="I65" s="17"/>
      <c r="J65" s="17"/>
      <c r="K65" s="17" t="s">
        <v>214</v>
      </c>
      <c r="L65" s="17"/>
      <c r="M65" s="17"/>
    </row>
    <row r="66" spans="8:13" ht="15" customHeight="1">
      <c r="H66" s="120"/>
      <c r="I66" s="16"/>
      <c r="J66" s="16"/>
      <c r="K66" s="16" t="s">
        <v>215</v>
      </c>
      <c r="L66" s="16"/>
      <c r="M66" s="16"/>
    </row>
    <row r="67" spans="8:13" ht="15" customHeight="1">
      <c r="H67" s="120"/>
      <c r="I67" s="17"/>
      <c r="J67" s="17"/>
      <c r="K67" s="17" t="s">
        <v>216</v>
      </c>
      <c r="L67" s="17"/>
      <c r="M67" s="17"/>
    </row>
    <row r="68" spans="8:13" ht="15" customHeight="1">
      <c r="H68" s="120"/>
      <c r="I68" s="16"/>
      <c r="J68" s="16"/>
      <c r="K68" s="16" t="s">
        <v>217</v>
      </c>
      <c r="L68" s="16"/>
      <c r="M68" s="16"/>
    </row>
    <row r="69" spans="8:13" ht="15" customHeight="1">
      <c r="H69" s="120"/>
      <c r="I69" s="17"/>
      <c r="J69" s="17"/>
      <c r="K69" s="17" t="s">
        <v>218</v>
      </c>
      <c r="L69" s="17"/>
      <c r="M69" s="17"/>
    </row>
    <row r="70" spans="8:13" ht="15" customHeight="1">
      <c r="H70" s="120"/>
      <c r="I70" s="16"/>
      <c r="J70" s="16"/>
      <c r="K70" s="16" t="s">
        <v>219</v>
      </c>
      <c r="L70" s="16"/>
      <c r="M70" s="16"/>
    </row>
    <row r="71" spans="8:13" ht="15" customHeight="1">
      <c r="H71" s="120"/>
      <c r="I71" s="17"/>
      <c r="J71" s="17"/>
      <c r="K71" s="17" t="s">
        <v>220</v>
      </c>
      <c r="L71" s="17"/>
      <c r="M71" s="17"/>
    </row>
    <row r="72" spans="8:13" ht="15" customHeight="1">
      <c r="H72" s="120"/>
      <c r="I72" s="16"/>
      <c r="J72" s="16"/>
      <c r="K72" s="16" t="s">
        <v>221</v>
      </c>
      <c r="L72" s="16"/>
      <c r="M72" s="16"/>
    </row>
    <row r="73" spans="8:13" ht="15" customHeight="1">
      <c r="H73" s="120"/>
      <c r="I73" s="17"/>
      <c r="J73" s="17"/>
      <c r="K73" s="17" t="s">
        <v>222</v>
      </c>
      <c r="L73" s="17"/>
      <c r="M73" s="17"/>
    </row>
    <row r="74" spans="8:13" ht="15" customHeight="1">
      <c r="H74" s="120"/>
      <c r="I74" s="16"/>
      <c r="J74" s="16"/>
      <c r="K74" s="16" t="s">
        <v>223</v>
      </c>
      <c r="L74" s="16"/>
      <c r="M74" s="16"/>
    </row>
    <row r="75" spans="8:13" ht="15" customHeight="1">
      <c r="H75" s="120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U838"/>
  <sheetViews>
    <sheetView showGridLines="0" zoomScale="60" zoomScaleNormal="60" workbookViewId="0">
      <pane ySplit="1" topLeftCell="A215" activePane="bottomLeft" state="frozen"/>
      <selection pane="bottomLeft" activeCell="L245" sqref="L245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43.5703125" style="20" customWidth="1"/>
    <col min="15" max="15" width="14" customWidth="1"/>
  </cols>
  <sheetData>
    <row r="1" spans="1:15" ht="37.5" customHeight="1">
      <c r="A1" s="67" t="s">
        <v>7</v>
      </c>
      <c r="B1" s="23" t="s">
        <v>224</v>
      </c>
      <c r="C1" s="23" t="s">
        <v>12</v>
      </c>
      <c r="D1" s="22" t="s">
        <v>13</v>
      </c>
      <c r="E1" s="22" t="s">
        <v>225</v>
      </c>
      <c r="F1" s="23" t="s">
        <v>226</v>
      </c>
      <c r="G1" s="23" t="s">
        <v>227</v>
      </c>
      <c r="H1" s="23" t="s">
        <v>14</v>
      </c>
      <c r="I1" s="23" t="s">
        <v>15</v>
      </c>
      <c r="J1" s="23" t="s">
        <v>228</v>
      </c>
      <c r="K1" s="23" t="s">
        <v>229</v>
      </c>
      <c r="L1" s="23" t="s">
        <v>230</v>
      </c>
      <c r="M1" s="24" t="s">
        <v>231</v>
      </c>
      <c r="N1" s="23" t="s">
        <v>232</v>
      </c>
      <c r="O1" s="23" t="s">
        <v>233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20" t="s">
        <v>30</v>
      </c>
      <c r="E2" s="59" t="s">
        <v>234</v>
      </c>
      <c r="F2" s="27">
        <v>0</v>
      </c>
      <c r="G2" s="28">
        <f t="shared" ref="G2:G13" si="0">IF(F2="","",IF(E2="PC 17",F2*4.2,IF(E2="PC 19",F2*5,IF(E2="CB",F2*35,""))))</f>
        <v>0</v>
      </c>
      <c r="H2" s="26" t="s">
        <v>19</v>
      </c>
      <c r="I2" s="26" t="s">
        <v>23</v>
      </c>
      <c r="J2" s="26" t="s">
        <v>67</v>
      </c>
      <c r="K2" s="29">
        <v>0.7104166666666667</v>
      </c>
      <c r="L2" s="29">
        <v>0.77638888888888891</v>
      </c>
      <c r="M2" s="30">
        <f ca="1">IFERROR(IF(K2="","",IF(L2="",MOD(NOW()-K2,1),IF(L2&gt;=K2,L2-K2,L2+1-K2))),"")</f>
        <v>6.597222222222221E-2</v>
      </c>
      <c r="N2" s="27"/>
      <c r="O2" s="31"/>
    </row>
    <row r="3" spans="1:15" ht="15" customHeight="1">
      <c r="A3" s="69">
        <v>46235</v>
      </c>
      <c r="B3" s="32">
        <f t="shared" ref="B3:B13" si="1">B2+TIME(0,60,0)</f>
        <v>0.37499999999999967</v>
      </c>
      <c r="C3" s="26" t="s">
        <v>45</v>
      </c>
      <c r="D3" s="59" t="s">
        <v>30</v>
      </c>
      <c r="E3" s="59" t="s">
        <v>234</v>
      </c>
      <c r="F3" s="27">
        <v>12</v>
      </c>
      <c r="G3" s="34">
        <f t="shared" si="0"/>
        <v>60</v>
      </c>
      <c r="H3" s="33"/>
      <c r="I3" s="33"/>
      <c r="J3" s="33"/>
      <c r="K3" s="29"/>
      <c r="L3" s="29"/>
      <c r="M3" s="35" t="str">
        <f t="shared" ref="M3:M13" ca="1" si="2">IFERROR(IF(K3="","",IF(L3="",MOD(NOW()-K3,1),IF(L3&gt;=K3,L3-K3,L3+1-K3))),"")</f>
        <v/>
      </c>
      <c r="N3" s="27"/>
      <c r="O3" s="31"/>
    </row>
    <row r="4" spans="1:15" ht="15" customHeight="1">
      <c r="A4" s="68">
        <v>46235</v>
      </c>
      <c r="B4" s="25">
        <f t="shared" si="1"/>
        <v>0.41666666666666635</v>
      </c>
      <c r="C4" s="26" t="s">
        <v>45</v>
      </c>
      <c r="D4" s="59" t="s">
        <v>30</v>
      </c>
      <c r="E4" s="59" t="s">
        <v>234</v>
      </c>
      <c r="F4" s="27">
        <v>6</v>
      </c>
      <c r="G4" s="28">
        <f t="shared" si="0"/>
        <v>30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46235</v>
      </c>
      <c r="B5" s="32">
        <f t="shared" si="1"/>
        <v>0.45833333333333304</v>
      </c>
      <c r="C5" s="26" t="s">
        <v>45</v>
      </c>
      <c r="D5" s="59" t="s">
        <v>30</v>
      </c>
      <c r="E5" s="59" t="s">
        <v>234</v>
      </c>
      <c r="F5" s="27">
        <v>7</v>
      </c>
      <c r="G5" s="34">
        <f t="shared" si="0"/>
        <v>35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46235</v>
      </c>
      <c r="B6" s="25">
        <f t="shared" si="1"/>
        <v>0.49999999999999972</v>
      </c>
      <c r="C6" s="26" t="s">
        <v>45</v>
      </c>
      <c r="D6" s="59" t="s">
        <v>30</v>
      </c>
      <c r="E6" s="59" t="s">
        <v>234</v>
      </c>
      <c r="F6" s="27">
        <v>14</v>
      </c>
      <c r="G6" s="28">
        <f t="shared" si="0"/>
        <v>70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46235</v>
      </c>
      <c r="B7" s="32">
        <f t="shared" si="1"/>
        <v>0.54166666666666641</v>
      </c>
      <c r="C7" s="26" t="s">
        <v>45</v>
      </c>
      <c r="D7" s="59" t="s">
        <v>30</v>
      </c>
      <c r="E7" s="59" t="s">
        <v>234</v>
      </c>
      <c r="F7" s="27">
        <v>10</v>
      </c>
      <c r="G7" s="34">
        <f t="shared" si="0"/>
        <v>50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46235</v>
      </c>
      <c r="B8" s="25">
        <f t="shared" si="1"/>
        <v>0.58333333333333304</v>
      </c>
      <c r="C8" s="26" t="s">
        <v>45</v>
      </c>
      <c r="D8" s="59" t="s">
        <v>30</v>
      </c>
      <c r="E8" s="59" t="s">
        <v>234</v>
      </c>
      <c r="F8" s="27">
        <v>42</v>
      </c>
      <c r="G8" s="28">
        <f t="shared" si="0"/>
        <v>210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46235</v>
      </c>
      <c r="B9" s="32">
        <f t="shared" si="1"/>
        <v>0.62499999999999967</v>
      </c>
      <c r="C9" s="26" t="s">
        <v>45</v>
      </c>
      <c r="D9" s="59" t="s">
        <v>30</v>
      </c>
      <c r="E9" s="59" t="s">
        <v>234</v>
      </c>
      <c r="F9" s="27">
        <v>25</v>
      </c>
      <c r="G9" s="34">
        <f t="shared" si="0"/>
        <v>125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46235</v>
      </c>
      <c r="B10" s="25">
        <f t="shared" si="1"/>
        <v>0.6666666666666663</v>
      </c>
      <c r="C10" s="26" t="s">
        <v>45</v>
      </c>
      <c r="D10" s="59" t="s">
        <v>30</v>
      </c>
      <c r="E10" s="59" t="s">
        <v>234</v>
      </c>
      <c r="F10" s="27">
        <v>30</v>
      </c>
      <c r="G10" s="28">
        <f t="shared" si="0"/>
        <v>150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46235</v>
      </c>
      <c r="B11" s="32">
        <f t="shared" si="1"/>
        <v>0.70833333333333293</v>
      </c>
      <c r="C11" s="26" t="s">
        <v>45</v>
      </c>
      <c r="D11" s="59" t="s">
        <v>30</v>
      </c>
      <c r="E11" s="59" t="s">
        <v>234</v>
      </c>
      <c r="F11" s="27">
        <v>23</v>
      </c>
      <c r="G11" s="34">
        <f t="shared" si="0"/>
        <v>115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46235</v>
      </c>
      <c r="B12" s="25">
        <f t="shared" si="1"/>
        <v>0.74999999999999956</v>
      </c>
      <c r="C12" s="26" t="s">
        <v>45</v>
      </c>
      <c r="D12" s="59" t="s">
        <v>30</v>
      </c>
      <c r="E12" s="59" t="s">
        <v>234</v>
      </c>
      <c r="F12" s="27">
        <v>23</v>
      </c>
      <c r="G12" s="28">
        <f t="shared" si="0"/>
        <v>115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46235</v>
      </c>
      <c r="B13" s="32">
        <f t="shared" si="1"/>
        <v>0.79166666666666619</v>
      </c>
      <c r="C13" s="26" t="s">
        <v>45</v>
      </c>
      <c r="D13" s="59" t="s">
        <v>30</v>
      </c>
      <c r="E13" s="59" t="s">
        <v>234</v>
      </c>
      <c r="F13" s="27">
        <v>4</v>
      </c>
      <c r="G13" s="34">
        <f t="shared" si="0"/>
        <v>20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04" t="s">
        <v>235</v>
      </c>
      <c r="B14" s="105"/>
      <c r="C14" s="105"/>
      <c r="D14" s="105"/>
      <c r="E14" s="106"/>
      <c r="F14" s="36">
        <f>SUM(F2:F13)</f>
        <v>196</v>
      </c>
      <c r="G14" s="36">
        <f>SUM(G2:G13)</f>
        <v>980</v>
      </c>
      <c r="H14" s="37"/>
      <c r="I14" s="37"/>
      <c r="J14" s="37"/>
      <c r="K14" s="37"/>
      <c r="L14" s="37"/>
      <c r="M14" s="38">
        <f ca="1">IFERROR(SUM(M2:M13),"")</f>
        <v>6.597222222222221E-2</v>
      </c>
      <c r="N14" s="36" t="s">
        <v>236</v>
      </c>
      <c r="O14" s="39">
        <v>797765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234</v>
      </c>
      <c r="F15" s="27">
        <v>25</v>
      </c>
      <c r="G15" s="34">
        <f t="shared" ref="G15:G26" si="3">IF(F15="","",IF(E15="PC 17",F15*4.2,IF(E15="PC 19",F15*5,IF(E15="CB",F15*35,""))))</f>
        <v>125</v>
      </c>
      <c r="H15" s="33" t="s">
        <v>20</v>
      </c>
      <c r="I15" s="33" t="s">
        <v>23</v>
      </c>
      <c r="J15" s="33" t="s">
        <v>131</v>
      </c>
      <c r="K15" s="29">
        <v>7.0833333333333331E-2</v>
      </c>
      <c r="L15" s="29">
        <v>0.14652777777777778</v>
      </c>
      <c r="M15" s="35">
        <f t="shared" ref="M15:M26" ca="1" si="4">IFERROR(IF(K15="","",IF(L15="",MOD(NOW()-K15,1),IF(L15&gt;=K15,L15-K15,L15+1-K15))),"")</f>
        <v>7.5694444444444453E-2</v>
      </c>
      <c r="N15" s="27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234</v>
      </c>
      <c r="F16" s="27">
        <v>10</v>
      </c>
      <c r="G16" s="34">
        <f t="shared" si="3"/>
        <v>50</v>
      </c>
      <c r="H16" s="26" t="s">
        <v>20</v>
      </c>
      <c r="I16" s="26" t="s">
        <v>23</v>
      </c>
      <c r="J16" s="26" t="s">
        <v>44</v>
      </c>
      <c r="K16" s="29">
        <v>0.17152777777777778</v>
      </c>
      <c r="L16" s="29">
        <v>0.20902777777777778</v>
      </c>
      <c r="M16" s="30">
        <f t="shared" ca="1" si="4"/>
        <v>3.7500000000000006E-2</v>
      </c>
      <c r="N16" s="27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234</v>
      </c>
      <c r="F17" s="27">
        <v>35</v>
      </c>
      <c r="G17" s="34">
        <f t="shared" si="3"/>
        <v>175</v>
      </c>
      <c r="H17" s="33" t="s">
        <v>18</v>
      </c>
      <c r="I17" s="33" t="s">
        <v>23</v>
      </c>
      <c r="J17" s="33" t="s">
        <v>50</v>
      </c>
      <c r="K17" s="29">
        <v>0.2638888888888889</v>
      </c>
      <c r="L17" s="29">
        <v>0.29166666666666669</v>
      </c>
      <c r="M17" s="35">
        <f t="shared" ca="1" si="4"/>
        <v>2.777777777777779E-2</v>
      </c>
      <c r="N17" s="27" t="s">
        <v>237</v>
      </c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234</v>
      </c>
      <c r="F18" s="27">
        <v>16</v>
      </c>
      <c r="G18" s="34">
        <f t="shared" si="3"/>
        <v>80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234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234</v>
      </c>
      <c r="F20" s="27">
        <v>30</v>
      </c>
      <c r="G20" s="34">
        <f t="shared" si="3"/>
        <v>150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234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234</v>
      </c>
      <c r="F22" s="27">
        <v>0</v>
      </c>
      <c r="G22" s="34">
        <f t="shared" si="3"/>
        <v>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234</v>
      </c>
      <c r="F23" s="27">
        <v>14</v>
      </c>
      <c r="G23" s="34">
        <f t="shared" si="3"/>
        <v>70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234</v>
      </c>
      <c r="F24" s="27">
        <v>10</v>
      </c>
      <c r="G24" s="34">
        <f t="shared" si="3"/>
        <v>50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234</v>
      </c>
      <c r="F25" s="27">
        <v>20</v>
      </c>
      <c r="G25" s="34">
        <f t="shared" si="3"/>
        <v>100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234</v>
      </c>
      <c r="F26" s="27">
        <v>5</v>
      </c>
      <c r="G26" s="34">
        <f t="shared" si="3"/>
        <v>25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04" t="s">
        <v>238</v>
      </c>
      <c r="B27" s="105"/>
      <c r="C27" s="105"/>
      <c r="D27" s="105"/>
      <c r="E27" s="106"/>
      <c r="F27" s="36">
        <f>SUM(F15:F26)</f>
        <v>183</v>
      </c>
      <c r="G27" s="36">
        <f>SUM(G15:G26)</f>
        <v>915</v>
      </c>
      <c r="H27" s="37"/>
      <c r="I27" s="37"/>
      <c r="J27" s="37"/>
      <c r="K27" s="37"/>
      <c r="L27" s="37"/>
      <c r="M27" s="38">
        <f ca="1">IFERROR(SUM(M15:M26),"")</f>
        <v>0.14097222222222225</v>
      </c>
      <c r="N27" s="36" t="s">
        <v>236</v>
      </c>
      <c r="O27" s="39">
        <v>997910</v>
      </c>
    </row>
    <row r="28" spans="1:15" ht="18" customHeight="1">
      <c r="A28" s="107" t="s">
        <v>239</v>
      </c>
      <c r="B28" s="108"/>
      <c r="C28" s="108"/>
      <c r="D28" s="108"/>
      <c r="E28" s="109"/>
      <c r="F28" s="40">
        <f>F14+F27</f>
        <v>379</v>
      </c>
      <c r="G28" s="40">
        <f>G14+G27</f>
        <v>1895</v>
      </c>
      <c r="H28" s="41"/>
      <c r="I28" s="41"/>
      <c r="J28" s="41"/>
      <c r="K28" s="41"/>
      <c r="L28" s="41"/>
      <c r="M28" s="42">
        <f ca="1">IFERROR(M14+M27,"")</f>
        <v>0.20694444444444446</v>
      </c>
      <c r="N28" s="40" t="s">
        <v>240</v>
      </c>
      <c r="O28" s="43">
        <f>IFERROR(O14+O27,"")</f>
        <v>1795675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234</v>
      </c>
      <c r="F29" s="27">
        <v>10</v>
      </c>
      <c r="G29" s="28">
        <f t="shared" ref="G29:G40" si="6">IF(F29="","",IF(E29="PC 17",F29*4.2,IF(E29="PC 19",F29*5,IF(E29="CB",F29*35,""))))</f>
        <v>50</v>
      </c>
      <c r="H29" s="33" t="s">
        <v>18</v>
      </c>
      <c r="I29" s="33" t="s">
        <v>23</v>
      </c>
      <c r="J29" s="33" t="s">
        <v>156</v>
      </c>
      <c r="K29" s="29">
        <v>0.29166666666666669</v>
      </c>
      <c r="L29" s="29">
        <v>0.31319444444444444</v>
      </c>
      <c r="M29" s="35">
        <f t="shared" ref="M29:M40" ca="1" si="7">IFERROR(IF(K29="","",IF(L29="",MOD(NOW()-K29,1),IF(L29&gt;=K29,L29-K29,L29+1-K29))),"")</f>
        <v>2.1527777777777757E-2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234</v>
      </c>
      <c r="F30" s="27">
        <v>36</v>
      </c>
      <c r="G30" s="34">
        <f t="shared" si="6"/>
        <v>180</v>
      </c>
      <c r="H30" s="26" t="s">
        <v>18</v>
      </c>
      <c r="I30" s="26" t="s">
        <v>23</v>
      </c>
      <c r="J30" s="26" t="s">
        <v>130</v>
      </c>
      <c r="K30" s="29">
        <v>0.31458333333333333</v>
      </c>
      <c r="L30" s="29">
        <v>0.32708333333333334</v>
      </c>
      <c r="M30" s="30">
        <f t="shared" ca="1" si="7"/>
        <v>1.2500000000000011E-2</v>
      </c>
      <c r="N30" s="27" t="s">
        <v>241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234</v>
      </c>
      <c r="F31" s="27">
        <v>35</v>
      </c>
      <c r="G31" s="28">
        <f t="shared" si="6"/>
        <v>175</v>
      </c>
      <c r="H31" s="33" t="s">
        <v>18</v>
      </c>
      <c r="I31" s="33" t="s">
        <v>23</v>
      </c>
      <c r="J31" s="33" t="s">
        <v>50</v>
      </c>
      <c r="K31" s="29">
        <v>0.43402777777777779</v>
      </c>
      <c r="L31" s="29">
        <v>0.4597222222222222</v>
      </c>
      <c r="M31" s="35">
        <f t="shared" ca="1" si="7"/>
        <v>2.5694444444444409E-2</v>
      </c>
      <c r="N31" s="27" t="s">
        <v>237</v>
      </c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234</v>
      </c>
      <c r="F32" s="27">
        <v>13</v>
      </c>
      <c r="G32" s="34">
        <f t="shared" si="6"/>
        <v>65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234</v>
      </c>
      <c r="F33" s="27">
        <v>19</v>
      </c>
      <c r="G33" s="28">
        <f t="shared" si="6"/>
        <v>95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234</v>
      </c>
      <c r="F34" s="27">
        <v>26</v>
      </c>
      <c r="G34" s="34">
        <f>IF(F34="","",IF(E34="PC 17",F34*4.2,IF(E34="PC 19",F34*5,IF(E34="CB",F34*35,""))))</f>
        <v>130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234</v>
      </c>
      <c r="F35" s="27">
        <v>55</v>
      </c>
      <c r="G35" s="28">
        <f t="shared" si="6"/>
        <v>275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234</v>
      </c>
      <c r="F36" s="27">
        <v>38</v>
      </c>
      <c r="G36" s="34">
        <f>IF(F36="","",IF(E36="PC 17",F36*4.2,IF(E36="PC 19",F36*5,IF(E36="CB",F36*35,""))))</f>
        <v>190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234</v>
      </c>
      <c r="F37" s="27">
        <v>21</v>
      </c>
      <c r="G37" s="28">
        <f t="shared" si="6"/>
        <v>105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234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234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234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4" t="s">
        <v>235</v>
      </c>
      <c r="B41" s="105"/>
      <c r="C41" s="105"/>
      <c r="D41" s="105"/>
      <c r="E41" s="106">
        <f>SUM(E29:E40)</f>
        <v>0</v>
      </c>
      <c r="F41" s="36">
        <f>SUM(F29:F40)</f>
        <v>253</v>
      </c>
      <c r="G41" s="36">
        <f>SUM(G29:G40)</f>
        <v>1265</v>
      </c>
      <c r="H41" s="37"/>
      <c r="I41" s="37"/>
      <c r="J41" s="37"/>
      <c r="K41" s="37"/>
      <c r="L41" s="37"/>
      <c r="M41" s="38">
        <f ca="1">IFERROR(SUM(M29:M40),"")</f>
        <v>5.9722222222222177E-2</v>
      </c>
      <c r="N41" s="36" t="s">
        <v>236</v>
      </c>
      <c r="O41" s="39">
        <v>1351560</v>
      </c>
    </row>
    <row r="42" spans="1:15" ht="15" customHeight="1">
      <c r="A42" s="69">
        <v>46236</v>
      </c>
      <c r="B42" s="32">
        <v>0.83333333333333304</v>
      </c>
      <c r="C42" s="20" t="s">
        <v>29</v>
      </c>
      <c r="D42" s="62" t="s">
        <v>30</v>
      </c>
      <c r="E42" s="62" t="s">
        <v>234</v>
      </c>
      <c r="F42" s="27">
        <v>45</v>
      </c>
      <c r="G42" s="34">
        <f t="shared" ref="G42:G53" si="9">IF(F42="","",IF(E42="PC 17",F42*4.2,IF(E42="PC 19",F42*5,IF(E42="CB",F42*35,""))))</f>
        <v>225</v>
      </c>
      <c r="H42" s="26" t="s">
        <v>19</v>
      </c>
      <c r="I42" s="26" t="s">
        <v>23</v>
      </c>
      <c r="J42" s="26" t="s">
        <v>67</v>
      </c>
      <c r="K42" s="29">
        <v>0.84097222222222223</v>
      </c>
      <c r="L42" s="29">
        <v>0.97499999999999998</v>
      </c>
      <c r="M42" s="30">
        <f t="shared" ref="M42:M53" ca="1" si="10">IFERROR(IF(K42="","",IF(L42="",MOD(NOW()-K42,1),IF(L42&gt;=K42,L42-K42,L42+1-K42))),"")</f>
        <v>0.13402777777777775</v>
      </c>
      <c r="N42" s="27" t="s">
        <v>242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30</v>
      </c>
      <c r="E43" s="62" t="s">
        <v>234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44</v>
      </c>
      <c r="K43" s="29">
        <v>2.9861111111111113E-2</v>
      </c>
      <c r="L43" s="29">
        <v>4.027777777777778E-2</v>
      </c>
      <c r="M43" s="35">
        <f t="shared" ca="1" si="10"/>
        <v>1.0416666666666668E-2</v>
      </c>
      <c r="N43" s="27"/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30</v>
      </c>
      <c r="E44" s="62" t="s">
        <v>234</v>
      </c>
      <c r="F44" s="27">
        <v>0</v>
      </c>
      <c r="G44" s="34">
        <f t="shared" si="9"/>
        <v>0</v>
      </c>
      <c r="H44" s="26" t="s">
        <v>20</v>
      </c>
      <c r="I44" s="26" t="s">
        <v>23</v>
      </c>
      <c r="J44" s="26" t="s">
        <v>44</v>
      </c>
      <c r="K44" s="29">
        <v>9.930555555555555E-2</v>
      </c>
      <c r="L44" s="29">
        <v>0.14722222222222223</v>
      </c>
      <c r="M44" s="30">
        <f t="shared" ca="1" si="10"/>
        <v>4.7916666666666677E-2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30</v>
      </c>
      <c r="E45" s="62" t="s">
        <v>234</v>
      </c>
      <c r="F45" s="27">
        <v>0</v>
      </c>
      <c r="G45" s="28">
        <f t="shared" si="9"/>
        <v>0</v>
      </c>
      <c r="H45" s="33" t="s">
        <v>19</v>
      </c>
      <c r="I45" s="33" t="s">
        <v>23</v>
      </c>
      <c r="J45" s="33" t="s">
        <v>50</v>
      </c>
      <c r="K45" s="29">
        <v>0.16319444444444445</v>
      </c>
      <c r="L45" s="29">
        <v>0.21388888888888888</v>
      </c>
      <c r="M45" s="35">
        <f t="shared" ca="1" si="10"/>
        <v>5.0694444444444431E-2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30</v>
      </c>
      <c r="E46" s="62" t="s">
        <v>234</v>
      </c>
      <c r="F46" s="27">
        <v>27</v>
      </c>
      <c r="G46" s="34">
        <f t="shared" si="9"/>
        <v>135</v>
      </c>
      <c r="H46" s="26" t="s">
        <v>20</v>
      </c>
      <c r="I46" s="26" t="s">
        <v>23</v>
      </c>
      <c r="J46" s="26" t="s">
        <v>44</v>
      </c>
      <c r="K46" s="29">
        <v>0.26041666666666669</v>
      </c>
      <c r="L46" s="29">
        <v>0.27430555555555558</v>
      </c>
      <c r="M46" s="30">
        <f t="shared" ca="1" si="10"/>
        <v>1.3888888888888895E-2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30</v>
      </c>
      <c r="E47" s="62" t="s">
        <v>234</v>
      </c>
      <c r="F47" s="27">
        <v>17</v>
      </c>
      <c r="G47" s="28">
        <f t="shared" si="9"/>
        <v>85</v>
      </c>
      <c r="H47" s="33" t="s">
        <v>20</v>
      </c>
      <c r="I47" s="33" t="s">
        <v>23</v>
      </c>
      <c r="J47" s="33" t="s">
        <v>44</v>
      </c>
      <c r="K47" s="29">
        <v>0.27291666666666664</v>
      </c>
      <c r="L47" s="29">
        <v>0.28125</v>
      </c>
      <c r="M47" s="35">
        <f t="shared" ca="1" si="10"/>
        <v>8.3333333333333592E-3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30</v>
      </c>
      <c r="E48" s="62" t="s">
        <v>234</v>
      </c>
      <c r="F48" s="27">
        <v>37</v>
      </c>
      <c r="G48" s="34">
        <f t="shared" si="9"/>
        <v>185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30</v>
      </c>
      <c r="E49" s="62" t="s">
        <v>234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30</v>
      </c>
      <c r="E50" s="62" t="s">
        <v>234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30</v>
      </c>
      <c r="E51" s="62" t="s">
        <v>234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30</v>
      </c>
      <c r="E52" s="62" t="s">
        <v>234</v>
      </c>
      <c r="F52" s="27">
        <v>46</v>
      </c>
      <c r="G52" s="34">
        <f t="shared" si="9"/>
        <v>230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30</v>
      </c>
      <c r="E53" s="62"/>
      <c r="F53" s="27">
        <v>0</v>
      </c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4" t="s">
        <v>238</v>
      </c>
      <c r="B54" s="105"/>
      <c r="C54" s="105"/>
      <c r="D54" s="105"/>
      <c r="E54" s="106">
        <f>SUM(E42:E53)</f>
        <v>0</v>
      </c>
      <c r="F54" s="36">
        <f>SUM(F42:F53)</f>
        <v>172</v>
      </c>
      <c r="G54" s="36">
        <f>SUM(G42:G53)</f>
        <v>860</v>
      </c>
      <c r="H54" s="37"/>
      <c r="I54" s="37"/>
      <c r="J54" s="37"/>
      <c r="K54" s="37"/>
      <c r="L54" s="37"/>
      <c r="M54" s="38">
        <f ca="1">IFERROR(SUM(M42:M53),"")</f>
        <v>0.26527777777777778</v>
      </c>
      <c r="N54" s="36" t="s">
        <v>236</v>
      </c>
      <c r="O54" s="39">
        <v>981310</v>
      </c>
    </row>
    <row r="55" spans="1:15" ht="18" customHeight="1">
      <c r="A55" s="107" t="s">
        <v>239</v>
      </c>
      <c r="B55" s="108"/>
      <c r="C55" s="108"/>
      <c r="D55" s="108"/>
      <c r="E55" s="109">
        <f>E41+E54</f>
        <v>0</v>
      </c>
      <c r="F55" s="40">
        <f>F41+F54</f>
        <v>425</v>
      </c>
      <c r="G55" s="40">
        <f>G41+G54</f>
        <v>2125</v>
      </c>
      <c r="H55" s="41"/>
      <c r="I55" s="41"/>
      <c r="J55" s="41"/>
      <c r="K55" s="41"/>
      <c r="L55" s="41"/>
      <c r="M55" s="42">
        <f ca="1">IFERROR(M41+M54,"")</f>
        <v>0.32499999999999996</v>
      </c>
      <c r="N55" s="40" t="s">
        <v>240</v>
      </c>
      <c r="O55" s="43">
        <f>IFERROR(O41+O54,"")</f>
        <v>2332870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20" t="s">
        <v>30</v>
      </c>
      <c r="E56" s="59" t="s">
        <v>234</v>
      </c>
      <c r="F56" s="27">
        <v>30</v>
      </c>
      <c r="G56" s="28">
        <f t="shared" ref="G56:G67" si="12">IF(F56="","",IF(E56="PC 17",F56*4.2,IF(E56="PC 19",F56*5,IF(E56="CB",F56*35,""))))</f>
        <v>150</v>
      </c>
      <c r="H56" s="26" t="s">
        <v>18</v>
      </c>
      <c r="I56" s="26" t="s">
        <v>23</v>
      </c>
      <c r="J56" s="26" t="s">
        <v>156</v>
      </c>
      <c r="K56" s="29">
        <v>0.36458333333333331</v>
      </c>
      <c r="L56" s="29">
        <v>0.3923611111111111</v>
      </c>
      <c r="M56" s="30">
        <f t="shared" ref="M56:M67" ca="1" si="13">IFERROR(IF(K56="","",IF(L56="",MOD(NOW()-K56,1),IF(L56&gt;=K56,L56-K56,L56+1-K56))),"")</f>
        <v>2.777777777777779E-2</v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234</v>
      </c>
      <c r="F57" s="27">
        <v>16</v>
      </c>
      <c r="G57" s="34">
        <f t="shared" si="12"/>
        <v>80</v>
      </c>
      <c r="H57" s="33" t="s">
        <v>20</v>
      </c>
      <c r="I57" s="33" t="s">
        <v>23</v>
      </c>
      <c r="J57" s="33" t="s">
        <v>134</v>
      </c>
      <c r="K57" s="29">
        <v>0.63680555555555551</v>
      </c>
      <c r="L57" s="29">
        <v>0.64166666666666672</v>
      </c>
      <c r="M57" s="35">
        <f t="shared" ca="1" si="13"/>
        <v>4.8611111111112049E-3</v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30</v>
      </c>
      <c r="E58" s="59" t="s">
        <v>234</v>
      </c>
      <c r="F58" s="27">
        <v>35</v>
      </c>
      <c r="G58" s="28">
        <f t="shared" si="12"/>
        <v>175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234</v>
      </c>
      <c r="F59" s="27">
        <v>35</v>
      </c>
      <c r="G59" s="34">
        <f t="shared" si="12"/>
        <v>175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234</v>
      </c>
      <c r="F60" s="27">
        <v>40</v>
      </c>
      <c r="G60" s="28">
        <f t="shared" si="12"/>
        <v>200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234</v>
      </c>
      <c r="F61" s="27">
        <v>40</v>
      </c>
      <c r="G61" s="34">
        <f t="shared" si="12"/>
        <v>200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234</v>
      </c>
      <c r="F62" s="27">
        <v>35</v>
      </c>
      <c r="G62" s="28">
        <f t="shared" si="12"/>
        <v>175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234</v>
      </c>
      <c r="F63" s="27">
        <v>40</v>
      </c>
      <c r="G63" s="34">
        <f t="shared" si="12"/>
        <v>200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234</v>
      </c>
      <c r="F64" s="27">
        <v>20</v>
      </c>
      <c r="G64" s="28">
        <f t="shared" si="12"/>
        <v>100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234</v>
      </c>
      <c r="F65" s="27">
        <v>30</v>
      </c>
      <c r="G65" s="34">
        <f t="shared" si="12"/>
        <v>150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234</v>
      </c>
      <c r="F66" s="27">
        <v>44</v>
      </c>
      <c r="G66" s="28">
        <f t="shared" si="12"/>
        <v>220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234</v>
      </c>
      <c r="F67" s="27">
        <v>10</v>
      </c>
      <c r="G67" s="34">
        <f t="shared" si="12"/>
        <v>50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4" t="s">
        <v>235</v>
      </c>
      <c r="B68" s="105"/>
      <c r="C68" s="105"/>
      <c r="D68" s="105"/>
      <c r="E68" s="106">
        <f>SUM(E56:E67)</f>
        <v>0</v>
      </c>
      <c r="F68" s="36">
        <f>SUM(F56:F67)</f>
        <v>375</v>
      </c>
      <c r="G68" s="36">
        <f>SUM(G56:G67)</f>
        <v>1875</v>
      </c>
      <c r="H68" s="37"/>
      <c r="I68" s="37"/>
      <c r="J68" s="37"/>
      <c r="K68" s="37"/>
      <c r="L68" s="37"/>
      <c r="M68" s="38">
        <f ca="1">IFERROR(SUM(M56:M67),"")</f>
        <v>3.2638888888888995E-2</v>
      </c>
      <c r="N68" s="36" t="s">
        <v>236</v>
      </c>
      <c r="O68" s="39">
        <v>2102950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234</v>
      </c>
      <c r="F69" s="27">
        <v>14</v>
      </c>
      <c r="G69" s="34">
        <f t="shared" ref="G69:G80" si="15">IF(F69="","",IF(E69="PC 17",F69*4.2,IF(E69="PC 19",F69*5,IF(E69="CB",F69*35,""))))</f>
        <v>70</v>
      </c>
      <c r="H69" s="33" t="s">
        <v>20</v>
      </c>
      <c r="I69" s="33" t="s">
        <v>23</v>
      </c>
      <c r="J69" s="33" t="s">
        <v>44</v>
      </c>
      <c r="K69" s="29">
        <v>0.81458333333333333</v>
      </c>
      <c r="L69" s="29">
        <v>0.83125000000000004</v>
      </c>
      <c r="M69" s="35">
        <f t="shared" ref="M69:M80" ca="1" si="16">IFERROR(IF(K69="","",IF(L69="",MOD(NOW()-K69,1),IF(L69&gt;=K69,L69-K69,L69+1-K69))),"")</f>
        <v>1.6666666666666718E-2</v>
      </c>
      <c r="N69" s="27"/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234</v>
      </c>
      <c r="F70" s="27">
        <v>14</v>
      </c>
      <c r="G70" s="28">
        <f t="shared" si="15"/>
        <v>70</v>
      </c>
      <c r="H70" s="26" t="s">
        <v>19</v>
      </c>
      <c r="I70" s="26" t="s">
        <v>23</v>
      </c>
      <c r="J70" s="26" t="s">
        <v>67</v>
      </c>
      <c r="K70" s="29">
        <v>0.93680555555555556</v>
      </c>
      <c r="L70" s="29">
        <v>4.7222222222222221E-2</v>
      </c>
      <c r="M70" s="30">
        <f t="shared" ca="1" si="16"/>
        <v>0.11041666666666672</v>
      </c>
      <c r="N70" s="27" t="s">
        <v>243</v>
      </c>
      <c r="O70" s="31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234</v>
      </c>
      <c r="F71" s="27">
        <v>27</v>
      </c>
      <c r="G71" s="34">
        <f t="shared" si="15"/>
        <v>135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234</v>
      </c>
      <c r="F72" s="27">
        <v>15</v>
      </c>
      <c r="G72" s="28">
        <f t="shared" si="15"/>
        <v>75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234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234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234</v>
      </c>
      <c r="F75" s="27">
        <v>25</v>
      </c>
      <c r="G75" s="34">
        <f t="shared" si="15"/>
        <v>125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234</v>
      </c>
      <c r="F76" s="27">
        <v>26</v>
      </c>
      <c r="G76" s="28">
        <f t="shared" si="15"/>
        <v>130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234</v>
      </c>
      <c r="F77" s="27">
        <v>17</v>
      </c>
      <c r="G77" s="34">
        <f t="shared" si="15"/>
        <v>85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22</v>
      </c>
      <c r="E78" s="62" t="s">
        <v>234</v>
      </c>
      <c r="F78" s="27">
        <v>66</v>
      </c>
      <c r="G78" s="28">
        <f t="shared" si="15"/>
        <v>330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 t="s">
        <v>234</v>
      </c>
      <c r="F79" s="27">
        <v>41</v>
      </c>
      <c r="G79" s="34">
        <f t="shared" si="15"/>
        <v>205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 t="s">
        <v>234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4" t="s">
        <v>238</v>
      </c>
      <c r="B81" s="105"/>
      <c r="C81" s="105"/>
      <c r="D81" s="105"/>
      <c r="E81" s="106">
        <f>SUM(E69:E80)</f>
        <v>0</v>
      </c>
      <c r="F81" s="36">
        <f>SUM(F69:F80)</f>
        <v>245</v>
      </c>
      <c r="G81" s="36">
        <f>SUM(G69:G80)</f>
        <v>1225</v>
      </c>
      <c r="H81" s="37"/>
      <c r="I81" s="37"/>
      <c r="J81" s="37"/>
      <c r="K81" s="37"/>
      <c r="L81" s="37"/>
      <c r="M81" s="38">
        <f ca="1">IFERROR(SUM(M69:M80),"")</f>
        <v>0.12708333333333344</v>
      </c>
      <c r="N81" s="36" t="s">
        <v>236</v>
      </c>
      <c r="O81" s="39">
        <v>1547910</v>
      </c>
    </row>
    <row r="82" spans="1:15" ht="18" customHeight="1">
      <c r="A82" s="107" t="s">
        <v>239</v>
      </c>
      <c r="B82" s="108"/>
      <c r="C82" s="108"/>
      <c r="D82" s="108"/>
      <c r="E82" s="109">
        <f>E68+E81</f>
        <v>0</v>
      </c>
      <c r="F82" s="40">
        <f>F68+F81</f>
        <v>620</v>
      </c>
      <c r="G82" s="40">
        <f>G68+G81</f>
        <v>3100</v>
      </c>
      <c r="H82" s="41"/>
      <c r="I82" s="41"/>
      <c r="J82" s="41"/>
      <c r="K82" s="41"/>
      <c r="L82" s="41"/>
      <c r="M82" s="42">
        <f ca="1">IFERROR(M68+M81,"")</f>
        <v>0.15972222222222243</v>
      </c>
      <c r="N82" s="40" t="s">
        <v>240</v>
      </c>
      <c r="O82" s="43">
        <f>IFERROR(O68+O81,"")</f>
        <v>3650860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234</v>
      </c>
      <c r="F83" s="27">
        <v>35</v>
      </c>
      <c r="G83" s="28">
        <f t="shared" ref="G83:G94" si="18">IF(F83="","",IF(E83="PC 17",F83*4.2,IF(E83="PC 19",F83*5,IF(E83="CB",F83*35,""))))</f>
        <v>175</v>
      </c>
      <c r="H83" s="33" t="s">
        <v>16</v>
      </c>
      <c r="I83" s="33" t="s">
        <v>23</v>
      </c>
      <c r="J83" s="33" t="s">
        <v>58</v>
      </c>
      <c r="K83" s="29">
        <v>0.4236111111111111</v>
      </c>
      <c r="L83" s="29">
        <v>0.45069444444444445</v>
      </c>
      <c r="M83" s="35">
        <f t="shared" ref="M83:M94" ca="1" si="19">IFERROR(IF(K83="","",IF(L83="",MOD(NOW()-K83,1),IF(L83&gt;=K83,L83-K83,L83+1-K83))),"")</f>
        <v>2.7083333333333348E-2</v>
      </c>
      <c r="N83" s="27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234</v>
      </c>
      <c r="F84" s="27">
        <v>30</v>
      </c>
      <c r="G84" s="34">
        <f t="shared" si="18"/>
        <v>150</v>
      </c>
      <c r="H84" s="26" t="s">
        <v>20</v>
      </c>
      <c r="I84" s="26" t="s">
        <v>23</v>
      </c>
      <c r="J84" s="26" t="s">
        <v>134</v>
      </c>
      <c r="K84" s="29">
        <v>0.61875000000000002</v>
      </c>
      <c r="L84" s="29">
        <v>0.66249999999999998</v>
      </c>
      <c r="M84" s="30">
        <f t="shared" ca="1" si="19"/>
        <v>4.3749999999999956E-2</v>
      </c>
      <c r="N84" s="27"/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234</v>
      </c>
      <c r="F85" s="27">
        <v>35</v>
      </c>
      <c r="G85" s="28">
        <f t="shared" si="18"/>
        <v>175</v>
      </c>
      <c r="H85" s="33" t="s">
        <v>20</v>
      </c>
      <c r="I85" s="33" t="s">
        <v>23</v>
      </c>
      <c r="J85" s="33" t="s">
        <v>145</v>
      </c>
      <c r="K85" s="29">
        <v>0.66666666666666663</v>
      </c>
      <c r="L85" s="29">
        <v>0.70347222222222228</v>
      </c>
      <c r="M85" s="35">
        <f t="shared" ca="1" si="19"/>
        <v>3.6805555555555647E-2</v>
      </c>
      <c r="N85" s="27" t="s">
        <v>244</v>
      </c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234</v>
      </c>
      <c r="F86" s="27">
        <v>15</v>
      </c>
      <c r="G86" s="34">
        <f t="shared" si="18"/>
        <v>75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234</v>
      </c>
      <c r="F87" s="27">
        <v>34</v>
      </c>
      <c r="G87" s="28">
        <f t="shared" si="18"/>
        <v>170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234</v>
      </c>
      <c r="F88" s="27">
        <v>31</v>
      </c>
      <c r="G88" s="34">
        <f t="shared" si="18"/>
        <v>155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234</v>
      </c>
      <c r="F89" s="27">
        <v>40</v>
      </c>
      <c r="G89" s="28">
        <f t="shared" si="18"/>
        <v>200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234</v>
      </c>
      <c r="F90" s="27">
        <v>36</v>
      </c>
      <c r="G90" s="34">
        <f t="shared" si="18"/>
        <v>180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234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234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234</v>
      </c>
      <c r="F93" s="27">
        <v>38</v>
      </c>
      <c r="G93" s="28">
        <f t="shared" si="18"/>
        <v>190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234</v>
      </c>
      <c r="F94" s="27">
        <v>15</v>
      </c>
      <c r="G94" s="34">
        <f t="shared" si="18"/>
        <v>75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4" t="s">
        <v>235</v>
      </c>
      <c r="B95" s="105"/>
      <c r="C95" s="105"/>
      <c r="D95" s="105"/>
      <c r="E95" s="106">
        <f>SUM(E83:E94)</f>
        <v>0</v>
      </c>
      <c r="F95" s="36">
        <f>SUM(F83:F94)</f>
        <v>309</v>
      </c>
      <c r="G95" s="36">
        <f>SUM(G83:G94)</f>
        <v>1545</v>
      </c>
      <c r="H95" s="37"/>
      <c r="I95" s="37"/>
      <c r="J95" s="37"/>
      <c r="K95" s="37"/>
      <c r="L95" s="37"/>
      <c r="M95" s="38">
        <f ca="1">IFERROR(SUM(M83:M94),"")</f>
        <v>0.10763888888888895</v>
      </c>
      <c r="N95" s="36" t="s">
        <v>236</v>
      </c>
      <c r="O95" s="39">
        <v>2050000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234</v>
      </c>
      <c r="F96" s="27">
        <v>36</v>
      </c>
      <c r="G96" s="34">
        <f t="shared" ref="G96:G107" si="21">IF(F96="","",IF(E96="PC 17",F96*4.2,IF(E96="PC 19",F96*5,IF(E96="CB",F96*35,""))))</f>
        <v>180</v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234</v>
      </c>
      <c r="F97" s="27">
        <v>42</v>
      </c>
      <c r="G97" s="28">
        <f t="shared" si="21"/>
        <v>210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234</v>
      </c>
      <c r="F98" s="27">
        <v>26</v>
      </c>
      <c r="G98" s="34">
        <f t="shared" si="21"/>
        <v>130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234</v>
      </c>
      <c r="F99" s="27">
        <v>40</v>
      </c>
      <c r="G99" s="28">
        <f t="shared" si="21"/>
        <v>200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234</v>
      </c>
      <c r="F100" s="27">
        <v>53</v>
      </c>
      <c r="G100" s="34">
        <f t="shared" si="21"/>
        <v>265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234</v>
      </c>
      <c r="F101" s="27">
        <v>32</v>
      </c>
      <c r="G101" s="28">
        <f t="shared" si="21"/>
        <v>160</v>
      </c>
      <c r="H101" s="33"/>
      <c r="I101" s="33"/>
      <c r="J101" s="33"/>
      <c r="K101" s="29"/>
      <c r="L101" s="29"/>
      <c r="M101" s="35" t="str">
        <f t="shared" ca="1" si="22"/>
        <v/>
      </c>
      <c r="N101" s="27" t="s">
        <v>245</v>
      </c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234</v>
      </c>
      <c r="F102" s="27">
        <v>37</v>
      </c>
      <c r="G102" s="34">
        <f t="shared" si="21"/>
        <v>185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234</v>
      </c>
      <c r="F103" s="27">
        <v>50</v>
      </c>
      <c r="G103" s="28">
        <f t="shared" si="21"/>
        <v>250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234</v>
      </c>
      <c r="F104" s="27">
        <v>43</v>
      </c>
      <c r="G104" s="34">
        <f t="shared" si="21"/>
        <v>215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234</v>
      </c>
      <c r="F105" s="27">
        <v>37</v>
      </c>
      <c r="G105" s="28">
        <f t="shared" si="21"/>
        <v>185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234</v>
      </c>
      <c r="F106" s="27">
        <v>40</v>
      </c>
      <c r="G106" s="34">
        <f t="shared" si="21"/>
        <v>200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234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4" t="s">
        <v>238</v>
      </c>
      <c r="B108" s="105"/>
      <c r="C108" s="105"/>
      <c r="D108" s="105"/>
      <c r="E108" s="106">
        <f>SUM(E96:E107)</f>
        <v>0</v>
      </c>
      <c r="F108" s="36">
        <f>SUM(F96:F107)</f>
        <v>436</v>
      </c>
      <c r="G108" s="36">
        <f>SUM(G96:G107)</f>
        <v>2180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236</v>
      </c>
      <c r="O108" s="39">
        <v>3156240</v>
      </c>
    </row>
    <row r="109" spans="1:15" ht="18" customHeight="1">
      <c r="A109" s="107" t="s">
        <v>239</v>
      </c>
      <c r="B109" s="108"/>
      <c r="C109" s="108"/>
      <c r="D109" s="108"/>
      <c r="E109" s="109">
        <f>E95+E108</f>
        <v>0</v>
      </c>
      <c r="F109" s="40">
        <f>F95+F108</f>
        <v>745</v>
      </c>
      <c r="G109" s="40">
        <f>G95+G108</f>
        <v>3725</v>
      </c>
      <c r="H109" s="41"/>
      <c r="I109" s="41"/>
      <c r="J109" s="41"/>
      <c r="K109" s="41"/>
      <c r="L109" s="41"/>
      <c r="M109" s="42">
        <f ca="1">IFERROR(M95+M108,"")</f>
        <v>0.10763888888888895</v>
      </c>
      <c r="N109" s="40" t="s">
        <v>240</v>
      </c>
      <c r="O109" s="43">
        <f>IFERROR(O95+O108,"")</f>
        <v>5206240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234</v>
      </c>
      <c r="F110" s="27">
        <v>25</v>
      </c>
      <c r="G110" s="28">
        <f t="shared" ref="G110:G121" si="24">IF(F110="","",IF(E110="PC 17",F110*4.2,IF(E110="PC 19",F110*5,IF(E110="CB",F110*35,""))))</f>
        <v>125</v>
      </c>
      <c r="H110" s="26" t="s">
        <v>18</v>
      </c>
      <c r="I110" s="26" t="s">
        <v>23</v>
      </c>
      <c r="J110" s="26" t="s">
        <v>34</v>
      </c>
      <c r="K110" s="29">
        <v>0.44166666666666665</v>
      </c>
      <c r="L110" s="29">
        <v>0.76249999999999996</v>
      </c>
      <c r="M110" s="30">
        <f t="shared" ref="M110:M121" ca="1" si="25">IFERROR(IF(K110="","",IF(L110="",MOD(NOW()-K110,1),IF(L110&gt;=K110,L110-K110,L110+1-K110))),"")</f>
        <v>0.3208333333333333</v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234</v>
      </c>
      <c r="F111" s="27">
        <v>45</v>
      </c>
      <c r="G111" s="34">
        <f t="shared" si="24"/>
        <v>225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234</v>
      </c>
      <c r="F112" s="27">
        <v>25</v>
      </c>
      <c r="G112" s="28">
        <f t="shared" si="24"/>
        <v>125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234</v>
      </c>
      <c r="F113" s="27">
        <v>15</v>
      </c>
      <c r="G113" s="34">
        <f t="shared" si="24"/>
        <v>75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234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234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234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234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234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234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234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234</v>
      </c>
      <c r="F121" s="27">
        <v>12</v>
      </c>
      <c r="G121" s="34">
        <f t="shared" si="24"/>
        <v>60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4" t="s">
        <v>235</v>
      </c>
      <c r="B122" s="105"/>
      <c r="C122" s="105"/>
      <c r="D122" s="105"/>
      <c r="E122" s="106">
        <f>SUM(E110:E121)</f>
        <v>0</v>
      </c>
      <c r="F122" s="36">
        <f>SUM(F110:F121)</f>
        <v>122</v>
      </c>
      <c r="G122" s="36">
        <f>SUM(G110:G121)</f>
        <v>610</v>
      </c>
      <c r="H122" s="37"/>
      <c r="I122" s="37"/>
      <c r="J122" s="37"/>
      <c r="K122" s="37"/>
      <c r="L122" s="37"/>
      <c r="M122" s="38">
        <f ca="1">IFERROR(SUM(M110:M121),"")</f>
        <v>0.3208333333333333</v>
      </c>
      <c r="N122" s="36" t="s">
        <v>236</v>
      </c>
      <c r="O122" s="39">
        <v>846660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234</v>
      </c>
      <c r="F123" s="27">
        <v>40</v>
      </c>
      <c r="G123" s="34">
        <f t="shared" ref="G123:G134" si="27">IF(F123="","",IF(E123="PC 17",F123*4.2,IF(E123="PC 19",F123*5,IF(E123="CB",F123*35,""))))</f>
        <v>200</v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234</v>
      </c>
      <c r="F124" s="27">
        <v>30</v>
      </c>
      <c r="G124" s="28">
        <f t="shared" si="27"/>
        <v>150</v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234</v>
      </c>
      <c r="F125" s="27">
        <v>45</v>
      </c>
      <c r="G125" s="34">
        <f t="shared" si="27"/>
        <v>225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234</v>
      </c>
      <c r="F126" s="27">
        <v>31</v>
      </c>
      <c r="G126" s="28">
        <f t="shared" si="27"/>
        <v>155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234</v>
      </c>
      <c r="F127" s="27">
        <v>45</v>
      </c>
      <c r="G127" s="34">
        <f t="shared" si="27"/>
        <v>225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234</v>
      </c>
      <c r="F128" s="27">
        <v>35</v>
      </c>
      <c r="G128" s="28">
        <f t="shared" si="27"/>
        <v>175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234</v>
      </c>
      <c r="F129" s="27">
        <v>39</v>
      </c>
      <c r="G129" s="34">
        <f t="shared" si="27"/>
        <v>195</v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234</v>
      </c>
      <c r="F130" s="27">
        <v>32</v>
      </c>
      <c r="G130" s="28">
        <f t="shared" si="27"/>
        <v>160</v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234</v>
      </c>
      <c r="F131" s="27">
        <v>34</v>
      </c>
      <c r="G131" s="34">
        <f t="shared" si="27"/>
        <v>170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234</v>
      </c>
      <c r="F132" s="27">
        <v>35</v>
      </c>
      <c r="G132" s="28">
        <f t="shared" si="27"/>
        <v>175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30</v>
      </c>
      <c r="E133" s="62" t="s">
        <v>234</v>
      </c>
      <c r="F133" s="27">
        <v>71</v>
      </c>
      <c r="G133" s="34">
        <f t="shared" si="27"/>
        <v>355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30</v>
      </c>
      <c r="E134" s="62" t="s">
        <v>234</v>
      </c>
      <c r="F134" s="27">
        <v>0</v>
      </c>
      <c r="G134" s="28">
        <f t="shared" si="27"/>
        <v>0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4" t="s">
        <v>238</v>
      </c>
      <c r="B135" s="105"/>
      <c r="C135" s="105"/>
      <c r="D135" s="105"/>
      <c r="E135" s="106">
        <f>SUM(E123:E134)</f>
        <v>0</v>
      </c>
      <c r="F135" s="36">
        <f>SUM(F123:F134)</f>
        <v>437</v>
      </c>
      <c r="G135" s="36">
        <f>SUM(G123:G134)</f>
        <v>2185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236</v>
      </c>
      <c r="O135" s="39">
        <v>2875180</v>
      </c>
    </row>
    <row r="136" spans="1:15" ht="18" customHeight="1">
      <c r="A136" s="107" t="s">
        <v>239</v>
      </c>
      <c r="B136" s="108"/>
      <c r="C136" s="108"/>
      <c r="D136" s="108"/>
      <c r="E136" s="109">
        <f>E122+E135</f>
        <v>0</v>
      </c>
      <c r="F136" s="40">
        <f>F122+F135</f>
        <v>559</v>
      </c>
      <c r="G136" s="40">
        <f>G122+G135</f>
        <v>2795</v>
      </c>
      <c r="H136" s="41"/>
      <c r="I136" s="41"/>
      <c r="J136" s="41"/>
      <c r="K136" s="41"/>
      <c r="L136" s="41"/>
      <c r="M136" s="42">
        <f ca="1">IFERROR(M122+M135,"")</f>
        <v>0.3208333333333333</v>
      </c>
      <c r="N136" s="40" t="s">
        <v>240</v>
      </c>
      <c r="O136" s="43">
        <f>IFERROR(O122+O135,"")</f>
        <v>3721840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30</v>
      </c>
      <c r="E137" s="62" t="s">
        <v>234</v>
      </c>
      <c r="F137" s="27">
        <v>15</v>
      </c>
      <c r="G137" s="34">
        <f t="shared" ref="G137:G148" si="30">IF(F137="","",IF(E137="PC 17",F137*4.2,IF(E137="PC 19",F137*5,IF(E137="CB",F137*35,""))))</f>
        <v>75</v>
      </c>
      <c r="H137" s="33" t="s">
        <v>17</v>
      </c>
      <c r="I137" s="33" t="s">
        <v>23</v>
      </c>
      <c r="J137" s="33" t="s">
        <v>25</v>
      </c>
      <c r="K137" s="29">
        <v>0.31944444444444442</v>
      </c>
      <c r="L137" s="29">
        <v>0.32847222222222222</v>
      </c>
      <c r="M137" s="35">
        <f t="shared" ref="M137:M148" ca="1" si="31">IFERROR(IF(K137="","",IF(L137="",MOD(NOW()-K137,1),IF(L137&gt;=K137,L137-K137,L137+1-K137))),"")</f>
        <v>9.0277777777778012E-3</v>
      </c>
      <c r="N137" s="27" t="s">
        <v>246</v>
      </c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30</v>
      </c>
      <c r="E138" s="62" t="s">
        <v>234</v>
      </c>
      <c r="F138" s="27">
        <v>35</v>
      </c>
      <c r="G138" s="28">
        <f t="shared" si="30"/>
        <v>175</v>
      </c>
      <c r="H138" s="26" t="s">
        <v>19</v>
      </c>
      <c r="I138" s="26" t="s">
        <v>23</v>
      </c>
      <c r="J138" s="26" t="s">
        <v>107</v>
      </c>
      <c r="K138" s="29">
        <v>0.53472222222222221</v>
      </c>
      <c r="L138" s="29">
        <v>0.55347222222222225</v>
      </c>
      <c r="M138" s="30">
        <f t="shared" ca="1" si="31"/>
        <v>1.8750000000000044E-2</v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234</v>
      </c>
      <c r="F139" s="27">
        <v>25</v>
      </c>
      <c r="G139" s="34">
        <f t="shared" si="30"/>
        <v>125</v>
      </c>
      <c r="H139" s="33" t="s">
        <v>20</v>
      </c>
      <c r="I139" s="33" t="s">
        <v>23</v>
      </c>
      <c r="J139" s="33" t="s">
        <v>36</v>
      </c>
      <c r="K139" s="29">
        <v>0.7</v>
      </c>
      <c r="L139" s="29">
        <v>0.72916666666666663</v>
      </c>
      <c r="M139" s="35">
        <f t="shared" ca="1" si="31"/>
        <v>2.9166666666666674E-2</v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234</v>
      </c>
      <c r="F140" s="27">
        <v>30</v>
      </c>
      <c r="G140" s="28">
        <f t="shared" si="30"/>
        <v>150</v>
      </c>
      <c r="H140" s="26" t="s">
        <v>16</v>
      </c>
      <c r="I140" s="26" t="s">
        <v>23</v>
      </c>
      <c r="J140" s="26" t="s">
        <v>116</v>
      </c>
      <c r="K140" s="29">
        <v>0.75</v>
      </c>
      <c r="L140" s="29">
        <v>0.79166666666666663</v>
      </c>
      <c r="M140" s="30">
        <f t="shared" ca="1" si="31"/>
        <v>4.166666666666663E-2</v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234</v>
      </c>
      <c r="F141" s="27">
        <v>15</v>
      </c>
      <c r="G141" s="34">
        <f t="shared" si="30"/>
        <v>75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234</v>
      </c>
      <c r="F142" s="27">
        <v>30</v>
      </c>
      <c r="G142" s="28">
        <f t="shared" si="30"/>
        <v>150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234</v>
      </c>
      <c r="F143" s="27">
        <v>34</v>
      </c>
      <c r="G143" s="34">
        <f t="shared" si="30"/>
        <v>170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234</v>
      </c>
      <c r="F144" s="27">
        <v>35</v>
      </c>
      <c r="G144" s="28">
        <f t="shared" si="30"/>
        <v>175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234</v>
      </c>
      <c r="F145" s="27">
        <v>45</v>
      </c>
      <c r="G145" s="34">
        <f t="shared" si="30"/>
        <v>225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234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234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234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4" t="s">
        <v>235</v>
      </c>
      <c r="B149" s="105"/>
      <c r="C149" s="105"/>
      <c r="D149" s="105"/>
      <c r="E149" s="106">
        <f>SUM(E137:E148)</f>
        <v>0</v>
      </c>
      <c r="F149" s="36">
        <f>SUM(F137:F148)</f>
        <v>289</v>
      </c>
      <c r="G149" s="36">
        <f>SUM(G137:G148)</f>
        <v>1445</v>
      </c>
      <c r="H149" s="37"/>
      <c r="I149" s="37"/>
      <c r="J149" s="37"/>
      <c r="K149" s="37"/>
      <c r="L149" s="37"/>
      <c r="M149" s="38">
        <f ca="1">IFERROR(SUM(M137:M148),"")</f>
        <v>9.8611111111111149E-2</v>
      </c>
      <c r="N149" s="36" t="s">
        <v>236</v>
      </c>
      <c r="O149" s="100">
        <v>1650350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234</v>
      </c>
      <c r="F150" s="27">
        <v>17</v>
      </c>
      <c r="G150" s="28">
        <f t="shared" ref="G150:G161" si="33">IF(F150="","",IF(E150="PC 17",F150*4.2,IF(E150="PC 19",F150*5,IF(E150="CB",F150*35,""))))</f>
        <v>85</v>
      </c>
      <c r="H150" s="26" t="s">
        <v>20</v>
      </c>
      <c r="I150" s="26" t="s">
        <v>23</v>
      </c>
      <c r="J150" s="26" t="s">
        <v>134</v>
      </c>
      <c r="K150" s="29">
        <v>0.81736111111111109</v>
      </c>
      <c r="L150" s="29">
        <v>0.85069444444444442</v>
      </c>
      <c r="M150" s="30">
        <f t="shared" ref="M150:M161" ca="1" si="34">IFERROR(IF(K150="","",IF(L150="",MOD(NOW()-K150,1),IF(L150&gt;=K150,L150-K150,L150+1-K150))),"")</f>
        <v>3.3333333333333326E-2</v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234</v>
      </c>
      <c r="F151" s="27">
        <v>0</v>
      </c>
      <c r="G151" s="34">
        <f t="shared" si="33"/>
        <v>0</v>
      </c>
      <c r="H151" s="33" t="s">
        <v>17</v>
      </c>
      <c r="I151" s="33" t="s">
        <v>23</v>
      </c>
      <c r="J151" s="33" t="s">
        <v>87</v>
      </c>
      <c r="K151" s="29">
        <v>0.87152777777777779</v>
      </c>
      <c r="L151" s="29">
        <v>0.90277777777777779</v>
      </c>
      <c r="M151" s="35">
        <f t="shared" ca="1" si="34"/>
        <v>3.125E-2</v>
      </c>
      <c r="N151" s="27" t="s">
        <v>247</v>
      </c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234</v>
      </c>
      <c r="F152" s="27">
        <v>14</v>
      </c>
      <c r="G152" s="28">
        <f t="shared" si="33"/>
        <v>70</v>
      </c>
      <c r="H152" s="26" t="s">
        <v>20</v>
      </c>
      <c r="I152" s="26" t="s">
        <v>23</v>
      </c>
      <c r="J152" s="26" t="s">
        <v>134</v>
      </c>
      <c r="K152" s="29">
        <v>0.93263888888888891</v>
      </c>
      <c r="L152" s="29">
        <v>0.95833333333333337</v>
      </c>
      <c r="M152" s="30">
        <f t="shared" ca="1" si="34"/>
        <v>2.5694444444444464E-2</v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234</v>
      </c>
      <c r="F153" s="27">
        <v>0</v>
      </c>
      <c r="G153" s="34">
        <f t="shared" si="33"/>
        <v>0</v>
      </c>
      <c r="H153" s="33" t="s">
        <v>19</v>
      </c>
      <c r="I153" s="33" t="s">
        <v>23</v>
      </c>
      <c r="J153" s="33" t="s">
        <v>67</v>
      </c>
      <c r="K153" s="29">
        <v>0.99513888888888891</v>
      </c>
      <c r="L153" s="29">
        <v>4.1666666666666664E-2</v>
      </c>
      <c r="M153" s="35">
        <f t="shared" ca="1" si="34"/>
        <v>4.6527777777777835E-2</v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234</v>
      </c>
      <c r="F154" s="27">
        <v>10</v>
      </c>
      <c r="G154" s="28">
        <f t="shared" si="33"/>
        <v>50</v>
      </c>
      <c r="H154" s="26" t="s">
        <v>20</v>
      </c>
      <c r="I154" s="26" t="s">
        <v>23</v>
      </c>
      <c r="J154" s="26" t="s">
        <v>145</v>
      </c>
      <c r="K154" s="29">
        <v>0.21180555555555555</v>
      </c>
      <c r="L154" s="29">
        <v>0.28263888888888888</v>
      </c>
      <c r="M154" s="30">
        <f t="shared" ca="1" si="34"/>
        <v>7.0833333333333331E-2</v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234</v>
      </c>
      <c r="F155" s="27">
        <v>0</v>
      </c>
      <c r="G155" s="34">
        <f t="shared" si="33"/>
        <v>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234</v>
      </c>
      <c r="F156" s="27">
        <v>20</v>
      </c>
      <c r="G156" s="28">
        <f t="shared" si="33"/>
        <v>100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234</v>
      </c>
      <c r="F157" s="27">
        <v>35</v>
      </c>
      <c r="G157" s="34">
        <f t="shared" si="33"/>
        <v>175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234</v>
      </c>
      <c r="F158" s="27">
        <v>29</v>
      </c>
      <c r="G158" s="28">
        <f t="shared" si="33"/>
        <v>145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234</v>
      </c>
      <c r="F159" s="27">
        <v>43</v>
      </c>
      <c r="G159" s="34">
        <f t="shared" si="33"/>
        <v>215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234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234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4" t="s">
        <v>238</v>
      </c>
      <c r="B162" s="105"/>
      <c r="C162" s="105"/>
      <c r="D162" s="105"/>
      <c r="E162" s="106">
        <f>SUM(E150:E161)</f>
        <v>0</v>
      </c>
      <c r="F162" s="36">
        <f>SUM(F150:F161)</f>
        <v>168</v>
      </c>
      <c r="G162" s="36">
        <f>SUM(G150:G161)</f>
        <v>840</v>
      </c>
      <c r="H162" s="37"/>
      <c r="I162" s="37"/>
      <c r="J162" s="37"/>
      <c r="K162" s="37"/>
      <c r="L162" s="37"/>
      <c r="M162" s="38">
        <f ca="1">IFERROR(SUM(M150:M161),"")</f>
        <v>0.20763888888888896</v>
      </c>
      <c r="N162" s="36" t="s">
        <v>236</v>
      </c>
      <c r="O162" s="44">
        <v>842000</v>
      </c>
    </row>
    <row r="163" spans="1:15" ht="18" customHeight="1">
      <c r="A163" s="107" t="s">
        <v>239</v>
      </c>
      <c r="B163" s="108"/>
      <c r="C163" s="108"/>
      <c r="D163" s="108"/>
      <c r="E163" s="109">
        <f>E149+E162</f>
        <v>0</v>
      </c>
      <c r="F163" s="40">
        <f>F149+F162</f>
        <v>457</v>
      </c>
      <c r="G163" s="40">
        <f>G149+G162</f>
        <v>2285</v>
      </c>
      <c r="H163" s="41"/>
      <c r="I163" s="41"/>
      <c r="J163" s="41"/>
      <c r="K163" s="41"/>
      <c r="L163" s="41"/>
      <c r="M163" s="42">
        <f ca="1">IFERROR(M149+M162,"")</f>
        <v>0.30625000000000013</v>
      </c>
      <c r="N163" s="40" t="s">
        <v>240</v>
      </c>
      <c r="O163" s="43">
        <f>IFERROR(O149+O162,"")</f>
        <v>2492350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234</v>
      </c>
      <c r="F164" s="27">
        <v>49</v>
      </c>
      <c r="G164" s="28">
        <f t="shared" ref="G164:G175" si="36">IF(F164="","",IF(E164="PC 17",F164*4.2,IF(E164="PC 19",F164*5,IF(E164="CB",F164*35,""))))</f>
        <v>245</v>
      </c>
      <c r="H164" s="26" t="s">
        <v>18</v>
      </c>
      <c r="I164" s="26" t="s">
        <v>23</v>
      </c>
      <c r="J164" s="26" t="s">
        <v>223</v>
      </c>
      <c r="K164" s="29">
        <v>0.375</v>
      </c>
      <c r="L164" s="29">
        <v>0.42083333333333334</v>
      </c>
      <c r="M164" s="30">
        <f t="shared" ref="M164:M175" ca="1" si="37">IFERROR(IF(K164="","",IF(L164="",MOD(NOW()-K164,1),IF(L164&gt;=K164,L164-K164,L164+1-K164))),"")</f>
        <v>4.5833333333333337E-2</v>
      </c>
      <c r="N164" s="27" t="s">
        <v>248</v>
      </c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59" t="s">
        <v>234</v>
      </c>
      <c r="F165" s="27">
        <v>35</v>
      </c>
      <c r="G165" s="34">
        <f t="shared" si="36"/>
        <v>175</v>
      </c>
      <c r="H165" s="33" t="s">
        <v>16</v>
      </c>
      <c r="I165" s="33" t="s">
        <v>23</v>
      </c>
      <c r="J165" s="33" t="s">
        <v>116</v>
      </c>
      <c r="K165" s="29">
        <v>0.75694444444444442</v>
      </c>
      <c r="L165" s="29">
        <v>0.79166666666666663</v>
      </c>
      <c r="M165" s="35">
        <f t="shared" ca="1" si="37"/>
        <v>3.472222222222221E-2</v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59" t="s">
        <v>234</v>
      </c>
      <c r="F166" s="27">
        <v>15</v>
      </c>
      <c r="G166" s="28">
        <f t="shared" si="36"/>
        <v>75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59" t="s">
        <v>234</v>
      </c>
      <c r="F167" s="27">
        <v>25</v>
      </c>
      <c r="G167" s="34">
        <f t="shared" si="36"/>
        <v>125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59" t="s">
        <v>234</v>
      </c>
      <c r="F168" s="27">
        <v>40</v>
      </c>
      <c r="G168" s="28">
        <f t="shared" si="36"/>
        <v>200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59" t="s">
        <v>234</v>
      </c>
      <c r="F169" s="27">
        <v>25</v>
      </c>
      <c r="G169" s="34">
        <f t="shared" si="36"/>
        <v>125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59" t="s">
        <v>234</v>
      </c>
      <c r="F170" s="27">
        <v>60</v>
      </c>
      <c r="G170" s="28">
        <f t="shared" si="36"/>
        <v>300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59" t="s">
        <v>234</v>
      </c>
      <c r="F171" s="27">
        <v>40</v>
      </c>
      <c r="G171" s="34">
        <f t="shared" si="36"/>
        <v>200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59" t="s">
        <v>234</v>
      </c>
      <c r="F172" s="27">
        <v>40</v>
      </c>
      <c r="G172" s="28">
        <f t="shared" si="36"/>
        <v>200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59" t="s">
        <v>234</v>
      </c>
      <c r="F173" s="27">
        <v>35</v>
      </c>
      <c r="G173" s="34">
        <f t="shared" si="36"/>
        <v>175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59" t="s">
        <v>234</v>
      </c>
      <c r="F174" s="27">
        <v>25</v>
      </c>
      <c r="G174" s="28">
        <f t="shared" si="36"/>
        <v>125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59" t="s">
        <v>234</v>
      </c>
      <c r="F175" s="27">
        <v>13</v>
      </c>
      <c r="G175" s="34">
        <f t="shared" si="36"/>
        <v>65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4" t="s">
        <v>235</v>
      </c>
      <c r="B176" s="105"/>
      <c r="C176" s="105"/>
      <c r="D176" s="105"/>
      <c r="E176" s="106">
        <f>SUM(E164:E175)</f>
        <v>0</v>
      </c>
      <c r="F176" s="36">
        <f>SUM(F164:F175)</f>
        <v>402</v>
      </c>
      <c r="G176" s="36">
        <f>SUM(G164:G175)</f>
        <v>2010</v>
      </c>
      <c r="H176" s="37"/>
      <c r="I176" s="37"/>
      <c r="J176" s="37"/>
      <c r="K176" s="37"/>
      <c r="L176" s="37"/>
      <c r="M176" s="38">
        <f ca="1">IFERROR(SUM(M164:M175),"")</f>
        <v>8.0555555555555547E-2</v>
      </c>
      <c r="N176" s="36" t="s">
        <v>236</v>
      </c>
      <c r="O176" s="39">
        <v>2934820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234</v>
      </c>
      <c r="F177" s="27">
        <v>57</v>
      </c>
      <c r="G177" s="34">
        <f t="shared" ref="G177:G188" si="39">IF(F177="","",IF(E177="PC 17",F177*4.2,IF(E177="PC 19",F177*5,IF(E177="CB",F177*35,""))))</f>
        <v>285</v>
      </c>
      <c r="H177" s="33" t="s">
        <v>17</v>
      </c>
      <c r="I177" s="33" t="s">
        <v>23</v>
      </c>
      <c r="J177" s="33" t="s">
        <v>87</v>
      </c>
      <c r="K177" s="29">
        <v>2.2916666666666665E-2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4.6527777777777779E-2</v>
      </c>
      <c r="N177" s="27" t="s">
        <v>249</v>
      </c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62" t="s">
        <v>234</v>
      </c>
      <c r="F178" s="27">
        <v>33</v>
      </c>
      <c r="G178" s="28">
        <f t="shared" si="39"/>
        <v>165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234</v>
      </c>
      <c r="F179" s="27">
        <v>20</v>
      </c>
      <c r="G179" s="34">
        <f t="shared" si="39"/>
        <v>100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62" t="s">
        <v>234</v>
      </c>
      <c r="F180" s="27">
        <v>32</v>
      </c>
      <c r="G180" s="28">
        <f t="shared" si="39"/>
        <v>160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234</v>
      </c>
      <c r="F181" s="27">
        <v>40</v>
      </c>
      <c r="G181" s="34">
        <f t="shared" si="39"/>
        <v>200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62" t="s">
        <v>234</v>
      </c>
      <c r="F182" s="27">
        <v>18</v>
      </c>
      <c r="G182" s="28">
        <f t="shared" si="39"/>
        <v>90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234</v>
      </c>
      <c r="F183" s="27">
        <v>15</v>
      </c>
      <c r="G183" s="34">
        <f t="shared" si="39"/>
        <v>75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62" t="s">
        <v>234</v>
      </c>
      <c r="F184" s="27">
        <v>53</v>
      </c>
      <c r="G184" s="28">
        <f t="shared" si="39"/>
        <v>265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250</v>
      </c>
      <c r="F185" s="27">
        <v>47</v>
      </c>
      <c r="G185" s="34">
        <f t="shared" si="39"/>
        <v>197.4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62" t="s">
        <v>234</v>
      </c>
      <c r="F186" s="27">
        <v>29</v>
      </c>
      <c r="G186" s="28">
        <f t="shared" si="39"/>
        <v>145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234</v>
      </c>
      <c r="F187" s="27">
        <v>36</v>
      </c>
      <c r="G187" s="34">
        <f t="shared" si="39"/>
        <v>180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62" t="s">
        <v>234</v>
      </c>
      <c r="F188" s="27">
        <v>20</v>
      </c>
      <c r="G188" s="28">
        <f t="shared" si="39"/>
        <v>100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4" t="s">
        <v>238</v>
      </c>
      <c r="B189" s="105"/>
      <c r="C189" s="105"/>
      <c r="D189" s="105"/>
      <c r="E189" s="106">
        <f>SUM(E177:E188)</f>
        <v>0</v>
      </c>
      <c r="F189" s="36">
        <f>SUM(F177:F188)</f>
        <v>400</v>
      </c>
      <c r="G189" s="36">
        <f>SUM(G177:G188)</f>
        <v>1962.4</v>
      </c>
      <c r="H189" s="37"/>
      <c r="I189" s="37"/>
      <c r="J189" s="37"/>
      <c r="K189" s="37"/>
      <c r="L189" s="37"/>
      <c r="M189" s="38">
        <f ca="1">IFERROR(SUM(M177:M188),"")</f>
        <v>4.6527777777777779E-2</v>
      </c>
      <c r="N189" s="36" t="s">
        <v>236</v>
      </c>
      <c r="O189" s="39">
        <v>1901630</v>
      </c>
    </row>
    <row r="190" spans="1:15" ht="18" customHeight="1">
      <c r="A190" s="107" t="s">
        <v>239</v>
      </c>
      <c r="B190" s="108"/>
      <c r="C190" s="108"/>
      <c r="D190" s="108"/>
      <c r="E190" s="109">
        <f>E176+E189</f>
        <v>0</v>
      </c>
      <c r="F190" s="40">
        <f>F176+F189</f>
        <v>802</v>
      </c>
      <c r="G190" s="40">
        <f>G176+G189</f>
        <v>3972.4</v>
      </c>
      <c r="H190" s="41"/>
      <c r="I190" s="41"/>
      <c r="J190" s="41"/>
      <c r="K190" s="41"/>
      <c r="L190" s="41"/>
      <c r="M190" s="42">
        <f ca="1">IFERROR(M176+M189,"")</f>
        <v>0.12708333333333333</v>
      </c>
      <c r="N190" s="40" t="s">
        <v>240</v>
      </c>
      <c r="O190" s="43">
        <f>IFERROR(O176+O189,"")</f>
        <v>4836450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234</v>
      </c>
      <c r="F191" s="27">
        <v>35</v>
      </c>
      <c r="G191" s="34">
        <f t="shared" ref="G191:G202" si="42">IF(F191="","",IF(E191="PC 17",F191*4.2,IF(E191="PC 19",F191*5,IF(E191="CB",F191*35,""))))</f>
        <v>175</v>
      </c>
      <c r="H191" s="33" t="s">
        <v>20</v>
      </c>
      <c r="I191" s="33" t="s">
        <v>23</v>
      </c>
      <c r="J191" s="33" t="s">
        <v>36</v>
      </c>
      <c r="K191" s="29">
        <v>0.34930555555555554</v>
      </c>
      <c r="L191" s="29">
        <v>0.37569444444444444</v>
      </c>
      <c r="M191" s="35">
        <f t="shared" ref="M191:M202" ca="1" si="43">IFERROR(IF(K191="","",IF(L191="",MOD(NOW()-K191,1),IF(L191&gt;=K191,L191-K191,L191+1-K191))),"")</f>
        <v>2.6388888888888906E-2</v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234</v>
      </c>
      <c r="F192" s="27">
        <v>15</v>
      </c>
      <c r="G192" s="28">
        <f t="shared" si="42"/>
        <v>75</v>
      </c>
      <c r="H192" s="26" t="s">
        <v>20</v>
      </c>
      <c r="I192" s="26" t="s">
        <v>23</v>
      </c>
      <c r="J192" s="26" t="s">
        <v>36</v>
      </c>
      <c r="K192" s="29">
        <v>0.43333333333333335</v>
      </c>
      <c r="L192" s="29">
        <v>0.45833333333333331</v>
      </c>
      <c r="M192" s="30">
        <f t="shared" ca="1" si="43"/>
        <v>2.4999999999999967E-2</v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234</v>
      </c>
      <c r="F193" s="27">
        <v>20</v>
      </c>
      <c r="G193" s="34">
        <f t="shared" si="42"/>
        <v>100</v>
      </c>
      <c r="H193" s="33" t="s">
        <v>20</v>
      </c>
      <c r="I193" s="33" t="s">
        <v>23</v>
      </c>
      <c r="J193" s="33" t="s">
        <v>36</v>
      </c>
      <c r="K193" s="29">
        <v>0.60416666666666663</v>
      </c>
      <c r="L193" s="29">
        <v>0.68055555555555558</v>
      </c>
      <c r="M193" s="35">
        <f t="shared" ca="1" si="43"/>
        <v>7.6388888888888951E-2</v>
      </c>
      <c r="N193" s="27" t="s">
        <v>251</v>
      </c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234</v>
      </c>
      <c r="F194" s="27">
        <v>10</v>
      </c>
      <c r="G194" s="28">
        <f t="shared" si="42"/>
        <v>50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234</v>
      </c>
      <c r="F195" s="27">
        <v>0</v>
      </c>
      <c r="G195" s="34">
        <f t="shared" si="42"/>
        <v>0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234</v>
      </c>
      <c r="F196" s="27">
        <v>63</v>
      </c>
      <c r="G196" s="28">
        <f t="shared" si="42"/>
        <v>315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234</v>
      </c>
      <c r="F197" s="27">
        <v>53</v>
      </c>
      <c r="G197" s="34">
        <f t="shared" si="42"/>
        <v>265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234</v>
      </c>
      <c r="F198" s="27">
        <v>10</v>
      </c>
      <c r="G198" s="28">
        <f t="shared" si="42"/>
        <v>50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234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234</v>
      </c>
      <c r="F200" s="27">
        <v>10</v>
      </c>
      <c r="G200" s="28">
        <f t="shared" si="42"/>
        <v>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234</v>
      </c>
      <c r="F201" s="27">
        <v>20</v>
      </c>
      <c r="G201" s="34">
        <f t="shared" si="42"/>
        <v>100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234</v>
      </c>
      <c r="F202" s="27">
        <v>15</v>
      </c>
      <c r="G202" s="28">
        <f t="shared" si="42"/>
        <v>75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4" t="s">
        <v>235</v>
      </c>
      <c r="B203" s="105"/>
      <c r="C203" s="105"/>
      <c r="D203" s="105"/>
      <c r="E203" s="106">
        <f>SUM(E191:E202)</f>
        <v>0</v>
      </c>
      <c r="F203" s="36">
        <f>SUM(F191:F202)</f>
        <v>251</v>
      </c>
      <c r="G203" s="36">
        <f>SUM(G191:G202)</f>
        <v>1255</v>
      </c>
      <c r="H203" s="37"/>
      <c r="I203" s="37"/>
      <c r="J203" s="37"/>
      <c r="K203" s="37"/>
      <c r="L203" s="37"/>
      <c r="M203" s="38">
        <f ca="1">IFERROR(SUM(M191:M202),"")</f>
        <v>0.12777777777777782</v>
      </c>
      <c r="N203" s="36" t="s">
        <v>236</v>
      </c>
      <c r="O203" s="45">
        <v>1392300</v>
      </c>
    </row>
    <row r="204" spans="1:15" ht="15" customHeight="1">
      <c r="A204" s="68">
        <v>46242</v>
      </c>
      <c r="B204" s="25">
        <v>0.83333333333333304</v>
      </c>
      <c r="C204" s="26" t="s">
        <v>45</v>
      </c>
      <c r="D204" s="59" t="s">
        <v>30</v>
      </c>
      <c r="E204" s="59" t="s">
        <v>234</v>
      </c>
      <c r="F204" s="27">
        <v>37</v>
      </c>
      <c r="G204" s="28">
        <f t="shared" ref="G204:G215" si="45">IF(F204="","",IF(E204="PC 17",F204*4.2,IF(E204="PC 19",F204*5,IF(E204="CB",F204*35,""))))</f>
        <v>185</v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 t="s">
        <v>45</v>
      </c>
      <c r="D205" s="59" t="s">
        <v>30</v>
      </c>
      <c r="E205" s="59" t="s">
        <v>234</v>
      </c>
      <c r="F205" s="27">
        <v>21</v>
      </c>
      <c r="G205" s="34">
        <f t="shared" si="45"/>
        <v>105</v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 t="s">
        <v>45</v>
      </c>
      <c r="D206" s="59" t="s">
        <v>30</v>
      </c>
      <c r="E206" s="59" t="s">
        <v>234</v>
      </c>
      <c r="F206" s="27">
        <v>51</v>
      </c>
      <c r="G206" s="28">
        <f t="shared" si="45"/>
        <v>255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 t="s">
        <v>45</v>
      </c>
      <c r="D207" s="59" t="s">
        <v>30</v>
      </c>
      <c r="E207" s="59" t="s">
        <v>234</v>
      </c>
      <c r="F207" s="27">
        <v>15</v>
      </c>
      <c r="G207" s="34">
        <f t="shared" si="45"/>
        <v>75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 t="s">
        <v>45</v>
      </c>
      <c r="D208" s="59" t="s">
        <v>30</v>
      </c>
      <c r="E208" s="59" t="s">
        <v>234</v>
      </c>
      <c r="F208" s="27">
        <v>34</v>
      </c>
      <c r="G208" s="28">
        <f t="shared" si="45"/>
        <v>170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 t="s">
        <v>45</v>
      </c>
      <c r="D209" s="59" t="s">
        <v>30</v>
      </c>
      <c r="E209" s="59" t="s">
        <v>234</v>
      </c>
      <c r="F209" s="27">
        <v>31</v>
      </c>
      <c r="G209" s="34">
        <f t="shared" si="45"/>
        <v>155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 t="s">
        <v>45</v>
      </c>
      <c r="D210" s="59" t="s">
        <v>30</v>
      </c>
      <c r="E210" s="59" t="s">
        <v>234</v>
      </c>
      <c r="F210" s="27">
        <v>36</v>
      </c>
      <c r="G210" s="28">
        <f t="shared" si="45"/>
        <v>180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 t="s">
        <v>45</v>
      </c>
      <c r="D211" s="59" t="s">
        <v>30</v>
      </c>
      <c r="E211" s="59" t="s">
        <v>234</v>
      </c>
      <c r="F211" s="27">
        <v>30</v>
      </c>
      <c r="G211" s="34">
        <f t="shared" si="45"/>
        <v>150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 t="s">
        <v>45</v>
      </c>
      <c r="D212" s="59" t="s">
        <v>30</v>
      </c>
      <c r="E212" s="59" t="s">
        <v>234</v>
      </c>
      <c r="F212" s="27">
        <v>35</v>
      </c>
      <c r="G212" s="28">
        <f t="shared" si="45"/>
        <v>175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 t="s">
        <v>45</v>
      </c>
      <c r="D213" s="59" t="s">
        <v>30</v>
      </c>
      <c r="E213" s="59" t="s">
        <v>234</v>
      </c>
      <c r="F213" s="27">
        <v>45</v>
      </c>
      <c r="G213" s="34">
        <f t="shared" si="45"/>
        <v>225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 t="s">
        <v>45</v>
      </c>
      <c r="D214" s="59" t="s">
        <v>30</v>
      </c>
      <c r="E214" s="59" t="s">
        <v>234</v>
      </c>
      <c r="F214" s="27">
        <v>45</v>
      </c>
      <c r="G214" s="28">
        <f t="shared" si="45"/>
        <v>225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 t="s">
        <v>45</v>
      </c>
      <c r="D215" s="59" t="s">
        <v>30</v>
      </c>
      <c r="E215" s="59" t="s">
        <v>234</v>
      </c>
      <c r="F215" s="27">
        <v>5</v>
      </c>
      <c r="G215" s="34">
        <f t="shared" si="45"/>
        <v>25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4" t="s">
        <v>238</v>
      </c>
      <c r="B216" s="105"/>
      <c r="C216" s="105"/>
      <c r="D216" s="105"/>
      <c r="E216" s="106">
        <f>SUM(E204:E215)</f>
        <v>0</v>
      </c>
      <c r="F216" s="36">
        <f>SUM(F204:F215)</f>
        <v>385</v>
      </c>
      <c r="G216" s="36">
        <f>SUM(G204:G215)</f>
        <v>1925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236</v>
      </c>
      <c r="O216" s="45">
        <v>1852295</v>
      </c>
    </row>
    <row r="217" spans="1:15" ht="18" customHeight="1">
      <c r="A217" s="107" t="s">
        <v>239</v>
      </c>
      <c r="B217" s="108"/>
      <c r="C217" s="108"/>
      <c r="D217" s="108"/>
      <c r="E217" s="109">
        <f>E203+E216</f>
        <v>0</v>
      </c>
      <c r="F217" s="40">
        <f>F203+F216</f>
        <v>636</v>
      </c>
      <c r="G217" s="40">
        <f>G203+G216</f>
        <v>3180</v>
      </c>
      <c r="H217" s="41"/>
      <c r="I217" s="41"/>
      <c r="J217" s="41"/>
      <c r="K217" s="41"/>
      <c r="L217" s="41"/>
      <c r="M217" s="42">
        <f ca="1">IFERROR(M203+M216,"")</f>
        <v>0.12777777777777782</v>
      </c>
      <c r="N217" s="40" t="s">
        <v>240</v>
      </c>
      <c r="O217" s="48">
        <f>IFERROR(O203+O216,"")</f>
        <v>3244595</v>
      </c>
    </row>
    <row r="218" spans="1:15" ht="15" customHeight="1">
      <c r="A218" s="68">
        <v>46243</v>
      </c>
      <c r="B218" s="25">
        <v>0.33333333333333298</v>
      </c>
      <c r="C218" s="26" t="s">
        <v>29</v>
      </c>
      <c r="D218" s="59" t="s">
        <v>30</v>
      </c>
      <c r="E218" s="59" t="s">
        <v>234</v>
      </c>
      <c r="F218" s="27">
        <v>35</v>
      </c>
      <c r="G218" s="28">
        <f t="shared" ref="G218:G229" si="48">IF(F218="","",IF(E218="PC 17",F218*4.2,IF(E218="PC 19",F218*5,IF(E218="CB",F218*35,""))))</f>
        <v>175</v>
      </c>
      <c r="H218" s="26" t="s">
        <v>18</v>
      </c>
      <c r="I218" s="26" t="s">
        <v>23</v>
      </c>
      <c r="J218" s="26" t="s">
        <v>166</v>
      </c>
      <c r="K218" s="29">
        <v>0.42708333333333331</v>
      </c>
      <c r="L218" s="29">
        <v>0.4375</v>
      </c>
      <c r="M218" s="30">
        <f t="shared" ref="M218:M229" ca="1" si="49">IFERROR(IF(K218="","",IF(L218="",MOD(NOW()-K218,1),IF(L218&gt;=K218,L218-K218,L218+1-K218))),"")</f>
        <v>1.0416666666666685E-2</v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234</v>
      </c>
      <c r="F219" s="27">
        <v>45</v>
      </c>
      <c r="G219" s="34">
        <f t="shared" si="48"/>
        <v>225</v>
      </c>
      <c r="H219" s="33" t="s">
        <v>20</v>
      </c>
      <c r="I219" s="33" t="s">
        <v>23</v>
      </c>
      <c r="J219" s="33" t="s">
        <v>44</v>
      </c>
      <c r="K219" s="29">
        <v>0.61319444444444449</v>
      </c>
      <c r="L219" s="29">
        <v>0.63611111111111107</v>
      </c>
      <c r="M219" s="35">
        <f t="shared" ca="1" si="49"/>
        <v>2.2916666666666585E-2</v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234</v>
      </c>
      <c r="F220" s="27">
        <v>30</v>
      </c>
      <c r="G220" s="28">
        <f t="shared" si="48"/>
        <v>150</v>
      </c>
      <c r="H220" s="26" t="s">
        <v>20</v>
      </c>
      <c r="I220" s="26" t="s">
        <v>23</v>
      </c>
      <c r="J220" s="26" t="s">
        <v>202</v>
      </c>
      <c r="K220" s="29">
        <v>0.6479166666666667</v>
      </c>
      <c r="L220" s="29">
        <v>0.69374999999999998</v>
      </c>
      <c r="M220" s="30">
        <f t="shared" ca="1" si="49"/>
        <v>4.5833333333333282E-2</v>
      </c>
      <c r="N220" s="46" t="s">
        <v>252</v>
      </c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234</v>
      </c>
      <c r="F221" s="27">
        <v>25</v>
      </c>
      <c r="G221" s="34">
        <f t="shared" si="48"/>
        <v>125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234</v>
      </c>
      <c r="F222" s="27">
        <v>40</v>
      </c>
      <c r="G222" s="28">
        <f t="shared" si="48"/>
        <v>200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234</v>
      </c>
      <c r="F223" s="27">
        <v>31</v>
      </c>
      <c r="G223" s="34">
        <f t="shared" si="48"/>
        <v>155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234</v>
      </c>
      <c r="F224" s="27">
        <v>33</v>
      </c>
      <c r="G224" s="28">
        <f t="shared" si="48"/>
        <v>165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21" ht="15" customHeight="1">
      <c r="A225" s="69">
        <v>46243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234</v>
      </c>
      <c r="F225" s="27">
        <v>0</v>
      </c>
      <c r="G225" s="34">
        <f t="shared" si="48"/>
        <v>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21" ht="15" customHeight="1">
      <c r="A226" s="68">
        <v>46243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234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21" ht="15" customHeight="1">
      <c r="A227" s="69">
        <v>46243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234</v>
      </c>
      <c r="F227" s="27">
        <v>30</v>
      </c>
      <c r="G227" s="34">
        <f t="shared" si="48"/>
        <v>150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21" ht="15" customHeight="1">
      <c r="A228" s="68">
        <v>46243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234</v>
      </c>
      <c r="F228" s="27">
        <v>40</v>
      </c>
      <c r="G228" s="28">
        <f t="shared" si="48"/>
        <v>200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21" ht="15" customHeight="1">
      <c r="A229" s="69">
        <v>46243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234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21" ht="15.75" customHeight="1">
      <c r="A230" s="110" t="s">
        <v>235</v>
      </c>
      <c r="B230" s="111"/>
      <c r="C230" s="111"/>
      <c r="D230" s="111"/>
      <c r="E230" s="112"/>
      <c r="F230" s="36">
        <f>SUM(F218:F229)</f>
        <v>309</v>
      </c>
      <c r="G230" s="36">
        <f>SUM(G218:G229)</f>
        <v>1545</v>
      </c>
      <c r="H230" s="37"/>
      <c r="I230" s="37"/>
      <c r="J230" s="37"/>
      <c r="K230" s="37"/>
      <c r="L230" s="37"/>
      <c r="M230" s="38">
        <f ca="1">IFERROR(SUM(M218:M229),"")</f>
        <v>7.9166666666666552E-2</v>
      </c>
      <c r="N230" s="36" t="s">
        <v>236</v>
      </c>
      <c r="O230" s="39">
        <v>2165620</v>
      </c>
    </row>
    <row r="231" spans="1:21" ht="15" customHeight="1">
      <c r="A231" s="69">
        <v>46243</v>
      </c>
      <c r="B231" s="32">
        <v>0.83333333333333304</v>
      </c>
      <c r="C231" s="33" t="s">
        <v>45</v>
      </c>
      <c r="D231" s="62" t="s">
        <v>30</v>
      </c>
      <c r="E231" s="62" t="s">
        <v>234</v>
      </c>
      <c r="F231" s="27">
        <v>12</v>
      </c>
      <c r="G231" s="34">
        <f t="shared" ref="G231:G242" si="51">IF(F231="","",IF(E231="PC 17",F231*4.2,IF(E231="PC 19",F231*5,IF(E231="CB",F231*35,""))))</f>
        <v>60</v>
      </c>
      <c r="H231" s="33" t="s">
        <v>20</v>
      </c>
      <c r="I231" s="33" t="s">
        <v>23</v>
      </c>
      <c r="J231" s="33" t="s">
        <v>202</v>
      </c>
      <c r="K231" s="29">
        <v>0.79583333333333328</v>
      </c>
      <c r="L231" s="29">
        <v>0.82638888888888884</v>
      </c>
      <c r="M231" s="35">
        <f t="shared" ref="M231:M242" ca="1" si="52">IFERROR(IF(K231="","",IF(L231="",MOD(NOW()-K231,1),IF(L231&gt;=K231,L231-K231,L231+1-K231))),"")</f>
        <v>3.0555555555555558E-2</v>
      </c>
      <c r="N231" s="46"/>
      <c r="O231" s="47"/>
    </row>
    <row r="232" spans="1:21" ht="15" customHeight="1">
      <c r="A232" s="68">
        <v>46243</v>
      </c>
      <c r="B232" s="25">
        <f t="shared" ref="B232:B242" si="53">B231+TIME(0,60,0)</f>
        <v>0.87499999999999967</v>
      </c>
      <c r="C232" s="33" t="s">
        <v>45</v>
      </c>
      <c r="D232" s="62" t="s">
        <v>30</v>
      </c>
      <c r="E232" s="62" t="s">
        <v>234</v>
      </c>
      <c r="F232" s="27">
        <v>37</v>
      </c>
      <c r="G232" s="28">
        <f t="shared" si="51"/>
        <v>185</v>
      </c>
      <c r="H232" s="26" t="s">
        <v>20</v>
      </c>
      <c r="I232" s="26" t="s">
        <v>23</v>
      </c>
      <c r="J232" s="26" t="s">
        <v>145</v>
      </c>
      <c r="K232" s="29">
        <v>0.95833333333333337</v>
      </c>
      <c r="L232" s="29">
        <v>1.3888888888888888E-2</v>
      </c>
      <c r="M232" s="30">
        <f t="shared" ca="1" si="52"/>
        <v>5.5555555555555469E-2</v>
      </c>
      <c r="N232" s="46"/>
      <c r="O232" s="47"/>
    </row>
    <row r="233" spans="1:21" ht="15" customHeight="1">
      <c r="A233" s="69">
        <v>46243</v>
      </c>
      <c r="B233" s="32">
        <f t="shared" si="53"/>
        <v>0.9166666666666663</v>
      </c>
      <c r="C233" s="33" t="s">
        <v>45</v>
      </c>
      <c r="D233" s="62" t="s">
        <v>30</v>
      </c>
      <c r="E233" s="62" t="s">
        <v>234</v>
      </c>
      <c r="F233" s="27">
        <v>16</v>
      </c>
      <c r="G233" s="34">
        <f t="shared" si="51"/>
        <v>80</v>
      </c>
      <c r="H233" s="33" t="s">
        <v>20</v>
      </c>
      <c r="I233" s="33" t="s">
        <v>23</v>
      </c>
      <c r="J233" s="33" t="s">
        <v>145</v>
      </c>
      <c r="K233" s="29">
        <v>0.15277777777777779</v>
      </c>
      <c r="L233" s="29">
        <v>0.23055555555555557</v>
      </c>
      <c r="M233" s="35">
        <f t="shared" ca="1" si="52"/>
        <v>7.7777777777777779E-2</v>
      </c>
      <c r="N233" s="46"/>
      <c r="O233" s="47"/>
    </row>
    <row r="234" spans="1:21" ht="15" customHeight="1">
      <c r="A234" s="68">
        <v>46243</v>
      </c>
      <c r="B234" s="25">
        <f t="shared" si="53"/>
        <v>0.95833333333333293</v>
      </c>
      <c r="C234" s="33" t="s">
        <v>45</v>
      </c>
      <c r="D234" s="62" t="s">
        <v>30</v>
      </c>
      <c r="E234" s="62" t="s">
        <v>253</v>
      </c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  <c r="U234">
        <v>4944</v>
      </c>
    </row>
    <row r="235" spans="1:21" ht="15" customHeight="1">
      <c r="A235" s="69">
        <v>46243</v>
      </c>
      <c r="B235" s="32">
        <f t="shared" si="53"/>
        <v>0.99999999999999956</v>
      </c>
      <c r="C235" s="33" t="s">
        <v>45</v>
      </c>
      <c r="D235" s="62" t="s">
        <v>30</v>
      </c>
      <c r="E235" s="62" t="s">
        <v>253</v>
      </c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21" ht="15" customHeight="1">
      <c r="A236" s="68">
        <v>46243</v>
      </c>
      <c r="B236" s="25">
        <f t="shared" si="53"/>
        <v>1.0416666666666663</v>
      </c>
      <c r="C236" s="33" t="s">
        <v>45</v>
      </c>
      <c r="D236" s="62" t="s">
        <v>30</v>
      </c>
      <c r="E236" s="62" t="s">
        <v>253</v>
      </c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21" ht="15" customHeight="1">
      <c r="A237" s="69">
        <v>46243</v>
      </c>
      <c r="B237" s="32">
        <f t="shared" si="53"/>
        <v>1.083333333333333</v>
      </c>
      <c r="C237" s="33" t="s">
        <v>45</v>
      </c>
      <c r="D237" s="62" t="s">
        <v>30</v>
      </c>
      <c r="E237" s="62" t="s">
        <v>253</v>
      </c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21" ht="15" customHeight="1">
      <c r="A238" s="68">
        <v>46243</v>
      </c>
      <c r="B238" s="25">
        <f t="shared" si="53"/>
        <v>1.1249999999999998</v>
      </c>
      <c r="C238" s="33" t="s">
        <v>45</v>
      </c>
      <c r="D238" s="62" t="s">
        <v>30</v>
      </c>
      <c r="E238" s="62" t="s">
        <v>253</v>
      </c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21" ht="15" customHeight="1">
      <c r="A239" s="69">
        <v>46243</v>
      </c>
      <c r="B239" s="32">
        <f t="shared" si="53"/>
        <v>1.1666666666666665</v>
      </c>
      <c r="C239" s="33" t="s">
        <v>45</v>
      </c>
      <c r="D239" s="62" t="s">
        <v>30</v>
      </c>
      <c r="E239" s="62" t="s">
        <v>253</v>
      </c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21" ht="15" customHeight="1">
      <c r="A240" s="68">
        <v>46243</v>
      </c>
      <c r="B240" s="25">
        <f t="shared" si="53"/>
        <v>1.2083333333333333</v>
      </c>
      <c r="C240" s="33" t="s">
        <v>45</v>
      </c>
      <c r="D240" s="62" t="s">
        <v>30</v>
      </c>
      <c r="E240" s="62" t="s">
        <v>253</v>
      </c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 t="s">
        <v>45</v>
      </c>
      <c r="D241" s="62" t="s">
        <v>30</v>
      </c>
      <c r="E241" s="62" t="s">
        <v>253</v>
      </c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 t="s">
        <v>45</v>
      </c>
      <c r="D242" s="62" t="s">
        <v>30</v>
      </c>
      <c r="E242" s="62" t="s">
        <v>253</v>
      </c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4" t="s">
        <v>238</v>
      </c>
      <c r="B243" s="105"/>
      <c r="C243" s="105"/>
      <c r="D243" s="105"/>
      <c r="E243" s="106">
        <f>SUM(E231:E242)</f>
        <v>0</v>
      </c>
      <c r="F243" s="36">
        <f>SUM(F231:F242)</f>
        <v>65</v>
      </c>
      <c r="G243" s="36">
        <f>SUM(G231:G242)</f>
        <v>325</v>
      </c>
      <c r="H243" s="37"/>
      <c r="I243" s="37"/>
      <c r="J243" s="37"/>
      <c r="K243" s="37"/>
      <c r="L243" s="37"/>
      <c r="M243" s="38">
        <f ca="1">IFERROR(SUM(M231:M242),"")</f>
        <v>0.16388888888888881</v>
      </c>
      <c r="N243" s="36" t="s">
        <v>236</v>
      </c>
      <c r="O243" s="39">
        <v>991010</v>
      </c>
    </row>
    <row r="244" spans="1:15" ht="18" customHeight="1">
      <c r="A244" s="107" t="s">
        <v>239</v>
      </c>
      <c r="B244" s="108"/>
      <c r="C244" s="108"/>
      <c r="D244" s="108"/>
      <c r="E244" s="109">
        <f>E230+E243</f>
        <v>0</v>
      </c>
      <c r="F244" s="40">
        <f>F230+F243</f>
        <v>374</v>
      </c>
      <c r="G244" s="40">
        <f>G230+G243</f>
        <v>1870</v>
      </c>
      <c r="H244" s="41"/>
      <c r="I244" s="41"/>
      <c r="J244" s="41"/>
      <c r="K244" s="41"/>
      <c r="L244" s="41"/>
      <c r="M244" s="42">
        <f ca="1">IFERROR(M230+M243,"")</f>
        <v>0.24305555555555536</v>
      </c>
      <c r="N244" s="40" t="s">
        <v>240</v>
      </c>
      <c r="O244" s="48">
        <f>IFERROR(O230+O243,"")</f>
        <v>3156630</v>
      </c>
    </row>
    <row r="245" spans="1:15" ht="15" customHeight="1">
      <c r="A245" s="68">
        <v>46244</v>
      </c>
      <c r="B245" s="25">
        <v>0.33333333333333298</v>
      </c>
      <c r="C245" s="26" t="s">
        <v>29</v>
      </c>
      <c r="D245" s="59" t="s">
        <v>30</v>
      </c>
      <c r="E245" s="59" t="s">
        <v>234</v>
      </c>
      <c r="F245" s="27">
        <v>1</v>
      </c>
      <c r="G245" s="28">
        <f t="shared" ref="G245:G256" si="54">IF(F245="","",IF(E245="PC 17",F245*4.2,IF(E245="PC 19",F245*5,IF(E245="CB",F245*35,""))))</f>
        <v>5</v>
      </c>
      <c r="H245" s="33" t="s">
        <v>20</v>
      </c>
      <c r="I245" s="33" t="s">
        <v>23</v>
      </c>
      <c r="J245" s="33" t="s">
        <v>207</v>
      </c>
      <c r="K245" s="29">
        <v>0.54722222222222228</v>
      </c>
      <c r="L245" s="29"/>
      <c r="M245" s="35">
        <f t="shared" ref="M245:M256" ca="1" si="55">IFERROR(IF(K245="","",IF(L245="",MOD(NOW()-K245,1),IF(L245&gt;=K245,L245-K245,L245+1-K245))),"")</f>
        <v>1.5155902779952157E-2</v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 t="s">
        <v>29</v>
      </c>
      <c r="D246" s="59" t="s">
        <v>30</v>
      </c>
      <c r="E246" s="59" t="s">
        <v>234</v>
      </c>
      <c r="F246" s="27">
        <v>2</v>
      </c>
      <c r="G246" s="34">
        <f t="shared" si="54"/>
        <v>10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 t="s">
        <v>29</v>
      </c>
      <c r="D247" s="59" t="s">
        <v>30</v>
      </c>
      <c r="E247" s="59" t="s">
        <v>234</v>
      </c>
      <c r="F247" s="27">
        <v>3</v>
      </c>
      <c r="G247" s="28">
        <f t="shared" si="54"/>
        <v>15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 t="s">
        <v>29</v>
      </c>
      <c r="D248" s="59" t="s">
        <v>22</v>
      </c>
      <c r="E248" s="59" t="s">
        <v>234</v>
      </c>
      <c r="F248" s="27">
        <v>24</v>
      </c>
      <c r="G248" s="34">
        <f t="shared" si="54"/>
        <v>120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 t="s">
        <v>29</v>
      </c>
      <c r="D249" s="59" t="s">
        <v>22</v>
      </c>
      <c r="E249" s="59" t="s">
        <v>234</v>
      </c>
      <c r="F249" s="27">
        <v>27</v>
      </c>
      <c r="G249" s="28">
        <f t="shared" si="54"/>
        <v>135</v>
      </c>
      <c r="H249" s="33"/>
      <c r="I249" s="33"/>
      <c r="J249" s="33"/>
      <c r="K249" s="29"/>
      <c r="L249" s="29"/>
      <c r="M249" s="35" t="str">
        <f t="shared" ca="1" si="55"/>
        <v/>
      </c>
      <c r="N249" s="46" t="s">
        <v>254</v>
      </c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 t="s">
        <v>29</v>
      </c>
      <c r="D250" s="59" t="s">
        <v>22</v>
      </c>
      <c r="E250" s="59" t="s">
        <v>234</v>
      </c>
      <c r="F250" s="27">
        <v>40</v>
      </c>
      <c r="G250" s="34">
        <f t="shared" si="54"/>
        <v>200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 t="s">
        <v>29</v>
      </c>
      <c r="D251" s="59" t="s">
        <v>22</v>
      </c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 t="s">
        <v>29</v>
      </c>
      <c r="D252" s="59" t="s">
        <v>22</v>
      </c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 t="s">
        <v>29</v>
      </c>
      <c r="D253" s="59" t="s">
        <v>22</v>
      </c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 t="s">
        <v>29</v>
      </c>
      <c r="D254" s="59" t="s">
        <v>22</v>
      </c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 t="s">
        <v>29</v>
      </c>
      <c r="D255" s="59" t="s">
        <v>22</v>
      </c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 t="s">
        <v>29</v>
      </c>
      <c r="D256" s="59" t="s">
        <v>22</v>
      </c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4" t="s">
        <v>235</v>
      </c>
      <c r="B257" s="105"/>
      <c r="C257" s="105"/>
      <c r="D257" s="105"/>
      <c r="E257" s="106">
        <f>SUM(E245:E256)</f>
        <v>0</v>
      </c>
      <c r="F257" s="36">
        <f>SUM(F245:F256)</f>
        <v>97</v>
      </c>
      <c r="G257" s="36">
        <f>SUM(G245:G256)</f>
        <v>485</v>
      </c>
      <c r="H257" s="37"/>
      <c r="I257" s="37"/>
      <c r="J257" s="37"/>
      <c r="K257" s="37"/>
      <c r="L257" s="37"/>
      <c r="M257" s="38">
        <f ca="1">IFERROR(SUM(M245:M256),"")</f>
        <v>1.5155902779952157E-2</v>
      </c>
      <c r="N257" s="36" t="s">
        <v>236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19",F258*5,IF(E258="CB",F258*35,""))))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4" t="s">
        <v>238</v>
      </c>
      <c r="B270" s="105"/>
      <c r="C270" s="105"/>
      <c r="D270" s="105"/>
      <c r="E270" s="106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236</v>
      </c>
      <c r="O270" s="39"/>
    </row>
    <row r="271" spans="1:15" ht="18" customHeight="1">
      <c r="A271" s="107" t="s">
        <v>239</v>
      </c>
      <c r="B271" s="108"/>
      <c r="C271" s="108"/>
      <c r="D271" s="108"/>
      <c r="E271" s="109">
        <f>E257+E270</f>
        <v>0</v>
      </c>
      <c r="F271" s="40">
        <f>F257+F270</f>
        <v>97</v>
      </c>
      <c r="G271" s="40">
        <f>G257+G270</f>
        <v>485</v>
      </c>
      <c r="H271" s="41"/>
      <c r="I271" s="41"/>
      <c r="J271" s="41"/>
      <c r="K271" s="41"/>
      <c r="L271" s="41"/>
      <c r="M271" s="42">
        <f ca="1">IFERROR(M257+M270,"")</f>
        <v>1.5155902779952157E-2</v>
      </c>
      <c r="N271" s="40" t="s">
        <v>240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19",F272*5,IF(E272="CB",F272*35,""))))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4" t="s">
        <v>235</v>
      </c>
      <c r="B284" s="105"/>
      <c r="C284" s="105"/>
      <c r="D284" s="105"/>
      <c r="E284" s="106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236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19",F285*5,IF(E285="CB",F285*35,""))))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4" t="s">
        <v>238</v>
      </c>
      <c r="B297" s="105"/>
      <c r="C297" s="105"/>
      <c r="D297" s="105"/>
      <c r="E297" s="106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236</v>
      </c>
      <c r="O297" s="39"/>
    </row>
    <row r="298" spans="1:15" ht="18" customHeight="1">
      <c r="A298" s="107" t="s">
        <v>239</v>
      </c>
      <c r="B298" s="108"/>
      <c r="C298" s="108"/>
      <c r="D298" s="108"/>
      <c r="E298" s="109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240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19",F299*5,IF(E299="CB",F299*35,""))))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4" t="s">
        <v>235</v>
      </c>
      <c r="B311" s="105"/>
      <c r="C311" s="105"/>
      <c r="D311" s="105"/>
      <c r="E311" s="106">
        <f>SUM(E299:E310)</f>
        <v>0</v>
      </c>
      <c r="F311" s="36">
        <f>SUM(F299:F310)</f>
        <v>0</v>
      </c>
      <c r="G311" s="90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236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19",F312*5,IF(E312="CB",F312*35,""))))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28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28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4" t="s">
        <v>238</v>
      </c>
      <c r="B324" s="105"/>
      <c r="C324" s="105"/>
      <c r="D324" s="105"/>
      <c r="E324" s="106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236</v>
      </c>
      <c r="O324" s="39"/>
    </row>
    <row r="325" spans="1:15" ht="18" customHeight="1">
      <c r="A325" s="107" t="s">
        <v>239</v>
      </c>
      <c r="B325" s="108"/>
      <c r="C325" s="108"/>
      <c r="D325" s="108"/>
      <c r="E325" s="109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240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19",F326*5,IF(E326="CB",F326*35,""))))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4" t="s">
        <v>235</v>
      </c>
      <c r="B338" s="105"/>
      <c r="C338" s="105"/>
      <c r="D338" s="105"/>
      <c r="E338" s="106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236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19",F339*5,IF(E339="CB",F339*35,""))))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4" t="s">
        <v>238</v>
      </c>
      <c r="B351" s="105"/>
      <c r="C351" s="105"/>
      <c r="D351" s="105"/>
      <c r="E351" s="106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236</v>
      </c>
      <c r="O351" s="39"/>
    </row>
    <row r="352" spans="1:15" ht="18" customHeight="1">
      <c r="A352" s="107" t="s">
        <v>239</v>
      </c>
      <c r="B352" s="108"/>
      <c r="C352" s="108"/>
      <c r="D352" s="108"/>
      <c r="E352" s="109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240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19",F353*5,IF(E353="CB",F353*35,""))))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4" t="s">
        <v>235</v>
      </c>
      <c r="B365" s="105"/>
      <c r="C365" s="105"/>
      <c r="D365" s="105"/>
      <c r="E365" s="106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236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19",F366*5,IF(E366="CB",F366*35,""))))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4" t="s">
        <v>238</v>
      </c>
      <c r="B378" s="105"/>
      <c r="C378" s="105"/>
      <c r="D378" s="105"/>
      <c r="E378" s="106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236</v>
      </c>
      <c r="O378" s="39"/>
    </row>
    <row r="379" spans="1:15" ht="18" customHeight="1">
      <c r="A379" s="107" t="s">
        <v>239</v>
      </c>
      <c r="B379" s="108"/>
      <c r="C379" s="108"/>
      <c r="D379" s="108"/>
      <c r="E379" s="109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240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19",F380*5,IF(E380="CB",F380*35,""))))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4" t="s">
        <v>235</v>
      </c>
      <c r="B392" s="105"/>
      <c r="C392" s="105"/>
      <c r="D392" s="105"/>
      <c r="E392" s="106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236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19",F393*5,IF(E393="CB",F393*35,""))))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4" t="s">
        <v>238</v>
      </c>
      <c r="B405" s="105"/>
      <c r="C405" s="105"/>
      <c r="D405" s="105"/>
      <c r="E405" s="106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236</v>
      </c>
      <c r="O405" s="39"/>
    </row>
    <row r="406" spans="1:15" ht="18" customHeight="1">
      <c r="A406" s="107" t="s">
        <v>239</v>
      </c>
      <c r="B406" s="108"/>
      <c r="C406" s="108"/>
      <c r="D406" s="108"/>
      <c r="E406" s="109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240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19",F407*5,IF(E407="CB",F407*35,""))))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4" t="s">
        <v>235</v>
      </c>
      <c r="B419" s="105"/>
      <c r="C419" s="105"/>
      <c r="D419" s="105"/>
      <c r="E419" s="106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236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19",F420*5,IF(E420="CB",F420*35,""))))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104" t="s">
        <v>238</v>
      </c>
      <c r="B432" s="105"/>
      <c r="C432" s="105"/>
      <c r="D432" s="105"/>
      <c r="E432" s="106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236</v>
      </c>
      <c r="O432" s="39"/>
    </row>
    <row r="433" spans="1:15" ht="18" customHeight="1">
      <c r="A433" s="107" t="s">
        <v>239</v>
      </c>
      <c r="B433" s="108"/>
      <c r="C433" s="108"/>
      <c r="D433" s="108"/>
      <c r="E433" s="109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240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19",F434*5,IF(E434="CB",F434*35,""))))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4" t="s">
        <v>235</v>
      </c>
      <c r="B446" s="105"/>
      <c r="C446" s="105"/>
      <c r="D446" s="105"/>
      <c r="E446" s="106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236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19",F447*5,IF(E447="CB",F447*35,""))))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F453" s="27"/>
      <c r="G453" s="34" t="str">
        <f>IF(F453="","",IF(E454="PC 17",F453*4.2,IF(E454="PC 19",F453*5,"")))</f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/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4" t="s">
        <v>238</v>
      </c>
      <c r="B459" s="105"/>
      <c r="C459" s="105"/>
      <c r="D459" s="105"/>
      <c r="E459" s="106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236</v>
      </c>
      <c r="O459" s="39"/>
    </row>
    <row r="460" spans="1:15" ht="18" customHeight="1">
      <c r="A460" s="107" t="s">
        <v>239</v>
      </c>
      <c r="B460" s="108"/>
      <c r="C460" s="108"/>
      <c r="D460" s="108"/>
      <c r="E460" s="109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240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19",F461*5,IF(E461="CB",F461*35,""))))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>IF(F466="","",IF(E466="PC 17",F466*4.2,IF(E466="PC 19",F466*5,IF(E466="CB",F466*35,""))))</f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4" t="s">
        <v>235</v>
      </c>
      <c r="B473" s="105"/>
      <c r="C473" s="105"/>
      <c r="D473" s="105"/>
      <c r="E473" s="106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236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19",F474*5,IF(E474="CB",F474*35,""))))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4" t="s">
        <v>238</v>
      </c>
      <c r="B486" s="105"/>
      <c r="C486" s="105"/>
      <c r="D486" s="105"/>
      <c r="E486" s="106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236</v>
      </c>
      <c r="O486" s="39"/>
    </row>
    <row r="487" spans="1:15" ht="18" customHeight="1">
      <c r="A487" s="107" t="s">
        <v>239</v>
      </c>
      <c r="B487" s="108"/>
      <c r="C487" s="108"/>
      <c r="D487" s="108"/>
      <c r="E487" s="109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240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19",F488*5,IF(E488="CB",F488*35,""))))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4" t="s">
        <v>235</v>
      </c>
      <c r="B500" s="105"/>
      <c r="C500" s="105"/>
      <c r="D500" s="105"/>
      <c r="E500" s="106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236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19",F501*5,IF(E501="CB",F501*35,""))))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104" t="s">
        <v>238</v>
      </c>
      <c r="B513" s="105"/>
      <c r="C513" s="105"/>
      <c r="D513" s="105"/>
      <c r="E513" s="106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236</v>
      </c>
      <c r="O513" s="39"/>
    </row>
    <row r="514" spans="1:15" ht="18" customHeight="1">
      <c r="A514" s="107" t="s">
        <v>239</v>
      </c>
      <c r="B514" s="108"/>
      <c r="C514" s="108"/>
      <c r="D514" s="108"/>
      <c r="E514" s="109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240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19",F515*5,IF(E515="CB",F515*35,""))))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4" t="s">
        <v>235</v>
      </c>
      <c r="B527" s="105"/>
      <c r="C527" s="105"/>
      <c r="D527" s="105"/>
      <c r="E527" s="106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236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19",F528*5,IF(E528="CB",F528*35,""))))</f>
        <v/>
      </c>
      <c r="H528" s="26"/>
      <c r="I528" s="26"/>
      <c r="J528" s="26"/>
      <c r="K528" s="29"/>
      <c r="L528" s="29"/>
      <c r="M528" s="30"/>
      <c r="N528" s="46"/>
      <c r="O528" s="47"/>
    </row>
    <row r="529" spans="1:15" ht="15" customHeight="1">
      <c r="A529" s="69">
        <v>46254</v>
      </c>
      <c r="B529" s="32">
        <f t="shared" ref="B529:B539" si="118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ref="M529:M539" ca="1" si="119">IFERROR(IF(K529="","",IF(L529="",MOD(NOW()-K529,1),IF(L529&gt;=K529,L529-K529,L529+1-K529))),"")</f>
        <v/>
      </c>
      <c r="N529" s="46"/>
      <c r="O529" s="47"/>
    </row>
    <row r="530" spans="1:15" ht="15" customHeight="1">
      <c r="A530" s="68">
        <v>46254</v>
      </c>
      <c r="B530" s="25">
        <f t="shared" si="118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46254</v>
      </c>
      <c r="B531" s="32">
        <f t="shared" si="118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46254</v>
      </c>
      <c r="B532" s="25">
        <f t="shared" si="118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46254</v>
      </c>
      <c r="B533" s="32">
        <f t="shared" si="118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46254</v>
      </c>
      <c r="B534" s="25">
        <f t="shared" si="118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46254</v>
      </c>
      <c r="B535" s="32">
        <f t="shared" si="118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46254</v>
      </c>
      <c r="B536" s="25">
        <f t="shared" si="118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46254</v>
      </c>
      <c r="B537" s="32">
        <f t="shared" si="118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46254</v>
      </c>
      <c r="B538" s="25">
        <f t="shared" si="118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46254</v>
      </c>
      <c r="B539" s="32">
        <f t="shared" si="118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104" t="s">
        <v>238</v>
      </c>
      <c r="B540" s="105"/>
      <c r="C540" s="105"/>
      <c r="D540" s="105"/>
      <c r="E540" s="106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236</v>
      </c>
      <c r="O540" s="39"/>
    </row>
    <row r="541" spans="1:15" ht="18" customHeight="1">
      <c r="A541" s="107" t="s">
        <v>239</v>
      </c>
      <c r="B541" s="108"/>
      <c r="C541" s="108"/>
      <c r="D541" s="108"/>
      <c r="E541" s="109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240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19",F542*5,IF(E542="CB",F542*35,""))))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4" t="s">
        <v>235</v>
      </c>
      <c r="B554" s="105"/>
      <c r="C554" s="105"/>
      <c r="D554" s="105"/>
      <c r="E554" s="106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236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19",F555*5,IF(E555="CB",F555*35,""))))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4" t="s">
        <v>238</v>
      </c>
      <c r="B567" s="105"/>
      <c r="C567" s="105"/>
      <c r="D567" s="105"/>
      <c r="E567" s="106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236</v>
      </c>
      <c r="O567" s="39"/>
    </row>
    <row r="568" spans="1:15" ht="18" customHeight="1">
      <c r="A568" s="107" t="s">
        <v>239</v>
      </c>
      <c r="B568" s="108"/>
      <c r="C568" s="108"/>
      <c r="D568" s="108"/>
      <c r="E568" s="109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240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19",F569*5,IF(E569="CB",F569*35,""))))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4" t="s">
        <v>235</v>
      </c>
      <c r="B581" s="105"/>
      <c r="C581" s="105"/>
      <c r="D581" s="105"/>
      <c r="E581" s="106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236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19",F582*5,IF(E582="CB",F582*35,""))))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4" t="s">
        <v>238</v>
      </c>
      <c r="B594" s="105"/>
      <c r="C594" s="105"/>
      <c r="D594" s="105"/>
      <c r="E594" s="106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236</v>
      </c>
      <c r="O594" s="39"/>
    </row>
    <row r="595" spans="1:15" ht="18" customHeight="1">
      <c r="A595" s="107" t="s">
        <v>239</v>
      </c>
      <c r="B595" s="108"/>
      <c r="C595" s="108"/>
      <c r="D595" s="108"/>
      <c r="E595" s="109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240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19",F596*5,IF(E596="CB",F596*35,""))))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4" t="s">
        <v>235</v>
      </c>
      <c r="B608" s="105"/>
      <c r="C608" s="105"/>
      <c r="D608" s="105"/>
      <c r="E608" s="106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236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19",F609*5,IF(E609="CB",F609*35,""))))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19",F616*5,IF(E616="CB",F616*35,""))))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19",F617*5,IF(E617="CB",F617*35,""))))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19",F618*5,IF(E618="CB",F618*35,""))))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19",F619*5,IF(E619="CB",F619*35,""))))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19",F620*5,IF(E620="CB",F620*35,""))))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4" t="s">
        <v>238</v>
      </c>
      <c r="B621" s="105"/>
      <c r="C621" s="105"/>
      <c r="D621" s="105"/>
      <c r="E621" s="106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236</v>
      </c>
      <c r="O621" s="39"/>
    </row>
    <row r="622" spans="1:15" ht="18" customHeight="1">
      <c r="A622" s="107" t="s">
        <v>239</v>
      </c>
      <c r="B622" s="108"/>
      <c r="C622" s="108"/>
      <c r="D622" s="108"/>
      <c r="E622" s="109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240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19",F623*5,IF(E623="CB",F623*35,""))))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4" t="s">
        <v>235</v>
      </c>
      <c r="B635" s="105"/>
      <c r="C635" s="105"/>
      <c r="D635" s="105"/>
      <c r="E635" s="106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236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19",F636*5,IF(E636="CB",F636*35,""))))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4" t="s">
        <v>238</v>
      </c>
      <c r="B648" s="105"/>
      <c r="C648" s="105"/>
      <c r="D648" s="105"/>
      <c r="E648" s="106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236</v>
      </c>
      <c r="O648" s="39"/>
    </row>
    <row r="649" spans="1:15" ht="18" customHeight="1">
      <c r="A649" s="107" t="s">
        <v>239</v>
      </c>
      <c r="B649" s="108"/>
      <c r="C649" s="108"/>
      <c r="D649" s="108"/>
      <c r="E649" s="109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240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19",F650*5,IF(E650="CB",F650*35,""))))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4" t="s">
        <v>235</v>
      </c>
      <c r="B662" s="105"/>
      <c r="C662" s="105"/>
      <c r="D662" s="105"/>
      <c r="E662" s="106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236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19",F663*5,IF(E663="CB",F663*35,""))))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4" t="s">
        <v>238</v>
      </c>
      <c r="B675" s="105"/>
      <c r="C675" s="105"/>
      <c r="D675" s="105"/>
      <c r="E675" s="106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236</v>
      </c>
      <c r="O675" s="39"/>
    </row>
    <row r="676" spans="1:15" ht="18" customHeight="1">
      <c r="A676" s="107" t="s">
        <v>239</v>
      </c>
      <c r="B676" s="108"/>
      <c r="C676" s="108"/>
      <c r="D676" s="108"/>
      <c r="E676" s="109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240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19",F677*5,IF(E677="CB",F677*35,""))))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4" t="s">
        <v>235</v>
      </c>
      <c r="B689" s="105"/>
      <c r="C689" s="105"/>
      <c r="D689" s="105"/>
      <c r="E689" s="106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236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19",F690*5,IF(E690="CB",F690*35,""))))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4" t="s">
        <v>238</v>
      </c>
      <c r="B702" s="105"/>
      <c r="C702" s="105"/>
      <c r="D702" s="105"/>
      <c r="E702" s="106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236</v>
      </c>
      <c r="O702" s="39"/>
    </row>
    <row r="703" spans="1:15" ht="18" customHeight="1">
      <c r="A703" s="107" t="s">
        <v>239</v>
      </c>
      <c r="B703" s="108"/>
      <c r="C703" s="108"/>
      <c r="D703" s="108"/>
      <c r="E703" s="109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240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19",F704*5,IF(E704="CB",F704*35,""))))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4" t="s">
        <v>235</v>
      </c>
      <c r="B716" s="105"/>
      <c r="C716" s="105"/>
      <c r="D716" s="105"/>
      <c r="E716" s="106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236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19",F717*5,IF(E717="CB",F717*35,""))))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4" t="s">
        <v>238</v>
      </c>
      <c r="B729" s="105"/>
      <c r="C729" s="105"/>
      <c r="D729" s="105"/>
      <c r="E729" s="106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236</v>
      </c>
      <c r="O729" s="39"/>
    </row>
    <row r="730" spans="1:15" ht="18" customHeight="1">
      <c r="A730" s="107" t="s">
        <v>239</v>
      </c>
      <c r="B730" s="108"/>
      <c r="C730" s="108"/>
      <c r="D730" s="108"/>
      <c r="E730" s="109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240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19",F731*5,IF(E731="CB",F731*35,""))))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4" t="s">
        <v>235</v>
      </c>
      <c r="B743" s="105"/>
      <c r="C743" s="105"/>
      <c r="D743" s="105"/>
      <c r="E743" s="106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236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19",F744*5,IF(E744="CB",F744*35,""))))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4" t="s">
        <v>238</v>
      </c>
      <c r="B756" s="105"/>
      <c r="C756" s="105"/>
      <c r="D756" s="105"/>
      <c r="E756" s="106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236</v>
      </c>
      <c r="O756" s="39"/>
    </row>
    <row r="757" spans="1:15" ht="18" customHeight="1">
      <c r="A757" s="107" t="s">
        <v>239</v>
      </c>
      <c r="B757" s="108"/>
      <c r="C757" s="108"/>
      <c r="D757" s="108"/>
      <c r="E757" s="109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240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19",F758*5,IF(E758="CB",F758*35,""))))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4" t="s">
        <v>235</v>
      </c>
      <c r="B770" s="105"/>
      <c r="C770" s="105"/>
      <c r="D770" s="105"/>
      <c r="E770" s="106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236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19",F771*5,IF(E771="CB",F771*35,""))))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4" t="s">
        <v>238</v>
      </c>
      <c r="B783" s="105"/>
      <c r="C783" s="105"/>
      <c r="D783" s="105"/>
      <c r="E783" s="106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236</v>
      </c>
      <c r="O783" s="39"/>
    </row>
    <row r="784" spans="1:15" ht="18" customHeight="1">
      <c r="A784" s="107" t="s">
        <v>239</v>
      </c>
      <c r="B784" s="108"/>
      <c r="C784" s="108"/>
      <c r="D784" s="108"/>
      <c r="E784" s="109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240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4" t="s">
        <v>235</v>
      </c>
      <c r="B797" s="105"/>
      <c r="C797" s="105"/>
      <c r="D797" s="105"/>
      <c r="E797" s="106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236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19",F801*5,IF(E801="CB",F801*35,""))))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4" t="s">
        <v>238</v>
      </c>
      <c r="B810" s="105"/>
      <c r="C810" s="105"/>
      <c r="D810" s="105"/>
      <c r="E810" s="106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236</v>
      </c>
      <c r="O810" s="39"/>
    </row>
    <row r="811" spans="1:15" ht="18" customHeight="1">
      <c r="A811" s="113" t="s">
        <v>239</v>
      </c>
      <c r="B811" s="114"/>
      <c r="C811" s="114"/>
      <c r="D811" s="114"/>
      <c r="E811" s="115">
        <f>E797+E810</f>
        <v>0</v>
      </c>
      <c r="F811" s="98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240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19",F812*5,IF(E812="CB",F812*35,""))))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4" t="s">
        <v>235</v>
      </c>
      <c r="B824" s="105"/>
      <c r="C824" s="105"/>
      <c r="D824" s="105"/>
      <c r="E824" s="106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236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19",F825*5,IF(E825="CB",F825*35,""))))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4" t="s">
        <v>238</v>
      </c>
      <c r="B837" s="105"/>
      <c r="C837" s="105"/>
      <c r="D837" s="105"/>
      <c r="E837" s="106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236</v>
      </c>
      <c r="O837" s="39"/>
    </row>
    <row r="838" spans="1:15" ht="18" customHeight="1">
      <c r="A838" s="107" t="s">
        <v>239</v>
      </c>
      <c r="B838" s="108"/>
      <c r="C838" s="108"/>
      <c r="D838" s="108"/>
      <c r="E838" s="109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240</v>
      </c>
      <c r="O838" s="43">
        <f>IFERROR(O824+O837,"")</f>
        <v>0</v>
      </c>
    </row>
  </sheetData>
  <mergeCells count="93">
    <mergeCell ref="A230:E230"/>
    <mergeCell ref="A811:E811"/>
    <mergeCell ref="A784:E784"/>
    <mergeCell ref="A797:E797"/>
    <mergeCell ref="A810:E810"/>
    <mergeCell ref="A770:E770"/>
    <mergeCell ref="A783:E783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7:E297"/>
    <mergeCell ref="A298:E298"/>
    <mergeCell ref="A311:E311"/>
    <mergeCell ref="A324:E324"/>
    <mergeCell ref="A325:E325"/>
    <mergeCell ref="A244:E244"/>
    <mergeCell ref="A257:E257"/>
    <mergeCell ref="A270:E270"/>
    <mergeCell ref="A271:E271"/>
    <mergeCell ref="A284:E284"/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454:E838 E29:E229 E231:E452" xr:uid="{7188C92F-485A-440E-AF29-C2FC80E6A9F8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C29:C41 C43:C229 C231:C900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D29:D55 D57:D229 D231:D900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38"/>
  <sheetViews>
    <sheetView showGridLines="0" zoomScale="50" zoomScaleNormal="50" workbookViewId="0">
      <pane ySplit="1" topLeftCell="A235" activePane="bottomLeft" state="frozen"/>
      <selection pane="bottomLeft" activeCell="F251" sqref="F251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48.5703125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224</v>
      </c>
      <c r="C1" s="23" t="s">
        <v>12</v>
      </c>
      <c r="D1" s="22" t="s">
        <v>13</v>
      </c>
      <c r="E1" s="22" t="s">
        <v>225</v>
      </c>
      <c r="F1" s="23" t="s">
        <v>226</v>
      </c>
      <c r="G1" s="23" t="s">
        <v>227</v>
      </c>
      <c r="H1" s="23" t="s">
        <v>14</v>
      </c>
      <c r="I1" s="23" t="s">
        <v>15</v>
      </c>
      <c r="J1" s="23" t="s">
        <v>228</v>
      </c>
      <c r="K1" s="23" t="s">
        <v>229</v>
      </c>
      <c r="L1" s="23" t="s">
        <v>230</v>
      </c>
      <c r="M1" s="24" t="s">
        <v>231</v>
      </c>
      <c r="N1" s="23" t="s">
        <v>232</v>
      </c>
      <c r="O1" s="23" t="s">
        <v>233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250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159</v>
      </c>
      <c r="J2" s="26" t="s">
        <v>27</v>
      </c>
      <c r="K2" s="29">
        <v>0.33333333333333331</v>
      </c>
      <c r="L2" s="29">
        <v>0.40277777777777779</v>
      </c>
      <c r="M2" s="35">
        <f t="shared" ref="M2:M13" ca="1" si="1">IFERROR(IF(K2="","",IF(L2="",MOD(NOW()-K2,1),IF(L2&gt;=K2,L2-K2,L2+1-K2))),"")</f>
        <v>6.9444444444444475E-2</v>
      </c>
      <c r="N2" s="46" t="s">
        <v>255</v>
      </c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250</v>
      </c>
      <c r="F3" s="27">
        <v>11</v>
      </c>
      <c r="G3" s="34">
        <f t="shared" si="0"/>
        <v>46.2</v>
      </c>
      <c r="H3" s="33" t="s">
        <v>20</v>
      </c>
      <c r="I3" s="33"/>
      <c r="J3" s="33" t="s">
        <v>74</v>
      </c>
      <c r="K3" s="29">
        <v>0.4548611111111111</v>
      </c>
      <c r="L3" s="29">
        <v>0.45833333333333331</v>
      </c>
      <c r="M3" s="30">
        <f t="shared" ca="1" si="1"/>
        <v>3.4722222222222099E-3</v>
      </c>
      <c r="N3" s="46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250</v>
      </c>
      <c r="F4" s="27">
        <v>8</v>
      </c>
      <c r="G4" s="28">
        <f t="shared" si="0"/>
        <v>33.6</v>
      </c>
      <c r="H4" s="26" t="s">
        <v>20</v>
      </c>
      <c r="I4" s="26" t="s">
        <v>31</v>
      </c>
      <c r="J4" s="26" t="s">
        <v>28</v>
      </c>
      <c r="K4" s="29">
        <v>0.49444444444444446</v>
      </c>
      <c r="L4" s="29">
        <v>0.49930555555555556</v>
      </c>
      <c r="M4" s="35">
        <f t="shared" ca="1" si="1"/>
        <v>4.8611111111110938E-3</v>
      </c>
      <c r="N4" s="46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250</v>
      </c>
      <c r="F5" s="27">
        <v>9</v>
      </c>
      <c r="G5" s="34">
        <f t="shared" si="0"/>
        <v>37.800000000000004</v>
      </c>
      <c r="H5" s="33" t="s">
        <v>18</v>
      </c>
      <c r="I5" s="33" t="s">
        <v>39</v>
      </c>
      <c r="J5" s="33" t="s">
        <v>130</v>
      </c>
      <c r="K5" s="29">
        <v>0.56458333333333333</v>
      </c>
      <c r="L5" s="29">
        <v>0.63611111111111107</v>
      </c>
      <c r="M5" s="30">
        <f t="shared" ca="1" si="1"/>
        <v>7.1527777777777746E-2</v>
      </c>
      <c r="N5" s="46" t="s">
        <v>256</v>
      </c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250</v>
      </c>
      <c r="F6" s="27">
        <v>18</v>
      </c>
      <c r="G6" s="28">
        <f t="shared" si="0"/>
        <v>75.600000000000009</v>
      </c>
      <c r="H6" s="26" t="s">
        <v>16</v>
      </c>
      <c r="I6" s="26"/>
      <c r="J6" s="26" t="s">
        <v>58</v>
      </c>
      <c r="K6" s="29">
        <v>0.64166666666666672</v>
      </c>
      <c r="L6" s="29">
        <v>0.65138888888888891</v>
      </c>
      <c r="M6" s="35">
        <f t="shared" ca="1" si="1"/>
        <v>9.7222222222221877E-3</v>
      </c>
      <c r="N6" s="46" t="s">
        <v>257</v>
      </c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250</v>
      </c>
      <c r="F7" s="27">
        <v>16</v>
      </c>
      <c r="G7" s="34">
        <f t="shared" si="0"/>
        <v>67.2</v>
      </c>
      <c r="H7" s="33" t="s">
        <v>20</v>
      </c>
      <c r="I7" s="33"/>
      <c r="J7" s="33" t="s">
        <v>131</v>
      </c>
      <c r="K7" s="29">
        <v>0.70833333333333337</v>
      </c>
      <c r="L7" s="29">
        <v>0.72569444444444442</v>
      </c>
      <c r="M7" s="30">
        <f t="shared" ca="1" si="1"/>
        <v>1.7361111111111049E-2</v>
      </c>
      <c r="N7" s="46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250</v>
      </c>
      <c r="F8" s="27">
        <v>10</v>
      </c>
      <c r="G8" s="28">
        <f t="shared" si="0"/>
        <v>42</v>
      </c>
      <c r="H8" s="26" t="s">
        <v>20</v>
      </c>
      <c r="I8" s="26"/>
      <c r="J8" s="26" t="s">
        <v>131</v>
      </c>
      <c r="K8" s="29">
        <v>0.74722222222222223</v>
      </c>
      <c r="L8" s="29">
        <v>0.77152777777777781</v>
      </c>
      <c r="M8" s="35">
        <f t="shared" ca="1" si="1"/>
        <v>2.430555555555558E-2</v>
      </c>
      <c r="N8" s="46"/>
      <c r="O8" s="31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250</v>
      </c>
      <c r="F9" s="27">
        <v>7</v>
      </c>
      <c r="G9" s="28">
        <f t="shared" si="0"/>
        <v>29.400000000000002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250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250</v>
      </c>
      <c r="F11" s="27">
        <v>16</v>
      </c>
      <c r="G11" s="28">
        <f t="shared" si="0"/>
        <v>67.2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250</v>
      </c>
      <c r="F12" s="27">
        <v>9</v>
      </c>
      <c r="G12" s="28">
        <f t="shared" si="0"/>
        <v>37.800000000000004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250</v>
      </c>
      <c r="F13" s="27">
        <v>0</v>
      </c>
      <c r="G13" s="28">
        <f t="shared" si="0"/>
        <v>0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104" t="s">
        <v>235</v>
      </c>
      <c r="B14" s="105"/>
      <c r="C14" s="105"/>
      <c r="D14" s="105"/>
      <c r="E14" s="106"/>
      <c r="F14" s="36">
        <f>SUM(F2:F13)</f>
        <v>112</v>
      </c>
      <c r="G14" s="36">
        <f>SUM(G2:G13)</f>
        <v>470.40000000000003</v>
      </c>
      <c r="H14" s="37"/>
      <c r="I14" s="37"/>
      <c r="J14" s="37"/>
      <c r="K14" s="37"/>
      <c r="L14" s="37"/>
      <c r="M14" s="38">
        <f ca="1">IFERROR(SUM(M2:M13),"")</f>
        <v>0.20069444444444434</v>
      </c>
      <c r="N14" s="36" t="s">
        <v>236</v>
      </c>
      <c r="O14" s="77">
        <v>481280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250</v>
      </c>
      <c r="F15" s="27">
        <v>26</v>
      </c>
      <c r="G15" s="34">
        <f t="shared" ref="G15:G26" si="3">IF(F15="","",IF(E15="PC 17",F15*4.2,IF(E15="PC 19",F15*5,IF(E15="CB",F15*24,""))))</f>
        <v>109.2</v>
      </c>
      <c r="H15" s="33" t="s">
        <v>19</v>
      </c>
      <c r="I15" s="33" t="s">
        <v>31</v>
      </c>
      <c r="J15" s="33" t="s">
        <v>27</v>
      </c>
      <c r="K15" s="29">
        <v>0.84097222222222223</v>
      </c>
      <c r="L15" s="29">
        <v>0.85069444444444442</v>
      </c>
      <c r="M15" s="35">
        <f t="shared" ref="M15:M26" ca="1" si="4">IFERROR(IF(K15="","",IF(L15="",MOD(NOW()-K15,1),IF(L15&gt;=K15,L15-K15,L15+1-K15))),"")</f>
        <v>9.7222222222221877E-3</v>
      </c>
      <c r="N15" s="46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250</v>
      </c>
      <c r="F16" s="27">
        <v>8</v>
      </c>
      <c r="G16" s="34">
        <f t="shared" si="3"/>
        <v>33.6</v>
      </c>
      <c r="H16" s="26" t="s">
        <v>19</v>
      </c>
      <c r="I16" s="26" t="s">
        <v>39</v>
      </c>
      <c r="J16" s="26" t="s">
        <v>27</v>
      </c>
      <c r="K16" s="29">
        <v>0.85069444444444442</v>
      </c>
      <c r="L16" s="29">
        <v>0.8569444444444444</v>
      </c>
      <c r="M16" s="35">
        <f t="shared" ca="1" si="4"/>
        <v>6.2499999999999778E-3</v>
      </c>
      <c r="N16" s="46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250</v>
      </c>
      <c r="F17" s="27">
        <v>26</v>
      </c>
      <c r="G17" s="34">
        <f t="shared" si="3"/>
        <v>109.2</v>
      </c>
      <c r="H17" s="33" t="s">
        <v>17</v>
      </c>
      <c r="I17" s="33" t="s">
        <v>135</v>
      </c>
      <c r="J17" s="33" t="s">
        <v>49</v>
      </c>
      <c r="K17" s="29">
        <v>2.2916666666666665E-2</v>
      </c>
      <c r="L17" s="29">
        <v>2.361111111111111E-2</v>
      </c>
      <c r="M17" s="35">
        <f t="shared" ca="1" si="4"/>
        <v>6.9444444444444545E-4</v>
      </c>
      <c r="N17" s="46"/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250</v>
      </c>
      <c r="F18" s="27">
        <v>1</v>
      </c>
      <c r="G18" s="34">
        <f t="shared" si="3"/>
        <v>4.2</v>
      </c>
      <c r="H18" s="26" t="s">
        <v>20</v>
      </c>
      <c r="I18" s="26" t="s">
        <v>157</v>
      </c>
      <c r="J18" s="26" t="s">
        <v>74</v>
      </c>
      <c r="K18" s="29">
        <v>2.361111111111111E-2</v>
      </c>
      <c r="L18" s="29">
        <v>2.6388888888888889E-2</v>
      </c>
      <c r="M18" s="35">
        <f t="shared" ca="1" si="4"/>
        <v>2.7777777777777783E-3</v>
      </c>
      <c r="N18" s="46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250</v>
      </c>
      <c r="F19" s="27">
        <v>1</v>
      </c>
      <c r="G19" s="34">
        <f t="shared" si="3"/>
        <v>4.2</v>
      </c>
      <c r="H19" s="33" t="s">
        <v>17</v>
      </c>
      <c r="I19" s="33" t="s">
        <v>135</v>
      </c>
      <c r="J19" s="33" t="s">
        <v>49</v>
      </c>
      <c r="K19" s="29">
        <v>3.6111111111111108E-2</v>
      </c>
      <c r="L19" s="29">
        <v>3.8194444444444448E-2</v>
      </c>
      <c r="M19" s="35">
        <f t="shared" ca="1" si="4"/>
        <v>2.0833333333333398E-3</v>
      </c>
      <c r="N19" s="46" t="s">
        <v>258</v>
      </c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250</v>
      </c>
      <c r="F20" s="27">
        <v>14</v>
      </c>
      <c r="G20" s="34">
        <f t="shared" si="3"/>
        <v>58.800000000000004</v>
      </c>
      <c r="H20" s="26" t="s">
        <v>20</v>
      </c>
      <c r="I20" s="26" t="s">
        <v>31</v>
      </c>
      <c r="J20" s="26" t="s">
        <v>36</v>
      </c>
      <c r="K20" s="29">
        <v>0.16875000000000001</v>
      </c>
      <c r="L20" s="29">
        <v>0.1736111111111111</v>
      </c>
      <c r="M20" s="35">
        <f t="shared" ca="1" si="4"/>
        <v>4.8611111111110938E-3</v>
      </c>
      <c r="N20" s="46" t="s">
        <v>259</v>
      </c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250</v>
      </c>
      <c r="F21" s="27">
        <v>12</v>
      </c>
      <c r="G21" s="34">
        <f t="shared" si="3"/>
        <v>50.400000000000006</v>
      </c>
      <c r="H21" s="33" t="s">
        <v>19</v>
      </c>
      <c r="I21" s="33" t="s">
        <v>39</v>
      </c>
      <c r="J21" s="33" t="s">
        <v>27</v>
      </c>
      <c r="K21" s="29">
        <v>0.1736111111111111</v>
      </c>
      <c r="L21" s="29">
        <v>0.19097222222222221</v>
      </c>
      <c r="M21" s="35">
        <f t="shared" ca="1" si="4"/>
        <v>1.7361111111111105E-2</v>
      </c>
      <c r="N21" s="46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250</v>
      </c>
      <c r="F22" s="27">
        <v>11</v>
      </c>
      <c r="G22" s="34">
        <f t="shared" si="3"/>
        <v>46.2</v>
      </c>
      <c r="H22" s="26" t="s">
        <v>19</v>
      </c>
      <c r="I22" s="26" t="s">
        <v>31</v>
      </c>
      <c r="J22" s="26" t="s">
        <v>27</v>
      </c>
      <c r="K22" s="29">
        <v>0.19097222222222221</v>
      </c>
      <c r="L22" s="29">
        <v>0.2013888888888889</v>
      </c>
      <c r="M22" s="35">
        <f t="shared" ca="1" si="4"/>
        <v>1.0416666666666685E-2</v>
      </c>
      <c r="N22" s="46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250</v>
      </c>
      <c r="F23" s="76">
        <v>7</v>
      </c>
      <c r="G23" s="34">
        <f t="shared" si="3"/>
        <v>29.400000000000002</v>
      </c>
      <c r="H23" s="33" t="s">
        <v>19</v>
      </c>
      <c r="I23" s="33" t="s">
        <v>31</v>
      </c>
      <c r="J23" s="33" t="s">
        <v>50</v>
      </c>
      <c r="K23" s="29">
        <v>0.2013888888888889</v>
      </c>
      <c r="L23" s="29">
        <v>0.21111111111111111</v>
      </c>
      <c r="M23" s="35">
        <f t="shared" ca="1" si="4"/>
        <v>9.7222222222222154E-3</v>
      </c>
      <c r="N23" s="46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250</v>
      </c>
      <c r="F24" s="27">
        <v>0</v>
      </c>
      <c r="G24" s="34">
        <f t="shared" si="3"/>
        <v>0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250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250</v>
      </c>
      <c r="F26" s="27">
        <v>5</v>
      </c>
      <c r="G26" s="34">
        <f t="shared" si="3"/>
        <v>21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104" t="s">
        <v>238</v>
      </c>
      <c r="B27" s="105"/>
      <c r="C27" s="105"/>
      <c r="D27" s="105"/>
      <c r="E27" s="106"/>
      <c r="F27" s="36">
        <f>SUM(F15:F26)</f>
        <v>117</v>
      </c>
      <c r="G27" s="36">
        <f>SUM(G15:G26)</f>
        <v>491.4</v>
      </c>
      <c r="H27" s="37"/>
      <c r="I27" s="37"/>
      <c r="J27" s="37"/>
      <c r="K27" s="37"/>
      <c r="L27" s="37"/>
      <c r="M27" s="38">
        <f ca="1">IFERROR(SUM(M15:M26),"")</f>
        <v>6.3888888888888828E-2</v>
      </c>
      <c r="N27" s="36" t="s">
        <v>236</v>
      </c>
      <c r="O27" s="77">
        <v>549860</v>
      </c>
    </row>
    <row r="28" spans="1:15" ht="18" customHeight="1">
      <c r="A28" s="107" t="s">
        <v>239</v>
      </c>
      <c r="B28" s="108"/>
      <c r="C28" s="108"/>
      <c r="D28" s="108"/>
      <c r="E28" s="109"/>
      <c r="F28" s="40">
        <f>F14+F27</f>
        <v>229</v>
      </c>
      <c r="G28" s="40">
        <f>G14+G27</f>
        <v>961.8</v>
      </c>
      <c r="H28" s="41"/>
      <c r="I28" s="41"/>
      <c r="J28" s="41"/>
      <c r="K28" s="41"/>
      <c r="L28" s="41"/>
      <c r="M28" s="42">
        <f ca="1">IFERROR(M14+M27,"")</f>
        <v>0.26458333333333317</v>
      </c>
      <c r="N28" s="40" t="s">
        <v>240</v>
      </c>
      <c r="O28" s="82">
        <f>O14+O27</f>
        <v>1031140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250</v>
      </c>
      <c r="F29" s="27">
        <v>5</v>
      </c>
      <c r="G29" s="28">
        <f t="shared" ref="G29:G40" si="6">IF(F29="","",IF(E29="PC 17",F29*4.2,IF(E29="PC 19",F29*5,IF(E29="CB",F29*24,""))))</f>
        <v>21</v>
      </c>
      <c r="H29" s="33" t="s">
        <v>20</v>
      </c>
      <c r="I29" s="33" t="s">
        <v>157</v>
      </c>
      <c r="J29" s="33" t="s">
        <v>74</v>
      </c>
      <c r="K29" s="29">
        <v>0.3923611111111111</v>
      </c>
      <c r="L29" s="29">
        <v>0.40625</v>
      </c>
      <c r="M29" s="79">
        <f t="shared" ref="M29:M40" ca="1" si="7">IFERROR(IF(K29="","",IF(L29="",MOD(NOW()-K29,1),IF(L29&gt;=K29,L29-K29,L29+1-K29))),"")</f>
        <v>1.3888888888888895E-2</v>
      </c>
      <c r="N29" s="46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250</v>
      </c>
      <c r="F30" s="27">
        <v>3</v>
      </c>
      <c r="G30" s="34"/>
      <c r="H30" s="26" t="s">
        <v>19</v>
      </c>
      <c r="I30" s="26" t="s">
        <v>39</v>
      </c>
      <c r="J30" s="26" t="s">
        <v>27</v>
      </c>
      <c r="K30" s="29">
        <v>0.63958333333333328</v>
      </c>
      <c r="L30" s="29">
        <v>0.67500000000000004</v>
      </c>
      <c r="M30" s="99">
        <v>3.5416666666666666E-2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250</v>
      </c>
      <c r="F31" s="27">
        <v>4</v>
      </c>
      <c r="G31" s="28">
        <f t="shared" si="6"/>
        <v>16.8</v>
      </c>
      <c r="H31" s="33" t="s">
        <v>19</v>
      </c>
      <c r="I31" s="33" t="s">
        <v>39</v>
      </c>
      <c r="J31" s="33" t="s">
        <v>50</v>
      </c>
      <c r="K31" s="29">
        <v>0.63958333333333328</v>
      </c>
      <c r="L31" s="29">
        <v>0.67500000000000004</v>
      </c>
      <c r="M31" s="35">
        <f t="shared" ca="1" si="7"/>
        <v>3.5416666666666763E-2</v>
      </c>
      <c r="N31" s="46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250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/>
      <c r="N32" s="46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250</v>
      </c>
      <c r="F33" s="27">
        <v>5</v>
      </c>
      <c r="G33" s="28">
        <f t="shared" si="6"/>
        <v>21</v>
      </c>
      <c r="H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250</v>
      </c>
      <c r="F34" s="27">
        <v>19</v>
      </c>
      <c r="G34" s="34">
        <f t="shared" si="6"/>
        <v>79.8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250</v>
      </c>
      <c r="F35" s="27">
        <v>15</v>
      </c>
      <c r="G35" s="28">
        <f t="shared" si="6"/>
        <v>63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250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250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250</v>
      </c>
      <c r="F38" s="27">
        <v>12</v>
      </c>
      <c r="G38" s="34">
        <f t="shared" si="6"/>
        <v>50.400000000000006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250</v>
      </c>
      <c r="F39" s="27">
        <v>7</v>
      </c>
      <c r="G39" s="28">
        <f t="shared" si="6"/>
        <v>29.400000000000002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250</v>
      </c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104" t="s">
        <v>235</v>
      </c>
      <c r="B41" s="105"/>
      <c r="C41" s="105"/>
      <c r="D41" s="105"/>
      <c r="E41" s="106">
        <f>SUM(E29:E40)</f>
        <v>0</v>
      </c>
      <c r="F41" s="36">
        <f>SUM(F29:F40)</f>
        <v>80</v>
      </c>
      <c r="G41" s="36">
        <f>SUM(G29:G40)</f>
        <v>323.39999999999998</v>
      </c>
      <c r="H41" s="37"/>
      <c r="I41" s="37"/>
      <c r="J41" s="37"/>
      <c r="K41" s="37"/>
      <c r="L41" s="37"/>
      <c r="M41" s="38">
        <f ca="1">IFERROR(SUM(M29:M40),"")</f>
        <v>8.4722222222222324E-2</v>
      </c>
      <c r="N41" s="36" t="s">
        <v>236</v>
      </c>
      <c r="O41" s="84">
        <v>311070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250</v>
      </c>
      <c r="F42" s="27">
        <v>18</v>
      </c>
      <c r="G42" s="34">
        <f t="shared" ref="G42:G53" si="9">IF(F42="","",IF(E42="PC 17",F42*4.2,IF(E42="PC 19",F42*5,IF(E42="CB",F42*24,""))))</f>
        <v>75.600000000000009</v>
      </c>
      <c r="H42" s="26" t="s">
        <v>20</v>
      </c>
      <c r="I42" s="26" t="s">
        <v>39</v>
      </c>
      <c r="J42" s="26" t="s">
        <v>51</v>
      </c>
      <c r="K42" s="29">
        <v>0.84097222222222223</v>
      </c>
      <c r="L42" s="29">
        <v>0.84722222222222221</v>
      </c>
      <c r="M42" s="30">
        <f ca="1">IFERROR(IF(K42="","",IF(L42="",MOD(NOW()-K42,1),IF(L42&gt;=K42,L42-K42,L42+1-K42))),"")</f>
        <v>6.2499999999999778E-3</v>
      </c>
      <c r="N42" s="46"/>
      <c r="O42" s="31"/>
    </row>
    <row r="43" spans="1:15" ht="15" customHeight="1">
      <c r="A43" s="68">
        <v>46236</v>
      </c>
      <c r="B43" s="25">
        <f t="shared" ref="B43:B53" si="10">B42+TIME(0,60,0)</f>
        <v>0.87499999999999967</v>
      </c>
      <c r="C43" s="33" t="s">
        <v>29</v>
      </c>
      <c r="D43" s="62" t="s">
        <v>46</v>
      </c>
      <c r="E43" s="62" t="s">
        <v>250</v>
      </c>
      <c r="F43" s="27">
        <v>6</v>
      </c>
      <c r="G43" s="28">
        <f t="shared" si="9"/>
        <v>25.200000000000003</v>
      </c>
      <c r="H43" s="33" t="s">
        <v>20</v>
      </c>
      <c r="I43" s="33" t="s">
        <v>39</v>
      </c>
      <c r="J43" s="33" t="s">
        <v>51</v>
      </c>
      <c r="K43" s="29">
        <v>0.84861111111111109</v>
      </c>
      <c r="L43" s="29">
        <v>0.85069444444444442</v>
      </c>
      <c r="M43" s="30">
        <f t="shared" ref="M43:M53" ca="1" si="11">IFERROR(IF(K43="","",IF(L43="",MOD(NOW()-K43,1),IF(L43&gt;=K43,L43-K43,L43+1-K43))),"")</f>
        <v>2.0833333333333259E-3</v>
      </c>
      <c r="N43" s="46"/>
      <c r="O43" s="31"/>
    </row>
    <row r="44" spans="1:15" ht="15" customHeight="1">
      <c r="A44" s="69">
        <v>46236</v>
      </c>
      <c r="B44" s="32">
        <f t="shared" si="10"/>
        <v>0.9166666666666663</v>
      </c>
      <c r="C44" s="33" t="s">
        <v>29</v>
      </c>
      <c r="D44" s="62" t="s">
        <v>46</v>
      </c>
      <c r="E44" s="62" t="s">
        <v>250</v>
      </c>
      <c r="F44" s="27">
        <v>3</v>
      </c>
      <c r="G44" s="34">
        <f t="shared" si="9"/>
        <v>12.600000000000001</v>
      </c>
      <c r="H44" s="26" t="s">
        <v>20</v>
      </c>
      <c r="I44" s="26" t="s">
        <v>31</v>
      </c>
      <c r="J44" s="26" t="s">
        <v>51</v>
      </c>
      <c r="K44" s="29">
        <v>0.85763888888888884</v>
      </c>
      <c r="L44" s="29">
        <v>0.86875000000000002</v>
      </c>
      <c r="M44" s="30">
        <f ca="1">IFERROR(IF(K44="","",IF(L44="",MOD(NOW()-K44,1),IF(L44&gt;=K44,L44-K44,L44+1-K44))),"")</f>
        <v>1.1111111111111183E-2</v>
      </c>
      <c r="N44" s="46"/>
      <c r="O44" s="31"/>
    </row>
    <row r="45" spans="1:15" ht="15" customHeight="1">
      <c r="A45" s="68">
        <v>46236</v>
      </c>
      <c r="B45" s="25">
        <f t="shared" si="10"/>
        <v>0.95833333333333293</v>
      </c>
      <c r="C45" s="33" t="s">
        <v>29</v>
      </c>
      <c r="D45" s="62" t="s">
        <v>46</v>
      </c>
      <c r="E45" s="62" t="s">
        <v>250</v>
      </c>
      <c r="F45" s="27">
        <v>3</v>
      </c>
      <c r="G45" s="28">
        <f t="shared" si="9"/>
        <v>12.600000000000001</v>
      </c>
      <c r="H45" s="33" t="s">
        <v>20</v>
      </c>
      <c r="I45" s="33" t="s">
        <v>159</v>
      </c>
      <c r="J45" s="33" t="s">
        <v>51</v>
      </c>
      <c r="K45" s="29">
        <v>0.87152777777777779</v>
      </c>
      <c r="L45" s="29">
        <v>0.87847222222222221</v>
      </c>
      <c r="M45" s="30">
        <f t="shared" ca="1" si="11"/>
        <v>6.9444444444444198E-3</v>
      </c>
      <c r="N45" s="46"/>
      <c r="O45" s="31"/>
    </row>
    <row r="46" spans="1:15" ht="15" customHeight="1">
      <c r="A46" s="69">
        <v>46236</v>
      </c>
      <c r="B46" s="32">
        <f t="shared" si="10"/>
        <v>0.99999999999999956</v>
      </c>
      <c r="C46" s="33" t="s">
        <v>29</v>
      </c>
      <c r="D46" s="62" t="s">
        <v>46</v>
      </c>
      <c r="E46" s="62" t="s">
        <v>250</v>
      </c>
      <c r="F46" s="27">
        <v>20</v>
      </c>
      <c r="G46" s="34">
        <f t="shared" si="9"/>
        <v>84</v>
      </c>
      <c r="H46" s="26" t="s">
        <v>20</v>
      </c>
      <c r="I46" s="26" t="s">
        <v>39</v>
      </c>
      <c r="J46" s="26" t="s">
        <v>51</v>
      </c>
      <c r="K46" s="29">
        <v>0.88958333333333328</v>
      </c>
      <c r="L46" s="29">
        <v>0.89375000000000004</v>
      </c>
      <c r="M46" s="30">
        <f t="shared" ca="1" si="11"/>
        <v>4.1666666666667629E-3</v>
      </c>
      <c r="N46" s="46"/>
      <c r="O46" s="31"/>
    </row>
    <row r="47" spans="1:15" ht="15" customHeight="1">
      <c r="A47" s="68">
        <v>46236</v>
      </c>
      <c r="B47" s="25">
        <f t="shared" si="10"/>
        <v>1.0416666666666663</v>
      </c>
      <c r="C47" s="33" t="s">
        <v>29</v>
      </c>
      <c r="D47" s="62" t="s">
        <v>46</v>
      </c>
      <c r="E47" s="62" t="s">
        <v>250</v>
      </c>
      <c r="F47" s="27">
        <v>0</v>
      </c>
      <c r="G47" s="28">
        <f t="shared" si="9"/>
        <v>0</v>
      </c>
      <c r="H47" s="33" t="s">
        <v>20</v>
      </c>
      <c r="I47" s="33" t="s">
        <v>159</v>
      </c>
      <c r="J47" s="33" t="s">
        <v>51</v>
      </c>
      <c r="K47" s="29">
        <v>0.90763888888888888</v>
      </c>
      <c r="L47" s="29">
        <v>0.9194444444444444</v>
      </c>
      <c r="M47" s="30">
        <f t="shared" ca="1" si="11"/>
        <v>1.1805555555555514E-2</v>
      </c>
      <c r="N47" s="46"/>
      <c r="O47" s="31"/>
    </row>
    <row r="48" spans="1:15" ht="15" customHeight="1">
      <c r="A48" s="69">
        <v>46236</v>
      </c>
      <c r="B48" s="32">
        <f t="shared" si="10"/>
        <v>1.083333333333333</v>
      </c>
      <c r="C48" s="33" t="s">
        <v>29</v>
      </c>
      <c r="D48" s="62" t="s">
        <v>46</v>
      </c>
      <c r="E48" s="62" t="s">
        <v>250</v>
      </c>
      <c r="F48" s="27">
        <v>2</v>
      </c>
      <c r="G48" s="34">
        <f t="shared" si="9"/>
        <v>8.4</v>
      </c>
      <c r="H48" s="26" t="s">
        <v>20</v>
      </c>
      <c r="I48" s="26" t="s">
        <v>39</v>
      </c>
      <c r="J48" s="26" t="s">
        <v>51</v>
      </c>
      <c r="K48" s="29">
        <v>0.96666666666666667</v>
      </c>
      <c r="L48" s="29">
        <v>0.98263888888888884</v>
      </c>
      <c r="M48" s="30">
        <f t="shared" ca="1" si="11"/>
        <v>1.5972222222222165E-2</v>
      </c>
      <c r="N48" s="46" t="s">
        <v>260</v>
      </c>
      <c r="O48" s="31"/>
    </row>
    <row r="49" spans="1:15" ht="15" customHeight="1">
      <c r="A49" s="68">
        <v>46236</v>
      </c>
      <c r="B49" s="25">
        <f t="shared" si="10"/>
        <v>1.1249999999999998</v>
      </c>
      <c r="C49" s="33" t="s">
        <v>29</v>
      </c>
      <c r="D49" s="62" t="s">
        <v>46</v>
      </c>
      <c r="E49" s="62" t="s">
        <v>250</v>
      </c>
      <c r="F49" s="27">
        <v>8</v>
      </c>
      <c r="G49" s="28">
        <f t="shared" si="9"/>
        <v>33.6</v>
      </c>
      <c r="H49" s="33" t="s">
        <v>19</v>
      </c>
      <c r="I49" s="33" t="s">
        <v>39</v>
      </c>
      <c r="J49" s="33" t="s">
        <v>27</v>
      </c>
      <c r="K49" s="29">
        <v>1.0416666666666666E-2</v>
      </c>
      <c r="L49" s="29">
        <v>2.7777777777777776E-2</v>
      </c>
      <c r="M49" s="30">
        <f t="shared" ca="1" si="11"/>
        <v>1.7361111111111112E-2</v>
      </c>
      <c r="N49" s="46" t="s">
        <v>261</v>
      </c>
      <c r="O49" s="31"/>
    </row>
    <row r="50" spans="1:15" ht="15" customHeight="1">
      <c r="A50" s="69">
        <v>46236</v>
      </c>
      <c r="B50" s="32">
        <f t="shared" si="10"/>
        <v>1.1666666666666665</v>
      </c>
      <c r="C50" s="33" t="s">
        <v>29</v>
      </c>
      <c r="D50" s="62" t="s">
        <v>46</v>
      </c>
      <c r="E50" s="62" t="s">
        <v>250</v>
      </c>
      <c r="F50" s="27">
        <v>10</v>
      </c>
      <c r="G50" s="34">
        <f t="shared" si="9"/>
        <v>42</v>
      </c>
      <c r="H50" s="26" t="s">
        <v>19</v>
      </c>
      <c r="I50" s="26" t="s">
        <v>39</v>
      </c>
      <c r="J50" s="26" t="s">
        <v>35</v>
      </c>
      <c r="K50" s="29">
        <v>3.5416666666666666E-2</v>
      </c>
      <c r="L50" s="29">
        <v>5.9722222222222225E-2</v>
      </c>
      <c r="M50" s="30">
        <f t="shared" ca="1" si="11"/>
        <v>2.4305555555555559E-2</v>
      </c>
      <c r="N50" s="46"/>
      <c r="O50" s="31"/>
    </row>
    <row r="51" spans="1:15" ht="15" customHeight="1">
      <c r="A51" s="68">
        <v>46236</v>
      </c>
      <c r="B51" s="25">
        <f t="shared" si="10"/>
        <v>1.2083333333333333</v>
      </c>
      <c r="C51" s="33" t="s">
        <v>29</v>
      </c>
      <c r="D51" s="62" t="s">
        <v>46</v>
      </c>
      <c r="E51" s="62" t="s">
        <v>250</v>
      </c>
      <c r="F51" s="27">
        <v>0</v>
      </c>
      <c r="G51" s="28">
        <f t="shared" si="9"/>
        <v>0</v>
      </c>
      <c r="H51" s="33" t="s">
        <v>20</v>
      </c>
      <c r="I51" s="33" t="s">
        <v>39</v>
      </c>
      <c r="J51" s="33" t="s">
        <v>51</v>
      </c>
      <c r="K51" s="29">
        <v>6.1805555555555558E-2</v>
      </c>
      <c r="L51" s="29">
        <v>7.6388888888888895E-2</v>
      </c>
      <c r="M51" s="30">
        <f t="shared" ca="1" si="11"/>
        <v>1.4583333333333337E-2</v>
      </c>
      <c r="N51" s="46"/>
      <c r="O51" s="31"/>
    </row>
    <row r="52" spans="1:15" ht="15" customHeight="1">
      <c r="A52" s="69">
        <v>46236</v>
      </c>
      <c r="B52" s="32">
        <f t="shared" si="10"/>
        <v>1.25</v>
      </c>
      <c r="C52" s="33" t="s">
        <v>29</v>
      </c>
      <c r="D52" s="62" t="s">
        <v>46</v>
      </c>
      <c r="E52" s="62" t="s">
        <v>250</v>
      </c>
      <c r="F52" s="27">
        <v>14</v>
      </c>
      <c r="G52" s="34">
        <f t="shared" si="9"/>
        <v>58.800000000000004</v>
      </c>
      <c r="H52" s="26" t="s">
        <v>18</v>
      </c>
      <c r="I52" s="26" t="s">
        <v>39</v>
      </c>
      <c r="J52" s="26" t="s">
        <v>130</v>
      </c>
      <c r="K52" s="29">
        <v>9.7222222222222224E-2</v>
      </c>
      <c r="L52" s="29">
        <v>0.12152777777777778</v>
      </c>
      <c r="M52" s="30">
        <f t="shared" ca="1" si="11"/>
        <v>2.4305555555555552E-2</v>
      </c>
      <c r="N52" s="46" t="s">
        <v>262</v>
      </c>
      <c r="O52" s="31"/>
    </row>
    <row r="53" spans="1:15" ht="15" customHeight="1">
      <c r="A53" s="68">
        <v>46236</v>
      </c>
      <c r="B53" s="25">
        <f t="shared" si="10"/>
        <v>1.2916666666666667</v>
      </c>
      <c r="C53" s="33" t="s">
        <v>29</v>
      </c>
      <c r="D53" s="62" t="s">
        <v>46</v>
      </c>
      <c r="E53" s="62" t="s">
        <v>250</v>
      </c>
      <c r="F53" s="27">
        <v>0</v>
      </c>
      <c r="G53" s="28">
        <f t="shared" si="9"/>
        <v>0</v>
      </c>
      <c r="H53" s="33" t="s">
        <v>18</v>
      </c>
      <c r="I53" s="33"/>
      <c r="J53" s="33" t="s">
        <v>130</v>
      </c>
      <c r="K53" s="29">
        <v>0.12152777777777778</v>
      </c>
      <c r="L53" s="29"/>
      <c r="M53" s="30">
        <f t="shared" ca="1" si="11"/>
        <v>0.44085034722229466</v>
      </c>
      <c r="N53" s="46" t="s">
        <v>263</v>
      </c>
      <c r="O53" s="31"/>
    </row>
    <row r="54" spans="1:15" ht="15.75" customHeight="1">
      <c r="A54" s="104" t="s">
        <v>238</v>
      </c>
      <c r="B54" s="105"/>
      <c r="C54" s="105"/>
      <c r="D54" s="105"/>
      <c r="E54" s="106">
        <f>SUM(E42:E53)</f>
        <v>0</v>
      </c>
      <c r="F54" s="36">
        <f>SUM(F42:F53)</f>
        <v>84</v>
      </c>
      <c r="G54" s="36">
        <f>SUM(G42:G53)</f>
        <v>352.8</v>
      </c>
      <c r="H54" s="37"/>
      <c r="I54" s="37"/>
      <c r="J54" s="37"/>
      <c r="K54" s="37"/>
      <c r="L54" s="37"/>
      <c r="M54" s="38">
        <f ca="1">IFERROR(SUM(M42:M53),"")</f>
        <v>0.5797392361111835</v>
      </c>
      <c r="N54" s="36" t="s">
        <v>236</v>
      </c>
      <c r="O54" s="84">
        <v>352430</v>
      </c>
    </row>
    <row r="55" spans="1:15" ht="18" customHeight="1">
      <c r="A55" s="107" t="s">
        <v>239</v>
      </c>
      <c r="B55" s="108"/>
      <c r="C55" s="108"/>
      <c r="D55" s="108"/>
      <c r="E55" s="109">
        <f>E41+E54</f>
        <v>0</v>
      </c>
      <c r="F55" s="40">
        <f>F41+F54</f>
        <v>164</v>
      </c>
      <c r="G55" s="40">
        <f>G41+G54</f>
        <v>676.2</v>
      </c>
      <c r="H55" s="41"/>
      <c r="I55" s="41"/>
      <c r="J55" s="41"/>
      <c r="K55" s="41"/>
      <c r="L55" s="41"/>
      <c r="M55" s="42">
        <f ca="1">IFERROR(M41+M54,"")</f>
        <v>0.66446145833340586</v>
      </c>
      <c r="N55" s="40" t="s">
        <v>240</v>
      </c>
      <c r="O55" s="82">
        <f>IFERROR(O41+O54,"")</f>
        <v>663500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250</v>
      </c>
      <c r="F56" s="27">
        <v>12</v>
      </c>
      <c r="G56" s="28">
        <f t="shared" ref="G56:G67" si="12">IF(F56="","",IF(E56="PC 17",F56*4.2,IF(E56="PC 19",F56*5,IF(E56="CB",F56*24,""))))</f>
        <v>50.400000000000006</v>
      </c>
      <c r="H56" s="26" t="s">
        <v>19</v>
      </c>
      <c r="I56" s="26" t="s">
        <v>31</v>
      </c>
      <c r="J56" s="26" t="s">
        <v>27</v>
      </c>
      <c r="K56" s="29">
        <v>0.30416666666666664</v>
      </c>
      <c r="L56" s="29">
        <v>0.31736111111111109</v>
      </c>
      <c r="M56" s="35">
        <f t="shared" ref="M56:M67" ca="1" si="13">IFERROR(IF(K56="","",IF(L56="",MOD(NOW()-K56,1),IF(L56&gt;=K56,L56-K56,L56+1-K56))),"")</f>
        <v>1.3194444444444453E-2</v>
      </c>
      <c r="N56" s="46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250</v>
      </c>
      <c r="F57" s="27">
        <v>17</v>
      </c>
      <c r="G57" s="34">
        <f t="shared" si="12"/>
        <v>71.400000000000006</v>
      </c>
      <c r="H57" s="33" t="s">
        <v>20</v>
      </c>
      <c r="I57" s="33" t="s">
        <v>123</v>
      </c>
      <c r="J57" s="81" t="s">
        <v>114</v>
      </c>
      <c r="K57" s="29">
        <v>0.38541666666666669</v>
      </c>
      <c r="L57" s="29">
        <v>0.39027777777777778</v>
      </c>
      <c r="M57" s="30">
        <v>1.7361111111111112E-2</v>
      </c>
      <c r="N57" s="46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250</v>
      </c>
      <c r="F58" s="27">
        <v>10</v>
      </c>
      <c r="G58" s="28">
        <f t="shared" si="12"/>
        <v>42</v>
      </c>
      <c r="H58" s="26" t="s">
        <v>20</v>
      </c>
      <c r="I58" s="80" t="s">
        <v>123</v>
      </c>
      <c r="J58" s="26" t="s">
        <v>114</v>
      </c>
      <c r="K58" s="29">
        <v>0.40277777777777779</v>
      </c>
      <c r="L58" s="29">
        <v>0.41041666666666665</v>
      </c>
      <c r="M58" s="35"/>
      <c r="N58" s="46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250</v>
      </c>
      <c r="F59" s="27">
        <v>10</v>
      </c>
      <c r="G59" s="34">
        <f t="shared" si="12"/>
        <v>42</v>
      </c>
      <c r="H59" s="33" t="s">
        <v>20</v>
      </c>
      <c r="I59" s="33" t="s">
        <v>123</v>
      </c>
      <c r="J59" s="33" t="s">
        <v>114</v>
      </c>
      <c r="K59" s="29">
        <v>0.42222222222222222</v>
      </c>
      <c r="L59" s="29">
        <v>0.4284722222222222</v>
      </c>
      <c r="M59" s="30">
        <f t="shared" ca="1" si="13"/>
        <v>6.2499999999999778E-3</v>
      </c>
      <c r="N59" s="46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250</v>
      </c>
      <c r="F60" s="27">
        <v>6</v>
      </c>
      <c r="G60" s="28">
        <f t="shared" si="12"/>
        <v>25.200000000000003</v>
      </c>
      <c r="H60" s="26" t="s">
        <v>20</v>
      </c>
      <c r="I60" s="26" t="s">
        <v>123</v>
      </c>
      <c r="J60" s="26" t="s">
        <v>114</v>
      </c>
      <c r="K60" s="29">
        <v>0.46666666666666667</v>
      </c>
      <c r="L60" s="29">
        <v>0.48472222222222222</v>
      </c>
      <c r="M60" s="35">
        <f t="shared" ca="1" si="13"/>
        <v>1.8055555555555547E-2</v>
      </c>
      <c r="N60" s="46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250</v>
      </c>
      <c r="F61" s="27">
        <v>14</v>
      </c>
      <c r="G61" s="34">
        <f t="shared" si="12"/>
        <v>58.800000000000004</v>
      </c>
      <c r="H61" s="33" t="s">
        <v>20</v>
      </c>
      <c r="I61" s="33" t="s">
        <v>123</v>
      </c>
      <c r="J61" s="33" t="s">
        <v>114</v>
      </c>
      <c r="K61" s="29">
        <v>0.5</v>
      </c>
      <c r="L61" s="29">
        <v>0.50694444444444442</v>
      </c>
      <c r="M61" s="30">
        <f t="shared" ca="1" si="13"/>
        <v>6.9444444444444198E-3</v>
      </c>
      <c r="N61" s="46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250</v>
      </c>
      <c r="F62" s="27">
        <v>19</v>
      </c>
      <c r="G62" s="28">
        <f t="shared" si="12"/>
        <v>79.8</v>
      </c>
      <c r="H62" s="26" t="s">
        <v>20</v>
      </c>
      <c r="I62" s="26" t="s">
        <v>123</v>
      </c>
      <c r="J62" s="26" t="s">
        <v>114</v>
      </c>
      <c r="K62" s="29">
        <v>0.51249999999999996</v>
      </c>
      <c r="L62" s="29">
        <v>0.52777777777777779</v>
      </c>
      <c r="M62" s="35">
        <f t="shared" ca="1" si="13"/>
        <v>1.5277777777777835E-2</v>
      </c>
      <c r="N62" s="46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250</v>
      </c>
      <c r="F63" s="27">
        <v>12</v>
      </c>
      <c r="G63" s="34">
        <f t="shared" si="12"/>
        <v>50.400000000000006</v>
      </c>
      <c r="H63" s="33" t="s">
        <v>19</v>
      </c>
      <c r="I63" s="33" t="s">
        <v>39</v>
      </c>
      <c r="J63" s="33" t="s">
        <v>27</v>
      </c>
      <c r="K63" s="29">
        <v>0.68541666666666667</v>
      </c>
      <c r="L63" s="29">
        <v>0.72430555555555554</v>
      </c>
      <c r="M63" s="30">
        <f t="shared" ca="1" si="13"/>
        <v>3.8888888888888862E-2</v>
      </c>
      <c r="N63" s="46" t="s">
        <v>255</v>
      </c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250</v>
      </c>
      <c r="F64" s="27">
        <v>14</v>
      </c>
      <c r="G64" s="28">
        <f t="shared" si="12"/>
        <v>58.800000000000004</v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250</v>
      </c>
      <c r="F65" s="27">
        <v>6</v>
      </c>
      <c r="G65" s="34">
        <f t="shared" si="12"/>
        <v>25.200000000000003</v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250</v>
      </c>
      <c r="F66" s="27">
        <v>5</v>
      </c>
      <c r="G66" s="28">
        <f t="shared" si="12"/>
        <v>21</v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250</v>
      </c>
      <c r="F67" s="27">
        <v>11</v>
      </c>
      <c r="G67" s="34">
        <f t="shared" si="12"/>
        <v>46.2</v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104" t="s">
        <v>235</v>
      </c>
      <c r="B68" s="105"/>
      <c r="C68" s="105"/>
      <c r="D68" s="105"/>
      <c r="E68" s="106">
        <f>SUM(E56:E67)</f>
        <v>0</v>
      </c>
      <c r="F68" s="36">
        <f>SUM(F56:F67)</f>
        <v>136</v>
      </c>
      <c r="G68" s="36">
        <f>SUM(G56:G67)</f>
        <v>571.20000000000005</v>
      </c>
      <c r="H68" s="37"/>
      <c r="I68" s="37"/>
      <c r="J68" s="37"/>
      <c r="K68" s="37"/>
      <c r="L68" s="37"/>
      <c r="M68" s="38">
        <f ca="1">IFERROR(SUM(M56:M67),"")</f>
        <v>0.1159722222222222</v>
      </c>
      <c r="N68" s="36" t="s">
        <v>236</v>
      </c>
      <c r="O68" s="54">
        <v>565230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250</v>
      </c>
      <c r="F69" s="27">
        <v>21</v>
      </c>
      <c r="G69" s="34">
        <f t="shared" ref="G69:G80" si="15">IF(F69="","",IF(E69="PC 17",F69*4.2,IF(E69="PC 19",F69*5,IF(E69="CB",F69*24,""))))</f>
        <v>88.2</v>
      </c>
      <c r="H69" s="33" t="s">
        <v>20</v>
      </c>
      <c r="I69" s="33" t="s">
        <v>149</v>
      </c>
      <c r="J69" s="26" t="s">
        <v>185</v>
      </c>
      <c r="K69" s="33"/>
      <c r="L69" s="29">
        <v>0.82638888888888884</v>
      </c>
      <c r="M69" s="30" t="str">
        <f ca="1">IFERROR(IF(#REF!="","",IF(L69="",MOD(NOW()-#REF!,1),IF(L69&gt;=#REF!,L69-#REF!,L69+1-#REF!))),"")</f>
        <v/>
      </c>
      <c r="N69" s="46"/>
      <c r="O69" s="31"/>
    </row>
    <row r="70" spans="1:15" ht="15" customHeight="1">
      <c r="A70" s="68">
        <v>46237</v>
      </c>
      <c r="B70" s="25">
        <f t="shared" ref="B70:B80" si="16">B69+TIME(0,60,0)</f>
        <v>0.87499999999999967</v>
      </c>
      <c r="C70" s="33" t="s">
        <v>29</v>
      </c>
      <c r="D70" s="62" t="s">
        <v>30</v>
      </c>
      <c r="E70" s="62" t="s">
        <v>250</v>
      </c>
      <c r="F70" s="27">
        <v>14</v>
      </c>
      <c r="G70" s="28">
        <f t="shared" si="15"/>
        <v>58.800000000000004</v>
      </c>
      <c r="H70" s="26" t="s">
        <v>17</v>
      </c>
      <c r="I70" s="26" t="s">
        <v>135</v>
      </c>
      <c r="J70" s="26" t="s">
        <v>49</v>
      </c>
      <c r="K70" s="29">
        <v>0.85833333333333328</v>
      </c>
      <c r="L70" s="29">
        <v>0.85972222222222228</v>
      </c>
      <c r="M70" s="35">
        <f t="shared" ref="M70:M80" ca="1" si="17">IFERROR(IF(K70="","",IF(L70="",MOD(NOW()-K70,1),IF(L70&gt;=K70,L70-K70,L70+1-K70))),"")</f>
        <v>1.388888888888995E-3</v>
      </c>
      <c r="N70" s="46"/>
      <c r="O70" s="31"/>
    </row>
    <row r="71" spans="1:15" ht="15" customHeight="1">
      <c r="A71" s="69">
        <v>46237</v>
      </c>
      <c r="B71" s="32">
        <f t="shared" si="16"/>
        <v>0.9166666666666663</v>
      </c>
      <c r="C71" s="33" t="s">
        <v>29</v>
      </c>
      <c r="D71" s="62" t="s">
        <v>30</v>
      </c>
      <c r="E71" s="62" t="s">
        <v>250</v>
      </c>
      <c r="F71" s="27">
        <v>1</v>
      </c>
      <c r="G71" s="34">
        <f t="shared" si="15"/>
        <v>4.2</v>
      </c>
      <c r="H71" s="33" t="s">
        <v>20</v>
      </c>
      <c r="I71" s="33" t="s">
        <v>157</v>
      </c>
      <c r="J71" s="33" t="s">
        <v>74</v>
      </c>
      <c r="K71" s="29">
        <v>0.85277777777777775</v>
      </c>
      <c r="L71" s="29">
        <v>0.86597222222222225</v>
      </c>
      <c r="M71" s="30">
        <f t="shared" ca="1" si="17"/>
        <v>1.3194444444444509E-2</v>
      </c>
      <c r="N71" s="46"/>
      <c r="O71" s="31"/>
    </row>
    <row r="72" spans="1:15" ht="15" customHeight="1">
      <c r="A72" s="68">
        <v>46237</v>
      </c>
      <c r="B72" s="25">
        <f t="shared" si="16"/>
        <v>0.95833333333333293</v>
      </c>
      <c r="C72" s="33" t="s">
        <v>29</v>
      </c>
      <c r="D72" s="62" t="s">
        <v>30</v>
      </c>
      <c r="E72" s="62" t="s">
        <v>250</v>
      </c>
      <c r="F72" s="27">
        <v>5</v>
      </c>
      <c r="G72" s="28">
        <f t="shared" si="15"/>
        <v>21</v>
      </c>
      <c r="H72" s="26" t="s">
        <v>20</v>
      </c>
      <c r="I72" s="26" t="s">
        <v>157</v>
      </c>
      <c r="J72" s="26" t="s">
        <v>74</v>
      </c>
      <c r="K72" s="29">
        <v>0.91180555555555554</v>
      </c>
      <c r="L72" s="29">
        <v>0.91527777777777775</v>
      </c>
      <c r="M72" s="35">
        <f t="shared" ca="1" si="17"/>
        <v>3.4722222222222099E-3</v>
      </c>
      <c r="N72" s="46"/>
      <c r="O72" s="31"/>
    </row>
    <row r="73" spans="1:15" ht="15" customHeight="1">
      <c r="A73" s="69">
        <v>46237</v>
      </c>
      <c r="B73" s="32">
        <f t="shared" si="16"/>
        <v>0.99999999999999956</v>
      </c>
      <c r="C73" s="33" t="s">
        <v>29</v>
      </c>
      <c r="D73" s="62" t="s">
        <v>30</v>
      </c>
      <c r="E73" s="62" t="s">
        <v>250</v>
      </c>
      <c r="F73" s="27">
        <v>14</v>
      </c>
      <c r="G73" s="34">
        <f t="shared" si="15"/>
        <v>58.800000000000004</v>
      </c>
      <c r="H73" s="33" t="s">
        <v>19</v>
      </c>
      <c r="I73" s="33" t="s">
        <v>31</v>
      </c>
      <c r="J73" s="33" t="s">
        <v>27</v>
      </c>
      <c r="K73" s="29">
        <v>0.91527777777777775</v>
      </c>
      <c r="L73" s="29">
        <v>0.92222222222222228</v>
      </c>
      <c r="M73" s="30">
        <f t="shared" ca="1" si="17"/>
        <v>6.9444444444445308E-3</v>
      </c>
      <c r="N73" s="46"/>
      <c r="O73" s="31"/>
    </row>
    <row r="74" spans="1:15" ht="15" customHeight="1">
      <c r="A74" s="68">
        <v>46237</v>
      </c>
      <c r="B74" s="25">
        <f t="shared" si="16"/>
        <v>1.0416666666666663</v>
      </c>
      <c r="C74" s="33" t="s">
        <v>29</v>
      </c>
      <c r="D74" s="62" t="s">
        <v>30</v>
      </c>
      <c r="E74" s="62" t="s">
        <v>250</v>
      </c>
      <c r="F74" s="27">
        <v>19</v>
      </c>
      <c r="G74" s="28">
        <f t="shared" si="15"/>
        <v>79.8</v>
      </c>
      <c r="H74" s="26" t="s">
        <v>20</v>
      </c>
      <c r="I74" s="26" t="s">
        <v>157</v>
      </c>
      <c r="J74" s="26" t="s">
        <v>74</v>
      </c>
      <c r="K74" s="29">
        <v>0.95972222222222225</v>
      </c>
      <c r="L74" s="29">
        <v>0.96388888888888891</v>
      </c>
      <c r="M74" s="35">
        <f t="shared" ca="1" si="17"/>
        <v>4.1666666666666519E-3</v>
      </c>
      <c r="N74" s="46"/>
      <c r="O74" s="31"/>
    </row>
    <row r="75" spans="1:15" ht="15" customHeight="1">
      <c r="A75" s="69">
        <v>46237</v>
      </c>
      <c r="B75" s="32">
        <f t="shared" si="16"/>
        <v>1.083333333333333</v>
      </c>
      <c r="C75" s="33" t="s">
        <v>29</v>
      </c>
      <c r="D75" s="62" t="s">
        <v>30</v>
      </c>
      <c r="E75" s="62" t="s">
        <v>250</v>
      </c>
      <c r="F75" s="27">
        <v>16</v>
      </c>
      <c r="G75" s="34">
        <f t="shared" si="15"/>
        <v>67.2</v>
      </c>
      <c r="H75" s="33" t="s">
        <v>19</v>
      </c>
      <c r="I75" s="33" t="s">
        <v>39</v>
      </c>
      <c r="J75" s="33" t="s">
        <v>27</v>
      </c>
      <c r="K75" s="29">
        <v>0.12916666666666668</v>
      </c>
      <c r="L75" s="29">
        <v>0.14027777777777778</v>
      </c>
      <c r="M75" s="30">
        <f t="shared" ca="1" si="17"/>
        <v>1.1111111111111099E-2</v>
      </c>
      <c r="N75" s="46"/>
      <c r="O75" s="31"/>
    </row>
    <row r="76" spans="1:15" ht="15" customHeight="1">
      <c r="A76" s="68">
        <v>46237</v>
      </c>
      <c r="B76" s="25">
        <f t="shared" si="16"/>
        <v>1.1249999999999998</v>
      </c>
      <c r="C76" s="33" t="s">
        <v>29</v>
      </c>
      <c r="D76" s="62" t="s">
        <v>30</v>
      </c>
      <c r="E76" s="62" t="s">
        <v>250</v>
      </c>
      <c r="F76" s="27">
        <v>12</v>
      </c>
      <c r="G76" s="28">
        <f t="shared" si="15"/>
        <v>50.400000000000006</v>
      </c>
      <c r="H76" s="26" t="s">
        <v>20</v>
      </c>
      <c r="I76" s="26" t="s">
        <v>31</v>
      </c>
      <c r="J76" s="26" t="s">
        <v>200</v>
      </c>
      <c r="K76" s="29">
        <v>0.26250000000000001</v>
      </c>
      <c r="L76" s="29">
        <v>0.27569444444444446</v>
      </c>
      <c r="M76" s="35">
        <f t="shared" ca="1" si="17"/>
        <v>1.3194444444444453E-2</v>
      </c>
      <c r="N76" s="46" t="s">
        <v>264</v>
      </c>
      <c r="O76" s="31"/>
    </row>
    <row r="77" spans="1:15" ht="15" customHeight="1">
      <c r="A77" s="69">
        <v>46237</v>
      </c>
      <c r="B77" s="32">
        <f t="shared" si="16"/>
        <v>1.1666666666666665</v>
      </c>
      <c r="C77" s="33" t="s">
        <v>29</v>
      </c>
      <c r="D77" s="62" t="s">
        <v>30</v>
      </c>
      <c r="E77" s="62" t="s">
        <v>250</v>
      </c>
      <c r="F77" s="27">
        <v>12</v>
      </c>
      <c r="G77" s="34">
        <f t="shared" si="15"/>
        <v>50.400000000000006</v>
      </c>
      <c r="H77" s="33"/>
      <c r="I77" s="33"/>
      <c r="J77" s="33"/>
      <c r="K77" s="29"/>
      <c r="L77" s="29"/>
      <c r="M77" s="30" t="str">
        <f t="shared" ca="1" si="17"/>
        <v/>
      </c>
      <c r="N77" s="46"/>
      <c r="O77" s="31"/>
    </row>
    <row r="78" spans="1:15" ht="15" customHeight="1">
      <c r="A78" s="68">
        <v>46237</v>
      </c>
      <c r="B78" s="25">
        <f t="shared" si="16"/>
        <v>1.2083333333333333</v>
      </c>
      <c r="C78" s="33" t="s">
        <v>29</v>
      </c>
      <c r="D78" s="62" t="s">
        <v>30</v>
      </c>
      <c r="E78" s="62" t="s">
        <v>250</v>
      </c>
      <c r="F78" s="27">
        <v>13</v>
      </c>
      <c r="G78" s="28">
        <f t="shared" si="15"/>
        <v>54.6</v>
      </c>
      <c r="H78" s="26"/>
      <c r="I78" s="26"/>
      <c r="J78" s="26"/>
      <c r="K78" s="29"/>
      <c r="L78" s="29"/>
      <c r="M78" s="35" t="str">
        <f t="shared" ca="1" si="17"/>
        <v/>
      </c>
      <c r="N78" s="46"/>
      <c r="O78" s="31"/>
    </row>
    <row r="79" spans="1:15" ht="15" customHeight="1">
      <c r="A79" s="69">
        <v>46237</v>
      </c>
      <c r="B79" s="32">
        <f t="shared" si="16"/>
        <v>1.25</v>
      </c>
      <c r="C79" s="33" t="s">
        <v>29</v>
      </c>
      <c r="D79" s="62" t="s">
        <v>22</v>
      </c>
      <c r="E79" s="62" t="s">
        <v>250</v>
      </c>
      <c r="F79" s="27">
        <v>15</v>
      </c>
      <c r="G79" s="34">
        <f t="shared" si="15"/>
        <v>63</v>
      </c>
      <c r="H79" s="33"/>
      <c r="I79" s="33"/>
      <c r="J79" s="33"/>
      <c r="K79" s="29"/>
      <c r="L79" s="29"/>
      <c r="M79" s="30" t="str">
        <f t="shared" ca="1" si="17"/>
        <v/>
      </c>
      <c r="N79" s="46"/>
      <c r="O79" s="31"/>
    </row>
    <row r="80" spans="1:15" ht="15" customHeight="1">
      <c r="A80" s="68">
        <v>46237</v>
      </c>
      <c r="B80" s="25">
        <f t="shared" si="16"/>
        <v>1.2916666666666667</v>
      </c>
      <c r="C80" s="33" t="s">
        <v>29</v>
      </c>
      <c r="D80" s="62" t="s">
        <v>22</v>
      </c>
      <c r="E80" s="62" t="s">
        <v>250</v>
      </c>
      <c r="F80" s="27">
        <v>10</v>
      </c>
      <c r="G80" s="28">
        <f t="shared" si="15"/>
        <v>42</v>
      </c>
      <c r="H80" s="26"/>
      <c r="I80" s="26"/>
      <c r="J80" s="26"/>
      <c r="K80" s="29"/>
      <c r="L80" s="29"/>
      <c r="M80" s="35" t="str">
        <f t="shared" ca="1" si="17"/>
        <v/>
      </c>
      <c r="N80" s="46"/>
      <c r="O80" s="31"/>
    </row>
    <row r="81" spans="1:15" ht="15.75" customHeight="1">
      <c r="A81" s="104" t="s">
        <v>238</v>
      </c>
      <c r="B81" s="105"/>
      <c r="C81" s="105"/>
      <c r="D81" s="105"/>
      <c r="E81" s="106">
        <f>SUM(E69:E80)</f>
        <v>0</v>
      </c>
      <c r="F81" s="36">
        <f>SUM(F69:F80)</f>
        <v>152</v>
      </c>
      <c r="G81" s="36">
        <f>SUM(G69:G80)</f>
        <v>638.4</v>
      </c>
      <c r="H81" s="37"/>
      <c r="I81" s="37"/>
      <c r="J81" s="37"/>
      <c r="K81" s="37"/>
      <c r="L81" s="37"/>
      <c r="M81" s="38">
        <f ca="1">IFERROR(SUM(M69:M80),"")</f>
        <v>5.3472222222222449E-2</v>
      </c>
      <c r="N81" s="36" t="s">
        <v>236</v>
      </c>
      <c r="O81" s="54">
        <v>634210</v>
      </c>
    </row>
    <row r="82" spans="1:15" ht="18" customHeight="1">
      <c r="A82" s="107" t="s">
        <v>239</v>
      </c>
      <c r="B82" s="108"/>
      <c r="C82" s="108"/>
      <c r="D82" s="108"/>
      <c r="E82" s="109">
        <f>E68+E81</f>
        <v>0</v>
      </c>
      <c r="F82" s="40">
        <f>F68+F81</f>
        <v>288</v>
      </c>
      <c r="G82" s="40">
        <f>G68+G81</f>
        <v>1209.5999999999999</v>
      </c>
      <c r="H82" s="41"/>
      <c r="I82" s="41"/>
      <c r="J82" s="41"/>
      <c r="K82" s="41"/>
      <c r="L82" s="41"/>
      <c r="M82" s="42">
        <f ca="1">IFERROR(M68+M81,"")</f>
        <v>0.16944444444444465</v>
      </c>
      <c r="N82" s="40" t="s">
        <v>240</v>
      </c>
      <c r="O82" s="82">
        <f>IFERROR(O68+O81,"")</f>
        <v>1199440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20" t="s">
        <v>265</v>
      </c>
      <c r="E83" s="59" t="s">
        <v>250</v>
      </c>
      <c r="F83" s="27">
        <v>12</v>
      </c>
      <c r="G83" s="28">
        <f t="shared" ref="G83:G94" si="18">IF(F83="","",IF(E83="PC 17",F83*4.2,IF(E83="PC 19",F83*5,IF(E83="CB",F83*24,""))))</f>
        <v>50.400000000000006</v>
      </c>
      <c r="H83" s="33" t="s">
        <v>18</v>
      </c>
      <c r="I83" s="33" t="s">
        <v>138</v>
      </c>
      <c r="J83" s="33" t="s">
        <v>210</v>
      </c>
      <c r="K83" s="29">
        <v>0.34097222222222223</v>
      </c>
      <c r="L83" s="29">
        <v>0.36041666666666666</v>
      </c>
      <c r="M83" s="35">
        <f t="shared" ref="M83:M94" ca="1" si="19">IFERROR(IF(K83="","",IF(L83="",MOD(NOW()-K83,1),IF(L83&gt;=K83,L83-K83,L83+1-K83))),"")</f>
        <v>1.9444444444444431E-2</v>
      </c>
      <c r="N83" s="46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250</v>
      </c>
      <c r="F84" s="27">
        <v>6</v>
      </c>
      <c r="G84" s="34">
        <f t="shared" si="18"/>
        <v>25.200000000000003</v>
      </c>
      <c r="H84" s="26" t="s">
        <v>19</v>
      </c>
      <c r="I84" s="26" t="s">
        <v>39</v>
      </c>
      <c r="J84" s="26" t="s">
        <v>27</v>
      </c>
      <c r="K84" s="29">
        <v>0.40694444444444444</v>
      </c>
      <c r="L84" s="29">
        <v>0.4201388888888889</v>
      </c>
      <c r="M84" s="30">
        <f t="shared" ca="1" si="19"/>
        <v>1.3194444444444453E-2</v>
      </c>
      <c r="N84" s="46"/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250</v>
      </c>
      <c r="F85" s="27">
        <v>15</v>
      </c>
      <c r="G85" s="28">
        <f t="shared" si="18"/>
        <v>63</v>
      </c>
      <c r="H85" s="33" t="s">
        <v>20</v>
      </c>
      <c r="I85" s="33" t="s">
        <v>39</v>
      </c>
      <c r="J85" s="33" t="s">
        <v>36</v>
      </c>
      <c r="K85" s="29">
        <v>0.42430555555555555</v>
      </c>
      <c r="L85" s="29">
        <v>0.43125000000000002</v>
      </c>
      <c r="M85" s="35">
        <f t="shared" ca="1" si="19"/>
        <v>6.9444444444444753E-3</v>
      </c>
      <c r="N85" s="46"/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250</v>
      </c>
      <c r="F86" s="27">
        <v>13</v>
      </c>
      <c r="G86" s="34">
        <f t="shared" si="18"/>
        <v>54.6</v>
      </c>
      <c r="H86" s="26" t="s">
        <v>20</v>
      </c>
      <c r="I86" s="26" t="s">
        <v>39</v>
      </c>
      <c r="J86" s="26" t="s">
        <v>36</v>
      </c>
      <c r="K86" s="29">
        <v>0.5395833333333333</v>
      </c>
      <c r="L86" s="29">
        <v>0.54513888888888884</v>
      </c>
      <c r="M86" s="30">
        <f t="shared" ca="1" si="19"/>
        <v>5.5555555555555358E-3</v>
      </c>
      <c r="N86" s="46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250</v>
      </c>
      <c r="F87" s="27">
        <v>14</v>
      </c>
      <c r="G87" s="28">
        <f t="shared" si="18"/>
        <v>58.800000000000004</v>
      </c>
      <c r="H87" s="33" t="s">
        <v>18</v>
      </c>
      <c r="I87" s="33" t="s">
        <v>138</v>
      </c>
      <c r="J87" s="33" t="s">
        <v>118</v>
      </c>
      <c r="K87" s="29">
        <v>0.56666666666666665</v>
      </c>
      <c r="L87" s="29">
        <v>0.73819444444444449</v>
      </c>
      <c r="M87" s="35">
        <f t="shared" ca="1" si="19"/>
        <v>0.17152777777777783</v>
      </c>
      <c r="N87" s="46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250</v>
      </c>
      <c r="F88" s="27">
        <v>18</v>
      </c>
      <c r="G88" s="34">
        <f t="shared" si="18"/>
        <v>75.600000000000009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250</v>
      </c>
      <c r="F89" s="27">
        <v>12</v>
      </c>
      <c r="G89" s="28">
        <f t="shared" si="18"/>
        <v>50.400000000000006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250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250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250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250</v>
      </c>
      <c r="F93" s="27">
        <v>2</v>
      </c>
      <c r="G93" s="28">
        <f t="shared" si="18"/>
        <v>8.4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250</v>
      </c>
      <c r="F94" s="27">
        <v>4</v>
      </c>
      <c r="G94" s="34">
        <f t="shared" si="18"/>
        <v>16.8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104" t="s">
        <v>235</v>
      </c>
      <c r="B95" s="105"/>
      <c r="C95" s="105"/>
      <c r="D95" s="105"/>
      <c r="E95" s="106">
        <f>SUM(E83:E94)</f>
        <v>0</v>
      </c>
      <c r="F95" s="36">
        <f>SUM(F83:F94)</f>
        <v>96</v>
      </c>
      <c r="G95" s="36">
        <f>SUM(G83:G94)</f>
        <v>403.2</v>
      </c>
      <c r="H95" s="37"/>
      <c r="I95" s="37"/>
      <c r="J95" s="37"/>
      <c r="K95" s="37"/>
      <c r="L95" s="37"/>
      <c r="M95" s="38">
        <f ca="1">IFERROR(SUM(M83:M94),"")</f>
        <v>0.21666666666666673</v>
      </c>
      <c r="N95" s="36" t="s">
        <v>236</v>
      </c>
      <c r="O95" s="54">
        <v>449600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250</v>
      </c>
      <c r="F96" s="27">
        <v>3</v>
      </c>
      <c r="G96" s="34">
        <f t="shared" ref="G96:G107" si="21">IF(F96="","",IF(E96="PC 17",F96*4.2,IF(E96="PC 19",F96*5,IF(E96="CB",F96*24,""))))</f>
        <v>12.600000000000001</v>
      </c>
      <c r="H96" s="26" t="s">
        <v>18</v>
      </c>
      <c r="I96" s="26" t="s">
        <v>141</v>
      </c>
      <c r="J96" s="26" t="s">
        <v>118</v>
      </c>
      <c r="K96" s="29">
        <v>0.79166666666666663</v>
      </c>
      <c r="L96" s="29" t="s">
        <v>266</v>
      </c>
      <c r="M96" s="30" t="str">
        <f t="shared" ref="M96:M107" ca="1" si="22">IFERROR(IF(K96="","",IF(L96="",MOD(NOW()-K96,1),IF(L96&gt;=K96,L96-K96,L96+1-K96))),"")</f>
        <v/>
      </c>
      <c r="N96" s="46" t="s">
        <v>267</v>
      </c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250</v>
      </c>
      <c r="F97" s="27">
        <v>0</v>
      </c>
      <c r="G97" s="28">
        <f t="shared" si="21"/>
        <v>0</v>
      </c>
      <c r="H97" s="33" t="s">
        <v>19</v>
      </c>
      <c r="I97" s="33" t="s">
        <v>31</v>
      </c>
      <c r="J97" s="33" t="s">
        <v>50</v>
      </c>
      <c r="K97" s="29">
        <v>2.0833333333333332E-2</v>
      </c>
      <c r="L97" s="29">
        <v>5.2777777777777778E-2</v>
      </c>
      <c r="M97" s="35">
        <f t="shared" ca="1" si="22"/>
        <v>3.1944444444444442E-2</v>
      </c>
      <c r="N97" s="46" t="s">
        <v>237</v>
      </c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250</v>
      </c>
      <c r="F98" s="27">
        <v>0</v>
      </c>
      <c r="G98" s="34">
        <f t="shared" si="21"/>
        <v>0</v>
      </c>
      <c r="H98" s="26" t="s">
        <v>17</v>
      </c>
      <c r="I98" s="26" t="s">
        <v>31</v>
      </c>
      <c r="J98" s="26"/>
      <c r="K98" s="29">
        <v>0.12430555555555556</v>
      </c>
      <c r="L98" s="29">
        <v>0.12847222222222221</v>
      </c>
      <c r="M98" s="30">
        <f t="shared" ca="1" si="22"/>
        <v>4.1666666666666519E-3</v>
      </c>
      <c r="N98" s="46" t="s">
        <v>268</v>
      </c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250</v>
      </c>
      <c r="F99" s="27">
        <v>0</v>
      </c>
      <c r="G99" s="28">
        <f t="shared" si="21"/>
        <v>0</v>
      </c>
      <c r="H99" s="33" t="s">
        <v>20</v>
      </c>
      <c r="I99" s="33" t="s">
        <v>39</v>
      </c>
      <c r="J99" s="33" t="s">
        <v>183</v>
      </c>
      <c r="K99" s="29">
        <v>0.12847222222222221</v>
      </c>
      <c r="L99" s="29">
        <v>0.13819444444444445</v>
      </c>
      <c r="M99" s="35">
        <f t="shared" ca="1" si="22"/>
        <v>9.7222222222222432E-3</v>
      </c>
      <c r="N99" s="46" t="s">
        <v>269</v>
      </c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250</v>
      </c>
      <c r="F100" s="27">
        <v>25</v>
      </c>
      <c r="G100" s="34">
        <f t="shared" si="21"/>
        <v>105</v>
      </c>
      <c r="H100" s="26" t="s">
        <v>19</v>
      </c>
      <c r="I100" s="26" t="s">
        <v>31</v>
      </c>
      <c r="J100" s="26" t="s">
        <v>50</v>
      </c>
      <c r="K100" s="29">
        <v>0.14791666666666667</v>
      </c>
      <c r="L100" s="29">
        <v>0.16666666666666666</v>
      </c>
      <c r="M100" s="30">
        <f t="shared" ca="1" si="22"/>
        <v>1.8749999999999989E-2</v>
      </c>
      <c r="N100" s="46" t="s">
        <v>237</v>
      </c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250</v>
      </c>
      <c r="F101" s="27">
        <v>3</v>
      </c>
      <c r="G101" s="28">
        <f t="shared" si="21"/>
        <v>12.600000000000001</v>
      </c>
      <c r="H101" s="33" t="s">
        <v>20</v>
      </c>
      <c r="I101" s="33" t="s">
        <v>39</v>
      </c>
      <c r="J101" s="33" t="s">
        <v>36</v>
      </c>
      <c r="K101" s="29">
        <v>0.25624999999999998</v>
      </c>
      <c r="L101" s="29">
        <v>0.25833333333333336</v>
      </c>
      <c r="M101" s="35">
        <f t="shared" ca="1" si="22"/>
        <v>2.0833333333333814E-3</v>
      </c>
      <c r="N101" s="46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250</v>
      </c>
      <c r="F102" s="27">
        <v>11</v>
      </c>
      <c r="G102" s="34">
        <f t="shared" si="21"/>
        <v>46.2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250</v>
      </c>
      <c r="F103" s="27">
        <v>18</v>
      </c>
      <c r="G103" s="28">
        <f t="shared" si="21"/>
        <v>75.600000000000009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250</v>
      </c>
      <c r="F104" s="27">
        <v>9</v>
      </c>
      <c r="G104" s="34">
        <f t="shared" si="21"/>
        <v>37.800000000000004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250</v>
      </c>
      <c r="F105" s="27">
        <v>12</v>
      </c>
      <c r="G105" s="28">
        <f t="shared" si="21"/>
        <v>50.400000000000006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250</v>
      </c>
      <c r="F106" s="27">
        <v>6</v>
      </c>
      <c r="G106" s="34">
        <f t="shared" si="21"/>
        <v>25.200000000000003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250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104" t="s">
        <v>238</v>
      </c>
      <c r="B108" s="105"/>
      <c r="C108" s="105"/>
      <c r="D108" s="105"/>
      <c r="E108" s="106">
        <f>SUM(E96:E107)</f>
        <v>0</v>
      </c>
      <c r="F108" s="36">
        <f>SUM(F96:F107)</f>
        <v>97</v>
      </c>
      <c r="G108" s="36">
        <f>SUM(G96:G107)</f>
        <v>407.40000000000003</v>
      </c>
      <c r="H108" s="37"/>
      <c r="I108" s="37"/>
      <c r="J108" s="37"/>
      <c r="K108" s="37"/>
      <c r="L108" s="37"/>
      <c r="M108" s="38">
        <f ca="1">IFERROR(SUM(M96:M107),"")</f>
        <v>6.6666666666666707E-2</v>
      </c>
      <c r="N108" s="36" t="s">
        <v>236</v>
      </c>
      <c r="O108" s="54">
        <v>456830</v>
      </c>
    </row>
    <row r="109" spans="1:15" ht="18" customHeight="1">
      <c r="A109" s="107" t="s">
        <v>239</v>
      </c>
      <c r="B109" s="108"/>
      <c r="C109" s="108"/>
      <c r="D109" s="108"/>
      <c r="E109" s="109">
        <f>E95+E108</f>
        <v>0</v>
      </c>
      <c r="F109" s="40">
        <f>F95+F108</f>
        <v>193</v>
      </c>
      <c r="G109" s="40">
        <f>G95+G108</f>
        <v>810.6</v>
      </c>
      <c r="H109" s="41"/>
      <c r="I109" s="41"/>
      <c r="J109" s="41"/>
      <c r="K109" s="41"/>
      <c r="L109" s="41"/>
      <c r="M109" s="42">
        <f ca="1">IFERROR(M95+M108,"")</f>
        <v>0.28333333333333344</v>
      </c>
      <c r="N109" s="40" t="s">
        <v>240</v>
      </c>
      <c r="O109" s="82">
        <f>IFERROR(O95+O108,"")</f>
        <v>906430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250</v>
      </c>
      <c r="F110" s="27">
        <v>25</v>
      </c>
      <c r="G110" s="28">
        <f t="shared" ref="G110:G121" si="24">IF(F110="","",IF(E110="PC 17",F110*4.2,IF(E110="PC 19",F110*5,IF(E110="CB",F110*24,""))))</f>
        <v>105</v>
      </c>
      <c r="H110" s="26" t="s">
        <v>18</v>
      </c>
      <c r="I110" s="26" t="s">
        <v>31</v>
      </c>
      <c r="J110" s="26" t="s">
        <v>156</v>
      </c>
      <c r="K110" s="29">
        <v>0.4597222222222222</v>
      </c>
      <c r="L110" s="29">
        <v>0.49305555555555558</v>
      </c>
      <c r="M110" s="35">
        <f t="shared" ref="M110:M121" ca="1" si="25">IFERROR(IF(K110="","",IF(L110="",MOD(NOW()-K110,1),IF(L110&gt;=K110,L110-K110,L110+1-K110))),"")</f>
        <v>3.3333333333333381E-2</v>
      </c>
      <c r="N110" s="46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250</v>
      </c>
      <c r="F111" s="27">
        <v>17</v>
      </c>
      <c r="G111" s="34">
        <f t="shared" si="24"/>
        <v>71.400000000000006</v>
      </c>
      <c r="H111" s="33" t="s">
        <v>20</v>
      </c>
      <c r="I111" s="33" t="s">
        <v>39</v>
      </c>
      <c r="J111" s="33" t="s">
        <v>36</v>
      </c>
      <c r="K111" s="29">
        <v>0.4284722222222222</v>
      </c>
      <c r="L111" s="29">
        <v>0.44444444444444442</v>
      </c>
      <c r="M111" s="30">
        <f t="shared" ca="1" si="25"/>
        <v>1.5972222222222221E-2</v>
      </c>
      <c r="N111" s="46" t="s">
        <v>270</v>
      </c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250</v>
      </c>
      <c r="F112" s="27">
        <v>23</v>
      </c>
      <c r="G112" s="28">
        <f t="shared" si="24"/>
        <v>96.600000000000009</v>
      </c>
      <c r="H112" s="26" t="s">
        <v>18</v>
      </c>
      <c r="I112" s="26" t="s">
        <v>39</v>
      </c>
      <c r="J112" s="26" t="s">
        <v>156</v>
      </c>
      <c r="K112" s="29">
        <v>0.54722222222222228</v>
      </c>
      <c r="L112" s="29">
        <v>0.58194444444444449</v>
      </c>
      <c r="M112" s="35">
        <f t="shared" ca="1" si="25"/>
        <v>3.472222222222221E-2</v>
      </c>
      <c r="N112" s="46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250</v>
      </c>
      <c r="F113" s="27">
        <v>11</v>
      </c>
      <c r="G113" s="34">
        <f t="shared" si="24"/>
        <v>46.2</v>
      </c>
      <c r="H113" s="33" t="s">
        <v>20</v>
      </c>
      <c r="I113" s="33" t="s">
        <v>39</v>
      </c>
      <c r="J113" s="33" t="s">
        <v>36</v>
      </c>
      <c r="K113" s="29">
        <v>0.67500000000000004</v>
      </c>
      <c r="L113" s="29">
        <v>0.68611111111111112</v>
      </c>
      <c r="M113" s="30">
        <f t="shared" ca="1" si="25"/>
        <v>1.1111111111111072E-2</v>
      </c>
      <c r="N113" s="46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250</v>
      </c>
      <c r="F114" s="27">
        <v>3</v>
      </c>
      <c r="G114" s="28">
        <f t="shared" si="24"/>
        <v>12.600000000000001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250</v>
      </c>
      <c r="F115" s="27">
        <v>23</v>
      </c>
      <c r="G115" s="34">
        <f t="shared" si="24"/>
        <v>96.600000000000009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250</v>
      </c>
      <c r="F116" s="27">
        <v>1</v>
      </c>
      <c r="G116" s="28">
        <f t="shared" si="24"/>
        <v>4.2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250</v>
      </c>
      <c r="F117" s="27">
        <v>14</v>
      </c>
      <c r="G117" s="34">
        <f t="shared" si="24"/>
        <v>58.800000000000004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250</v>
      </c>
      <c r="F118" s="27">
        <v>23</v>
      </c>
      <c r="G118" s="28">
        <f t="shared" si="24"/>
        <v>96.600000000000009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250</v>
      </c>
      <c r="F119" s="27">
        <v>21</v>
      </c>
      <c r="G119" s="34">
        <f t="shared" si="24"/>
        <v>88.2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250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250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104" t="s">
        <v>235</v>
      </c>
      <c r="B122" s="105"/>
      <c r="C122" s="105"/>
      <c r="D122" s="105"/>
      <c r="E122" s="106">
        <f>SUM(E110:E121)</f>
        <v>0</v>
      </c>
      <c r="F122" s="36">
        <f>SUM(F110:F121)</f>
        <v>184</v>
      </c>
      <c r="G122" s="36">
        <f>SUM(G110:G121)</f>
        <v>772.80000000000007</v>
      </c>
      <c r="H122" s="37"/>
      <c r="I122" s="37"/>
      <c r="J122" s="37"/>
      <c r="K122" s="37"/>
      <c r="L122" s="37"/>
      <c r="M122" s="38">
        <f ca="1">IFERROR(SUM(M110:M121),"")</f>
        <v>9.5138888888888884E-2</v>
      </c>
      <c r="N122" s="36" t="s">
        <v>236</v>
      </c>
      <c r="O122" s="54">
        <v>791070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250</v>
      </c>
      <c r="F123" s="27">
        <v>19</v>
      </c>
      <c r="G123" s="34">
        <f t="shared" ref="G123:G134" si="27">IF(F123="","",IF(E123="PC 17",F123*4.2,IF(E123="PC 19",F123*5,IF(E123="CB",F123*24,""))))</f>
        <v>79.8</v>
      </c>
      <c r="H123" s="33" t="s">
        <v>19</v>
      </c>
      <c r="I123" s="33" t="s">
        <v>159</v>
      </c>
      <c r="J123" s="33" t="s">
        <v>27</v>
      </c>
      <c r="K123" s="29">
        <v>0.79236111111111107</v>
      </c>
      <c r="L123" s="29">
        <v>0.8041666666666667</v>
      </c>
      <c r="M123" s="30">
        <f t="shared" ref="M123:M134" ca="1" si="28">IFERROR(IF(K123="","",IF(L123="",MOD(NOW()-K123,1),IF(L123&gt;=K123,L123-K123,L123+1-K123))),"")</f>
        <v>1.1805555555555625E-2</v>
      </c>
      <c r="N123" s="46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250</v>
      </c>
      <c r="F124" s="27">
        <v>14</v>
      </c>
      <c r="G124" s="28">
        <f t="shared" si="27"/>
        <v>58.800000000000004</v>
      </c>
      <c r="H124" s="26" t="s">
        <v>18</v>
      </c>
      <c r="I124" s="26" t="s">
        <v>31</v>
      </c>
      <c r="J124" s="26" t="s">
        <v>156</v>
      </c>
      <c r="K124" s="29">
        <v>0.86458333333333337</v>
      </c>
      <c r="L124" s="29">
        <v>0.87569444444444444</v>
      </c>
      <c r="M124" s="35">
        <f t="shared" ca="1" si="28"/>
        <v>1.1111111111111072E-2</v>
      </c>
      <c r="N124" s="46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250</v>
      </c>
      <c r="F125" s="27">
        <v>12</v>
      </c>
      <c r="G125" s="34">
        <f t="shared" si="27"/>
        <v>50.400000000000006</v>
      </c>
      <c r="H125" s="33" t="s">
        <v>17</v>
      </c>
      <c r="I125" s="33" t="s">
        <v>135</v>
      </c>
      <c r="J125" s="33" t="s">
        <v>49</v>
      </c>
      <c r="K125" s="29">
        <v>0.95</v>
      </c>
      <c r="L125" s="29">
        <v>0.95138888888888884</v>
      </c>
      <c r="M125" s="30">
        <f t="shared" ca="1" si="28"/>
        <v>1.388888888888884E-3</v>
      </c>
      <c r="N125" s="46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250</v>
      </c>
      <c r="F126" s="27">
        <v>20</v>
      </c>
      <c r="G126" s="28">
        <f t="shared" si="27"/>
        <v>84</v>
      </c>
      <c r="H126" s="26" t="s">
        <v>17</v>
      </c>
      <c r="I126" s="26" t="s">
        <v>135</v>
      </c>
      <c r="J126" s="26" t="s">
        <v>49</v>
      </c>
      <c r="K126" s="29">
        <v>0.96597222222222223</v>
      </c>
      <c r="L126" s="29">
        <v>0.96736111111111112</v>
      </c>
      <c r="M126" s="35">
        <f t="shared" ca="1" si="28"/>
        <v>1.388888888888884E-3</v>
      </c>
      <c r="N126" s="46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250</v>
      </c>
      <c r="F127" s="27">
        <v>18</v>
      </c>
      <c r="G127" s="34">
        <f t="shared" si="27"/>
        <v>75.600000000000009</v>
      </c>
      <c r="H127" s="33" t="s">
        <v>20</v>
      </c>
      <c r="I127" s="33" t="s">
        <v>123</v>
      </c>
      <c r="J127" s="33" t="s">
        <v>114</v>
      </c>
      <c r="K127" s="29">
        <v>4.1666666666666664E-2</v>
      </c>
      <c r="L127" s="29">
        <v>0.12291666666666666</v>
      </c>
      <c r="M127" s="30">
        <f t="shared" ca="1" si="28"/>
        <v>8.1249999999999989E-2</v>
      </c>
      <c r="N127" s="46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250</v>
      </c>
      <c r="F128" s="27">
        <v>17</v>
      </c>
      <c r="G128" s="28">
        <f t="shared" si="27"/>
        <v>71.400000000000006</v>
      </c>
      <c r="H128" s="26" t="s">
        <v>19</v>
      </c>
      <c r="I128" s="26" t="s">
        <v>39</v>
      </c>
      <c r="J128" s="26" t="s">
        <v>27</v>
      </c>
      <c r="K128" s="29">
        <v>0.2013888888888889</v>
      </c>
      <c r="L128" s="29">
        <v>0.21249999999999999</v>
      </c>
      <c r="M128" s="35">
        <f t="shared" ca="1" si="28"/>
        <v>1.1111111111111099E-2</v>
      </c>
      <c r="N128" s="85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250</v>
      </c>
      <c r="F129" s="27">
        <v>6</v>
      </c>
      <c r="G129" s="34">
        <f t="shared" si="27"/>
        <v>25.200000000000003</v>
      </c>
      <c r="H129" s="33" t="s">
        <v>19</v>
      </c>
      <c r="I129" s="33" t="s">
        <v>31</v>
      </c>
      <c r="J129" s="33" t="s">
        <v>27</v>
      </c>
      <c r="K129" s="29">
        <v>0.21249999999999999</v>
      </c>
      <c r="L129" s="29">
        <v>0.22222222222222221</v>
      </c>
      <c r="M129" s="30">
        <f t="shared" ca="1" si="28"/>
        <v>9.7222222222222154E-3</v>
      </c>
      <c r="N129" s="46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250</v>
      </c>
      <c r="F130" s="27">
        <v>6</v>
      </c>
      <c r="G130" s="28">
        <f t="shared" si="27"/>
        <v>25.200000000000003</v>
      </c>
      <c r="H130" s="26"/>
      <c r="I130" s="26"/>
      <c r="J130" s="26"/>
      <c r="K130" s="29"/>
      <c r="L130" s="29"/>
      <c r="M130" s="35" t="str">
        <f t="shared" ca="1" si="28"/>
        <v/>
      </c>
      <c r="N130" s="46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250</v>
      </c>
      <c r="F131" s="27">
        <v>20</v>
      </c>
      <c r="G131" s="34">
        <f t="shared" si="27"/>
        <v>84</v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250</v>
      </c>
      <c r="F132" s="27">
        <v>10</v>
      </c>
      <c r="G132" s="28">
        <f t="shared" si="27"/>
        <v>42</v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250</v>
      </c>
      <c r="F133" s="27">
        <v>5</v>
      </c>
      <c r="G133" s="34">
        <f t="shared" si="27"/>
        <v>21</v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250</v>
      </c>
      <c r="F134" s="27">
        <v>17</v>
      </c>
      <c r="G134" s="28">
        <f t="shared" si="27"/>
        <v>71.400000000000006</v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104" t="s">
        <v>238</v>
      </c>
      <c r="B135" s="105"/>
      <c r="C135" s="105"/>
      <c r="D135" s="105"/>
      <c r="E135" s="106">
        <f>SUM(E123:E134)</f>
        <v>0</v>
      </c>
      <c r="F135" s="36">
        <f>SUM(F123:F134)</f>
        <v>164</v>
      </c>
      <c r="G135" s="36">
        <f>SUM(G123:G134)</f>
        <v>688.8</v>
      </c>
      <c r="H135" s="37"/>
      <c r="I135" s="37"/>
      <c r="J135" s="37"/>
      <c r="K135" s="37"/>
      <c r="L135" s="37"/>
      <c r="M135" s="38">
        <f ca="1">IFERROR(SUM(M123:M134),"")</f>
        <v>0.12777777777777777</v>
      </c>
      <c r="N135" s="36" t="s">
        <v>236</v>
      </c>
      <c r="O135" s="54">
        <v>756720</v>
      </c>
    </row>
    <row r="136" spans="1:15" ht="18" customHeight="1">
      <c r="A136" s="107" t="s">
        <v>239</v>
      </c>
      <c r="B136" s="108"/>
      <c r="C136" s="108"/>
      <c r="D136" s="108"/>
      <c r="E136" s="109">
        <f>E122+E135</f>
        <v>0</v>
      </c>
      <c r="F136" s="40">
        <f>F122+F135</f>
        <v>348</v>
      </c>
      <c r="G136" s="40">
        <f>G122+G135</f>
        <v>1461.6</v>
      </c>
      <c r="H136" s="41"/>
      <c r="I136" s="41"/>
      <c r="J136" s="41"/>
      <c r="K136" s="41"/>
      <c r="L136" s="41"/>
      <c r="M136" s="42">
        <f ca="1">IFERROR(M122+M135,"")</f>
        <v>0.22291666666666665</v>
      </c>
      <c r="N136" s="40" t="s">
        <v>240</v>
      </c>
      <c r="O136" s="82">
        <f>IFERROR(O122+O135,"")</f>
        <v>1547790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250</v>
      </c>
      <c r="F137" s="27">
        <v>21</v>
      </c>
      <c r="G137" s="34">
        <f>IF(F137="","",IF(E137="PC 17",F137*4.2,IF(E137="PC 19",F137*5,IF(E137="CB",F137*24,""))))</f>
        <v>88.2</v>
      </c>
      <c r="H137" s="33" t="s">
        <v>17</v>
      </c>
      <c r="I137" s="33"/>
      <c r="J137" s="33" t="s">
        <v>25</v>
      </c>
      <c r="K137" s="29">
        <v>0.3215277777777778</v>
      </c>
      <c r="L137" s="29">
        <v>0.33194444444444443</v>
      </c>
      <c r="M137" s="35">
        <f t="shared" ref="M137:M148" ca="1" si="30">IFERROR(IF(K137="","",IF(L137="",MOD(NOW()-K137,1),IF(L137&gt;=K137,L137-K137,L137+1-K137))),"")</f>
        <v>1.041666666666663E-2</v>
      </c>
      <c r="N137" s="46"/>
      <c r="O137" s="31"/>
    </row>
    <row r="138" spans="1:15" ht="15" customHeight="1">
      <c r="A138" s="68">
        <v>46240</v>
      </c>
      <c r="B138" s="25">
        <f t="shared" ref="B138:B148" si="31">B137+TIME(0,60,0)</f>
        <v>0.37499999999999967</v>
      </c>
      <c r="C138" s="33" t="s">
        <v>21</v>
      </c>
      <c r="D138" s="62" t="s">
        <v>22</v>
      </c>
      <c r="E138" s="62" t="s">
        <v>250</v>
      </c>
      <c r="F138" s="27">
        <v>13</v>
      </c>
      <c r="G138" s="28">
        <f t="shared" ref="G137:G148" si="32">IF(F138="","",IF(E138="PC 17",F138*4.2,IF(E138="PC 19",F138*5,IF(E138="CB",F138*24,""))))</f>
        <v>54.6</v>
      </c>
      <c r="H138" s="26" t="s">
        <v>20</v>
      </c>
      <c r="I138" s="26" t="s">
        <v>39</v>
      </c>
      <c r="J138" s="26" t="s">
        <v>51</v>
      </c>
      <c r="K138" s="29">
        <v>0.3347222222222222</v>
      </c>
      <c r="L138" s="29">
        <v>0.33750000000000002</v>
      </c>
      <c r="M138" s="30">
        <f t="shared" ca="1" si="30"/>
        <v>2.7777777777778234E-3</v>
      </c>
      <c r="N138" s="46"/>
      <c r="O138" s="31"/>
    </row>
    <row r="139" spans="1:15" ht="15" customHeight="1">
      <c r="A139" s="69">
        <v>46240</v>
      </c>
      <c r="B139" s="32">
        <f t="shared" si="31"/>
        <v>0.41666666666666635</v>
      </c>
      <c r="C139" s="33" t="s">
        <v>21</v>
      </c>
      <c r="D139" s="62" t="s">
        <v>30</v>
      </c>
      <c r="E139" s="62" t="s">
        <v>250</v>
      </c>
      <c r="F139" s="27">
        <v>13</v>
      </c>
      <c r="G139" s="34">
        <f t="shared" si="32"/>
        <v>54.6</v>
      </c>
      <c r="H139" s="33" t="s">
        <v>20</v>
      </c>
      <c r="I139" s="33" t="s">
        <v>39</v>
      </c>
      <c r="J139" s="33" t="s">
        <v>56</v>
      </c>
      <c r="K139" s="29">
        <v>0.3576388888888889</v>
      </c>
      <c r="L139" s="29">
        <v>0.38194444444444442</v>
      </c>
      <c r="M139" s="35">
        <f t="shared" ca="1" si="30"/>
        <v>2.4305555555555525E-2</v>
      </c>
      <c r="N139" s="46" t="s">
        <v>271</v>
      </c>
      <c r="O139" s="31"/>
    </row>
    <row r="140" spans="1:15" ht="15" customHeight="1">
      <c r="A140" s="68">
        <v>46240</v>
      </c>
      <c r="B140" s="25">
        <f t="shared" si="31"/>
        <v>0.45833333333333304</v>
      </c>
      <c r="C140" s="33" t="s">
        <v>21</v>
      </c>
      <c r="D140" s="62" t="s">
        <v>30</v>
      </c>
      <c r="E140" s="62" t="s">
        <v>250</v>
      </c>
      <c r="F140" s="27">
        <v>11</v>
      </c>
      <c r="G140" s="28">
        <f t="shared" si="32"/>
        <v>46.2</v>
      </c>
      <c r="H140" s="26" t="s">
        <v>20</v>
      </c>
      <c r="I140" s="26" t="s">
        <v>39</v>
      </c>
      <c r="J140" s="26" t="s">
        <v>36</v>
      </c>
      <c r="K140" s="29">
        <v>0.39930555555555558</v>
      </c>
      <c r="L140" s="29">
        <v>0.40555555555555556</v>
      </c>
      <c r="M140" s="30">
        <f t="shared" ca="1" si="30"/>
        <v>6.2499999999999778E-3</v>
      </c>
      <c r="N140" s="46"/>
      <c r="O140" s="31"/>
    </row>
    <row r="141" spans="1:15" ht="15" customHeight="1">
      <c r="A141" s="69">
        <v>46240</v>
      </c>
      <c r="B141" s="32">
        <f t="shared" si="31"/>
        <v>0.49999999999999972</v>
      </c>
      <c r="C141" s="33" t="s">
        <v>21</v>
      </c>
      <c r="D141" s="62" t="s">
        <v>30</v>
      </c>
      <c r="E141" s="62" t="s">
        <v>250</v>
      </c>
      <c r="F141" s="27">
        <v>20</v>
      </c>
      <c r="G141" s="34">
        <f t="shared" si="32"/>
        <v>84</v>
      </c>
      <c r="H141" s="33" t="s">
        <v>20</v>
      </c>
      <c r="I141" s="33" t="s">
        <v>39</v>
      </c>
      <c r="J141" s="33" t="s">
        <v>36</v>
      </c>
      <c r="K141" s="29">
        <v>0.44444444444444442</v>
      </c>
      <c r="L141" s="29">
        <v>0.4513888888888889</v>
      </c>
      <c r="M141" s="35">
        <f t="shared" ca="1" si="30"/>
        <v>6.9444444444444753E-3</v>
      </c>
      <c r="N141" s="46" t="s">
        <v>272</v>
      </c>
      <c r="O141" s="31"/>
    </row>
    <row r="142" spans="1:15" ht="15" customHeight="1">
      <c r="A142" s="68">
        <v>46240</v>
      </c>
      <c r="B142" s="25">
        <f t="shared" si="31"/>
        <v>0.54166666666666641</v>
      </c>
      <c r="C142" s="33" t="s">
        <v>21</v>
      </c>
      <c r="D142" s="62" t="s">
        <v>30</v>
      </c>
      <c r="E142" s="62" t="s">
        <v>250</v>
      </c>
      <c r="F142" s="27">
        <v>15</v>
      </c>
      <c r="G142" s="28">
        <f t="shared" si="32"/>
        <v>63</v>
      </c>
      <c r="H142" s="26" t="s">
        <v>18</v>
      </c>
      <c r="I142" s="26"/>
      <c r="J142" s="26" t="s">
        <v>118</v>
      </c>
      <c r="K142" s="29">
        <v>0.52638888888888891</v>
      </c>
      <c r="L142" s="29">
        <v>0.6333333333333333</v>
      </c>
      <c r="M142" s="30">
        <f t="shared" ca="1" si="30"/>
        <v>0.1069444444444444</v>
      </c>
      <c r="N142" s="46"/>
      <c r="O142" s="31"/>
    </row>
    <row r="143" spans="1:15" ht="15" customHeight="1">
      <c r="A143" s="69">
        <v>46240</v>
      </c>
      <c r="B143" s="32">
        <f t="shared" si="31"/>
        <v>0.58333333333333304</v>
      </c>
      <c r="C143" s="33" t="s">
        <v>21</v>
      </c>
      <c r="D143" s="62" t="s">
        <v>30</v>
      </c>
      <c r="E143" s="62" t="s">
        <v>250</v>
      </c>
      <c r="F143" s="27">
        <v>0</v>
      </c>
      <c r="G143" s="34">
        <f t="shared" si="32"/>
        <v>0</v>
      </c>
      <c r="H143" s="33" t="s">
        <v>20</v>
      </c>
      <c r="I143" s="33" t="s">
        <v>31</v>
      </c>
      <c r="J143" s="33" t="s">
        <v>36</v>
      </c>
      <c r="K143" s="29">
        <v>0.63888888888888884</v>
      </c>
      <c r="L143" s="29">
        <v>0.64444444444444449</v>
      </c>
      <c r="M143" s="35">
        <f t="shared" ca="1" si="30"/>
        <v>5.5555555555556468E-3</v>
      </c>
      <c r="N143" s="46"/>
      <c r="O143" s="31"/>
    </row>
    <row r="144" spans="1:15" ht="15" customHeight="1">
      <c r="A144" s="68">
        <v>46240</v>
      </c>
      <c r="B144" s="25">
        <f t="shared" si="31"/>
        <v>0.62499999999999967</v>
      </c>
      <c r="C144" s="33" t="s">
        <v>21</v>
      </c>
      <c r="D144" s="62" t="s">
        <v>30</v>
      </c>
      <c r="E144" s="62" t="s">
        <v>250</v>
      </c>
      <c r="F144" s="27">
        <v>10</v>
      </c>
      <c r="G144" s="28">
        <f t="shared" si="32"/>
        <v>42</v>
      </c>
      <c r="H144" s="26" t="s">
        <v>16</v>
      </c>
      <c r="I144" s="26" t="s">
        <v>159</v>
      </c>
      <c r="J144" s="26" t="s">
        <v>110</v>
      </c>
      <c r="K144" s="29">
        <v>0.64513888888888893</v>
      </c>
      <c r="L144" s="29">
        <v>0.65763888888888888</v>
      </c>
      <c r="M144" s="30">
        <f t="shared" ca="1" si="30"/>
        <v>1.2499999999999956E-2</v>
      </c>
      <c r="N144" s="46"/>
      <c r="O144" s="31"/>
    </row>
    <row r="145" spans="1:15" ht="15" customHeight="1">
      <c r="A145" s="69">
        <v>46240</v>
      </c>
      <c r="B145" s="32">
        <f t="shared" si="31"/>
        <v>0.6666666666666663</v>
      </c>
      <c r="C145" s="33" t="s">
        <v>21</v>
      </c>
      <c r="D145" s="62" t="s">
        <v>30</v>
      </c>
      <c r="E145" s="62" t="s">
        <v>250</v>
      </c>
      <c r="F145" s="27">
        <v>12</v>
      </c>
      <c r="G145" s="34">
        <f t="shared" si="32"/>
        <v>50.400000000000006</v>
      </c>
      <c r="H145" s="33"/>
      <c r="I145" s="33"/>
      <c r="J145" s="33"/>
      <c r="K145" s="29"/>
      <c r="L145" s="29"/>
      <c r="M145" s="35" t="str">
        <f t="shared" ca="1" si="30"/>
        <v/>
      </c>
      <c r="N145" s="46" t="s">
        <v>273</v>
      </c>
      <c r="O145" s="31"/>
    </row>
    <row r="146" spans="1:15" ht="15" customHeight="1">
      <c r="A146" s="68">
        <v>46240</v>
      </c>
      <c r="B146" s="25">
        <f t="shared" si="31"/>
        <v>0.70833333333333293</v>
      </c>
      <c r="C146" s="33" t="s">
        <v>21</v>
      </c>
      <c r="D146" s="62" t="s">
        <v>30</v>
      </c>
      <c r="E146" s="62" t="s">
        <v>250</v>
      </c>
      <c r="F146" s="27">
        <v>10</v>
      </c>
      <c r="G146" s="28">
        <f t="shared" si="32"/>
        <v>42</v>
      </c>
      <c r="H146" s="26"/>
      <c r="I146" s="26"/>
      <c r="J146" s="26"/>
      <c r="K146" s="29"/>
      <c r="L146" s="29"/>
      <c r="M146" s="30" t="str">
        <f t="shared" ca="1" si="30"/>
        <v/>
      </c>
      <c r="N146" s="46"/>
      <c r="O146" s="31"/>
    </row>
    <row r="147" spans="1:15" ht="15" customHeight="1">
      <c r="A147" s="69">
        <v>46240</v>
      </c>
      <c r="B147" s="32">
        <f t="shared" si="31"/>
        <v>0.74999999999999956</v>
      </c>
      <c r="C147" s="33" t="s">
        <v>21</v>
      </c>
      <c r="D147" s="62" t="s">
        <v>30</v>
      </c>
      <c r="E147" s="62" t="s">
        <v>250</v>
      </c>
      <c r="F147" s="27">
        <v>10</v>
      </c>
      <c r="G147" s="34">
        <f t="shared" si="32"/>
        <v>42</v>
      </c>
      <c r="H147" s="33"/>
      <c r="I147" s="33"/>
      <c r="J147" s="33"/>
      <c r="K147" s="29"/>
      <c r="L147" s="29"/>
      <c r="M147" s="35" t="str">
        <f t="shared" ca="1" si="30"/>
        <v/>
      </c>
      <c r="N147" s="46"/>
      <c r="O147" s="31"/>
    </row>
    <row r="148" spans="1:15" ht="15" customHeight="1">
      <c r="A148" s="68">
        <v>46240</v>
      </c>
      <c r="B148" s="25">
        <f t="shared" si="31"/>
        <v>0.79166666666666619</v>
      </c>
      <c r="C148" s="33" t="s">
        <v>21</v>
      </c>
      <c r="D148" s="62" t="s">
        <v>30</v>
      </c>
      <c r="E148" s="62" t="s">
        <v>250</v>
      </c>
      <c r="F148" s="27">
        <v>5</v>
      </c>
      <c r="G148" s="28">
        <f t="shared" si="32"/>
        <v>21</v>
      </c>
      <c r="H148" s="26"/>
      <c r="I148" s="26"/>
      <c r="J148" s="26"/>
      <c r="K148" s="29"/>
      <c r="L148" s="29"/>
      <c r="M148" s="30" t="str">
        <f t="shared" ca="1" si="30"/>
        <v/>
      </c>
      <c r="N148" s="46"/>
      <c r="O148" s="31"/>
    </row>
    <row r="149" spans="1:15" ht="15.75" customHeight="1">
      <c r="A149" s="104" t="s">
        <v>235</v>
      </c>
      <c r="B149" s="105"/>
      <c r="C149" s="105"/>
      <c r="D149" s="105"/>
      <c r="E149" s="106">
        <f>SUM(E137:E148)</f>
        <v>0</v>
      </c>
      <c r="F149" s="36">
        <f>SUM(F137:F148)</f>
        <v>140</v>
      </c>
      <c r="G149" s="36">
        <f>SUM(G137:G148)</f>
        <v>588</v>
      </c>
      <c r="H149" s="37"/>
      <c r="I149" s="37"/>
      <c r="J149" s="37"/>
      <c r="K149" s="37"/>
      <c r="L149" s="37"/>
      <c r="M149" s="38">
        <f ca="1">IFERROR(SUM(M137:M148),"")</f>
        <v>0.17569444444444443</v>
      </c>
      <c r="N149" s="36" t="s">
        <v>236</v>
      </c>
      <c r="O149" s="54">
        <v>533860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250</v>
      </c>
      <c r="F150" s="27">
        <v>17</v>
      </c>
      <c r="G150" s="28">
        <f t="shared" ref="G150:G161" si="33">IF(F150="","",IF(E150="PC 17",F150*4.2,IF(E150="PC 19",F150*5,IF(E150="CB",F150*24,""))))</f>
        <v>71.400000000000006</v>
      </c>
      <c r="H150" s="26" t="s">
        <v>20</v>
      </c>
      <c r="I150" s="26" t="s">
        <v>138</v>
      </c>
      <c r="J150" s="26" t="s">
        <v>74</v>
      </c>
      <c r="K150" s="29">
        <v>0.8125</v>
      </c>
      <c r="L150" s="29">
        <v>0.83263888888888893</v>
      </c>
      <c r="M150" s="30">
        <f t="shared" ref="M150:M161" ca="1" si="34">IFERROR(IF(K150="","",IF(L150="",MOD(NOW()-K150,1),IF(L150&gt;=K150,L150-K150,L150+1-K150))),"")</f>
        <v>2.0138888888888928E-2</v>
      </c>
      <c r="N150" s="46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250</v>
      </c>
      <c r="F151" s="27">
        <v>7</v>
      </c>
      <c r="G151" s="34">
        <f t="shared" si="33"/>
        <v>29.400000000000002</v>
      </c>
      <c r="H151" s="33" t="s">
        <v>17</v>
      </c>
      <c r="I151" s="33" t="s">
        <v>120</v>
      </c>
      <c r="J151" s="33" t="s">
        <v>87</v>
      </c>
      <c r="K151" s="29">
        <v>0.85555555555555551</v>
      </c>
      <c r="L151" s="29">
        <v>0.86527777777777781</v>
      </c>
      <c r="M151" s="35">
        <f t="shared" ca="1" si="34"/>
        <v>9.7222222222222987E-3</v>
      </c>
      <c r="N151" s="46" t="s">
        <v>274</v>
      </c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250</v>
      </c>
      <c r="F152" s="27">
        <v>14</v>
      </c>
      <c r="G152" s="28">
        <f t="shared" si="33"/>
        <v>58.800000000000004</v>
      </c>
      <c r="H152" s="26" t="s">
        <v>19</v>
      </c>
      <c r="I152" s="26" t="s">
        <v>39</v>
      </c>
      <c r="J152" s="26" t="s">
        <v>27</v>
      </c>
      <c r="K152" s="29">
        <v>0.95138888888888884</v>
      </c>
      <c r="L152" s="29">
        <v>0.96736111111111112</v>
      </c>
      <c r="M152" s="30">
        <f t="shared" ca="1" si="34"/>
        <v>1.5972222222222276E-2</v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250</v>
      </c>
      <c r="F153" s="27">
        <v>7</v>
      </c>
      <c r="G153" s="34">
        <f t="shared" si="33"/>
        <v>29.400000000000002</v>
      </c>
      <c r="H153" s="33" t="s">
        <v>18</v>
      </c>
      <c r="I153" s="33" t="s">
        <v>39</v>
      </c>
      <c r="J153" s="33" t="s">
        <v>34</v>
      </c>
      <c r="K153" s="29">
        <v>0.25416666666666665</v>
      </c>
      <c r="L153" s="29">
        <v>0.28611111111111109</v>
      </c>
      <c r="M153" s="35">
        <f t="shared" ca="1" si="34"/>
        <v>3.1944444444444442E-2</v>
      </c>
      <c r="N153" s="46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250</v>
      </c>
      <c r="F154" s="27">
        <v>10</v>
      </c>
      <c r="G154" s="28">
        <f t="shared" si="33"/>
        <v>42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250</v>
      </c>
      <c r="F155" s="27">
        <v>18</v>
      </c>
      <c r="G155" s="34">
        <f t="shared" si="33"/>
        <v>75.600000000000009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250</v>
      </c>
      <c r="F156" s="27">
        <v>9</v>
      </c>
      <c r="G156" s="28">
        <f t="shared" si="33"/>
        <v>37.800000000000004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250</v>
      </c>
      <c r="F157" s="27">
        <v>15</v>
      </c>
      <c r="G157" s="34">
        <f t="shared" si="33"/>
        <v>63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250</v>
      </c>
      <c r="F158" s="27">
        <v>11</v>
      </c>
      <c r="G158" s="28">
        <f t="shared" si="33"/>
        <v>46.2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250</v>
      </c>
      <c r="F159" s="27">
        <v>13</v>
      </c>
      <c r="G159" s="34">
        <f t="shared" si="33"/>
        <v>54.6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250</v>
      </c>
      <c r="F160" s="27">
        <v>13</v>
      </c>
      <c r="G160" s="28">
        <f t="shared" si="33"/>
        <v>54.6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250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104" t="s">
        <v>238</v>
      </c>
      <c r="B162" s="105"/>
      <c r="C162" s="105"/>
      <c r="D162" s="105"/>
      <c r="E162" s="106">
        <f>SUM(E150:E161)</f>
        <v>0</v>
      </c>
      <c r="F162" s="36">
        <f>SUM(F150:F161)</f>
        <v>134</v>
      </c>
      <c r="G162" s="36">
        <f>SUM(G150:G161)</f>
        <v>562.80000000000007</v>
      </c>
      <c r="H162" s="37"/>
      <c r="I162" s="37"/>
      <c r="J162" s="37"/>
      <c r="K162" s="37"/>
      <c r="L162" s="37"/>
      <c r="M162" s="38">
        <f ca="1">IFERROR(SUM(M150:M161),"")</f>
        <v>7.7777777777777946E-2</v>
      </c>
      <c r="N162" s="36" t="s">
        <v>236</v>
      </c>
      <c r="O162" s="54">
        <v>501750</v>
      </c>
    </row>
    <row r="163" spans="1:15" ht="18" customHeight="1">
      <c r="A163" s="107" t="s">
        <v>239</v>
      </c>
      <c r="B163" s="108"/>
      <c r="C163" s="108"/>
      <c r="D163" s="108"/>
      <c r="E163" s="109">
        <f>E149+E162</f>
        <v>0</v>
      </c>
      <c r="F163" s="40">
        <f>F149+F162</f>
        <v>274</v>
      </c>
      <c r="G163" s="40">
        <f>G149+G162</f>
        <v>1150.8000000000002</v>
      </c>
      <c r="H163" s="41"/>
      <c r="I163" s="41"/>
      <c r="J163" s="41"/>
      <c r="K163" s="41"/>
      <c r="L163" s="41"/>
      <c r="M163" s="42">
        <f ca="1">IFERROR(M149+M162,"")</f>
        <v>0.25347222222222238</v>
      </c>
      <c r="N163" s="40" t="s">
        <v>240</v>
      </c>
      <c r="O163" s="82">
        <f>IFERROR(O149+O162,"")</f>
        <v>1035610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250</v>
      </c>
      <c r="F164" s="27">
        <v>2</v>
      </c>
      <c r="G164" s="28">
        <f t="shared" ref="G164:G175" si="36">IF(F164="","",IF(E164="PC 17",F164*4.2,IF(E164="PC 19",F164*5,IF(E164="CB",F164*24,""))))</f>
        <v>8.4</v>
      </c>
      <c r="H164" s="26" t="s">
        <v>18</v>
      </c>
      <c r="I164" s="26" t="s">
        <v>39</v>
      </c>
      <c r="J164" s="26" t="s">
        <v>34</v>
      </c>
      <c r="K164" s="29">
        <v>0.29166666666666669</v>
      </c>
      <c r="L164" s="29">
        <v>0.32291666666666669</v>
      </c>
      <c r="M164" s="30">
        <f t="shared" ref="M164:M175" ca="1" si="37">IFERROR(IF(K164="","",IF(L164="",MOD(NOW()-K164,1),IF(L164&gt;=K164,L164-K164,L164+1-K164))),"")</f>
        <v>3.125E-2</v>
      </c>
      <c r="N164" s="46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62" t="s">
        <v>250</v>
      </c>
      <c r="F165" s="27">
        <v>8</v>
      </c>
      <c r="G165" s="34">
        <f t="shared" si="36"/>
        <v>33.6</v>
      </c>
      <c r="H165" s="33" t="s">
        <v>19</v>
      </c>
      <c r="I165" s="33" t="s">
        <v>31</v>
      </c>
      <c r="J165" s="33" t="s">
        <v>27</v>
      </c>
      <c r="K165" s="29">
        <v>0.39305555555555555</v>
      </c>
      <c r="L165" s="29">
        <v>0.42152777777777778</v>
      </c>
      <c r="M165" s="35">
        <f t="shared" ca="1" si="37"/>
        <v>2.8472222222222232E-2</v>
      </c>
      <c r="N165" s="46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62" t="s">
        <v>250</v>
      </c>
      <c r="F166" s="27">
        <v>2</v>
      </c>
      <c r="G166" s="28">
        <f t="shared" si="36"/>
        <v>8.4</v>
      </c>
      <c r="H166" s="26" t="s">
        <v>20</v>
      </c>
      <c r="I166" s="26" t="s">
        <v>31</v>
      </c>
      <c r="J166" s="26" t="s">
        <v>36</v>
      </c>
      <c r="K166" s="29">
        <v>0.53819444444444442</v>
      </c>
      <c r="L166" s="29">
        <v>0.54861111111111116</v>
      </c>
      <c r="M166" s="30">
        <f t="shared" ca="1" si="37"/>
        <v>1.0416666666666741E-2</v>
      </c>
      <c r="N166" s="46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62" t="s">
        <v>250</v>
      </c>
      <c r="F167" s="27">
        <v>6</v>
      </c>
      <c r="G167" s="34">
        <f t="shared" si="36"/>
        <v>25.200000000000003</v>
      </c>
      <c r="H167" s="33" t="s">
        <v>20</v>
      </c>
      <c r="I167" s="33" t="s">
        <v>157</v>
      </c>
      <c r="J167" s="33" t="s">
        <v>74</v>
      </c>
      <c r="K167" s="29">
        <v>0.63194444444444442</v>
      </c>
      <c r="L167" s="29">
        <v>0.63611111111111107</v>
      </c>
      <c r="M167" s="35">
        <f t="shared" ca="1" si="37"/>
        <v>4.1666666666666519E-3</v>
      </c>
      <c r="N167" s="46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62" t="s">
        <v>250</v>
      </c>
      <c r="F168" s="27">
        <v>8</v>
      </c>
      <c r="G168" s="28">
        <f t="shared" si="36"/>
        <v>33.6</v>
      </c>
      <c r="H168" s="26" t="s">
        <v>20</v>
      </c>
      <c r="I168" s="26" t="s">
        <v>157</v>
      </c>
      <c r="J168" s="26" t="s">
        <v>74</v>
      </c>
      <c r="K168" s="29">
        <v>0.72222222222222221</v>
      </c>
      <c r="L168" s="29">
        <v>0.73055555555555551</v>
      </c>
      <c r="M168" s="30">
        <f t="shared" ca="1" si="37"/>
        <v>8.3333333333333037E-3</v>
      </c>
      <c r="N168" s="46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62" t="s">
        <v>250</v>
      </c>
      <c r="F169" s="27">
        <v>9</v>
      </c>
      <c r="G169" s="34">
        <f t="shared" si="36"/>
        <v>37.800000000000004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62" t="s">
        <v>250</v>
      </c>
      <c r="F170" s="27">
        <v>6</v>
      </c>
      <c r="G170" s="28">
        <f t="shared" si="36"/>
        <v>25.200000000000003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62" t="s">
        <v>250</v>
      </c>
      <c r="F171" s="27">
        <v>7</v>
      </c>
      <c r="G171" s="34">
        <f t="shared" si="36"/>
        <v>29.400000000000002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62" t="s">
        <v>250</v>
      </c>
      <c r="F172" s="27">
        <v>6</v>
      </c>
      <c r="G172" s="28">
        <f t="shared" si="36"/>
        <v>25.200000000000003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62" t="s">
        <v>250</v>
      </c>
      <c r="F173" s="27">
        <v>8</v>
      </c>
      <c r="G173" s="34">
        <f t="shared" si="36"/>
        <v>33.6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62" t="s">
        <v>250</v>
      </c>
      <c r="F174" s="27">
        <v>5</v>
      </c>
      <c r="G174" s="28">
        <f t="shared" si="36"/>
        <v>21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62" t="s">
        <v>250</v>
      </c>
      <c r="F175" s="27">
        <v>2</v>
      </c>
      <c r="G175" s="34">
        <f t="shared" si="36"/>
        <v>8.4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104" t="s">
        <v>235</v>
      </c>
      <c r="B176" s="105"/>
      <c r="C176" s="105"/>
      <c r="D176" s="105"/>
      <c r="E176" s="106">
        <f>SUM(E164:E175)</f>
        <v>0</v>
      </c>
      <c r="F176" s="36">
        <f>SUM(F164:F175)</f>
        <v>69</v>
      </c>
      <c r="G176" s="36">
        <f>SUM(G164:G175)</f>
        <v>289.8</v>
      </c>
      <c r="H176" s="37"/>
      <c r="I176" s="37"/>
      <c r="J176" s="37"/>
      <c r="K176" s="37"/>
      <c r="L176" s="37"/>
      <c r="M176" s="38">
        <f ca="1">IFERROR(SUM(M164:M175),"")</f>
        <v>8.2638888888888928E-2</v>
      </c>
      <c r="N176" s="36" t="s">
        <v>236</v>
      </c>
      <c r="O176" s="77">
        <v>366290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250</v>
      </c>
      <c r="F177" s="27">
        <v>2</v>
      </c>
      <c r="G177" s="34">
        <f t="shared" ref="G177:G188" si="39">IF(F177="","",IF(E177="PC 17",F177*4.2,IF(E177="PC 19",F177*5,IF(E177="CB",F177*24,""))))</f>
        <v>8.4</v>
      </c>
      <c r="H177" s="33" t="s">
        <v>19</v>
      </c>
      <c r="I177" s="33" t="s">
        <v>31</v>
      </c>
      <c r="J177" s="33" t="s">
        <v>27</v>
      </c>
      <c r="K177" s="29">
        <v>0.79166666666666663</v>
      </c>
      <c r="L177" s="29">
        <v>0.83680555555555558</v>
      </c>
      <c r="M177" s="35">
        <f t="shared" ref="M177:M188" ca="1" si="40">IFERROR(IF(K177="","",IF(L177="",MOD(NOW()-K177,1),IF(L177&gt;=K177,L177-K177,L177+1-K177))),"")</f>
        <v>4.5138888888888951E-2</v>
      </c>
      <c r="N177" s="46" t="s">
        <v>117</v>
      </c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59" t="s">
        <v>250</v>
      </c>
      <c r="F178" s="27">
        <v>7</v>
      </c>
      <c r="G178" s="28">
        <f t="shared" si="39"/>
        <v>29.400000000000002</v>
      </c>
      <c r="H178" s="26" t="s">
        <v>20</v>
      </c>
      <c r="I178" s="26" t="s">
        <v>149</v>
      </c>
      <c r="J178" s="26" t="s">
        <v>134</v>
      </c>
      <c r="K178" s="29">
        <v>0.91666666666666663</v>
      </c>
      <c r="L178" s="29">
        <v>0.95416666666666672</v>
      </c>
      <c r="M178" s="30">
        <f t="shared" ca="1" si="40"/>
        <v>3.7500000000000089E-2</v>
      </c>
      <c r="N178" s="46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250</v>
      </c>
      <c r="F179" s="27">
        <v>19</v>
      </c>
      <c r="G179" s="34">
        <f t="shared" si="39"/>
        <v>79.8</v>
      </c>
      <c r="H179" s="33" t="s">
        <v>20</v>
      </c>
      <c r="I179" s="33" t="s">
        <v>123</v>
      </c>
      <c r="J179" s="33" t="s">
        <v>114</v>
      </c>
      <c r="K179" s="29">
        <v>6.2500000000000003E-3</v>
      </c>
      <c r="L179" s="29">
        <v>2.5694444444444443E-2</v>
      </c>
      <c r="M179" s="35">
        <f t="shared" ca="1" si="40"/>
        <v>1.9444444444444445E-2</v>
      </c>
      <c r="N179" s="46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59" t="s">
        <v>250</v>
      </c>
      <c r="F180" s="27">
        <v>2</v>
      </c>
      <c r="G180" s="28">
        <f t="shared" si="39"/>
        <v>8.4</v>
      </c>
      <c r="H180" s="26" t="s">
        <v>20</v>
      </c>
      <c r="I180" s="26" t="s">
        <v>149</v>
      </c>
      <c r="J180" s="26" t="s">
        <v>134</v>
      </c>
      <c r="K180" s="29">
        <v>4.5138888888888888E-2</v>
      </c>
      <c r="L180" s="29">
        <v>7.013888888888889E-2</v>
      </c>
      <c r="M180" s="30">
        <f t="shared" ca="1" si="40"/>
        <v>2.5000000000000001E-2</v>
      </c>
      <c r="N180" s="46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250</v>
      </c>
      <c r="F181" s="27">
        <v>22</v>
      </c>
      <c r="G181" s="34">
        <f t="shared" si="39"/>
        <v>92.4</v>
      </c>
      <c r="H181" s="33" t="s">
        <v>20</v>
      </c>
      <c r="I181" s="33"/>
      <c r="J181" s="33" t="s">
        <v>74</v>
      </c>
      <c r="K181" s="29">
        <v>8.3333333333333329E-2</v>
      </c>
      <c r="L181" s="29">
        <v>0.15486111111111112</v>
      </c>
      <c r="M181" s="35">
        <f t="shared" ca="1" si="40"/>
        <v>7.1527777777777787E-2</v>
      </c>
      <c r="N181" s="46" t="s">
        <v>275</v>
      </c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59" t="s">
        <v>250</v>
      </c>
      <c r="F182" s="27">
        <v>6</v>
      </c>
      <c r="G182" s="28">
        <f t="shared" si="39"/>
        <v>25.200000000000003</v>
      </c>
      <c r="H182" s="26" t="s">
        <v>20</v>
      </c>
      <c r="I182" s="26"/>
      <c r="J182" s="26" t="s">
        <v>74</v>
      </c>
      <c r="K182" s="29">
        <v>0.18958333333333333</v>
      </c>
      <c r="L182" s="29">
        <v>0.2326388888888889</v>
      </c>
      <c r="M182" s="30">
        <f t="shared" ca="1" si="40"/>
        <v>4.3055555555555569E-2</v>
      </c>
      <c r="N182" s="46" t="s">
        <v>272</v>
      </c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250</v>
      </c>
      <c r="F183" s="27">
        <v>13</v>
      </c>
      <c r="G183" s="34">
        <f t="shared" si="39"/>
        <v>54.6</v>
      </c>
      <c r="H183" s="33" t="s">
        <v>20</v>
      </c>
      <c r="I183" s="33"/>
      <c r="J183" s="33" t="s">
        <v>74</v>
      </c>
      <c r="K183" s="29">
        <v>0.23958333333333334</v>
      </c>
      <c r="L183" s="29">
        <v>0.28611111111111109</v>
      </c>
      <c r="M183" s="35">
        <f t="shared" ca="1" si="40"/>
        <v>4.6527777777777751E-2</v>
      </c>
      <c r="N183" s="46" t="s">
        <v>276</v>
      </c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59" t="s">
        <v>250</v>
      </c>
      <c r="F184" s="27">
        <v>0</v>
      </c>
      <c r="G184" s="28">
        <f t="shared" si="39"/>
        <v>0</v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250</v>
      </c>
      <c r="F185" s="27">
        <v>3</v>
      </c>
      <c r="G185" s="34">
        <f t="shared" si="39"/>
        <v>12.600000000000001</v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59" t="s">
        <v>250</v>
      </c>
      <c r="F186" s="27">
        <v>10</v>
      </c>
      <c r="G186" s="28">
        <f t="shared" si="39"/>
        <v>42</v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250</v>
      </c>
      <c r="F187" s="27">
        <v>0</v>
      </c>
      <c r="G187" s="34">
        <f t="shared" si="39"/>
        <v>0</v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59" t="s">
        <v>250</v>
      </c>
      <c r="F188" s="27">
        <v>0</v>
      </c>
      <c r="G188" s="28">
        <f t="shared" si="39"/>
        <v>0</v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104" t="s">
        <v>238</v>
      </c>
      <c r="B189" s="105"/>
      <c r="C189" s="105"/>
      <c r="D189" s="105"/>
      <c r="E189" s="106">
        <f>SUM(E177:E188)</f>
        <v>0</v>
      </c>
      <c r="F189" s="36">
        <f>SUM(F177:F188)</f>
        <v>84</v>
      </c>
      <c r="G189" s="36">
        <f>SUM(G177:G188)</f>
        <v>352.80000000000007</v>
      </c>
      <c r="H189" s="37"/>
      <c r="I189" s="37"/>
      <c r="J189" s="37"/>
      <c r="K189" s="37"/>
      <c r="L189" s="37"/>
      <c r="M189" s="38">
        <f ca="1">IFERROR(SUM(M177:M188),"")</f>
        <v>0.28819444444444464</v>
      </c>
      <c r="N189" s="36" t="s">
        <v>236</v>
      </c>
      <c r="O189" s="77">
        <v>362530</v>
      </c>
    </row>
    <row r="190" spans="1:15" ht="18" customHeight="1">
      <c r="A190" s="107" t="s">
        <v>239</v>
      </c>
      <c r="B190" s="108"/>
      <c r="C190" s="108"/>
      <c r="D190" s="108"/>
      <c r="E190" s="109">
        <f>E176+E189</f>
        <v>0</v>
      </c>
      <c r="F190" s="40">
        <f>F176+F189</f>
        <v>153</v>
      </c>
      <c r="G190" s="40">
        <f>G176+G189</f>
        <v>642.60000000000014</v>
      </c>
      <c r="H190" s="41"/>
      <c r="I190" s="41"/>
      <c r="J190" s="41"/>
      <c r="K190" s="41"/>
      <c r="L190" s="41"/>
      <c r="M190" s="42">
        <f ca="1">IFERROR(M176+M189,"")</f>
        <v>0.37083333333333357</v>
      </c>
      <c r="N190" s="40" t="s">
        <v>240</v>
      </c>
      <c r="O190" s="82">
        <f>IFERROR(O176+O189,"")</f>
        <v>728820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250</v>
      </c>
      <c r="F191" s="27">
        <v>2</v>
      </c>
      <c r="G191" s="34">
        <f t="shared" ref="G191:G202" si="42">IF(F191="","",IF(E191="PC 17",F191*4.2,IF(E191="PC 19",F191*5,IF(E191="CB",F191*24,""))))</f>
        <v>8.4</v>
      </c>
      <c r="H191" s="33" t="s">
        <v>20</v>
      </c>
      <c r="I191" s="33" t="s">
        <v>149</v>
      </c>
      <c r="J191" s="33" t="s">
        <v>182</v>
      </c>
      <c r="K191" s="29">
        <v>0.29166666666666669</v>
      </c>
      <c r="L191" s="29">
        <v>0.33333333333333331</v>
      </c>
      <c r="M191" s="35">
        <f t="shared" ref="M191:M202" ca="1" si="43">IFERROR(IF(K191="","",IF(L191="",MOD(NOW()-K191,1),IF(L191&gt;=K191,L191-K191,L191+1-K191))),"")</f>
        <v>4.166666666666663E-2</v>
      </c>
      <c r="N191" s="46" t="s">
        <v>277</v>
      </c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250</v>
      </c>
      <c r="F192" s="27">
        <v>17</v>
      </c>
      <c r="G192" s="28">
        <f t="shared" si="42"/>
        <v>71.400000000000006</v>
      </c>
      <c r="H192" s="26" t="s">
        <v>20</v>
      </c>
      <c r="I192" s="26" t="s">
        <v>149</v>
      </c>
      <c r="J192" s="26" t="s">
        <v>182</v>
      </c>
      <c r="K192" s="29">
        <v>0.47499999999999998</v>
      </c>
      <c r="L192" s="29">
        <v>0.4861111111111111</v>
      </c>
      <c r="M192" s="30">
        <f t="shared" ca="1" si="43"/>
        <v>1.1111111111111127E-2</v>
      </c>
      <c r="N192" s="46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250</v>
      </c>
      <c r="F193" s="27">
        <v>16</v>
      </c>
      <c r="G193" s="34">
        <f t="shared" si="42"/>
        <v>67.2</v>
      </c>
      <c r="H193" s="33" t="s">
        <v>20</v>
      </c>
      <c r="I193" s="33" t="s">
        <v>149</v>
      </c>
      <c r="J193" s="26" t="s">
        <v>182</v>
      </c>
      <c r="K193" s="29">
        <v>0.50694444444444442</v>
      </c>
      <c r="L193" s="29">
        <v>0.53333333333333333</v>
      </c>
      <c r="M193" s="35">
        <f t="shared" ca="1" si="43"/>
        <v>2.6388888888888906E-2</v>
      </c>
      <c r="N193" s="46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250</v>
      </c>
      <c r="F194" s="27">
        <v>20</v>
      </c>
      <c r="G194" s="28">
        <f t="shared" si="42"/>
        <v>84</v>
      </c>
      <c r="H194" s="26" t="s">
        <v>20</v>
      </c>
      <c r="I194" s="26" t="s">
        <v>39</v>
      </c>
      <c r="J194" s="26" t="s">
        <v>36</v>
      </c>
      <c r="K194" s="29">
        <v>0.5625</v>
      </c>
      <c r="L194" s="29">
        <v>0.56944444444444442</v>
      </c>
      <c r="M194" s="30">
        <f t="shared" ca="1" si="43"/>
        <v>6.9444444444444198E-3</v>
      </c>
      <c r="N194" s="46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250</v>
      </c>
      <c r="F195" s="27">
        <v>5</v>
      </c>
      <c r="G195" s="34">
        <f t="shared" si="42"/>
        <v>21</v>
      </c>
      <c r="H195" s="33" t="s">
        <v>20</v>
      </c>
      <c r="I195" s="33" t="s">
        <v>39</v>
      </c>
      <c r="J195" s="33" t="s">
        <v>36</v>
      </c>
      <c r="K195" s="29">
        <v>0.60416666666666663</v>
      </c>
      <c r="L195" s="29">
        <v>0.63472222222222219</v>
      </c>
      <c r="M195" s="35">
        <f t="shared" ca="1" si="43"/>
        <v>3.0555555555555558E-2</v>
      </c>
      <c r="N195" s="46" t="s">
        <v>270</v>
      </c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250</v>
      </c>
      <c r="F196" s="27">
        <v>13</v>
      </c>
      <c r="G196" s="28">
        <f t="shared" si="42"/>
        <v>54.6</v>
      </c>
      <c r="H196" s="26" t="s">
        <v>18</v>
      </c>
      <c r="I196" s="26" t="s">
        <v>39</v>
      </c>
      <c r="J196" s="26" t="s">
        <v>166</v>
      </c>
      <c r="K196" s="29">
        <v>0.67361111111111116</v>
      </c>
      <c r="L196" s="29">
        <v>0.68125000000000002</v>
      </c>
      <c r="M196" s="30">
        <f t="shared" ca="1" si="43"/>
        <v>7.6388888888888618E-3</v>
      </c>
      <c r="N196" s="46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250</v>
      </c>
      <c r="F197" s="27">
        <v>10</v>
      </c>
      <c r="G197" s="34">
        <f t="shared" si="42"/>
        <v>42</v>
      </c>
      <c r="H197" s="33" t="s">
        <v>20</v>
      </c>
      <c r="I197" s="33" t="s">
        <v>123</v>
      </c>
      <c r="J197" s="33" t="s">
        <v>114</v>
      </c>
      <c r="K197" s="29">
        <v>0.71666666666666667</v>
      </c>
      <c r="L197" s="29">
        <v>0.72499999999999998</v>
      </c>
      <c r="M197" s="35">
        <f t="shared" ca="1" si="43"/>
        <v>8.3333333333333037E-3</v>
      </c>
      <c r="N197" s="46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250</v>
      </c>
      <c r="F198" s="27">
        <v>9</v>
      </c>
      <c r="G198" s="28">
        <f t="shared" si="42"/>
        <v>37.800000000000004</v>
      </c>
      <c r="H198" s="26" t="s">
        <v>20</v>
      </c>
      <c r="I198" s="26" t="s">
        <v>123</v>
      </c>
      <c r="J198" s="33" t="s">
        <v>114</v>
      </c>
      <c r="K198" s="29">
        <v>0.7368055555555556</v>
      </c>
      <c r="L198" s="29">
        <v>0.74444444444444446</v>
      </c>
      <c r="M198" s="30">
        <f t="shared" ca="1" si="43"/>
        <v>7.6388888888888618E-3</v>
      </c>
      <c r="N198" s="46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250</v>
      </c>
      <c r="F199" s="27">
        <v>9</v>
      </c>
      <c r="G199" s="34">
        <f t="shared" si="42"/>
        <v>37.800000000000004</v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250</v>
      </c>
      <c r="F200" s="27">
        <v>19</v>
      </c>
      <c r="G200" s="28">
        <f t="shared" si="42"/>
        <v>79.8</v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250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250</v>
      </c>
      <c r="F202" s="27">
        <v>7</v>
      </c>
      <c r="G202" s="28">
        <f t="shared" si="42"/>
        <v>29.400000000000002</v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104" t="s">
        <v>235</v>
      </c>
      <c r="B203" s="105"/>
      <c r="C203" s="105"/>
      <c r="D203" s="105"/>
      <c r="E203" s="106">
        <f>SUM(E191:E202)</f>
        <v>0</v>
      </c>
      <c r="F203" s="36">
        <f>SUM(F191:F202)</f>
        <v>133</v>
      </c>
      <c r="G203" s="36">
        <f>SUM(G191:G202)</f>
        <v>558.6</v>
      </c>
      <c r="H203" s="37"/>
      <c r="I203" s="37"/>
      <c r="J203" s="37"/>
      <c r="K203" s="37"/>
      <c r="L203" s="37"/>
      <c r="M203" s="38">
        <f ca="1">IFERROR(SUM(M191:M202),"")</f>
        <v>0.14027777777777767</v>
      </c>
      <c r="N203" s="36" t="s">
        <v>236</v>
      </c>
      <c r="O203" s="77">
        <v>601390</v>
      </c>
    </row>
    <row r="204" spans="1:15" ht="15" customHeight="1">
      <c r="A204" s="68">
        <v>46242</v>
      </c>
      <c r="B204" s="25">
        <v>0.83333333333333304</v>
      </c>
      <c r="C204" s="26" t="s">
        <v>45</v>
      </c>
      <c r="D204" s="59" t="s">
        <v>30</v>
      </c>
      <c r="E204" s="59" t="s">
        <v>250</v>
      </c>
      <c r="F204" s="27">
        <v>16</v>
      </c>
      <c r="G204" s="28">
        <f t="shared" ref="G204:G215" si="45">IF(F204="","",IF(E204="PC 17",F204*4.2,IF(E204="PC 19",F204*5,IF(E204="CB",F204*24,""))))</f>
        <v>67.2</v>
      </c>
      <c r="H204" s="26" t="s">
        <v>20</v>
      </c>
      <c r="I204" s="26"/>
      <c r="J204" s="26" t="s">
        <v>74</v>
      </c>
      <c r="K204" s="29">
        <v>0.88680555555555551</v>
      </c>
      <c r="L204" s="29">
        <v>0.89930555555555558</v>
      </c>
      <c r="M204" s="30">
        <f t="shared" ref="M204:M215" ca="1" si="46">IFERROR(IF(K204="","",IF(L204="",MOD(NOW()-K204,1),IF(L204&gt;=K204,L204-K204,L204+1-K204))),"")</f>
        <v>1.2500000000000067E-2</v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 t="s">
        <v>45</v>
      </c>
      <c r="D205" s="59" t="s">
        <v>30</v>
      </c>
      <c r="E205" s="59" t="s">
        <v>250</v>
      </c>
      <c r="F205" s="27">
        <v>11</v>
      </c>
      <c r="G205" s="34">
        <f t="shared" si="45"/>
        <v>46.2</v>
      </c>
      <c r="H205" s="33" t="s">
        <v>19</v>
      </c>
      <c r="I205" s="33" t="s">
        <v>159</v>
      </c>
      <c r="J205" s="33" t="s">
        <v>27</v>
      </c>
      <c r="K205" s="29">
        <v>0.93263888888888891</v>
      </c>
      <c r="L205" s="29">
        <v>0.96666666666666667</v>
      </c>
      <c r="M205" s="35">
        <f t="shared" ca="1" si="46"/>
        <v>3.4027777777777768E-2</v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 t="s">
        <v>45</v>
      </c>
      <c r="D206" s="59" t="s">
        <v>30</v>
      </c>
      <c r="E206" s="59" t="s">
        <v>250</v>
      </c>
      <c r="F206" s="27">
        <v>10</v>
      </c>
      <c r="G206" s="28">
        <f t="shared" si="45"/>
        <v>42</v>
      </c>
      <c r="H206" s="26" t="s">
        <v>19</v>
      </c>
      <c r="I206" s="26" t="s">
        <v>159</v>
      </c>
      <c r="J206" s="26" t="s">
        <v>27</v>
      </c>
      <c r="K206" s="29">
        <v>0.22708333333333333</v>
      </c>
      <c r="L206" s="29">
        <v>0.25</v>
      </c>
      <c r="M206" s="30">
        <f t="shared" ca="1" si="46"/>
        <v>2.2916666666666669E-2</v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 t="s">
        <v>45</v>
      </c>
      <c r="D207" s="59" t="s">
        <v>30</v>
      </c>
      <c r="E207" s="59" t="s">
        <v>250</v>
      </c>
      <c r="F207" s="27">
        <v>8</v>
      </c>
      <c r="G207" s="34">
        <f t="shared" si="45"/>
        <v>33.6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 t="s">
        <v>45</v>
      </c>
      <c r="D208" s="59" t="s">
        <v>30</v>
      </c>
      <c r="E208" s="59" t="s">
        <v>250</v>
      </c>
      <c r="F208" s="27">
        <v>17</v>
      </c>
      <c r="G208" s="28">
        <f t="shared" si="45"/>
        <v>71.400000000000006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 t="s">
        <v>45</v>
      </c>
      <c r="D209" s="59" t="s">
        <v>30</v>
      </c>
      <c r="E209" s="59" t="s">
        <v>250</v>
      </c>
      <c r="F209" s="27">
        <v>12</v>
      </c>
      <c r="G209" s="34">
        <f t="shared" si="45"/>
        <v>50.400000000000006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 t="s">
        <v>45</v>
      </c>
      <c r="D210" s="59" t="s">
        <v>30</v>
      </c>
      <c r="E210" s="59" t="s">
        <v>250</v>
      </c>
      <c r="F210" s="27">
        <v>12</v>
      </c>
      <c r="G210" s="28">
        <f t="shared" si="45"/>
        <v>50.400000000000006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 t="s">
        <v>45</v>
      </c>
      <c r="D211" s="59" t="s">
        <v>30</v>
      </c>
      <c r="E211" s="59" t="s">
        <v>250</v>
      </c>
      <c r="F211" s="27">
        <v>15</v>
      </c>
      <c r="G211" s="34">
        <f t="shared" si="45"/>
        <v>63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 t="s">
        <v>45</v>
      </c>
      <c r="D212" s="59" t="s">
        <v>30</v>
      </c>
      <c r="E212" s="59" t="s">
        <v>250</v>
      </c>
      <c r="F212" s="27">
        <v>16</v>
      </c>
      <c r="G212" s="28">
        <f t="shared" si="45"/>
        <v>67.2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 t="s">
        <v>45</v>
      </c>
      <c r="D213" s="59" t="s">
        <v>30</v>
      </c>
      <c r="E213" s="59" t="s">
        <v>250</v>
      </c>
      <c r="F213" s="27">
        <v>15</v>
      </c>
      <c r="G213" s="34">
        <f t="shared" si="45"/>
        <v>63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 t="s">
        <v>45</v>
      </c>
      <c r="D214" s="59" t="s">
        <v>30</v>
      </c>
      <c r="E214" s="59" t="s">
        <v>250</v>
      </c>
      <c r="F214" s="27">
        <v>0</v>
      </c>
      <c r="G214" s="28">
        <f t="shared" si="45"/>
        <v>0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 t="s">
        <v>45</v>
      </c>
      <c r="D215" s="59" t="s">
        <v>30</v>
      </c>
      <c r="E215" s="59" t="s">
        <v>250</v>
      </c>
      <c r="F215" s="27">
        <v>9</v>
      </c>
      <c r="G215" s="34">
        <f t="shared" si="45"/>
        <v>37.800000000000004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4" t="s">
        <v>238</v>
      </c>
      <c r="B216" s="105"/>
      <c r="C216" s="105"/>
      <c r="D216" s="105"/>
      <c r="E216" s="106">
        <f>SUM(E204:E215)</f>
        <v>0</v>
      </c>
      <c r="F216" s="36">
        <f>SUM(F204:F215)</f>
        <v>141</v>
      </c>
      <c r="G216" s="36">
        <f>SUM(G204:G215)</f>
        <v>592.19999999999982</v>
      </c>
      <c r="H216" s="37"/>
      <c r="I216" s="37"/>
      <c r="J216" s="37"/>
      <c r="K216" s="37"/>
      <c r="L216" s="37"/>
      <c r="M216" s="38">
        <f ca="1">IFERROR(SUM(M204:M215),"")</f>
        <v>6.9444444444444503E-2</v>
      </c>
      <c r="N216" s="36" t="s">
        <v>236</v>
      </c>
      <c r="O216" s="77">
        <v>609740</v>
      </c>
    </row>
    <row r="217" spans="1:15" ht="18" customHeight="1">
      <c r="A217" s="107" t="s">
        <v>239</v>
      </c>
      <c r="B217" s="108"/>
      <c r="C217" s="108"/>
      <c r="D217" s="108"/>
      <c r="E217" s="109">
        <f>E203+E216</f>
        <v>0</v>
      </c>
      <c r="F217" s="40">
        <f>F203+F216</f>
        <v>274</v>
      </c>
      <c r="G217" s="40">
        <f>G203+G216</f>
        <v>1150.7999999999997</v>
      </c>
      <c r="H217" s="41"/>
      <c r="I217" s="41"/>
      <c r="J217" s="41"/>
      <c r="K217" s="41"/>
      <c r="L217" s="41"/>
      <c r="M217" s="42">
        <f ca="1">IFERROR(M203+M216,"")</f>
        <v>0.20972222222222217</v>
      </c>
      <c r="N217" s="40" t="s">
        <v>240</v>
      </c>
      <c r="O217" s="83">
        <f>IFERROR(O203+O216,"")</f>
        <v>1211130</v>
      </c>
    </row>
    <row r="218" spans="1:15" ht="15" customHeight="1">
      <c r="A218" s="68">
        <v>46243</v>
      </c>
      <c r="B218" s="25">
        <v>0.33333333333333298</v>
      </c>
      <c r="C218" s="26" t="s">
        <v>29</v>
      </c>
      <c r="D218" s="59" t="s">
        <v>30</v>
      </c>
      <c r="E218" s="59" t="s">
        <v>250</v>
      </c>
      <c r="F218" s="27">
        <v>18</v>
      </c>
      <c r="G218" s="28">
        <f t="shared" ref="G218:G229" si="48">IF(F218="","",IF(E218="PC 17",F218*4.2,IF(E218="PC 19",F218*5,IF(E218="CB",F218*24,""))))</f>
        <v>75.600000000000009</v>
      </c>
      <c r="H218" s="26" t="s">
        <v>18</v>
      </c>
      <c r="I218" s="26" t="s">
        <v>31</v>
      </c>
      <c r="J218" s="33" t="s">
        <v>171</v>
      </c>
      <c r="K218" s="29">
        <v>0.29166666666666669</v>
      </c>
      <c r="L218" s="29">
        <v>0.32291666666666669</v>
      </c>
      <c r="M218" s="30">
        <f t="shared" ref="M218:M229" ca="1" si="49">IFERROR(IF(K218="","",IF(L218="",MOD(NOW()-K218,1),IF(L218&gt;=K218,L218-K218,L218+1-K218))),"")</f>
        <v>3.125E-2</v>
      </c>
      <c r="N218" s="46" t="s">
        <v>264</v>
      </c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250</v>
      </c>
      <c r="F219" s="27">
        <v>8</v>
      </c>
      <c r="G219" s="34">
        <f t="shared" si="48"/>
        <v>33.6</v>
      </c>
      <c r="H219" s="33" t="s">
        <v>19</v>
      </c>
      <c r="I219" s="33" t="s">
        <v>31</v>
      </c>
      <c r="J219" s="33" t="s">
        <v>35</v>
      </c>
      <c r="K219" s="29">
        <v>0.32291666666666669</v>
      </c>
      <c r="L219" s="29">
        <v>0.3611111111111111</v>
      </c>
      <c r="M219" s="35">
        <f t="shared" ca="1" si="49"/>
        <v>3.819444444444442E-2</v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250</v>
      </c>
      <c r="F220" s="27">
        <v>7</v>
      </c>
      <c r="G220" s="28">
        <f t="shared" si="48"/>
        <v>29.400000000000002</v>
      </c>
      <c r="H220" s="26" t="s">
        <v>19</v>
      </c>
      <c r="I220" s="26" t="s">
        <v>31</v>
      </c>
      <c r="J220" s="26" t="s">
        <v>50</v>
      </c>
      <c r="K220" s="29">
        <v>0.5083333333333333</v>
      </c>
      <c r="L220" s="29">
        <v>0.52083333333333337</v>
      </c>
      <c r="M220" s="30">
        <f t="shared" ca="1" si="49"/>
        <v>1.2500000000000067E-2</v>
      </c>
      <c r="N220" s="46" t="s">
        <v>237</v>
      </c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250</v>
      </c>
      <c r="F221" s="27">
        <v>17</v>
      </c>
      <c r="G221" s="34">
        <f t="shared" si="48"/>
        <v>71.400000000000006</v>
      </c>
      <c r="H221" s="33" t="s">
        <v>19</v>
      </c>
      <c r="I221" s="33" t="s">
        <v>31</v>
      </c>
      <c r="J221" s="33" t="s">
        <v>78</v>
      </c>
      <c r="K221" s="29">
        <v>0.52083333333333337</v>
      </c>
      <c r="L221" s="29">
        <v>0.55486111111111114</v>
      </c>
      <c r="M221" s="35">
        <f t="shared" ca="1" si="49"/>
        <v>3.4027777777777768E-2</v>
      </c>
      <c r="N221" s="46" t="s">
        <v>278</v>
      </c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234</v>
      </c>
      <c r="F222" s="27">
        <v>5</v>
      </c>
      <c r="G222" s="28">
        <f t="shared" si="48"/>
        <v>25</v>
      </c>
      <c r="H222" s="26" t="s">
        <v>19</v>
      </c>
      <c r="I222" s="26" t="s">
        <v>39</v>
      </c>
      <c r="J222" s="26" t="s">
        <v>27</v>
      </c>
      <c r="K222" s="29">
        <v>0.6381944444444444</v>
      </c>
      <c r="L222" s="29">
        <v>0.65277777777777779</v>
      </c>
      <c r="M222" s="30">
        <f t="shared" ca="1" si="49"/>
        <v>1.4583333333333393E-2</v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250</v>
      </c>
      <c r="F223" s="27">
        <v>13</v>
      </c>
      <c r="G223" s="34">
        <f t="shared" si="48"/>
        <v>54.6</v>
      </c>
      <c r="H223" s="33" t="s">
        <v>18</v>
      </c>
      <c r="I223" s="33" t="s">
        <v>135</v>
      </c>
      <c r="J223" s="33"/>
      <c r="K223" s="29">
        <v>0.67777777777777781</v>
      </c>
      <c r="L223" s="29">
        <v>0.68472222222222223</v>
      </c>
      <c r="M223" s="35">
        <f t="shared" ca="1" si="49"/>
        <v>6.9444444444444198E-3</v>
      </c>
      <c r="N223" s="46" t="s">
        <v>279</v>
      </c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250</v>
      </c>
      <c r="F224" s="27">
        <v>10</v>
      </c>
      <c r="G224" s="28">
        <f t="shared" si="48"/>
        <v>42</v>
      </c>
      <c r="H224" s="26" t="s">
        <v>18</v>
      </c>
      <c r="I224" s="26" t="s">
        <v>135</v>
      </c>
      <c r="J224" s="26" t="s">
        <v>61</v>
      </c>
      <c r="K224" s="29">
        <v>0.69930555555555551</v>
      </c>
      <c r="L224" s="29">
        <v>0.71111111111111114</v>
      </c>
      <c r="M224" s="30">
        <f t="shared" ca="1" si="49"/>
        <v>1.1805555555555625E-2</v>
      </c>
      <c r="N224" s="46" t="s">
        <v>280</v>
      </c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250</v>
      </c>
      <c r="F225" s="27">
        <v>14</v>
      </c>
      <c r="G225" s="34">
        <f t="shared" si="48"/>
        <v>58.800000000000004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250</v>
      </c>
      <c r="F226" s="27">
        <v>12</v>
      </c>
      <c r="G226" s="28">
        <f t="shared" si="48"/>
        <v>50.400000000000006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250</v>
      </c>
      <c r="F227" s="27">
        <v>10</v>
      </c>
      <c r="G227" s="34">
        <f t="shared" si="48"/>
        <v>42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250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250</v>
      </c>
      <c r="F229" s="27">
        <v>10</v>
      </c>
      <c r="G229" s="34">
        <f t="shared" si="48"/>
        <v>42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10" t="s">
        <v>235</v>
      </c>
      <c r="B230" s="111"/>
      <c r="C230" s="111"/>
      <c r="D230" s="111"/>
      <c r="E230" s="112">
        <f>SUM(E218:E229)</f>
        <v>0</v>
      </c>
      <c r="F230" s="36">
        <f>SUM(F218:F229)</f>
        <v>134</v>
      </c>
      <c r="G230" s="36">
        <f>SUM(G218:G229)</f>
        <v>566.80000000000007</v>
      </c>
      <c r="H230" s="37"/>
      <c r="I230" s="37"/>
      <c r="J230" s="37"/>
      <c r="K230" s="37"/>
      <c r="L230" s="37"/>
      <c r="M230" s="38">
        <f ca="1">IFERROR(SUM(M218:M229),"")</f>
        <v>0.14930555555555569</v>
      </c>
      <c r="N230" s="36" t="s">
        <v>236</v>
      </c>
      <c r="O230" s="77">
        <v>503310</v>
      </c>
    </row>
    <row r="231" spans="1:15" ht="15" customHeight="1">
      <c r="A231" s="69">
        <v>46243</v>
      </c>
      <c r="B231" s="32">
        <v>0.83333333333333304</v>
      </c>
      <c r="C231" s="33" t="s">
        <v>45</v>
      </c>
      <c r="D231" s="62" t="s">
        <v>30</v>
      </c>
      <c r="E231" s="62" t="s">
        <v>250</v>
      </c>
      <c r="F231" s="27">
        <v>15</v>
      </c>
      <c r="G231" s="34">
        <f t="shared" ref="G231:G242" si="51">IF(F231="","",IF(E231="PC 17",F231*4.2,IF(E231="PC 19",F231*5,IF(E231="CB",F231*24,""))))</f>
        <v>63</v>
      </c>
      <c r="H231" s="33" t="s">
        <v>20</v>
      </c>
      <c r="I231" s="33" t="s">
        <v>39</v>
      </c>
      <c r="J231" s="33" t="s">
        <v>36</v>
      </c>
      <c r="K231" s="29">
        <v>0.81111111111111112</v>
      </c>
      <c r="L231" s="29">
        <v>0.83680555555555558</v>
      </c>
      <c r="M231" s="35">
        <f t="shared" ref="M231:M242" ca="1" si="52">IFERROR(IF(K231="","",IF(L231="",MOD(NOW()-K231,1),IF(L231&gt;=K231,L231-K231,L231+1-K231))),"")</f>
        <v>2.5694444444444464E-2</v>
      </c>
      <c r="N231" s="46" t="s">
        <v>237</v>
      </c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 t="s">
        <v>45</v>
      </c>
      <c r="D232" s="62" t="s">
        <v>30</v>
      </c>
      <c r="E232" s="62" t="s">
        <v>234</v>
      </c>
      <c r="F232" s="27">
        <v>11</v>
      </c>
      <c r="G232" s="28">
        <f t="shared" si="51"/>
        <v>55</v>
      </c>
      <c r="H232" s="26" t="s">
        <v>19</v>
      </c>
      <c r="I232" s="26" t="s">
        <v>159</v>
      </c>
      <c r="J232" s="26" t="s">
        <v>27</v>
      </c>
      <c r="K232" s="29">
        <v>0.94722222222222219</v>
      </c>
      <c r="L232" s="29">
        <v>0.96805555555555556</v>
      </c>
      <c r="M232" s="30">
        <f t="shared" ca="1" si="52"/>
        <v>2.083333333333337E-2</v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 t="s">
        <v>45</v>
      </c>
      <c r="D233" s="62" t="s">
        <v>30</v>
      </c>
      <c r="E233" s="62" t="s">
        <v>250</v>
      </c>
      <c r="F233" s="27">
        <v>13</v>
      </c>
      <c r="G233" s="34">
        <f t="shared" si="51"/>
        <v>54.6</v>
      </c>
      <c r="H233" s="33" t="s">
        <v>20</v>
      </c>
      <c r="I233" s="33" t="s">
        <v>39</v>
      </c>
      <c r="J233" s="33" t="s">
        <v>36</v>
      </c>
      <c r="K233" s="29">
        <v>0.16111111111111112</v>
      </c>
      <c r="L233" s="29">
        <v>0.1701388888888889</v>
      </c>
      <c r="M233" s="35">
        <f t="shared" ca="1" si="52"/>
        <v>9.0277777777777735E-3</v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 t="s">
        <v>45</v>
      </c>
      <c r="D234" s="62" t="s">
        <v>30</v>
      </c>
      <c r="E234" s="62" t="s">
        <v>234</v>
      </c>
      <c r="F234" s="27">
        <v>8</v>
      </c>
      <c r="G234" s="28">
        <f t="shared" si="51"/>
        <v>40</v>
      </c>
      <c r="H234" s="26" t="s">
        <v>19</v>
      </c>
      <c r="I234" s="26" t="s">
        <v>159</v>
      </c>
      <c r="J234" s="26" t="s">
        <v>27</v>
      </c>
      <c r="K234" s="29">
        <v>0.22083333333333333</v>
      </c>
      <c r="L234" s="29">
        <v>0.2361111111111111</v>
      </c>
      <c r="M234" s="30">
        <f t="shared" ca="1" si="52"/>
        <v>1.5277777777777779E-2</v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 t="s">
        <v>45</v>
      </c>
      <c r="D235" s="62" t="s">
        <v>30</v>
      </c>
      <c r="E235" s="62" t="s">
        <v>234</v>
      </c>
      <c r="F235" s="27">
        <v>10</v>
      </c>
      <c r="G235" s="34">
        <f t="shared" si="51"/>
        <v>50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 t="s">
        <v>45</v>
      </c>
      <c r="D236" s="62" t="s">
        <v>30</v>
      </c>
      <c r="E236" s="62" t="s">
        <v>234</v>
      </c>
      <c r="F236" s="27">
        <v>12</v>
      </c>
      <c r="G236" s="28">
        <f t="shared" si="51"/>
        <v>60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 t="s">
        <v>45</v>
      </c>
      <c r="D237" s="62" t="s">
        <v>30</v>
      </c>
      <c r="E237" s="62" t="s">
        <v>234</v>
      </c>
      <c r="F237" s="27">
        <v>16</v>
      </c>
      <c r="G237" s="34">
        <f t="shared" si="51"/>
        <v>80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 t="s">
        <v>45</v>
      </c>
      <c r="D238" s="62" t="s">
        <v>30</v>
      </c>
      <c r="E238" s="62" t="s">
        <v>234</v>
      </c>
      <c r="F238" s="27">
        <v>18</v>
      </c>
      <c r="G238" s="28">
        <f t="shared" si="51"/>
        <v>90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 t="s">
        <v>45</v>
      </c>
      <c r="D239" s="62" t="s">
        <v>30</v>
      </c>
      <c r="E239" s="62" t="s">
        <v>234</v>
      </c>
      <c r="F239" s="27">
        <v>14</v>
      </c>
      <c r="G239" s="34">
        <f t="shared" si="51"/>
        <v>70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 t="s">
        <v>45</v>
      </c>
      <c r="D240" s="62" t="s">
        <v>30</v>
      </c>
      <c r="E240" s="62" t="s">
        <v>234</v>
      </c>
      <c r="F240" s="27">
        <v>11</v>
      </c>
      <c r="G240" s="28">
        <f t="shared" si="51"/>
        <v>55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 t="s">
        <v>45</v>
      </c>
      <c r="D241" s="62" t="s">
        <v>30</v>
      </c>
      <c r="E241" s="62" t="s">
        <v>234</v>
      </c>
      <c r="F241" s="27">
        <v>6</v>
      </c>
      <c r="G241" s="34">
        <f t="shared" si="51"/>
        <v>30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 t="s">
        <v>45</v>
      </c>
      <c r="D242" s="62" t="s">
        <v>30</v>
      </c>
      <c r="E242" s="62" t="s">
        <v>234</v>
      </c>
      <c r="F242" s="27">
        <v>3</v>
      </c>
      <c r="G242" s="28">
        <f t="shared" si="51"/>
        <v>15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4" t="s">
        <v>238</v>
      </c>
      <c r="B243" s="105"/>
      <c r="C243" s="105"/>
      <c r="D243" s="105"/>
      <c r="E243" s="106">
        <f>SUM(E231:E242)</f>
        <v>0</v>
      </c>
      <c r="F243" s="36">
        <f>SUM(F231:F242)</f>
        <v>137</v>
      </c>
      <c r="G243" s="36">
        <f>SUM(G231:G242)</f>
        <v>662.6</v>
      </c>
      <c r="H243" s="37"/>
      <c r="I243" s="37"/>
      <c r="J243" s="37"/>
      <c r="K243" s="37"/>
      <c r="L243" s="37"/>
      <c r="M243" s="38">
        <f ca="1">IFERROR(SUM(M231:M242),"")</f>
        <v>7.0833333333333387E-2</v>
      </c>
      <c r="N243" s="36" t="s">
        <v>236</v>
      </c>
      <c r="O243" s="77">
        <v>825930</v>
      </c>
    </row>
    <row r="244" spans="1:15" ht="18" customHeight="1">
      <c r="A244" s="107" t="s">
        <v>239</v>
      </c>
      <c r="B244" s="108"/>
      <c r="C244" s="108"/>
      <c r="D244" s="108"/>
      <c r="E244" s="109">
        <f>E230+E243</f>
        <v>0</v>
      </c>
      <c r="F244" s="40">
        <f>F230+F243</f>
        <v>271</v>
      </c>
      <c r="G244" s="40">
        <f>G230+G243</f>
        <v>1229.4000000000001</v>
      </c>
      <c r="H244" s="41"/>
      <c r="I244" s="41"/>
      <c r="J244" s="41"/>
      <c r="K244" s="41"/>
      <c r="L244" s="41"/>
      <c r="M244" s="42">
        <f ca="1">IFERROR(M230+M243,"")</f>
        <v>0.22013888888888908</v>
      </c>
      <c r="N244" s="40" t="s">
        <v>240</v>
      </c>
      <c r="O244" s="83">
        <f>IFERROR(O230+O243,"")</f>
        <v>1329240</v>
      </c>
    </row>
    <row r="245" spans="1:15" ht="15" customHeight="1">
      <c r="A245" s="68">
        <v>46244</v>
      </c>
      <c r="B245" s="25">
        <v>0.33333333333333298</v>
      </c>
      <c r="C245" s="26" t="s">
        <v>29</v>
      </c>
      <c r="D245" s="59" t="s">
        <v>30</v>
      </c>
      <c r="E245" s="59" t="s">
        <v>234</v>
      </c>
      <c r="F245" s="27">
        <v>23</v>
      </c>
      <c r="G245" s="28">
        <f t="shared" ref="G245:G256" si="54">IF(F245="","",IF(E245="PC 17",F245*4.2,IF(E245="PC 19",F245*5,IF(E245="CB",F245*24,""))))</f>
        <v>115</v>
      </c>
      <c r="H245" s="33" t="s">
        <v>18</v>
      </c>
      <c r="I245" s="33" t="s">
        <v>31</v>
      </c>
      <c r="J245" s="33" t="s">
        <v>166</v>
      </c>
      <c r="K245" s="29">
        <v>0.45624999999999999</v>
      </c>
      <c r="L245" s="29">
        <v>0.45833333333333331</v>
      </c>
      <c r="M245" s="35">
        <f t="shared" ref="M245:M256" ca="1" si="55">IFERROR(IF(K245="","",IF(L245="",MOD(NOW()-K245,1),IF(L245&gt;=K245,L245-K245,L245+1-K245))),"")</f>
        <v>2.0833333333333259E-3</v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 t="s">
        <v>29</v>
      </c>
      <c r="D246" s="59" t="s">
        <v>30</v>
      </c>
      <c r="E246" s="59" t="s">
        <v>234</v>
      </c>
      <c r="F246" s="27">
        <v>18</v>
      </c>
      <c r="G246" s="34">
        <f t="shared" si="54"/>
        <v>90</v>
      </c>
      <c r="H246" s="33" t="s">
        <v>19</v>
      </c>
      <c r="I246" s="26" t="s">
        <v>39</v>
      </c>
      <c r="J246" s="33" t="s">
        <v>27</v>
      </c>
      <c r="K246" s="29">
        <v>0.45624999999999999</v>
      </c>
      <c r="L246" s="29">
        <v>0.46388888888888891</v>
      </c>
      <c r="M246" s="30">
        <f t="shared" ca="1" si="55"/>
        <v>7.6388888888889173E-3</v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 t="s">
        <v>29</v>
      </c>
      <c r="D247" s="59" t="s">
        <v>30</v>
      </c>
      <c r="E247" s="59" t="s">
        <v>234</v>
      </c>
      <c r="F247" s="27">
        <v>16</v>
      </c>
      <c r="G247" s="28">
        <f t="shared" si="54"/>
        <v>80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 t="s">
        <v>29</v>
      </c>
      <c r="D248" s="59" t="s">
        <v>30</v>
      </c>
      <c r="E248" s="59" t="s">
        <v>234</v>
      </c>
      <c r="F248" s="27">
        <v>14</v>
      </c>
      <c r="G248" s="34">
        <f t="shared" si="54"/>
        <v>70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 t="s">
        <v>29</v>
      </c>
      <c r="D249" s="59" t="s">
        <v>30</v>
      </c>
      <c r="E249" s="59" t="s">
        <v>250</v>
      </c>
      <c r="F249" s="27">
        <v>12</v>
      </c>
      <c r="G249" s="28">
        <f t="shared" si="54"/>
        <v>50.400000000000006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 t="s">
        <v>29</v>
      </c>
      <c r="D250" s="59" t="s">
        <v>22</v>
      </c>
      <c r="E250" s="59" t="s">
        <v>250</v>
      </c>
      <c r="F250" s="27">
        <v>12</v>
      </c>
      <c r="G250" s="34">
        <f t="shared" si="54"/>
        <v>50.400000000000006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 t="s">
        <v>29</v>
      </c>
      <c r="D251" s="59" t="s">
        <v>22</v>
      </c>
      <c r="E251" s="59" t="s">
        <v>250</v>
      </c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 t="s">
        <v>29</v>
      </c>
      <c r="D252" s="59" t="s">
        <v>22</v>
      </c>
      <c r="E252" s="59" t="s">
        <v>250</v>
      </c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 t="s">
        <v>29</v>
      </c>
      <c r="D253" s="59" t="s">
        <v>22</v>
      </c>
      <c r="E253" s="59" t="s">
        <v>250</v>
      </c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 t="s">
        <v>29</v>
      </c>
      <c r="D254" s="59" t="s">
        <v>22</v>
      </c>
      <c r="E254" s="59" t="s">
        <v>250</v>
      </c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 t="s">
        <v>29</v>
      </c>
      <c r="D255" s="59" t="s">
        <v>22</v>
      </c>
      <c r="E255" s="59" t="s">
        <v>250</v>
      </c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 t="s">
        <v>29</v>
      </c>
      <c r="D256" s="59" t="s">
        <v>22</v>
      </c>
      <c r="E256" s="59" t="s">
        <v>250</v>
      </c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4" t="s">
        <v>235</v>
      </c>
      <c r="B257" s="105"/>
      <c r="C257" s="105"/>
      <c r="D257" s="105"/>
      <c r="E257" s="106">
        <f>SUM(E245:E256)</f>
        <v>0</v>
      </c>
      <c r="F257" s="36">
        <f>SUM(F245:F256)</f>
        <v>95</v>
      </c>
      <c r="G257" s="36">
        <f>SUM(G245:G256)</f>
        <v>455.79999999999995</v>
      </c>
      <c r="H257" s="37"/>
      <c r="I257" s="37"/>
      <c r="J257" s="37"/>
      <c r="K257" s="37"/>
      <c r="L257" s="37"/>
      <c r="M257" s="38">
        <f ca="1">IFERROR(SUM(M245:M256),"")</f>
        <v>9.7222222222222432E-3</v>
      </c>
      <c r="N257" s="36" t="s">
        <v>236</v>
      </c>
      <c r="O257" s="77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4" t="s">
        <v>238</v>
      </c>
      <c r="B270" s="105"/>
      <c r="C270" s="105"/>
      <c r="D270" s="105"/>
      <c r="E270" s="106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236</v>
      </c>
      <c r="O270" s="77"/>
    </row>
    <row r="271" spans="1:15" ht="18" customHeight="1">
      <c r="A271" s="107" t="s">
        <v>239</v>
      </c>
      <c r="B271" s="108"/>
      <c r="C271" s="108"/>
      <c r="D271" s="108"/>
      <c r="E271" s="109">
        <f>E257+E270</f>
        <v>0</v>
      </c>
      <c r="F271" s="40">
        <f>F257+F270</f>
        <v>95</v>
      </c>
      <c r="G271" s="40">
        <f>G257+G270</f>
        <v>455.79999999999995</v>
      </c>
      <c r="H271" s="41"/>
      <c r="I271" s="41"/>
      <c r="J271" s="41"/>
      <c r="K271" s="41"/>
      <c r="L271" s="41"/>
      <c r="M271" s="42">
        <f ca="1">IFERROR(M257+M270,"")</f>
        <v>9.7222222222222432E-3</v>
      </c>
      <c r="N271" s="40" t="s">
        <v>240</v>
      </c>
      <c r="O271" s="83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4" t="s">
        <v>235</v>
      </c>
      <c r="B284" s="105"/>
      <c r="C284" s="105"/>
      <c r="D284" s="105"/>
      <c r="E284" s="106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236</v>
      </c>
      <c r="O284" s="77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4" t="s">
        <v>238</v>
      </c>
      <c r="B297" s="105"/>
      <c r="C297" s="105"/>
      <c r="D297" s="105"/>
      <c r="E297" s="106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236</v>
      </c>
      <c r="O297" s="77"/>
    </row>
    <row r="298" spans="1:15" ht="18" customHeight="1">
      <c r="A298" s="107" t="s">
        <v>239</v>
      </c>
      <c r="B298" s="108"/>
      <c r="C298" s="108"/>
      <c r="D298" s="108"/>
      <c r="E298" s="109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240</v>
      </c>
      <c r="O298" s="83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4" t="s">
        <v>235</v>
      </c>
      <c r="B311" s="105"/>
      <c r="C311" s="105"/>
      <c r="D311" s="105"/>
      <c r="E311" s="106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236</v>
      </c>
      <c r="O311" s="77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4" t="s">
        <v>238</v>
      </c>
      <c r="B324" s="105"/>
      <c r="C324" s="105"/>
      <c r="D324" s="105"/>
      <c r="E324" s="106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236</v>
      </c>
      <c r="O324" s="77"/>
    </row>
    <row r="325" spans="1:15" ht="18" customHeight="1">
      <c r="A325" s="107" t="s">
        <v>239</v>
      </c>
      <c r="B325" s="108"/>
      <c r="C325" s="108"/>
      <c r="D325" s="108"/>
      <c r="E325" s="109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240</v>
      </c>
      <c r="O325" s="83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4" t="s">
        <v>235</v>
      </c>
      <c r="B338" s="105"/>
      <c r="C338" s="105"/>
      <c r="D338" s="105"/>
      <c r="E338" s="106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236</v>
      </c>
      <c r="O338" s="77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4" t="s">
        <v>238</v>
      </c>
      <c r="B351" s="105"/>
      <c r="C351" s="105"/>
      <c r="D351" s="105"/>
      <c r="E351" s="106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236</v>
      </c>
      <c r="O351" s="77"/>
    </row>
    <row r="352" spans="1:15" ht="18" customHeight="1">
      <c r="A352" s="107" t="s">
        <v>239</v>
      </c>
      <c r="B352" s="108"/>
      <c r="C352" s="108"/>
      <c r="D352" s="108"/>
      <c r="E352" s="109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240</v>
      </c>
      <c r="O352" s="83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4" t="s">
        <v>235</v>
      </c>
      <c r="B365" s="105"/>
      <c r="C365" s="105"/>
      <c r="D365" s="105"/>
      <c r="E365" s="106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236</v>
      </c>
      <c r="O365" s="77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4" t="s">
        <v>238</v>
      </c>
      <c r="B378" s="105"/>
      <c r="C378" s="105"/>
      <c r="D378" s="105"/>
      <c r="E378" s="106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236</v>
      </c>
      <c r="O378" s="77"/>
    </row>
    <row r="379" spans="1:15" ht="18" customHeight="1">
      <c r="A379" s="107" t="s">
        <v>239</v>
      </c>
      <c r="B379" s="108"/>
      <c r="C379" s="108"/>
      <c r="D379" s="108"/>
      <c r="E379" s="109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240</v>
      </c>
      <c r="O379" s="83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4" t="s">
        <v>235</v>
      </c>
      <c r="B392" s="105"/>
      <c r="C392" s="105"/>
      <c r="D392" s="105"/>
      <c r="E392" s="106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236</v>
      </c>
      <c r="O392" s="77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4" t="s">
        <v>238</v>
      </c>
      <c r="B405" s="105"/>
      <c r="C405" s="105"/>
      <c r="D405" s="105"/>
      <c r="E405" s="106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236</v>
      </c>
      <c r="O405" s="77"/>
    </row>
    <row r="406" spans="1:15" ht="18" customHeight="1">
      <c r="A406" s="107" t="s">
        <v>239</v>
      </c>
      <c r="B406" s="108"/>
      <c r="C406" s="108"/>
      <c r="D406" s="108"/>
      <c r="E406" s="109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240</v>
      </c>
      <c r="O406" s="83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26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34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34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4" t="s">
        <v>235</v>
      </c>
      <c r="B419" s="105"/>
      <c r="C419" s="105"/>
      <c r="D419" s="105"/>
      <c r="E419" s="106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236</v>
      </c>
      <c r="O419" s="77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238</v>
      </c>
      <c r="B432" s="88"/>
      <c r="C432" s="88"/>
      <c r="D432" s="88"/>
      <c r="E432" s="88"/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236</v>
      </c>
      <c r="O432" s="77"/>
    </row>
    <row r="433" spans="1:15" ht="18" customHeight="1">
      <c r="A433" s="92" t="s">
        <v>239</v>
      </c>
      <c r="B433" s="91"/>
      <c r="C433" s="91"/>
      <c r="D433" s="91"/>
      <c r="E433" s="91"/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240</v>
      </c>
      <c r="O433" s="83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4" t="s">
        <v>235</v>
      </c>
      <c r="B446" s="105"/>
      <c r="C446" s="105"/>
      <c r="D446" s="105"/>
      <c r="E446" s="106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236</v>
      </c>
      <c r="O446" s="77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4" t="s">
        <v>238</v>
      </c>
      <c r="B459" s="105"/>
      <c r="C459" s="105"/>
      <c r="D459" s="105"/>
      <c r="E459" s="106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236</v>
      </c>
      <c r="O459" s="77"/>
    </row>
    <row r="460" spans="1:15" ht="18" customHeight="1">
      <c r="A460" s="107" t="s">
        <v>239</v>
      </c>
      <c r="B460" s="108"/>
      <c r="C460" s="108"/>
      <c r="D460" s="108"/>
      <c r="E460" s="109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240</v>
      </c>
      <c r="O460" s="83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4" t="s">
        <v>235</v>
      </c>
      <c r="B473" s="105"/>
      <c r="C473" s="105"/>
      <c r="D473" s="105"/>
      <c r="E473" s="106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236</v>
      </c>
      <c r="O473" s="77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4" t="s">
        <v>238</v>
      </c>
      <c r="B486" s="105"/>
      <c r="C486" s="105"/>
      <c r="D486" s="105"/>
      <c r="E486" s="106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236</v>
      </c>
      <c r="O486" s="77"/>
    </row>
    <row r="487" spans="1:15" ht="18" customHeight="1">
      <c r="A487" s="107" t="s">
        <v>239</v>
      </c>
      <c r="B487" s="108"/>
      <c r="C487" s="108"/>
      <c r="D487" s="108"/>
      <c r="E487" s="109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240</v>
      </c>
      <c r="O487" s="83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4" t="s">
        <v>235</v>
      </c>
      <c r="B500" s="105"/>
      <c r="C500" s="105"/>
      <c r="D500" s="105"/>
      <c r="E500" s="106">
        <f>SUM(E488:E499)</f>
        <v>0</v>
      </c>
      <c r="F500" s="36">
        <f>SUM(F488:F499)</f>
        <v>0</v>
      </c>
      <c r="G500" s="90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236</v>
      </c>
      <c r="O500" s="77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238</v>
      </c>
      <c r="B513" s="88"/>
      <c r="C513" s="88"/>
      <c r="D513" s="88"/>
      <c r="E513" s="88"/>
      <c r="F513" s="36">
        <f>SUM(F501:F512)</f>
        <v>0</v>
      </c>
      <c r="G513" s="90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236</v>
      </c>
      <c r="O513" s="77"/>
    </row>
    <row r="514" spans="1:15" ht="18" customHeight="1">
      <c r="A514" s="92" t="s">
        <v>239</v>
      </c>
      <c r="B514" s="91"/>
      <c r="C514" s="91"/>
      <c r="D514" s="91"/>
      <c r="E514" s="91"/>
      <c r="F514" s="40">
        <f>F500+F513</f>
        <v>0</v>
      </c>
      <c r="G514" s="97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240</v>
      </c>
      <c r="O514" s="83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4" t="s">
        <v>235</v>
      </c>
      <c r="B527" s="105"/>
      <c r="C527" s="105"/>
      <c r="D527" s="105"/>
      <c r="E527" s="106">
        <f>SUM(E515:E526)</f>
        <v>0</v>
      </c>
      <c r="F527" s="36">
        <f>SUM(F515:F526)</f>
        <v>0</v>
      </c>
      <c r="G527" s="90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236</v>
      </c>
      <c r="O527" s="77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104" t="s">
        <v>238</v>
      </c>
      <c r="B540" s="105"/>
      <c r="C540" s="105"/>
      <c r="D540" s="105"/>
      <c r="E540" s="106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236</v>
      </c>
      <c r="O540" s="77"/>
    </row>
    <row r="541" spans="1:15" ht="18" customHeight="1">
      <c r="A541" s="107" t="s">
        <v>239</v>
      </c>
      <c r="B541" s="108"/>
      <c r="C541" s="108"/>
      <c r="D541" s="108"/>
      <c r="E541" s="109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240</v>
      </c>
      <c r="O541" s="83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4" t="s">
        <v>235</v>
      </c>
      <c r="B554" s="105"/>
      <c r="C554" s="105"/>
      <c r="D554" s="105"/>
      <c r="E554" s="106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236</v>
      </c>
      <c r="O554" s="77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4" t="s">
        <v>238</v>
      </c>
      <c r="B567" s="105"/>
      <c r="C567" s="105"/>
      <c r="D567" s="105"/>
      <c r="E567" s="106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236</v>
      </c>
      <c r="O567" s="77"/>
    </row>
    <row r="568" spans="1:15" ht="18" customHeight="1">
      <c r="A568" s="107" t="s">
        <v>239</v>
      </c>
      <c r="B568" s="108"/>
      <c r="C568" s="108"/>
      <c r="D568" s="108"/>
      <c r="E568" s="109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240</v>
      </c>
      <c r="O568" s="83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4" t="s">
        <v>235</v>
      </c>
      <c r="B581" s="105"/>
      <c r="C581" s="105"/>
      <c r="D581" s="105"/>
      <c r="E581" s="106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236</v>
      </c>
      <c r="O581" s="77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4" t="s">
        <v>238</v>
      </c>
      <c r="B594" s="105"/>
      <c r="C594" s="105"/>
      <c r="D594" s="105"/>
      <c r="E594" s="106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236</v>
      </c>
      <c r="O594" s="77"/>
    </row>
    <row r="595" spans="1:15" ht="18" customHeight="1">
      <c r="A595" s="107" t="s">
        <v>239</v>
      </c>
      <c r="B595" s="108"/>
      <c r="C595" s="108"/>
      <c r="D595" s="108"/>
      <c r="E595" s="109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240</v>
      </c>
      <c r="O595" s="83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4" t="s">
        <v>235</v>
      </c>
      <c r="B608" s="105"/>
      <c r="C608" s="105"/>
      <c r="D608" s="105"/>
      <c r="E608" s="106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236</v>
      </c>
      <c r="O608" s="77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4" t="s">
        <v>238</v>
      </c>
      <c r="B621" s="105"/>
      <c r="C621" s="105"/>
      <c r="D621" s="105"/>
      <c r="E621" s="106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236</v>
      </c>
      <c r="O621" s="77"/>
    </row>
    <row r="622" spans="1:15" ht="18" customHeight="1">
      <c r="A622" s="107" t="s">
        <v>239</v>
      </c>
      <c r="B622" s="108"/>
      <c r="C622" s="108"/>
      <c r="D622" s="108"/>
      <c r="E622" s="109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240</v>
      </c>
      <c r="O622" s="83">
        <f>O608+O621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4" t="s">
        <v>235</v>
      </c>
      <c r="B635" s="105"/>
      <c r="C635" s="105"/>
      <c r="D635" s="105"/>
      <c r="E635" s="106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236</v>
      </c>
      <c r="O635" s="77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4" t="s">
        <v>238</v>
      </c>
      <c r="B648" s="105"/>
      <c r="C648" s="105"/>
      <c r="D648" s="105"/>
      <c r="E648" s="106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236</v>
      </c>
      <c r="O648" s="77"/>
    </row>
    <row r="649" spans="1:15" ht="18" customHeight="1">
      <c r="A649" s="107" t="s">
        <v>239</v>
      </c>
      <c r="B649" s="108"/>
      <c r="C649" s="108"/>
      <c r="D649" s="108"/>
      <c r="E649" s="109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240</v>
      </c>
      <c r="O649" s="83">
        <f>O635+O648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4" t="s">
        <v>235</v>
      </c>
      <c r="B662" s="105"/>
      <c r="C662" s="105"/>
      <c r="D662" s="105"/>
      <c r="E662" s="106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236</v>
      </c>
      <c r="O662" s="77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4" t="s">
        <v>238</v>
      </c>
      <c r="B675" s="105"/>
      <c r="C675" s="105"/>
      <c r="D675" s="105"/>
      <c r="E675" s="106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236</v>
      </c>
      <c r="O675" s="77"/>
    </row>
    <row r="676" spans="1:15" ht="18" customHeight="1">
      <c r="A676" s="107" t="s">
        <v>239</v>
      </c>
      <c r="B676" s="108"/>
      <c r="C676" s="108"/>
      <c r="D676" s="108"/>
      <c r="E676" s="109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240</v>
      </c>
      <c r="O676" s="83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4" t="s">
        <v>235</v>
      </c>
      <c r="B689" s="105"/>
      <c r="C689" s="105"/>
      <c r="D689" s="105"/>
      <c r="E689" s="106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236</v>
      </c>
      <c r="O689" s="77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4" t="s">
        <v>238</v>
      </c>
      <c r="B702" s="105"/>
      <c r="C702" s="105"/>
      <c r="D702" s="105"/>
      <c r="E702" s="106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236</v>
      </c>
      <c r="O702" s="77"/>
    </row>
    <row r="703" spans="1:15" ht="18" customHeight="1">
      <c r="A703" s="107" t="s">
        <v>239</v>
      </c>
      <c r="B703" s="108"/>
      <c r="C703" s="108"/>
      <c r="D703" s="108"/>
      <c r="E703" s="109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240</v>
      </c>
      <c r="O703" s="83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4" t="s">
        <v>235</v>
      </c>
      <c r="B716" s="105"/>
      <c r="C716" s="105"/>
      <c r="D716" s="105"/>
      <c r="E716" s="106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236</v>
      </c>
      <c r="O716" s="77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4" t="s">
        <v>238</v>
      </c>
      <c r="B729" s="105"/>
      <c r="C729" s="105"/>
      <c r="D729" s="105"/>
      <c r="E729" s="106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236</v>
      </c>
      <c r="O729" s="77"/>
    </row>
    <row r="730" spans="1:15" ht="18" customHeight="1">
      <c r="A730" s="107" t="s">
        <v>239</v>
      </c>
      <c r="B730" s="108"/>
      <c r="C730" s="108"/>
      <c r="D730" s="108"/>
      <c r="E730" s="109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240</v>
      </c>
      <c r="O730" s="83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4" t="s">
        <v>235</v>
      </c>
      <c r="B743" s="105"/>
      <c r="C743" s="105"/>
      <c r="D743" s="105"/>
      <c r="E743" s="106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236</v>
      </c>
      <c r="O743" s="77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4" t="s">
        <v>238</v>
      </c>
      <c r="B756" s="105"/>
      <c r="C756" s="105"/>
      <c r="D756" s="105"/>
      <c r="E756" s="106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236</v>
      </c>
      <c r="O756" s="39"/>
    </row>
    <row r="757" spans="1:15" ht="18" customHeight="1">
      <c r="A757" s="107" t="s">
        <v>239</v>
      </c>
      <c r="B757" s="108"/>
      <c r="C757" s="108"/>
      <c r="D757" s="108"/>
      <c r="E757" s="109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240</v>
      </c>
      <c r="O757" s="83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4" t="s">
        <v>235</v>
      </c>
      <c r="B770" s="105"/>
      <c r="C770" s="105"/>
      <c r="D770" s="105"/>
      <c r="E770" s="106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236</v>
      </c>
      <c r="O770" s="77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4" t="s">
        <v>238</v>
      </c>
      <c r="B783" s="105"/>
      <c r="C783" s="105"/>
      <c r="D783" s="105"/>
      <c r="E783" s="106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236</v>
      </c>
      <c r="O783" s="39"/>
    </row>
    <row r="784" spans="1:15" ht="18" customHeight="1">
      <c r="A784" s="107" t="s">
        <v>239</v>
      </c>
      <c r="B784" s="108"/>
      <c r="C784" s="108"/>
      <c r="D784" s="108"/>
      <c r="E784" s="109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240</v>
      </c>
      <c r="O784" s="83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4" t="s">
        <v>235</v>
      </c>
      <c r="B797" s="105"/>
      <c r="C797" s="105"/>
      <c r="D797" s="105"/>
      <c r="E797" s="106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236</v>
      </c>
      <c r="O797" s="77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4" t="s">
        <v>238</v>
      </c>
      <c r="B810" s="105"/>
      <c r="C810" s="105"/>
      <c r="D810" s="105"/>
      <c r="E810" s="106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236</v>
      </c>
      <c r="O810" s="39"/>
    </row>
    <row r="811" spans="1:15" ht="18" customHeight="1">
      <c r="A811" s="107" t="s">
        <v>239</v>
      </c>
      <c r="B811" s="108"/>
      <c r="C811" s="108"/>
      <c r="D811" s="108"/>
      <c r="E811" s="109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240</v>
      </c>
      <c r="O811" s="82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79" t="str">
        <f t="shared" ref="M812:M823" ca="1" si="180">IFERROR(IF(K812="","",IF(L812="",MOD(NOW()-K812,1),IF(L812&gt;=K812,L812-K812,L812+1-K812))),"")</f>
        <v/>
      </c>
      <c r="N812" s="46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46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46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46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46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46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46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46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46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46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46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46"/>
      <c r="O823" s="31"/>
    </row>
    <row r="824" spans="1:15" ht="15.75" customHeight="1">
      <c r="A824" s="104" t="s">
        <v>235</v>
      </c>
      <c r="B824" s="105"/>
      <c r="C824" s="105"/>
      <c r="D824" s="105"/>
      <c r="E824" s="106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236</v>
      </c>
      <c r="O824" s="84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46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0" t="str">
        <f t="shared" ca="1" si="183"/>
        <v/>
      </c>
      <c r="N826" s="46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46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0" t="str">
        <f t="shared" ca="1" si="183"/>
        <v/>
      </c>
      <c r="N828" s="46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46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0" t="str">
        <f t="shared" ca="1" si="183"/>
        <v/>
      </c>
      <c r="N830" s="46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46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0" t="str">
        <f t="shared" ca="1" si="183"/>
        <v/>
      </c>
      <c r="N832" s="46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46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0" t="str">
        <f t="shared" ca="1" si="183"/>
        <v/>
      </c>
      <c r="N834" s="46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46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0" t="str">
        <f t="shared" ca="1" si="183"/>
        <v/>
      </c>
      <c r="N836" s="46"/>
      <c r="O836" s="31"/>
    </row>
    <row r="837" spans="1:15" ht="15.75" customHeight="1">
      <c r="A837" s="104" t="s">
        <v>238</v>
      </c>
      <c r="B837" s="105"/>
      <c r="C837" s="105"/>
      <c r="D837" s="105"/>
      <c r="E837" s="106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236</v>
      </c>
      <c r="O837" s="84"/>
    </row>
    <row r="838" spans="1:15" ht="18" customHeight="1">
      <c r="A838" s="107" t="s">
        <v>239</v>
      </c>
      <c r="B838" s="108"/>
      <c r="C838" s="108"/>
      <c r="D838" s="108"/>
      <c r="E838" s="109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240</v>
      </c>
      <c r="O838" s="82">
        <f>IFERROR(O824+O837,"")</f>
        <v>0</v>
      </c>
    </row>
  </sheetData>
  <mergeCells count="89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22:E622"/>
    <mergeCell ref="A635:E635"/>
    <mergeCell ref="A554:E554"/>
    <mergeCell ref="A567:E567"/>
    <mergeCell ref="A568:E568"/>
    <mergeCell ref="A581:E581"/>
    <mergeCell ref="A594:E594"/>
    <mergeCell ref="A527:E527"/>
    <mergeCell ref="A540:E540"/>
    <mergeCell ref="A541:E541"/>
    <mergeCell ref="A608:E608"/>
    <mergeCell ref="A621:E621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352:E352"/>
    <mergeCell ref="A365:E365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6:E216"/>
    <mergeCell ref="A217:E217"/>
    <mergeCell ref="A243:E243"/>
    <mergeCell ref="A244:E244"/>
    <mergeCell ref="A257:E257"/>
    <mergeCell ref="A230:E230"/>
    <mergeCell ref="A163:E163"/>
    <mergeCell ref="A176:E176"/>
    <mergeCell ref="A189:E189"/>
    <mergeCell ref="A190:E190"/>
    <mergeCell ref="A203:E203"/>
    <mergeCell ref="A824:E824"/>
    <mergeCell ref="A837:E837"/>
    <mergeCell ref="A838:E83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</mergeCells>
  <dataValidations count="4">
    <dataValidation type="list" allowBlank="1" showErrorMessage="1" errorTitle="Valor inválido" error="Selecione PC 17 ou PC 19 da lista." sqref="E2:E13 E15:E26 E515:E838 E434:E512 E29:E431" xr:uid="{BF9945AA-83B3-497B-B563-38D0BDB8F515}">
      <formula1>"PC 17,PC 19,CB"</formula1>
      <formula2>0</formula2>
    </dataValidation>
    <dataValidation type="list" showErrorMessage="1" errorTitle="Atenção" error="Selecione primeiro o Tipo de Parada (col G) e depois escolha a Descrição da lista." sqref="J2:J31 J34:J900" xr:uid="{2FF4D101-61F0-42E1-8A24-4B3BA4E86A98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33" xr:uid="{827D685C-940E-4293-B05F-B675DE7EEB64}">
      <formula1>INDIRECT("Desc_"&amp;SUBSTITUTE(SUBSTITUTE(SUBSTITUTE(SUBSTITUTE(SUBSTITUTE(SUBSTITUTE(SUBSTITUTE(SUBSTITUTE(SUBSTITUTE(SUBSTITUTE(I32,"é","e"),"ê","e"),"ã","a"),"ç","c"),"â","a"),"í","i"),"á","a"),"ó","o"),"ú","u"),"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K69" xr:uid="{6C82DEFB-4BA8-4B9B-8FCA-9D0EBA28E2CB}">
      <formula1>INDIRECT("Desc_"&amp;SUBSTITUTE(SUBSTITUTE(SUBSTITUTE(SUBSTITUTE(SUBSTITUTE(SUBSTITUTE(SUBSTITUTE(SUBSTITUTE(SUBSTITUTE(SUBSTITUTE(H69,"é","e"),"ê","e"),"ã","a"),"ç","c"),"â","a"),"í","i"),"á","a"),"ó","o"),"ú","u"),"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D29:D82 D2:D13 D15:D26 E432:E433 E513:E514 D84:D900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Cadastro!$G$4:$G$40</xm:f>
          </x14:formula1>
          <x14:formula2>
            <xm:f>0</xm:f>
          </x14:formula2>
          <xm:sqref>H406 I35:I900 I2:I31</xm:sqref>
        </x14:dataValidation>
        <x14:dataValidation type="list" allowBlank="1" showErrorMessage="1" errorTitle="Valor inválido" error="Selecione da lista." xr:uid="{D289EB31-F410-44A6-B112-101DAD42DC2B}">
          <x14:formula1>
            <xm:f>Cadastro!$E$4:$E$10</xm:f>
          </x14:formula1>
          <x14:formula2>
            <xm:f>0</xm:f>
          </x14:formula2>
          <xm:sqref>H2:H405 H407:H900 I34 I32:J32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38"/>
  <sheetViews>
    <sheetView showGridLines="0" topLeftCell="A221" zoomScale="50" zoomScaleNormal="50" workbookViewId="0">
      <selection activeCell="I255" sqref="I255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57.140625" style="20" customWidth="1"/>
    <col min="15" max="15" width="14" customWidth="1"/>
  </cols>
  <sheetData>
    <row r="1" spans="1:15" ht="37.5" customHeight="1">
      <c r="A1" s="67" t="s">
        <v>7</v>
      </c>
      <c r="B1" s="23" t="s">
        <v>224</v>
      </c>
      <c r="C1" s="23" t="s">
        <v>12</v>
      </c>
      <c r="D1" s="22" t="s">
        <v>13</v>
      </c>
      <c r="E1" s="22" t="s">
        <v>225</v>
      </c>
      <c r="F1" s="23" t="s">
        <v>226</v>
      </c>
      <c r="G1" s="23" t="s">
        <v>227</v>
      </c>
      <c r="H1" s="23" t="s">
        <v>14</v>
      </c>
      <c r="I1" s="23" t="s">
        <v>15</v>
      </c>
      <c r="J1" s="23" t="s">
        <v>228</v>
      </c>
      <c r="K1" s="23" t="s">
        <v>229</v>
      </c>
      <c r="L1" s="23" t="s">
        <v>230</v>
      </c>
      <c r="M1" s="24" t="s">
        <v>231</v>
      </c>
      <c r="N1" s="23" t="s">
        <v>232</v>
      </c>
      <c r="O1" s="23" t="s">
        <v>233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250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20</v>
      </c>
      <c r="I2" s="26"/>
      <c r="J2" s="26" t="s">
        <v>74</v>
      </c>
      <c r="K2" s="29">
        <v>0.4548611111111111</v>
      </c>
      <c r="L2" s="29">
        <v>0.45833333333333331</v>
      </c>
      <c r="M2" s="30">
        <f t="shared" ref="M2:M13" ca="1" si="1">IFERROR(IF(K2="","",IF(L2="",MOD(NOW()-K2,1),IF(L2&gt;=K2,L2-K2,L2+1-K2))),"")</f>
        <v>3.4722222222222099E-3</v>
      </c>
      <c r="N2" s="27"/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250</v>
      </c>
      <c r="F3" s="27">
        <v>8</v>
      </c>
      <c r="G3" s="34">
        <f t="shared" si="0"/>
        <v>33.6</v>
      </c>
      <c r="H3" s="33" t="s">
        <v>19</v>
      </c>
      <c r="I3" s="33" t="s">
        <v>47</v>
      </c>
      <c r="J3" s="33" t="s">
        <v>27</v>
      </c>
      <c r="K3" s="29">
        <v>0.73333333333333328</v>
      </c>
      <c r="L3" s="29">
        <v>0.74305555555555558</v>
      </c>
      <c r="M3" s="35">
        <f t="shared" ca="1" si="1"/>
        <v>9.7222222222222987E-3</v>
      </c>
      <c r="N3" s="27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250</v>
      </c>
      <c r="F4" s="27">
        <v>10</v>
      </c>
      <c r="G4" s="28">
        <f t="shared" si="0"/>
        <v>42</v>
      </c>
      <c r="H4" s="26"/>
      <c r="I4" s="26"/>
      <c r="J4" s="26"/>
      <c r="K4" s="29"/>
      <c r="L4" s="29"/>
      <c r="M4" s="30" t="str">
        <f t="shared" ca="1" si="1"/>
        <v/>
      </c>
      <c r="N4" s="27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250</v>
      </c>
      <c r="F5" s="27">
        <v>9</v>
      </c>
      <c r="G5" s="34">
        <f t="shared" si="0"/>
        <v>37.800000000000004</v>
      </c>
      <c r="H5" s="33"/>
      <c r="I5" s="33"/>
      <c r="J5" s="33"/>
      <c r="K5" s="29"/>
      <c r="L5" s="29"/>
      <c r="M5" s="35" t="str">
        <f t="shared" ca="1" si="1"/>
        <v/>
      </c>
      <c r="N5" s="27"/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250</v>
      </c>
      <c r="F6" s="27">
        <v>3</v>
      </c>
      <c r="G6" s="28">
        <f t="shared" si="0"/>
        <v>12.600000000000001</v>
      </c>
      <c r="H6" s="26"/>
      <c r="I6" s="26"/>
      <c r="J6" s="26"/>
      <c r="K6" s="29"/>
      <c r="L6" s="29"/>
      <c r="M6" s="30" t="str">
        <f t="shared" ca="1" si="1"/>
        <v/>
      </c>
      <c r="N6" s="27"/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250</v>
      </c>
      <c r="F7" s="27">
        <v>6</v>
      </c>
      <c r="G7" s="34">
        <f t="shared" si="0"/>
        <v>25.200000000000003</v>
      </c>
      <c r="H7" s="33"/>
      <c r="I7" s="33"/>
      <c r="J7" s="33"/>
      <c r="K7" s="29"/>
      <c r="L7" s="29"/>
      <c r="M7" s="35" t="str">
        <f t="shared" ca="1" si="1"/>
        <v/>
      </c>
      <c r="N7" s="27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250</v>
      </c>
      <c r="F8" s="27">
        <v>12</v>
      </c>
      <c r="G8" s="28">
        <f t="shared" si="0"/>
        <v>50.400000000000006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8</v>
      </c>
      <c r="B9" s="32">
        <f t="shared" si="2"/>
        <v>0.62499999999999967</v>
      </c>
      <c r="C9" s="26" t="s">
        <v>45</v>
      </c>
      <c r="D9" s="59" t="s">
        <v>30</v>
      </c>
      <c r="E9" s="59" t="s">
        <v>250</v>
      </c>
      <c r="F9" s="27">
        <v>8</v>
      </c>
      <c r="G9" s="34">
        <f t="shared" si="0"/>
        <v>33.6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250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250</v>
      </c>
      <c r="F11" s="27">
        <v>9</v>
      </c>
      <c r="G11" s="34">
        <f t="shared" si="0"/>
        <v>37.800000000000004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250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250</v>
      </c>
      <c r="F13" s="27">
        <v>3</v>
      </c>
      <c r="G13" s="34">
        <f t="shared" si="0"/>
        <v>12.600000000000001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104" t="s">
        <v>235</v>
      </c>
      <c r="B14" s="105"/>
      <c r="C14" s="105"/>
      <c r="D14" s="105"/>
      <c r="E14" s="106"/>
      <c r="F14" s="36">
        <f>SUM(F2:F13)</f>
        <v>81</v>
      </c>
      <c r="G14" s="36">
        <f>SUM(G2:G13)</f>
        <v>340.20000000000005</v>
      </c>
      <c r="H14" s="37"/>
      <c r="I14" s="37"/>
      <c r="J14" s="37"/>
      <c r="K14" s="37"/>
      <c r="L14" s="37"/>
      <c r="M14" s="38">
        <f ca="1">IFERROR(SUM(M2:M13),"")</f>
        <v>1.3194444444444509E-2</v>
      </c>
      <c r="N14" s="36" t="s">
        <v>236</v>
      </c>
      <c r="O14" s="39">
        <v>326520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250</v>
      </c>
      <c r="F15" s="27">
        <v>16</v>
      </c>
      <c r="G15" s="34">
        <f t="shared" ref="G15:G26" si="3">IF(F15="","",IF(E15="PC 17",F15*4.2,IF(E15="PC 19",F15*5,IF(E15="CB",F15*24,""))))</f>
        <v>67.2</v>
      </c>
      <c r="H15" s="33" t="s">
        <v>19</v>
      </c>
      <c r="I15" s="33" t="s">
        <v>47</v>
      </c>
      <c r="J15" s="33" t="s">
        <v>55</v>
      </c>
      <c r="K15" s="29">
        <v>0.92708333333333337</v>
      </c>
      <c r="L15" s="29">
        <v>0.96180555555555558</v>
      </c>
      <c r="M15" s="35">
        <f ca="1">IFERROR(IF(K15="","",IF(L15="",MOD(NOW()-K15,1),IF(L15&gt;=K15,L15-K15,L15+1-K15))),"")</f>
        <v>3.472222222222221E-2</v>
      </c>
      <c r="N15" s="27" t="s">
        <v>281</v>
      </c>
      <c r="O15" s="31"/>
    </row>
    <row r="16" spans="1:15" ht="15" customHeight="1">
      <c r="A16" s="68">
        <v>46235</v>
      </c>
      <c r="B16" s="25">
        <f t="shared" ref="B16:B26" si="4">B15+TIME(0,60,0)</f>
        <v>0.87499999999999967</v>
      </c>
      <c r="C16" s="33" t="s">
        <v>29</v>
      </c>
      <c r="D16" s="62" t="s">
        <v>30</v>
      </c>
      <c r="E16" s="62" t="s">
        <v>250</v>
      </c>
      <c r="F16" s="27">
        <v>9</v>
      </c>
      <c r="G16" s="28">
        <f t="shared" si="3"/>
        <v>37.800000000000004</v>
      </c>
      <c r="H16" s="26" t="s">
        <v>17</v>
      </c>
      <c r="I16" s="26" t="s">
        <v>135</v>
      </c>
      <c r="J16" s="26" t="s">
        <v>49</v>
      </c>
      <c r="K16" s="29">
        <v>2.2916666666666665E-2</v>
      </c>
      <c r="L16" s="29">
        <v>2.361111111111111E-2</v>
      </c>
      <c r="M16" s="35">
        <f t="shared" ref="M16:M26" ca="1" si="5">IFERROR(IF(K16="","",IF(L16="",MOD(NOW()-K16,1),IF(L16&gt;=K16,L16-K16,L16+1-K16))),"")</f>
        <v>6.9444444444444545E-4</v>
      </c>
      <c r="N16" s="27"/>
      <c r="O16" s="31"/>
    </row>
    <row r="17" spans="1:15" ht="15" customHeight="1">
      <c r="A17" s="69">
        <v>46235</v>
      </c>
      <c r="B17" s="32">
        <f t="shared" si="4"/>
        <v>0.9166666666666663</v>
      </c>
      <c r="C17" s="33" t="s">
        <v>29</v>
      </c>
      <c r="D17" s="62" t="s">
        <v>30</v>
      </c>
      <c r="E17" s="62" t="s">
        <v>250</v>
      </c>
      <c r="F17" s="27">
        <v>12</v>
      </c>
      <c r="G17" s="34">
        <f t="shared" si="3"/>
        <v>50.400000000000006</v>
      </c>
      <c r="H17" s="33" t="s">
        <v>20</v>
      </c>
      <c r="I17" s="33" t="s">
        <v>157</v>
      </c>
      <c r="J17" s="33" t="s">
        <v>74</v>
      </c>
      <c r="K17" s="29">
        <v>2.361111111111111E-2</v>
      </c>
      <c r="L17" s="29">
        <v>2.6388888888888889E-2</v>
      </c>
      <c r="M17" s="35">
        <f t="shared" ca="1" si="5"/>
        <v>2.7777777777777783E-3</v>
      </c>
      <c r="N17" s="27"/>
      <c r="O17" s="31"/>
    </row>
    <row r="18" spans="1:15" ht="15" customHeight="1">
      <c r="A18" s="68">
        <v>46235</v>
      </c>
      <c r="B18" s="25">
        <f t="shared" si="4"/>
        <v>0.95833333333333293</v>
      </c>
      <c r="C18" s="33" t="s">
        <v>29</v>
      </c>
      <c r="D18" s="62" t="s">
        <v>30</v>
      </c>
      <c r="E18" s="62" t="s">
        <v>250</v>
      </c>
      <c r="F18" s="27">
        <v>0</v>
      </c>
      <c r="G18" s="28">
        <f t="shared" si="3"/>
        <v>0</v>
      </c>
      <c r="H18" s="26" t="s">
        <v>17</v>
      </c>
      <c r="I18" s="26" t="s">
        <v>135</v>
      </c>
      <c r="J18" s="26" t="s">
        <v>49</v>
      </c>
      <c r="K18" s="29">
        <v>3.6111111111111108E-2</v>
      </c>
      <c r="L18" s="29">
        <v>3.8194444444444448E-2</v>
      </c>
      <c r="M18" s="35">
        <f t="shared" ca="1" si="5"/>
        <v>2.0833333333333398E-3</v>
      </c>
      <c r="N18" s="27" t="s">
        <v>258</v>
      </c>
      <c r="O18" s="31"/>
    </row>
    <row r="19" spans="1:15" ht="15" customHeight="1">
      <c r="A19" s="69">
        <v>46235</v>
      </c>
      <c r="B19" s="32">
        <f t="shared" si="4"/>
        <v>0.99999999999999956</v>
      </c>
      <c r="C19" s="33" t="s">
        <v>29</v>
      </c>
      <c r="D19" s="62" t="s">
        <v>30</v>
      </c>
      <c r="E19" s="62" t="s">
        <v>250</v>
      </c>
      <c r="F19" s="27">
        <v>8</v>
      </c>
      <c r="G19" s="34">
        <f t="shared" si="3"/>
        <v>33.6</v>
      </c>
      <c r="H19" s="33" t="s">
        <v>20</v>
      </c>
      <c r="I19" s="33"/>
      <c r="J19" s="33" t="s">
        <v>161</v>
      </c>
      <c r="K19" s="29">
        <v>9.375E-2</v>
      </c>
      <c r="L19" s="29">
        <v>0.13333333333333333</v>
      </c>
      <c r="M19" s="35">
        <f t="shared" ca="1" si="5"/>
        <v>3.9583333333333331E-2</v>
      </c>
      <c r="N19" s="27" t="s">
        <v>282</v>
      </c>
      <c r="O19" s="31"/>
    </row>
    <row r="20" spans="1:15" ht="15" customHeight="1">
      <c r="A20" s="68">
        <v>46235</v>
      </c>
      <c r="B20" s="25">
        <f t="shared" si="4"/>
        <v>1.0416666666666663</v>
      </c>
      <c r="C20" s="33" t="s">
        <v>29</v>
      </c>
      <c r="D20" s="62" t="s">
        <v>30</v>
      </c>
      <c r="E20" s="62" t="s">
        <v>250</v>
      </c>
      <c r="F20" s="27">
        <v>6</v>
      </c>
      <c r="G20" s="28">
        <f t="shared" si="3"/>
        <v>25.200000000000003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46235</v>
      </c>
      <c r="B21" s="32">
        <f t="shared" si="4"/>
        <v>1.083333333333333</v>
      </c>
      <c r="C21" s="33" t="s">
        <v>29</v>
      </c>
      <c r="D21" s="62" t="s">
        <v>30</v>
      </c>
      <c r="E21" s="62" t="s">
        <v>250</v>
      </c>
      <c r="F21" s="27">
        <v>8</v>
      </c>
      <c r="G21" s="34">
        <f t="shared" si="3"/>
        <v>33.6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46235</v>
      </c>
      <c r="B22" s="25">
        <f t="shared" si="4"/>
        <v>1.1249999999999998</v>
      </c>
      <c r="C22" s="33" t="s">
        <v>29</v>
      </c>
      <c r="D22" s="62" t="s">
        <v>30</v>
      </c>
      <c r="E22" s="62" t="s">
        <v>250</v>
      </c>
      <c r="F22" s="27">
        <v>5</v>
      </c>
      <c r="G22" s="28">
        <f t="shared" si="3"/>
        <v>21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46235</v>
      </c>
      <c r="B23" s="32">
        <f t="shared" si="4"/>
        <v>1.1666666666666665</v>
      </c>
      <c r="C23" s="33" t="s">
        <v>29</v>
      </c>
      <c r="D23" s="62" t="s">
        <v>30</v>
      </c>
      <c r="E23" s="62" t="s">
        <v>250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46235</v>
      </c>
      <c r="B24" s="25">
        <f t="shared" si="4"/>
        <v>1.2083333333333333</v>
      </c>
      <c r="C24" s="33" t="s">
        <v>29</v>
      </c>
      <c r="D24" s="62" t="s">
        <v>30</v>
      </c>
      <c r="E24" s="62" t="s">
        <v>250</v>
      </c>
      <c r="F24" s="27">
        <v>10</v>
      </c>
      <c r="G24" s="28">
        <f t="shared" si="3"/>
        <v>42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46235</v>
      </c>
      <c r="B25" s="32">
        <f t="shared" si="4"/>
        <v>1.25</v>
      </c>
      <c r="C25" s="33" t="s">
        <v>29</v>
      </c>
      <c r="D25" s="62" t="s">
        <v>38</v>
      </c>
      <c r="E25" s="62" t="s">
        <v>250</v>
      </c>
      <c r="F25" s="27">
        <v>2</v>
      </c>
      <c r="G25" s="34">
        <f t="shared" si="3"/>
        <v>8.4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46235</v>
      </c>
      <c r="B26" s="25">
        <f t="shared" si="4"/>
        <v>1.2916666666666667</v>
      </c>
      <c r="C26" s="33" t="s">
        <v>29</v>
      </c>
      <c r="D26" s="62" t="s">
        <v>38</v>
      </c>
      <c r="E26" s="62" t="s">
        <v>250</v>
      </c>
      <c r="F26" s="27">
        <v>5</v>
      </c>
      <c r="G26" s="28">
        <f t="shared" si="3"/>
        <v>21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104" t="s">
        <v>238</v>
      </c>
      <c r="B27" s="105"/>
      <c r="C27" s="105"/>
      <c r="D27" s="105"/>
      <c r="E27" s="106"/>
      <c r="F27" s="36">
        <v>358</v>
      </c>
      <c r="G27" s="36">
        <f>SUM(G15:G26)</f>
        <v>382.19999999999993</v>
      </c>
      <c r="H27" s="37"/>
      <c r="I27" s="37"/>
      <c r="J27" s="37"/>
      <c r="K27" s="37"/>
      <c r="L27" s="37"/>
      <c r="M27" s="38">
        <f ca="1">IFERROR(SUM(M15:M26),"")</f>
        <v>7.9861111111111105E-2</v>
      </c>
      <c r="N27" s="36" t="s">
        <v>236</v>
      </c>
      <c r="O27" s="39">
        <v>358000</v>
      </c>
    </row>
    <row r="28" spans="1:15" ht="18" customHeight="1">
      <c r="A28" s="107" t="s">
        <v>239</v>
      </c>
      <c r="B28" s="108"/>
      <c r="C28" s="108"/>
      <c r="D28" s="108"/>
      <c r="E28" s="109"/>
      <c r="F28" s="40">
        <f>F14+F27</f>
        <v>439</v>
      </c>
      <c r="G28" s="40">
        <f>G14+G27</f>
        <v>722.4</v>
      </c>
      <c r="H28" s="41"/>
      <c r="I28" s="41"/>
      <c r="J28" s="41"/>
      <c r="K28" s="41"/>
      <c r="L28" s="41"/>
      <c r="M28" s="42">
        <f ca="1">IFERROR(M14+M27,"")</f>
        <v>9.3055555555555614E-2</v>
      </c>
      <c r="N28" s="40" t="s">
        <v>240</v>
      </c>
      <c r="O28" s="43">
        <f>IFERROR(O14+O27,"")</f>
        <v>684520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250</v>
      </c>
      <c r="F29" s="27">
        <v>4</v>
      </c>
      <c r="G29" s="28">
        <f t="shared" ref="G29:G40" si="6">IF(F29="","",IF(E29="PC 17",F29*4.2,IF(E29="PC 19",F29*5,IF(E29="CB",F29*24,""))))</f>
        <v>16.8</v>
      </c>
      <c r="H29" s="33" t="s">
        <v>19</v>
      </c>
      <c r="I29" s="33" t="s">
        <v>47</v>
      </c>
      <c r="J29" s="33" t="s">
        <v>27</v>
      </c>
      <c r="K29" s="29">
        <v>0.59375</v>
      </c>
      <c r="L29" s="29">
        <v>0.61458333333333337</v>
      </c>
      <c r="M29" s="35">
        <f t="shared" ref="M29:M40" ca="1" si="7">IFERROR(IF(K29="","",IF(L29="",MOD(NOW()-K29,1),IF(L29&gt;=K29,L29-K29,L29+1-K29))),"")</f>
        <v>2.083333333333337E-2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250</v>
      </c>
      <c r="F30" s="27">
        <v>13</v>
      </c>
      <c r="G30" s="34">
        <f t="shared" si="6"/>
        <v>54.6</v>
      </c>
      <c r="H30" s="33"/>
      <c r="I30" s="26"/>
      <c r="J30" s="26"/>
      <c r="K30" s="29"/>
      <c r="L30" s="29"/>
      <c r="M30" s="30" t="str">
        <f t="shared" ca="1" si="7"/>
        <v/>
      </c>
      <c r="N30" s="27"/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250</v>
      </c>
      <c r="F31" s="27">
        <v>4</v>
      </c>
      <c r="G31" s="28">
        <f t="shared" si="6"/>
        <v>16.8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250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250</v>
      </c>
      <c r="F33" s="27">
        <v>3</v>
      </c>
      <c r="G33" s="28">
        <f t="shared" si="6"/>
        <v>12.600000000000001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250</v>
      </c>
      <c r="F34" s="27">
        <v>10</v>
      </c>
      <c r="G34" s="34">
        <f t="shared" si="6"/>
        <v>42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250</v>
      </c>
      <c r="F35" s="27">
        <v>12</v>
      </c>
      <c r="G35" s="28">
        <f t="shared" si="6"/>
        <v>50.400000000000006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250</v>
      </c>
      <c r="F36" s="27">
        <v>5</v>
      </c>
      <c r="G36" s="34">
        <f t="shared" si="6"/>
        <v>21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250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250</v>
      </c>
      <c r="F38" s="27">
        <v>11</v>
      </c>
      <c r="G38" s="34">
        <f t="shared" si="6"/>
        <v>46.2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250</v>
      </c>
      <c r="F39" s="27">
        <v>8</v>
      </c>
      <c r="G39" s="28">
        <f t="shared" si="6"/>
        <v>33.6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250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4" t="s">
        <v>235</v>
      </c>
      <c r="B41" s="105"/>
      <c r="C41" s="105"/>
      <c r="D41" s="105"/>
      <c r="E41" s="106">
        <f>SUM(E29:E40)</f>
        <v>0</v>
      </c>
      <c r="F41" s="36">
        <f>SUM(F29:F40)</f>
        <v>77</v>
      </c>
      <c r="G41" s="36">
        <f>SUM(G29:G40)</f>
        <v>323.40000000000003</v>
      </c>
      <c r="H41" s="37"/>
      <c r="I41" s="37"/>
      <c r="J41" s="37"/>
      <c r="K41" s="37"/>
      <c r="L41" s="37"/>
      <c r="M41" s="38">
        <f ca="1">IFERROR(SUM(M29:M40),"")</f>
        <v>2.083333333333337E-2</v>
      </c>
      <c r="N41" s="36" t="s">
        <v>236</v>
      </c>
      <c r="O41" s="39">
        <v>237080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250</v>
      </c>
      <c r="F42" s="27">
        <v>8</v>
      </c>
      <c r="G42" s="34">
        <f t="shared" ref="G42:G53" si="9">IF(F42="","",IF(E42="PC 17",F42*4.2,IF(E42="PC 19",F42*5,IF(E42="CB",F42*24,""))))</f>
        <v>33.6</v>
      </c>
      <c r="H42" s="26" t="s">
        <v>20</v>
      </c>
      <c r="I42" s="26" t="s">
        <v>47</v>
      </c>
      <c r="J42" s="26" t="s">
        <v>167</v>
      </c>
      <c r="K42" s="29">
        <v>0.82638888888888884</v>
      </c>
      <c r="L42" s="29">
        <v>0.86805555555555558</v>
      </c>
      <c r="M42" s="30">
        <f t="shared" ref="M42:M53" ca="1" si="10">IFERROR(IF(K42="","",IF(L42="",MOD(NOW()-K42,1),IF(L42&gt;=K42,L42-K42,L42+1-K42))),"")</f>
        <v>4.1666666666666741E-2</v>
      </c>
      <c r="N42" s="27" t="s">
        <v>264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250</v>
      </c>
      <c r="F43" s="27">
        <v>0</v>
      </c>
      <c r="G43" s="28">
        <f t="shared" si="9"/>
        <v>0</v>
      </c>
      <c r="H43" s="33" t="s">
        <v>20</v>
      </c>
      <c r="I43" s="33" t="s">
        <v>47</v>
      </c>
      <c r="J43" s="33" t="s">
        <v>56</v>
      </c>
      <c r="K43" s="29">
        <v>0.9</v>
      </c>
      <c r="L43" s="29">
        <v>0.92638888888888893</v>
      </c>
      <c r="M43" s="35">
        <f t="shared" ca="1" si="10"/>
        <v>2.6388888888888906E-2</v>
      </c>
      <c r="N43" s="27" t="s">
        <v>281</v>
      </c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250</v>
      </c>
      <c r="F44" s="27">
        <v>5</v>
      </c>
      <c r="G44" s="34">
        <f t="shared" si="9"/>
        <v>21</v>
      </c>
      <c r="H44" s="26" t="s">
        <v>20</v>
      </c>
      <c r="I44" s="26" t="s">
        <v>47</v>
      </c>
      <c r="J44" s="26" t="s">
        <v>51</v>
      </c>
      <c r="K44" s="29">
        <v>0.93055555555555558</v>
      </c>
      <c r="L44" s="29">
        <v>0.93611111111111112</v>
      </c>
      <c r="M44" s="30">
        <f t="shared" ca="1" si="10"/>
        <v>5.5555555555555358E-3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250</v>
      </c>
      <c r="F45" s="27">
        <v>5</v>
      </c>
      <c r="G45" s="28">
        <f t="shared" si="9"/>
        <v>21</v>
      </c>
      <c r="H45" s="33" t="s">
        <v>20</v>
      </c>
      <c r="I45" s="33" t="s">
        <v>47</v>
      </c>
      <c r="J45" s="33" t="s">
        <v>51</v>
      </c>
      <c r="K45" s="29">
        <v>0.94027777777777777</v>
      </c>
      <c r="L45" s="29">
        <v>0.9458333333333333</v>
      </c>
      <c r="M45" s="35">
        <f t="shared" ca="1" si="10"/>
        <v>5.5555555555555358E-3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250</v>
      </c>
      <c r="F46" s="27">
        <v>12</v>
      </c>
      <c r="G46" s="34">
        <f t="shared" si="9"/>
        <v>50.400000000000006</v>
      </c>
      <c r="H46" s="26" t="s">
        <v>20</v>
      </c>
      <c r="I46" s="26" t="s">
        <v>47</v>
      </c>
      <c r="J46" s="26" t="s">
        <v>51</v>
      </c>
      <c r="K46" s="29">
        <v>0.97222222222222221</v>
      </c>
      <c r="L46" s="29">
        <v>0.97916666666666663</v>
      </c>
      <c r="M46" s="30">
        <f t="shared" ca="1" si="10"/>
        <v>6.9444444444444198E-3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250</v>
      </c>
      <c r="F47" s="27">
        <v>9</v>
      </c>
      <c r="G47" s="28">
        <f t="shared" si="9"/>
        <v>37.800000000000004</v>
      </c>
      <c r="H47" s="33" t="s">
        <v>20</v>
      </c>
      <c r="I47" s="33" t="s">
        <v>47</v>
      </c>
      <c r="J47" s="33" t="s">
        <v>51</v>
      </c>
      <c r="K47" s="29">
        <v>1.0416666666666666E-2</v>
      </c>
      <c r="L47" s="29">
        <v>2.0833333333333332E-2</v>
      </c>
      <c r="M47" s="35">
        <f t="shared" ca="1" si="10"/>
        <v>1.0416666666666666E-2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250</v>
      </c>
      <c r="F48" s="27">
        <v>7</v>
      </c>
      <c r="G48" s="34">
        <f t="shared" si="9"/>
        <v>29.400000000000002</v>
      </c>
      <c r="H48" s="26" t="s">
        <v>20</v>
      </c>
      <c r="I48" s="26" t="s">
        <v>47</v>
      </c>
      <c r="J48" s="26" t="s">
        <v>51</v>
      </c>
      <c r="K48" s="29">
        <v>4.7222222222222221E-2</v>
      </c>
      <c r="L48" s="29">
        <v>5.347222222222222E-2</v>
      </c>
      <c r="M48" s="30">
        <f t="shared" ca="1" si="10"/>
        <v>6.2499999999999986E-3</v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250</v>
      </c>
      <c r="F49" s="27">
        <v>5</v>
      </c>
      <c r="G49" s="28">
        <f t="shared" si="9"/>
        <v>21</v>
      </c>
      <c r="H49" s="33" t="s">
        <v>20</v>
      </c>
      <c r="I49" s="33" t="s">
        <v>47</v>
      </c>
      <c r="J49" s="33" t="s">
        <v>51</v>
      </c>
      <c r="K49" s="29">
        <v>5.7638888888888892E-2</v>
      </c>
      <c r="L49" s="29">
        <v>6.3888888888888884E-2</v>
      </c>
      <c r="M49" s="35">
        <f t="shared" ca="1" si="10"/>
        <v>6.2499999999999917E-3</v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250</v>
      </c>
      <c r="F50" s="27">
        <v>14</v>
      </c>
      <c r="G50" s="34">
        <f t="shared" si="9"/>
        <v>58.800000000000004</v>
      </c>
      <c r="H50" s="26" t="s">
        <v>19</v>
      </c>
      <c r="I50" s="26" t="s">
        <v>47</v>
      </c>
      <c r="J50" s="26" t="s">
        <v>27</v>
      </c>
      <c r="K50" s="29">
        <v>6.3888888888888884E-2</v>
      </c>
      <c r="L50" s="29">
        <v>7.2222222222222215E-2</v>
      </c>
      <c r="M50" s="30">
        <f t="shared" ca="1" si="10"/>
        <v>8.3333333333333315E-3</v>
      </c>
      <c r="N50" s="27" t="s">
        <v>281</v>
      </c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250</v>
      </c>
      <c r="F51" s="27">
        <v>0</v>
      </c>
      <c r="G51" s="28">
        <f t="shared" si="9"/>
        <v>0</v>
      </c>
      <c r="H51" s="33" t="s">
        <v>20</v>
      </c>
      <c r="I51" s="33" t="s">
        <v>157</v>
      </c>
      <c r="J51" s="33" t="s">
        <v>74</v>
      </c>
      <c r="K51" s="29">
        <v>0.12986111111111112</v>
      </c>
      <c r="L51" s="29">
        <v>0.13263888888888889</v>
      </c>
      <c r="M51" s="35">
        <f t="shared" ca="1" si="10"/>
        <v>2.7777777777777679E-3</v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250</v>
      </c>
      <c r="F52" s="27">
        <v>5</v>
      </c>
      <c r="G52" s="34">
        <f t="shared" si="9"/>
        <v>21</v>
      </c>
      <c r="H52" s="26" t="s">
        <v>16</v>
      </c>
      <c r="I52" s="26" t="s">
        <v>47</v>
      </c>
      <c r="J52" s="26" t="s">
        <v>32</v>
      </c>
      <c r="K52" s="29">
        <v>0.15277777777777779</v>
      </c>
      <c r="L52" s="29">
        <v>0.1736111111111111</v>
      </c>
      <c r="M52" s="30">
        <f t="shared" ca="1" si="10"/>
        <v>2.0833333333333315E-2</v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250</v>
      </c>
      <c r="F53" s="27"/>
      <c r="G53" s="28" t="str">
        <f t="shared" si="9"/>
        <v/>
      </c>
      <c r="H53" s="33" t="s">
        <v>20</v>
      </c>
      <c r="I53" s="33" t="s">
        <v>47</v>
      </c>
      <c r="J53" s="33" t="s">
        <v>134</v>
      </c>
      <c r="K53" s="29">
        <v>0.20833333333333334</v>
      </c>
      <c r="L53" s="29">
        <v>0.22222222222222221</v>
      </c>
      <c r="M53" s="35">
        <f t="shared" ca="1" si="10"/>
        <v>1.3888888888888867E-2</v>
      </c>
      <c r="N53" s="27"/>
      <c r="O53" s="31"/>
    </row>
    <row r="54" spans="1:15" ht="15.75" customHeight="1">
      <c r="A54" s="104" t="s">
        <v>238</v>
      </c>
      <c r="B54" s="105"/>
      <c r="C54" s="105"/>
      <c r="D54" s="105"/>
      <c r="E54" s="106">
        <f>SUM(E42:E53)</f>
        <v>0</v>
      </c>
      <c r="F54" s="36">
        <f>SUM(F42:F53)</f>
        <v>70</v>
      </c>
      <c r="G54" s="36">
        <f>SUM(G42:G53)</f>
        <v>294</v>
      </c>
      <c r="H54" s="37"/>
      <c r="I54" s="37"/>
      <c r="J54" s="37"/>
      <c r="K54" s="37"/>
      <c r="L54" s="37"/>
      <c r="M54" s="38">
        <f ca="1">IFERROR(SUM(M42:M53),"")</f>
        <v>0.15486111111111109</v>
      </c>
      <c r="N54" s="36" t="s">
        <v>236</v>
      </c>
      <c r="O54" s="39">
        <v>279980</v>
      </c>
    </row>
    <row r="55" spans="1:15" ht="18" customHeight="1">
      <c r="A55" s="107" t="s">
        <v>239</v>
      </c>
      <c r="B55" s="108"/>
      <c r="C55" s="108"/>
      <c r="D55" s="108"/>
      <c r="E55" s="109">
        <f>E41+E54</f>
        <v>0</v>
      </c>
      <c r="F55" s="40">
        <f>F41+F54</f>
        <v>147</v>
      </c>
      <c r="G55" s="40">
        <f>G41+G54</f>
        <v>617.40000000000009</v>
      </c>
      <c r="H55" s="41"/>
      <c r="I55" s="41"/>
      <c r="J55" s="41"/>
      <c r="K55" s="41"/>
      <c r="L55" s="41"/>
      <c r="M55" s="42">
        <f ca="1">IFERROR(M41+M54,"")</f>
        <v>0.17569444444444446</v>
      </c>
      <c r="N55" s="40" t="s">
        <v>240</v>
      </c>
      <c r="O55" s="43">
        <f>IFERROR(O41+O54,"")</f>
        <v>517060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250</v>
      </c>
      <c r="F56" s="27">
        <v>7</v>
      </c>
      <c r="G56" s="28">
        <f t="shared" ref="G56:G67" si="12">IF(F56="","",IF(E56="PC 17",F56*4.2,IF(E56="PC 19",F56*5,IF(E56="CB",F56*24,""))))</f>
        <v>29.400000000000002</v>
      </c>
      <c r="H56" s="26" t="s">
        <v>20</v>
      </c>
      <c r="I56" s="26" t="s">
        <v>123</v>
      </c>
      <c r="J56" s="26" t="s">
        <v>114</v>
      </c>
      <c r="K56" s="29">
        <v>0.40277777777777779</v>
      </c>
      <c r="L56" s="29">
        <v>0.40833333333333333</v>
      </c>
      <c r="M56" s="30">
        <f t="shared" ref="M56:M67" ca="1" si="13">IFERROR(IF(K56="","",IF(L56="",MOD(NOW()-K56,1),IF(L56&gt;=K56,L56-K56,L56+1-K56))),"")</f>
        <v>5.5555555555555358E-3</v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38</v>
      </c>
      <c r="E57" s="59" t="s">
        <v>250</v>
      </c>
      <c r="F57" s="27">
        <v>4</v>
      </c>
      <c r="G57" s="34">
        <f t="shared" si="12"/>
        <v>16.8</v>
      </c>
      <c r="H57" s="33" t="s">
        <v>20</v>
      </c>
      <c r="I57" s="33" t="s">
        <v>123</v>
      </c>
      <c r="J57" s="26" t="s">
        <v>114</v>
      </c>
      <c r="K57" s="29">
        <v>0.46666666666666667</v>
      </c>
      <c r="L57" s="29">
        <v>0.48402777777777778</v>
      </c>
      <c r="M57" s="35">
        <f t="shared" ca="1" si="13"/>
        <v>1.7361111111111105E-2</v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250</v>
      </c>
      <c r="F58" s="27">
        <v>3</v>
      </c>
      <c r="G58" s="28">
        <f t="shared" si="12"/>
        <v>12.600000000000001</v>
      </c>
      <c r="H58" s="26" t="s">
        <v>20</v>
      </c>
      <c r="I58" s="26" t="s">
        <v>47</v>
      </c>
      <c r="J58" s="26" t="s">
        <v>51</v>
      </c>
      <c r="K58" s="29">
        <v>0.49583333333333335</v>
      </c>
      <c r="L58" s="29">
        <v>0.50208333333333333</v>
      </c>
      <c r="M58" s="30">
        <f t="shared" ca="1" si="13"/>
        <v>6.2499999999999778E-3</v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38</v>
      </c>
      <c r="E59" s="59" t="s">
        <v>250</v>
      </c>
      <c r="F59" s="27">
        <v>4</v>
      </c>
      <c r="G59" s="34">
        <f t="shared" si="12"/>
        <v>16.8</v>
      </c>
      <c r="H59" s="26" t="s">
        <v>20</v>
      </c>
      <c r="I59" s="33" t="s">
        <v>47</v>
      </c>
      <c r="J59" s="26" t="s">
        <v>51</v>
      </c>
      <c r="K59" s="29">
        <v>0.51180555555555551</v>
      </c>
      <c r="L59" s="29">
        <v>0.51736111111111116</v>
      </c>
      <c r="M59" s="35">
        <f t="shared" ca="1" si="13"/>
        <v>5.5555555555556468E-3</v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38</v>
      </c>
      <c r="E60" s="59" t="s">
        <v>250</v>
      </c>
      <c r="F60" s="27">
        <v>5</v>
      </c>
      <c r="G60" s="28">
        <f t="shared" si="12"/>
        <v>21</v>
      </c>
      <c r="H60" s="26" t="s">
        <v>20</v>
      </c>
      <c r="I60" s="26" t="s">
        <v>123</v>
      </c>
      <c r="J60" s="26" t="s">
        <v>114</v>
      </c>
      <c r="K60" s="29">
        <v>0.51249999999999996</v>
      </c>
      <c r="L60" s="29">
        <v>0.52777777777777779</v>
      </c>
      <c r="M60" s="30">
        <f t="shared" ca="1" si="13"/>
        <v>1.5277777777777835E-2</v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38</v>
      </c>
      <c r="E61" s="59" t="s">
        <v>250</v>
      </c>
      <c r="F61" s="27">
        <v>6</v>
      </c>
      <c r="G61" s="34">
        <f t="shared" si="12"/>
        <v>25.200000000000003</v>
      </c>
      <c r="H61" s="33" t="s">
        <v>20</v>
      </c>
      <c r="I61" s="33" t="s">
        <v>47</v>
      </c>
      <c r="J61" s="33" t="s">
        <v>51</v>
      </c>
      <c r="K61" s="29">
        <v>0.56458333333333333</v>
      </c>
      <c r="L61" s="29">
        <v>0.56944444444444442</v>
      </c>
      <c r="M61" s="35">
        <f t="shared" ca="1" si="13"/>
        <v>4.8611111111110938E-3</v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38</v>
      </c>
      <c r="E62" s="59" t="s">
        <v>250</v>
      </c>
      <c r="F62" s="27">
        <v>0</v>
      </c>
      <c r="G62" s="28">
        <f t="shared" si="12"/>
        <v>0</v>
      </c>
      <c r="H62" s="26" t="s">
        <v>18</v>
      </c>
      <c r="I62" s="26"/>
      <c r="J62" s="26" t="s">
        <v>130</v>
      </c>
      <c r="K62" s="29">
        <v>0.61458333333333337</v>
      </c>
      <c r="L62" s="29">
        <v>0.6430555555555556</v>
      </c>
      <c r="M62" s="30">
        <f t="shared" ca="1" si="13"/>
        <v>2.8472222222222232E-2</v>
      </c>
      <c r="N62" s="27" t="s">
        <v>283</v>
      </c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38</v>
      </c>
      <c r="E63" s="59" t="s">
        <v>250</v>
      </c>
      <c r="F63" s="27">
        <v>0</v>
      </c>
      <c r="G63" s="34">
        <f t="shared" si="12"/>
        <v>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38</v>
      </c>
      <c r="E64" s="59" t="s">
        <v>250</v>
      </c>
      <c r="F64" s="27">
        <v>10</v>
      </c>
      <c r="G64" s="28">
        <f t="shared" si="12"/>
        <v>42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38</v>
      </c>
      <c r="E65" s="59" t="s">
        <v>250</v>
      </c>
      <c r="F65" s="27">
        <v>5</v>
      </c>
      <c r="G65" s="34">
        <f t="shared" si="12"/>
        <v>21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38</v>
      </c>
      <c r="E66" s="59" t="s">
        <v>250</v>
      </c>
      <c r="F66" s="27">
        <v>5</v>
      </c>
      <c r="G66" s="28">
        <f t="shared" si="12"/>
        <v>21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38</v>
      </c>
      <c r="E67" s="59" t="s">
        <v>250</v>
      </c>
      <c r="F67" s="27">
        <v>1</v>
      </c>
      <c r="G67" s="34">
        <f t="shared" si="12"/>
        <v>4.2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4" t="s">
        <v>235</v>
      </c>
      <c r="B68" s="105"/>
      <c r="C68" s="105"/>
      <c r="D68" s="105"/>
      <c r="E68" s="106">
        <f>SUM(E56:E67)</f>
        <v>0</v>
      </c>
      <c r="F68" s="36">
        <f>SUM(F56:F67)</f>
        <v>50</v>
      </c>
      <c r="G68" s="36">
        <f>SUM(G56:G67)</f>
        <v>210</v>
      </c>
      <c r="H68" s="37"/>
      <c r="I68" s="37"/>
      <c r="J68" s="37"/>
      <c r="K68" s="37"/>
      <c r="L68" s="37"/>
      <c r="M68" s="38">
        <f ca="1">IFERROR(SUM(M56:M67),"")</f>
        <v>8.3333333333333426E-2</v>
      </c>
      <c r="N68" s="36" t="s">
        <v>236</v>
      </c>
      <c r="O68" s="39">
        <v>221380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250</v>
      </c>
      <c r="F69" s="27">
        <v>6</v>
      </c>
      <c r="G69" s="34">
        <f t="shared" ref="G69:G80" si="15">IF(F69="","",IF(E69="PC 17",F69*4.2,IF(E69="PC 19",F69*5,IF(E69="CB",F69*24,""))))</f>
        <v>25.200000000000003</v>
      </c>
      <c r="H69" s="33" t="s">
        <v>20</v>
      </c>
      <c r="I69" s="33" t="s">
        <v>47</v>
      </c>
      <c r="J69" s="33" t="s">
        <v>56</v>
      </c>
      <c r="K69" s="29">
        <v>0.79652777777777772</v>
      </c>
      <c r="L69" s="29">
        <v>0.8125</v>
      </c>
      <c r="M69" s="35">
        <f t="shared" ref="M69:M80" ca="1" si="16">IFERROR(IF(K69="","",IF(L69="",MOD(NOW()-K69,1),IF(L69&gt;=K69,L69-K69,L69+1-K69))),"")</f>
        <v>1.5972222222222276E-2</v>
      </c>
      <c r="N69" s="27" t="s">
        <v>284</v>
      </c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250</v>
      </c>
      <c r="F70" s="27">
        <v>9</v>
      </c>
      <c r="G70" s="28">
        <f t="shared" si="15"/>
        <v>37.800000000000004</v>
      </c>
      <c r="H70" s="26" t="s">
        <v>20</v>
      </c>
      <c r="I70" s="26" t="s">
        <v>149</v>
      </c>
      <c r="J70" s="26" t="s">
        <v>185</v>
      </c>
      <c r="K70" s="29">
        <v>0.8208333333333333</v>
      </c>
      <c r="L70" s="29">
        <v>0.82638888888888884</v>
      </c>
      <c r="M70" s="30">
        <f t="shared" ca="1" si="16"/>
        <v>5.5555555555555358E-3</v>
      </c>
      <c r="N70" s="27"/>
      <c r="O70" s="31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250</v>
      </c>
      <c r="F71" s="27">
        <v>9</v>
      </c>
      <c r="G71" s="34">
        <f t="shared" si="15"/>
        <v>37.800000000000004</v>
      </c>
      <c r="H71" s="33" t="s">
        <v>20</v>
      </c>
      <c r="I71" s="33" t="s">
        <v>157</v>
      </c>
      <c r="J71" s="33" t="s">
        <v>74</v>
      </c>
      <c r="K71" s="29">
        <v>0.85972222222222228</v>
      </c>
      <c r="L71" s="29">
        <v>0.86458333333333337</v>
      </c>
      <c r="M71" s="35">
        <f t="shared" ca="1" si="16"/>
        <v>4.8611111111110938E-3</v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250</v>
      </c>
      <c r="F72" s="27">
        <v>0</v>
      </c>
      <c r="G72" s="28">
        <f t="shared" si="15"/>
        <v>0</v>
      </c>
      <c r="H72" s="26" t="s">
        <v>20</v>
      </c>
      <c r="I72" s="26" t="s">
        <v>157</v>
      </c>
      <c r="J72" s="26" t="s">
        <v>74</v>
      </c>
      <c r="K72" s="29">
        <v>0.91180555555555554</v>
      </c>
      <c r="L72" s="29">
        <v>0.91527777777777775</v>
      </c>
      <c r="M72" s="30">
        <f t="shared" ca="1" si="16"/>
        <v>3.4722222222222099E-3</v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250</v>
      </c>
      <c r="F73" s="27">
        <v>7</v>
      </c>
      <c r="G73" s="34">
        <f t="shared" si="15"/>
        <v>29.400000000000002</v>
      </c>
      <c r="H73" s="33" t="s">
        <v>20</v>
      </c>
      <c r="I73" s="33" t="s">
        <v>157</v>
      </c>
      <c r="J73" s="33" t="s">
        <v>74</v>
      </c>
      <c r="K73" s="29">
        <v>0.95972222222222225</v>
      </c>
      <c r="L73" s="29">
        <v>0.96388888888888891</v>
      </c>
      <c r="M73" s="35">
        <f t="shared" ca="1" si="16"/>
        <v>4.1666666666666519E-3</v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250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250</v>
      </c>
      <c r="F75" s="27">
        <v>0</v>
      </c>
      <c r="G75" s="34">
        <f t="shared" si="15"/>
        <v>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250</v>
      </c>
      <c r="F76" s="27">
        <v>6</v>
      </c>
      <c r="G76" s="28">
        <f t="shared" si="15"/>
        <v>25.200000000000003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250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30</v>
      </c>
      <c r="E78" s="62" t="s">
        <v>250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/>
      <c r="F79" s="27">
        <v>0</v>
      </c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/>
      <c r="F80" s="27">
        <v>5</v>
      </c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4" t="s">
        <v>238</v>
      </c>
      <c r="B81" s="105"/>
      <c r="C81" s="105"/>
      <c r="D81" s="105"/>
      <c r="E81" s="106">
        <f>SUM(E69:E80)</f>
        <v>0</v>
      </c>
      <c r="F81" s="36">
        <f>SUM(F69:F80)</f>
        <v>42</v>
      </c>
      <c r="G81" s="36">
        <f>SUM(G69:G80)</f>
        <v>155.40000000000003</v>
      </c>
      <c r="H81" s="37"/>
      <c r="I81" s="37"/>
      <c r="J81" s="37"/>
      <c r="K81" s="37"/>
      <c r="L81" s="37"/>
      <c r="M81" s="38">
        <f ca="1">IFERROR(SUM(M69:M80),"")</f>
        <v>3.4027777777777768E-2</v>
      </c>
      <c r="N81" s="36" t="s">
        <v>236</v>
      </c>
      <c r="O81" s="39">
        <v>185920</v>
      </c>
    </row>
    <row r="82" spans="1:15" ht="18" customHeight="1">
      <c r="A82" s="107" t="s">
        <v>239</v>
      </c>
      <c r="B82" s="108"/>
      <c r="C82" s="108"/>
      <c r="D82" s="108"/>
      <c r="E82" s="109">
        <f>E68+E81</f>
        <v>0</v>
      </c>
      <c r="F82" s="40">
        <f>F68+F81</f>
        <v>92</v>
      </c>
      <c r="G82" s="40">
        <f>G68+G81</f>
        <v>365.40000000000003</v>
      </c>
      <c r="H82" s="41"/>
      <c r="I82" s="41"/>
      <c r="J82" s="41"/>
      <c r="K82" s="41"/>
      <c r="L82" s="41"/>
      <c r="M82" s="42">
        <f ca="1">IFERROR(M68+M81,"")</f>
        <v>0.11736111111111119</v>
      </c>
      <c r="N82" s="40" t="s">
        <v>240</v>
      </c>
      <c r="O82" s="43">
        <f>IFERROR(O68+O81,"")</f>
        <v>407300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250</v>
      </c>
      <c r="F83" s="27">
        <v>7</v>
      </c>
      <c r="G83" s="28">
        <f t="shared" ref="G83:G94" si="18">IF(F83="","",IF(E83="PC 17",F83*4.2,IF(E83="PC 19",F83*5,IF(E83="CB",F83*24,""))))</f>
        <v>29.400000000000002</v>
      </c>
      <c r="H83" s="33" t="s">
        <v>20</v>
      </c>
      <c r="I83" s="33" t="s">
        <v>47</v>
      </c>
      <c r="J83" s="33" t="s">
        <v>56</v>
      </c>
      <c r="K83" s="29">
        <v>0.33124999999999999</v>
      </c>
      <c r="L83" s="29">
        <v>0.36319444444444443</v>
      </c>
      <c r="M83" s="35">
        <f t="shared" ref="M83:M94" ca="1" si="19">IFERROR(IF(K83="","",IF(L83="",MOD(NOW()-K83,1),IF(L83&gt;=K83,L83-K83,L83+1-K83))),"")</f>
        <v>3.1944444444444442E-2</v>
      </c>
      <c r="N83" s="27" t="s">
        <v>285</v>
      </c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250</v>
      </c>
      <c r="F84" s="27">
        <v>0</v>
      </c>
      <c r="G84" s="34">
        <f t="shared" si="18"/>
        <v>0</v>
      </c>
      <c r="H84" s="26" t="s">
        <v>18</v>
      </c>
      <c r="I84" s="26" t="s">
        <v>138</v>
      </c>
      <c r="J84" s="26" t="s">
        <v>118</v>
      </c>
      <c r="K84" s="29">
        <v>0.56666666666666665</v>
      </c>
      <c r="L84" s="29">
        <v>0.69097222222222221</v>
      </c>
      <c r="M84" s="30">
        <f t="shared" ca="1" si="19"/>
        <v>0.12430555555555556</v>
      </c>
      <c r="N84" s="27" t="s">
        <v>286</v>
      </c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250</v>
      </c>
      <c r="F85" s="27">
        <v>5</v>
      </c>
      <c r="G85" s="28">
        <f t="shared" si="18"/>
        <v>21</v>
      </c>
      <c r="H85" s="33"/>
      <c r="I85" s="33"/>
      <c r="J85" s="26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250</v>
      </c>
      <c r="F86" s="27">
        <v>12</v>
      </c>
      <c r="G86" s="34">
        <f t="shared" si="18"/>
        <v>50.400000000000006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250</v>
      </c>
      <c r="F87" s="27">
        <v>6</v>
      </c>
      <c r="G87" s="28">
        <f t="shared" si="18"/>
        <v>25.200000000000003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250</v>
      </c>
      <c r="F88" s="27">
        <v>5</v>
      </c>
      <c r="G88" s="34">
        <f t="shared" si="18"/>
        <v>21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250</v>
      </c>
      <c r="F89" s="27">
        <v>7</v>
      </c>
      <c r="G89" s="28">
        <f t="shared" si="18"/>
        <v>29.400000000000002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250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250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250</v>
      </c>
      <c r="F92" s="27">
        <v>3</v>
      </c>
      <c r="G92" s="34">
        <f t="shared" si="18"/>
        <v>12.600000000000001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250</v>
      </c>
      <c r="F93" s="27">
        <v>1</v>
      </c>
      <c r="G93" s="28">
        <f t="shared" si="18"/>
        <v>4.2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250</v>
      </c>
      <c r="F94" s="27">
        <v>2</v>
      </c>
      <c r="G94" s="34">
        <f t="shared" si="18"/>
        <v>8.4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4" t="s">
        <v>235</v>
      </c>
      <c r="B95" s="105"/>
      <c r="C95" s="105"/>
      <c r="D95" s="105"/>
      <c r="E95" s="106">
        <f>SUM(E83:E94)</f>
        <v>0</v>
      </c>
      <c r="F95" s="36">
        <f>SUM(F83:F94)</f>
        <v>48</v>
      </c>
      <c r="G95" s="36">
        <f>SUM(G83:G94)</f>
        <v>201.6</v>
      </c>
      <c r="H95" s="37"/>
      <c r="I95" s="37"/>
      <c r="J95" s="37"/>
      <c r="K95" s="37"/>
      <c r="L95" s="37"/>
      <c r="M95" s="38">
        <f ca="1">IFERROR(SUM(M83:M94),"")</f>
        <v>0.15625</v>
      </c>
      <c r="N95" s="36" t="s">
        <v>236</v>
      </c>
      <c r="O95" s="39">
        <v>204160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250</v>
      </c>
      <c r="F96" s="27">
        <v>5</v>
      </c>
      <c r="G96" s="34">
        <f t="shared" ref="G96:G107" si="21">IF(F96="","",IF(E96="PC 17",F96*4.2,IF(E96="PC 19",F96*5,IF(E96="CB",F96*24,""))))</f>
        <v>21</v>
      </c>
      <c r="H96" s="26" t="s">
        <v>18</v>
      </c>
      <c r="I96" s="26" t="s">
        <v>138</v>
      </c>
      <c r="J96" s="26" t="s">
        <v>118</v>
      </c>
      <c r="K96" s="29">
        <v>0.87638888888888888</v>
      </c>
      <c r="L96" s="29">
        <v>0.88263888888888886</v>
      </c>
      <c r="M96" s="30">
        <f t="shared" ref="M96:M107" ca="1" si="22">IFERROR(IF(K96="","",IF(L96="",MOD(NOW()-K96,1),IF(L96&gt;=K96,L96-K96,L96+1-K96))),"")</f>
        <v>6.2499999999999778E-3</v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250</v>
      </c>
      <c r="F97" s="27">
        <v>0</v>
      </c>
      <c r="G97" s="28">
        <f t="shared" si="21"/>
        <v>0</v>
      </c>
      <c r="H97" s="33" t="s">
        <v>18</v>
      </c>
      <c r="I97" s="33" t="s">
        <v>138</v>
      </c>
      <c r="J97" s="33" t="s">
        <v>118</v>
      </c>
      <c r="K97" s="29">
        <v>0.90833333333333333</v>
      </c>
      <c r="L97" s="29">
        <v>0.94444444444444442</v>
      </c>
      <c r="M97" s="35">
        <f t="shared" ca="1" si="22"/>
        <v>3.6111111111111094E-2</v>
      </c>
      <c r="N97" s="27" t="s">
        <v>287</v>
      </c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250</v>
      </c>
      <c r="F98" s="27">
        <v>5</v>
      </c>
      <c r="G98" s="34">
        <f t="shared" si="21"/>
        <v>21</v>
      </c>
      <c r="H98" s="26" t="s">
        <v>19</v>
      </c>
      <c r="I98" s="26" t="s">
        <v>47</v>
      </c>
      <c r="J98" s="26" t="s">
        <v>27</v>
      </c>
      <c r="K98" s="29">
        <v>0.24305555555555555</v>
      </c>
      <c r="L98" s="29">
        <v>0.24791666666666667</v>
      </c>
      <c r="M98" s="30">
        <f t="shared" ca="1" si="22"/>
        <v>4.8611111111111216E-3</v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250</v>
      </c>
      <c r="F99" s="27">
        <v>7</v>
      </c>
      <c r="G99" s="28">
        <f t="shared" si="21"/>
        <v>29.400000000000002</v>
      </c>
      <c r="H99" s="33" t="s">
        <v>20</v>
      </c>
      <c r="I99" s="33" t="s">
        <v>157</v>
      </c>
      <c r="J99" s="33" t="s">
        <v>74</v>
      </c>
      <c r="K99" s="29">
        <v>0.27847222222222223</v>
      </c>
      <c r="L99" s="29">
        <v>0.28472222222222221</v>
      </c>
      <c r="M99" s="35">
        <f t="shared" ca="1" si="22"/>
        <v>6.2499999999999778E-3</v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250</v>
      </c>
      <c r="F100" s="27">
        <v>7</v>
      </c>
      <c r="G100" s="34">
        <f t="shared" si="21"/>
        <v>29.400000000000002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250</v>
      </c>
      <c r="F101" s="27">
        <v>11</v>
      </c>
      <c r="G101" s="28">
        <f t="shared" si="21"/>
        <v>46.2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250</v>
      </c>
      <c r="F102" s="27">
        <v>14</v>
      </c>
      <c r="G102" s="34">
        <f t="shared" si="21"/>
        <v>58.800000000000004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250</v>
      </c>
      <c r="F103" s="27">
        <v>7</v>
      </c>
      <c r="G103" s="28">
        <f t="shared" si="21"/>
        <v>29.400000000000002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250</v>
      </c>
      <c r="F104" s="27">
        <v>12</v>
      </c>
      <c r="G104" s="34">
        <f t="shared" si="21"/>
        <v>50.400000000000006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250</v>
      </c>
      <c r="F105" s="27">
        <v>4</v>
      </c>
      <c r="G105" s="28">
        <f t="shared" si="21"/>
        <v>16.8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250</v>
      </c>
      <c r="F106" s="27">
        <v>7</v>
      </c>
      <c r="G106" s="34">
        <f t="shared" si="21"/>
        <v>29.400000000000002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250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4" t="s">
        <v>238</v>
      </c>
      <c r="B108" s="105"/>
      <c r="C108" s="105"/>
      <c r="D108" s="105"/>
      <c r="E108" s="106">
        <f>SUM(E96:E107)</f>
        <v>0</v>
      </c>
      <c r="F108" s="36">
        <f>SUM(F96:F107)</f>
        <v>89</v>
      </c>
      <c r="G108" s="36">
        <f>SUM(G96:G107)</f>
        <v>373.8</v>
      </c>
      <c r="H108" s="37"/>
      <c r="I108" s="37"/>
      <c r="J108" s="37"/>
      <c r="K108" s="37"/>
      <c r="L108" s="37"/>
      <c r="M108" s="38">
        <f ca="1">IFERROR(SUM(M96:M107),"")</f>
        <v>5.3472222222222171E-2</v>
      </c>
      <c r="N108" s="36" t="s">
        <v>236</v>
      </c>
      <c r="O108" s="39">
        <v>434370</v>
      </c>
    </row>
    <row r="109" spans="1:15" ht="18" customHeight="1">
      <c r="A109" s="107" t="s">
        <v>239</v>
      </c>
      <c r="B109" s="108"/>
      <c r="C109" s="108"/>
      <c r="D109" s="108"/>
      <c r="E109" s="109">
        <f>E95+E108</f>
        <v>0</v>
      </c>
      <c r="F109" s="40">
        <f>F95+F108</f>
        <v>137</v>
      </c>
      <c r="G109" s="40">
        <f>G95+G108</f>
        <v>575.4</v>
      </c>
      <c r="H109" s="41"/>
      <c r="I109" s="41"/>
      <c r="J109" s="41"/>
      <c r="K109" s="41"/>
      <c r="L109" s="41"/>
      <c r="M109" s="42">
        <f ca="1">IFERROR(M95+M108,"")</f>
        <v>0.20972222222222217</v>
      </c>
      <c r="N109" s="40" t="s">
        <v>240</v>
      </c>
      <c r="O109" s="43">
        <f>IFERROR(O95+O108,"")</f>
        <v>638530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250</v>
      </c>
      <c r="F110" s="27">
        <v>4</v>
      </c>
      <c r="G110" s="28">
        <f t="shared" ref="G110:G121" si="24">IF(F110="","",IF(E110="PC 17",F110*4.2,IF(E110="PC 19",F110*5,IF(E110="CB",F110*24,""))))</f>
        <v>16.8</v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250</v>
      </c>
      <c r="F111" s="27">
        <v>6</v>
      </c>
      <c r="G111" s="34">
        <f t="shared" si="24"/>
        <v>25.200000000000003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250</v>
      </c>
      <c r="F112" s="27">
        <v>5</v>
      </c>
      <c r="G112" s="28">
        <f t="shared" si="24"/>
        <v>21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250</v>
      </c>
      <c r="F113" s="27">
        <v>11</v>
      </c>
      <c r="G113" s="34">
        <f t="shared" si="24"/>
        <v>46.2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250</v>
      </c>
      <c r="F114" s="27">
        <v>6</v>
      </c>
      <c r="G114" s="28">
        <f t="shared" si="24"/>
        <v>25.200000000000003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250</v>
      </c>
      <c r="F115" s="27">
        <v>6</v>
      </c>
      <c r="G115" s="34">
        <f t="shared" si="24"/>
        <v>25.200000000000003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250</v>
      </c>
      <c r="F116" s="27">
        <v>12</v>
      </c>
      <c r="G116" s="28">
        <f t="shared" si="24"/>
        <v>50.400000000000006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250</v>
      </c>
      <c r="F117" s="27">
        <v>5</v>
      </c>
      <c r="G117" s="34">
        <f t="shared" si="24"/>
        <v>21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250</v>
      </c>
      <c r="F118" s="27">
        <v>7</v>
      </c>
      <c r="G118" s="28">
        <f t="shared" si="24"/>
        <v>29.400000000000002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250</v>
      </c>
      <c r="F119" s="27">
        <v>9</v>
      </c>
      <c r="G119" s="34">
        <f t="shared" si="24"/>
        <v>37.800000000000004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250</v>
      </c>
      <c r="F120" s="27">
        <v>6</v>
      </c>
      <c r="G120" s="28">
        <f t="shared" si="24"/>
        <v>25.200000000000003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250</v>
      </c>
      <c r="F121" s="27">
        <v>1</v>
      </c>
      <c r="G121" s="34">
        <f t="shared" si="24"/>
        <v>4.2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4" t="s">
        <v>235</v>
      </c>
      <c r="B122" s="105"/>
      <c r="C122" s="105"/>
      <c r="D122" s="105"/>
      <c r="E122" s="106">
        <f>SUM(E110:E121)</f>
        <v>0</v>
      </c>
      <c r="F122" s="36">
        <f>SUM(F110:F121)</f>
        <v>78</v>
      </c>
      <c r="G122" s="36">
        <f>SUM(G110:G121)</f>
        <v>327.60000000000002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236</v>
      </c>
      <c r="O122" s="39">
        <v>320370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250</v>
      </c>
      <c r="F123" s="27">
        <v>15</v>
      </c>
      <c r="G123" s="34">
        <f t="shared" ref="G123:G134" si="27">IF(F123="","",IF(E123="PC 17",F123*4.2,IF(E123="PC 19",F123*5,IF(E123="CB",F123*24,""))))</f>
        <v>63</v>
      </c>
      <c r="H123" s="33" t="s">
        <v>20</v>
      </c>
      <c r="I123" s="33" t="s">
        <v>157</v>
      </c>
      <c r="J123" s="33" t="s">
        <v>74</v>
      </c>
      <c r="K123" s="29">
        <v>0.82916666666666672</v>
      </c>
      <c r="L123" s="29">
        <v>0.83263888888888893</v>
      </c>
      <c r="M123" s="35">
        <f t="shared" ref="M123:M134" ca="1" si="28">IFERROR(IF(K123="","",IF(L123="",MOD(NOW()-K123,1),IF(L123&gt;=K123,L123-K123,L123+1-K123))),"")</f>
        <v>3.4722222222222099E-3</v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250</v>
      </c>
      <c r="F124" s="27">
        <v>9</v>
      </c>
      <c r="G124" s="28">
        <f t="shared" si="27"/>
        <v>37.800000000000004</v>
      </c>
      <c r="H124" s="26" t="s">
        <v>20</v>
      </c>
      <c r="I124" s="26" t="s">
        <v>157</v>
      </c>
      <c r="J124" s="26" t="s">
        <v>74</v>
      </c>
      <c r="K124" s="29">
        <v>0.8520833333333333</v>
      </c>
      <c r="L124" s="29">
        <v>0.85833333333333328</v>
      </c>
      <c r="M124" s="30">
        <f t="shared" ca="1" si="28"/>
        <v>6.2499999999999778E-3</v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250</v>
      </c>
      <c r="F125" s="27">
        <v>0</v>
      </c>
      <c r="G125" s="34">
        <f t="shared" si="27"/>
        <v>0</v>
      </c>
      <c r="H125" s="33" t="s">
        <v>20</v>
      </c>
      <c r="I125" s="33" t="s">
        <v>47</v>
      </c>
      <c r="J125" s="33" t="s">
        <v>56</v>
      </c>
      <c r="K125" s="29">
        <v>0.88124999999999998</v>
      </c>
      <c r="L125" s="29">
        <v>0.9145833333333333</v>
      </c>
      <c r="M125" s="35">
        <f t="shared" ca="1" si="28"/>
        <v>3.3333333333333326E-2</v>
      </c>
      <c r="N125" s="27" t="s">
        <v>288</v>
      </c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250</v>
      </c>
      <c r="F126" s="27">
        <v>20</v>
      </c>
      <c r="G126" s="28">
        <f t="shared" si="27"/>
        <v>84</v>
      </c>
      <c r="H126" s="26" t="s">
        <v>19</v>
      </c>
      <c r="I126" s="26" t="s">
        <v>47</v>
      </c>
      <c r="J126" s="26" t="s">
        <v>27</v>
      </c>
      <c r="K126" s="29">
        <v>0.9145833333333333</v>
      </c>
      <c r="L126" s="29">
        <v>0.92638888888888893</v>
      </c>
      <c r="M126" s="30">
        <f t="shared" ca="1" si="28"/>
        <v>1.1805555555555625E-2</v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250</v>
      </c>
      <c r="F127" s="27">
        <v>12</v>
      </c>
      <c r="G127" s="34">
        <f t="shared" si="27"/>
        <v>50.400000000000006</v>
      </c>
      <c r="H127" s="33" t="s">
        <v>17</v>
      </c>
      <c r="I127" s="33" t="s">
        <v>135</v>
      </c>
      <c r="J127" s="33" t="s">
        <v>49</v>
      </c>
      <c r="K127" s="29">
        <v>0.95</v>
      </c>
      <c r="L127" s="29">
        <v>0.95138888888888884</v>
      </c>
      <c r="M127" s="35">
        <f t="shared" ca="1" si="28"/>
        <v>1.388888888888884E-3</v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250</v>
      </c>
      <c r="F128" s="27">
        <v>10</v>
      </c>
      <c r="G128" s="28">
        <f t="shared" si="27"/>
        <v>42</v>
      </c>
      <c r="H128" s="26" t="s">
        <v>20</v>
      </c>
      <c r="I128" s="26" t="s">
        <v>47</v>
      </c>
      <c r="J128" s="26" t="s">
        <v>36</v>
      </c>
      <c r="K128" s="29">
        <v>0.97083333333333333</v>
      </c>
      <c r="L128" s="29">
        <v>0.97777777777777775</v>
      </c>
      <c r="M128" s="30">
        <f t="shared" ca="1" si="28"/>
        <v>6.9444444444444198E-3</v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250</v>
      </c>
      <c r="F129" s="27">
        <v>5</v>
      </c>
      <c r="G129" s="34">
        <f t="shared" si="27"/>
        <v>21</v>
      </c>
      <c r="H129" s="33" t="s">
        <v>20</v>
      </c>
      <c r="I129" s="33"/>
      <c r="J129" s="33" t="s">
        <v>131</v>
      </c>
      <c r="K129" s="29">
        <v>0.14930555555555555</v>
      </c>
      <c r="L129" s="29">
        <v>0.15277777777777779</v>
      </c>
      <c r="M129" s="35">
        <f t="shared" ca="1" si="28"/>
        <v>3.4722222222222376E-3</v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250</v>
      </c>
      <c r="F130" s="27">
        <v>7</v>
      </c>
      <c r="G130" s="28">
        <f t="shared" si="27"/>
        <v>29.400000000000002</v>
      </c>
      <c r="H130" s="26" t="s">
        <v>20</v>
      </c>
      <c r="I130" s="26" t="s">
        <v>47</v>
      </c>
      <c r="J130" s="26" t="s">
        <v>51</v>
      </c>
      <c r="K130" s="29">
        <v>0.22638888888888889</v>
      </c>
      <c r="L130" s="29">
        <v>0.23819444444444443</v>
      </c>
      <c r="M130" s="30">
        <f t="shared" ca="1" si="28"/>
        <v>1.1805555555555541E-2</v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250</v>
      </c>
      <c r="F131" s="27">
        <v>10</v>
      </c>
      <c r="G131" s="34">
        <f t="shared" si="27"/>
        <v>42</v>
      </c>
      <c r="H131" s="33" t="s">
        <v>20</v>
      </c>
      <c r="I131" s="33"/>
      <c r="J131" s="33" t="s">
        <v>198</v>
      </c>
      <c r="K131" s="29">
        <v>0.25347222222222221</v>
      </c>
      <c r="L131" s="29">
        <v>0.25694444444444442</v>
      </c>
      <c r="M131" s="35">
        <f t="shared" ca="1" si="28"/>
        <v>3.4722222222222099E-3</v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250</v>
      </c>
      <c r="F132" s="27">
        <v>3</v>
      </c>
      <c r="G132" s="28">
        <f t="shared" si="27"/>
        <v>12.600000000000001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250</v>
      </c>
      <c r="F133" s="27">
        <v>10</v>
      </c>
      <c r="G133" s="34">
        <f t="shared" si="27"/>
        <v>42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250</v>
      </c>
      <c r="F134" s="27">
        <v>9</v>
      </c>
      <c r="G134" s="28">
        <f t="shared" si="27"/>
        <v>37.800000000000004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4" t="s">
        <v>238</v>
      </c>
      <c r="B135" s="105"/>
      <c r="C135" s="105"/>
      <c r="D135" s="105"/>
      <c r="E135" s="106">
        <f>SUM(E123:E134)</f>
        <v>0</v>
      </c>
      <c r="F135" s="36">
        <f>SUM(F123:F134)</f>
        <v>110</v>
      </c>
      <c r="G135" s="36">
        <f>SUM(G123:G134)</f>
        <v>462.00000000000006</v>
      </c>
      <c r="H135" s="37"/>
      <c r="I135" s="37"/>
      <c r="J135" s="37"/>
      <c r="K135" s="37"/>
      <c r="L135" s="37"/>
      <c r="M135" s="38">
        <f ca="1">IFERROR(SUM(M123:M134),"")</f>
        <v>8.1944444444444431E-2</v>
      </c>
      <c r="N135" s="36" t="s">
        <v>236</v>
      </c>
      <c r="O135" s="39">
        <v>416350</v>
      </c>
    </row>
    <row r="136" spans="1:15" ht="18" customHeight="1">
      <c r="A136" s="107" t="s">
        <v>239</v>
      </c>
      <c r="B136" s="108"/>
      <c r="C136" s="108"/>
      <c r="D136" s="108"/>
      <c r="E136" s="109">
        <f>E122+E135</f>
        <v>0</v>
      </c>
      <c r="F136" s="40">
        <f>F122+F135</f>
        <v>188</v>
      </c>
      <c r="G136" s="40">
        <f>G122+G135</f>
        <v>789.60000000000014</v>
      </c>
      <c r="H136" s="41"/>
      <c r="I136" s="41"/>
      <c r="J136" s="41"/>
      <c r="K136" s="41"/>
      <c r="L136" s="41"/>
      <c r="M136" s="42">
        <f ca="1">IFERROR(M122+M135,"")</f>
        <v>8.1944444444444431E-2</v>
      </c>
      <c r="N136" s="40" t="s">
        <v>240</v>
      </c>
      <c r="O136" s="43">
        <f>IFERROR(O122+O135,"")</f>
        <v>736720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250</v>
      </c>
      <c r="F137" s="27">
        <v>3</v>
      </c>
      <c r="G137" s="34">
        <f t="shared" ref="G137:G148" si="30">IF(F137="","",IF(E137="PC 17",F137*4.2,IF(E137="PC 19",F137*5,IF(E137="CB",F137*24,""))))</f>
        <v>12.600000000000001</v>
      </c>
      <c r="H137" s="33" t="s">
        <v>19</v>
      </c>
      <c r="I137" s="33" t="s">
        <v>47</v>
      </c>
      <c r="J137" s="33" t="s">
        <v>27</v>
      </c>
      <c r="K137" s="29">
        <v>0.31944444444444442</v>
      </c>
      <c r="L137" s="29">
        <v>0.34027777777777779</v>
      </c>
      <c r="M137" s="35">
        <f t="shared" ref="M137:M148" ca="1" si="31">IFERROR(IF(K137="","",IF(L137="",MOD(NOW()-K137,1),IF(L137&gt;=K137,L137-K137,L137+1-K137))),"")</f>
        <v>2.083333333333337E-2</v>
      </c>
      <c r="N137" s="20" t="s">
        <v>289</v>
      </c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22</v>
      </c>
      <c r="E138" s="62" t="s">
        <v>250</v>
      </c>
      <c r="F138" s="27">
        <v>1</v>
      </c>
      <c r="G138" s="28">
        <f t="shared" si="30"/>
        <v>4.2</v>
      </c>
      <c r="H138" s="26" t="s">
        <v>16</v>
      </c>
      <c r="I138" s="26" t="s">
        <v>47</v>
      </c>
      <c r="J138" s="26" t="s">
        <v>110</v>
      </c>
      <c r="K138" s="29">
        <v>0.40277777777777779</v>
      </c>
      <c r="L138" s="29">
        <v>0.44583333333333336</v>
      </c>
      <c r="M138" s="30">
        <f t="shared" ca="1" si="31"/>
        <v>4.3055555555555569E-2</v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250</v>
      </c>
      <c r="F139" s="27">
        <v>5</v>
      </c>
      <c r="G139" s="34">
        <f t="shared" si="30"/>
        <v>21</v>
      </c>
      <c r="H139" s="33" t="s">
        <v>20</v>
      </c>
      <c r="I139" s="33" t="s">
        <v>47</v>
      </c>
      <c r="J139" s="33" t="s">
        <v>204</v>
      </c>
      <c r="K139" s="29">
        <v>0.52083333333333337</v>
      </c>
      <c r="L139" s="29">
        <v>0.59375</v>
      </c>
      <c r="M139" s="35">
        <f t="shared" ca="1" si="31"/>
        <v>7.291666666666663E-2</v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250</v>
      </c>
      <c r="F140" s="27">
        <v>0</v>
      </c>
      <c r="G140" s="28">
        <f t="shared" si="30"/>
        <v>0</v>
      </c>
      <c r="H140" s="26" t="s">
        <v>20</v>
      </c>
      <c r="I140" s="26" t="s">
        <v>138</v>
      </c>
      <c r="J140" s="26" t="s">
        <v>74</v>
      </c>
      <c r="K140" s="29">
        <v>0.625</v>
      </c>
      <c r="L140" s="29">
        <v>0.6333333333333333</v>
      </c>
      <c r="M140" s="30">
        <f t="shared" ca="1" si="31"/>
        <v>8.3333333333333037E-3</v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250</v>
      </c>
      <c r="F141" s="27">
        <v>3</v>
      </c>
      <c r="G141" s="34">
        <f t="shared" si="30"/>
        <v>12.600000000000001</v>
      </c>
      <c r="H141" s="33" t="s">
        <v>20</v>
      </c>
      <c r="I141" s="33" t="s">
        <v>47</v>
      </c>
      <c r="J141" s="33" t="s">
        <v>51</v>
      </c>
      <c r="K141" s="29">
        <v>0.65069444444444446</v>
      </c>
      <c r="L141" s="29">
        <v>0.65902777777777777</v>
      </c>
      <c r="M141" s="35">
        <f t="shared" ca="1" si="31"/>
        <v>8.3333333333333037E-3</v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250</v>
      </c>
      <c r="F142" s="27">
        <v>0</v>
      </c>
      <c r="G142" s="28">
        <f t="shared" si="30"/>
        <v>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250</v>
      </c>
      <c r="F143" s="27">
        <v>4</v>
      </c>
      <c r="G143" s="34">
        <f t="shared" si="30"/>
        <v>16.8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250</v>
      </c>
      <c r="F144" s="27">
        <v>4</v>
      </c>
      <c r="G144" s="28">
        <f t="shared" si="30"/>
        <v>16.8</v>
      </c>
      <c r="H144" s="26"/>
      <c r="I144" s="26"/>
      <c r="J144" s="26"/>
      <c r="K144" s="29"/>
      <c r="L144" s="29"/>
      <c r="M144" s="30" t="str">
        <f t="shared" ca="1" si="31"/>
        <v/>
      </c>
      <c r="N144" s="86" t="s">
        <v>273</v>
      </c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250</v>
      </c>
      <c r="F145" s="27">
        <v>4</v>
      </c>
      <c r="G145" s="34">
        <f t="shared" si="30"/>
        <v>16.8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250</v>
      </c>
      <c r="F146" s="27">
        <v>6</v>
      </c>
      <c r="G146" s="28">
        <f t="shared" si="30"/>
        <v>25.200000000000003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250</v>
      </c>
      <c r="F147" s="27">
        <v>3</v>
      </c>
      <c r="G147" s="34">
        <f t="shared" si="30"/>
        <v>12.600000000000001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250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4" t="s">
        <v>235</v>
      </c>
      <c r="B149" s="105"/>
      <c r="C149" s="105"/>
      <c r="D149" s="105"/>
      <c r="E149" s="106">
        <f>SUM(E137:E148)</f>
        <v>0</v>
      </c>
      <c r="F149" s="36">
        <f>SUM(F137:F148)</f>
        <v>33</v>
      </c>
      <c r="G149" s="36">
        <f>SUM(G137:G148)</f>
        <v>138.6</v>
      </c>
      <c r="H149" s="37"/>
      <c r="I149" s="37"/>
      <c r="J149" s="37"/>
      <c r="K149" s="37"/>
      <c r="L149" s="37"/>
      <c r="M149" s="38">
        <f ca="1">IFERROR(SUM(M137:M148),"")</f>
        <v>0.15347222222222218</v>
      </c>
      <c r="N149" s="36" t="s">
        <v>236</v>
      </c>
      <c r="O149" s="39">
        <v>138890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250</v>
      </c>
      <c r="F150" s="27">
        <v>4</v>
      </c>
      <c r="G150" s="28">
        <f t="shared" ref="G150:G161" si="33">IF(F150="","",IF(E150="PC 17",F150*4.2,IF(E150="PC 19",F150*5,IF(E150="CB",F150*24,""))))</f>
        <v>16.8</v>
      </c>
      <c r="H150" s="26" t="s">
        <v>20</v>
      </c>
      <c r="I150" s="26" t="s">
        <v>138</v>
      </c>
      <c r="J150" s="26" t="s">
        <v>74</v>
      </c>
      <c r="K150" s="29">
        <v>0.8125</v>
      </c>
      <c r="L150" s="29">
        <v>0.83263888888888893</v>
      </c>
      <c r="M150" s="30">
        <f t="shared" ref="M150:M161" ca="1" si="34">IFERROR(IF(K150="","",IF(L150="",MOD(NOW()-K150,1),IF(L150&gt;=K150,L150-K150,L150+1-K150))),"")</f>
        <v>2.0138888888888928E-2</v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250</v>
      </c>
      <c r="F151" s="27">
        <v>4</v>
      </c>
      <c r="G151" s="34">
        <f t="shared" si="33"/>
        <v>16.8</v>
      </c>
      <c r="H151" s="33" t="s">
        <v>20</v>
      </c>
      <c r="I151" s="33" t="s">
        <v>47</v>
      </c>
      <c r="J151" s="33" t="s">
        <v>56</v>
      </c>
      <c r="K151" s="29">
        <v>0.86736111111111114</v>
      </c>
      <c r="L151" s="29">
        <v>0.91527777777777775</v>
      </c>
      <c r="M151" s="35">
        <f t="shared" ca="1" si="34"/>
        <v>4.7916666666666607E-2</v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250</v>
      </c>
      <c r="F152" s="27">
        <v>0</v>
      </c>
      <c r="G152" s="28">
        <f t="shared" si="33"/>
        <v>0</v>
      </c>
      <c r="H152" s="26" t="s">
        <v>20</v>
      </c>
      <c r="I152" s="26" t="s">
        <v>47</v>
      </c>
      <c r="J152" s="26" t="s">
        <v>36</v>
      </c>
      <c r="K152" s="29">
        <v>1.7361111111111112E-2</v>
      </c>
      <c r="L152" s="29">
        <v>3.3333333333333333E-2</v>
      </c>
      <c r="M152" s="30">
        <f t="shared" ca="1" si="34"/>
        <v>1.5972222222222221E-2</v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250</v>
      </c>
      <c r="F153" s="27">
        <v>4</v>
      </c>
      <c r="G153" s="34">
        <f t="shared" si="33"/>
        <v>16.8</v>
      </c>
      <c r="H153" s="33" t="s">
        <v>20</v>
      </c>
      <c r="I153" s="33" t="s">
        <v>47</v>
      </c>
      <c r="J153" s="33" t="s">
        <v>36</v>
      </c>
      <c r="K153" s="29">
        <v>4.6527777777777779E-2</v>
      </c>
      <c r="L153" s="29">
        <v>7.4305555555555555E-2</v>
      </c>
      <c r="M153" s="35">
        <f t="shared" ca="1" si="34"/>
        <v>2.7777777777777776E-2</v>
      </c>
      <c r="N153" s="27" t="s">
        <v>264</v>
      </c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250</v>
      </c>
      <c r="F154" s="27">
        <v>10</v>
      </c>
      <c r="G154" s="28">
        <f t="shared" si="33"/>
        <v>42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250</v>
      </c>
      <c r="F155" s="27">
        <v>0</v>
      </c>
      <c r="G155" s="34">
        <f t="shared" si="33"/>
        <v>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250</v>
      </c>
      <c r="F156" s="27">
        <v>4</v>
      </c>
      <c r="G156" s="28">
        <f t="shared" si="33"/>
        <v>16.8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250</v>
      </c>
      <c r="F157" s="27">
        <v>1</v>
      </c>
      <c r="G157" s="34">
        <f t="shared" si="33"/>
        <v>4.2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250</v>
      </c>
      <c r="F158" s="27">
        <v>6</v>
      </c>
      <c r="G158" s="28">
        <f t="shared" si="33"/>
        <v>25.200000000000003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250</v>
      </c>
      <c r="F159" s="27">
        <v>4</v>
      </c>
      <c r="G159" s="34">
        <f t="shared" si="33"/>
        <v>16.8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250</v>
      </c>
      <c r="F160" s="27">
        <v>4</v>
      </c>
      <c r="G160" s="28">
        <f t="shared" si="33"/>
        <v>16.8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250</v>
      </c>
      <c r="F161" s="27">
        <v>2</v>
      </c>
      <c r="G161" s="34">
        <f t="shared" si="33"/>
        <v>8.4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4" t="s">
        <v>238</v>
      </c>
      <c r="B162" s="105"/>
      <c r="C162" s="105"/>
      <c r="D162" s="105"/>
      <c r="E162" s="106">
        <f>SUM(E150:E161)</f>
        <v>0</v>
      </c>
      <c r="F162" s="36">
        <f>SUM(F150:F161)</f>
        <v>43</v>
      </c>
      <c r="G162" s="36">
        <f>SUM(G150:G161)</f>
        <v>180.60000000000005</v>
      </c>
      <c r="H162" s="37"/>
      <c r="I162" s="37"/>
      <c r="J162" s="37"/>
      <c r="K162" s="37"/>
      <c r="L162" s="37"/>
      <c r="M162" s="38">
        <f ca="1">IFERROR(SUM(M150:M161),"")</f>
        <v>0.11180555555555553</v>
      </c>
      <c r="N162" s="36" t="s">
        <v>236</v>
      </c>
      <c r="O162" s="39">
        <v>169760</v>
      </c>
    </row>
    <row r="163" spans="1:15" ht="18" customHeight="1">
      <c r="A163" s="107" t="s">
        <v>239</v>
      </c>
      <c r="B163" s="108"/>
      <c r="C163" s="108"/>
      <c r="D163" s="108"/>
      <c r="E163" s="109">
        <f>E149+E162</f>
        <v>0</v>
      </c>
      <c r="F163" s="40">
        <f>F149+F162</f>
        <v>76</v>
      </c>
      <c r="G163" s="40">
        <f>G149+G162</f>
        <v>319.20000000000005</v>
      </c>
      <c r="H163" s="41"/>
      <c r="I163" s="41"/>
      <c r="J163" s="41"/>
      <c r="K163" s="41"/>
      <c r="L163" s="41"/>
      <c r="M163" s="42">
        <f ca="1">IFERROR(M149+M162,"")</f>
        <v>0.26527777777777772</v>
      </c>
      <c r="N163" s="40" t="s">
        <v>240</v>
      </c>
      <c r="O163" s="43">
        <f>IFERROR(O149+O162,"")</f>
        <v>308650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250</v>
      </c>
      <c r="F164" s="27">
        <v>4</v>
      </c>
      <c r="G164" s="28">
        <f t="shared" ref="G164:G175" si="36">IF(F164="","",IF(E164="PC 17",F164*4.2,IF(E164="PC 19",F164*5,IF(E164="CB",F164*24,""))))</f>
        <v>16.8</v>
      </c>
      <c r="H164" s="26" t="s">
        <v>20</v>
      </c>
      <c r="I164" s="26" t="s">
        <v>47</v>
      </c>
      <c r="J164" s="26" t="s">
        <v>51</v>
      </c>
      <c r="K164" s="29">
        <v>0.32222222222222224</v>
      </c>
      <c r="L164" s="29">
        <v>0.32569444444444445</v>
      </c>
      <c r="M164" s="30">
        <f t="shared" ref="M164:M175" ca="1" si="37">IFERROR(IF(K164="","",IF(L164="",MOD(NOW()-K164,1),IF(L164&gt;=K164,L164-K164,L164+1-K164))),"")</f>
        <v>3.4722222222222099E-3</v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59" t="s">
        <v>250</v>
      </c>
      <c r="F165" s="27">
        <v>14</v>
      </c>
      <c r="G165" s="34">
        <f t="shared" si="36"/>
        <v>58.800000000000004</v>
      </c>
      <c r="H165" s="33" t="s">
        <v>20</v>
      </c>
      <c r="I165" s="33" t="s">
        <v>47</v>
      </c>
      <c r="J165" s="33" t="s">
        <v>51</v>
      </c>
      <c r="K165" s="29">
        <v>0.36666666666666664</v>
      </c>
      <c r="L165" s="29">
        <v>0.37152777777777779</v>
      </c>
      <c r="M165" s="35">
        <f t="shared" ca="1" si="37"/>
        <v>4.8611111111111494E-3</v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59" t="s">
        <v>250</v>
      </c>
      <c r="F166" s="27">
        <v>7</v>
      </c>
      <c r="G166" s="28">
        <f t="shared" si="36"/>
        <v>29.400000000000002</v>
      </c>
      <c r="H166" s="26" t="s">
        <v>20</v>
      </c>
      <c r="I166" s="26" t="s">
        <v>47</v>
      </c>
      <c r="J166" s="26" t="s">
        <v>51</v>
      </c>
      <c r="K166" s="29">
        <v>0.42430555555555555</v>
      </c>
      <c r="L166" s="29">
        <v>0.44930555555555557</v>
      </c>
      <c r="M166" s="78">
        <f ca="1">IFERROR(IF(K166="","",IF(L166="",MOD(NOW()-K166,1),IF(L166&gt;=K166,L166-K166,L166+1-K166))),"")</f>
        <v>2.5000000000000022E-2</v>
      </c>
      <c r="N166" s="27" t="s">
        <v>290</v>
      </c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59" t="s">
        <v>250</v>
      </c>
      <c r="F167" s="27">
        <v>0</v>
      </c>
      <c r="G167" s="34">
        <f t="shared" si="36"/>
        <v>0</v>
      </c>
      <c r="H167" s="33" t="s">
        <v>20</v>
      </c>
      <c r="I167" s="33" t="s">
        <v>47</v>
      </c>
      <c r="J167" s="33" t="s">
        <v>51</v>
      </c>
      <c r="K167" s="29">
        <v>0.45416666666666666</v>
      </c>
      <c r="L167" s="29">
        <v>0.47499999999999998</v>
      </c>
      <c r="M167" s="35">
        <f t="shared" ca="1" si="37"/>
        <v>2.0833333333333315E-2</v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59" t="s">
        <v>250</v>
      </c>
      <c r="F168" s="27">
        <v>8</v>
      </c>
      <c r="G168" s="28">
        <f t="shared" si="36"/>
        <v>33.6</v>
      </c>
      <c r="H168" s="26" t="s">
        <v>20</v>
      </c>
      <c r="I168" s="26" t="s">
        <v>47</v>
      </c>
      <c r="J168" s="26" t="s">
        <v>51</v>
      </c>
      <c r="K168" s="29">
        <v>0.48055555555555557</v>
      </c>
      <c r="L168" s="29">
        <v>0.48402777777777778</v>
      </c>
      <c r="M168" s="30">
        <f t="shared" ca="1" si="37"/>
        <v>3.4722222222222099E-3</v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59" t="s">
        <v>250</v>
      </c>
      <c r="F169" s="27">
        <v>7</v>
      </c>
      <c r="G169" s="34">
        <f t="shared" si="36"/>
        <v>29.400000000000002</v>
      </c>
      <c r="H169" s="33" t="s">
        <v>20</v>
      </c>
      <c r="I169" s="33" t="s">
        <v>47</v>
      </c>
      <c r="J169" s="33" t="s">
        <v>51</v>
      </c>
      <c r="K169" s="29">
        <v>0.48680555555555555</v>
      </c>
      <c r="L169" s="29">
        <v>0.48958333333333331</v>
      </c>
      <c r="M169" s="35">
        <f t="shared" ca="1" si="37"/>
        <v>2.7777777777777679E-3</v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59" t="s">
        <v>250</v>
      </c>
      <c r="F170" s="27">
        <v>5</v>
      </c>
      <c r="G170" s="28">
        <f t="shared" si="36"/>
        <v>21</v>
      </c>
      <c r="H170" s="26" t="s">
        <v>20</v>
      </c>
      <c r="I170" s="26" t="s">
        <v>47</v>
      </c>
      <c r="J170" s="26" t="s">
        <v>51</v>
      </c>
      <c r="K170" s="29">
        <v>0.51041666666666663</v>
      </c>
      <c r="L170" s="29">
        <v>0.51666666666666672</v>
      </c>
      <c r="M170" s="30">
        <f t="shared" ca="1" si="37"/>
        <v>6.2500000000000888E-3</v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59" t="s">
        <v>250</v>
      </c>
      <c r="F171" s="27">
        <v>5</v>
      </c>
      <c r="G171" s="34">
        <f t="shared" si="36"/>
        <v>21</v>
      </c>
      <c r="H171" s="33" t="s">
        <v>20</v>
      </c>
      <c r="I171" s="33" t="s">
        <v>47</v>
      </c>
      <c r="J171" s="33" t="s">
        <v>51</v>
      </c>
      <c r="K171" s="29">
        <v>0.59027777777777779</v>
      </c>
      <c r="L171" s="29">
        <v>0.59583333333333333</v>
      </c>
      <c r="M171" s="35">
        <f t="shared" ca="1" si="37"/>
        <v>5.5555555555555358E-3</v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59" t="s">
        <v>250</v>
      </c>
      <c r="F172" s="27">
        <v>4</v>
      </c>
      <c r="G172" s="28">
        <f t="shared" si="36"/>
        <v>16.8</v>
      </c>
      <c r="H172" s="26" t="s">
        <v>20</v>
      </c>
      <c r="I172" s="26" t="s">
        <v>157</v>
      </c>
      <c r="J172" s="26" t="s">
        <v>74</v>
      </c>
      <c r="K172" s="29">
        <v>0.63194444444444442</v>
      </c>
      <c r="L172" s="29">
        <v>0.63611111111111107</v>
      </c>
      <c r="M172" s="30">
        <f t="shared" ca="1" si="37"/>
        <v>4.1666666666666519E-3</v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59" t="s">
        <v>250</v>
      </c>
      <c r="F173" s="27">
        <v>3</v>
      </c>
      <c r="G173" s="34">
        <f t="shared" si="36"/>
        <v>12.600000000000001</v>
      </c>
      <c r="H173" s="33" t="s">
        <v>20</v>
      </c>
      <c r="I173" s="33" t="s">
        <v>157</v>
      </c>
      <c r="J173" s="33" t="s">
        <v>74</v>
      </c>
      <c r="K173" s="29">
        <v>0.72222222222222221</v>
      </c>
      <c r="L173" s="29">
        <v>0.73055555555555551</v>
      </c>
      <c r="M173" s="35">
        <f t="shared" ca="1" si="37"/>
        <v>8.3333333333333037E-3</v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59" t="s">
        <v>250</v>
      </c>
      <c r="F174" s="27">
        <v>3</v>
      </c>
      <c r="G174" s="28">
        <f t="shared" si="36"/>
        <v>12.600000000000001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59" t="s">
        <v>250</v>
      </c>
      <c r="F175" s="27">
        <v>5</v>
      </c>
      <c r="G175" s="34">
        <f t="shared" si="36"/>
        <v>21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4" t="s">
        <v>235</v>
      </c>
      <c r="B176" s="105"/>
      <c r="C176" s="105"/>
      <c r="D176" s="105"/>
      <c r="E176" s="106">
        <f>SUM(E164:E175)</f>
        <v>0</v>
      </c>
      <c r="F176" s="36">
        <f>SUM(F164:F175)</f>
        <v>65</v>
      </c>
      <c r="G176" s="36">
        <f>SUM(G164:G175)</f>
        <v>273</v>
      </c>
      <c r="H176" s="37"/>
      <c r="I176" s="37"/>
      <c r="J176" s="37"/>
      <c r="K176" s="37"/>
      <c r="L176" s="37"/>
      <c r="M176" s="38">
        <f ca="1">IFERROR(SUM(M164:M175),"")</f>
        <v>8.4722222222222254E-2</v>
      </c>
      <c r="N176" s="36" t="s">
        <v>236</v>
      </c>
      <c r="O176" s="39">
        <v>271350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250</v>
      </c>
      <c r="F177" s="27">
        <v>2</v>
      </c>
      <c r="G177" s="34">
        <f t="shared" ref="G177:G188" si="39">IF(F177="","",IF(E177="PC 17",F177*4.2,IF(E177="PC 19",F177*5,IF(E177="CB",F177*24,""))))</f>
        <v>8.4</v>
      </c>
      <c r="H177" s="33" t="s">
        <v>19</v>
      </c>
      <c r="I177" s="33" t="s">
        <v>47</v>
      </c>
      <c r="J177" s="33" t="s">
        <v>35</v>
      </c>
      <c r="K177" s="29">
        <v>0.8125</v>
      </c>
      <c r="L177" s="29">
        <v>0.90833333333333333</v>
      </c>
      <c r="M177" s="35">
        <f t="shared" ref="M177:M188" ca="1" si="40">IFERROR(IF(K177="","",IF(L177="",MOD(NOW()-K177,1),IF(L177&gt;=K177,L177-K177,L177+1-K177))),"")</f>
        <v>9.5833333333333326E-2</v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62" t="s">
        <v>250</v>
      </c>
      <c r="F178" s="27">
        <v>0</v>
      </c>
      <c r="G178" s="28">
        <f t="shared" si="39"/>
        <v>0</v>
      </c>
      <c r="H178" s="26" t="s">
        <v>20</v>
      </c>
      <c r="I178" s="26" t="s">
        <v>149</v>
      </c>
      <c r="J178" s="26" t="s">
        <v>134</v>
      </c>
      <c r="K178" s="29">
        <v>0.91666666666666663</v>
      </c>
      <c r="L178" s="29">
        <v>0.95416666666666672</v>
      </c>
      <c r="M178" s="30">
        <f t="shared" ca="1" si="40"/>
        <v>3.7500000000000089E-2</v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250</v>
      </c>
      <c r="F179" s="27">
        <v>0</v>
      </c>
      <c r="G179" s="34">
        <f t="shared" si="39"/>
        <v>0</v>
      </c>
      <c r="H179" s="33" t="s">
        <v>20</v>
      </c>
      <c r="I179" s="33" t="s">
        <v>47</v>
      </c>
      <c r="J179" s="33" t="s">
        <v>56</v>
      </c>
      <c r="K179" s="29">
        <v>0.95833333333333337</v>
      </c>
      <c r="L179" s="29">
        <v>0.96805555555555556</v>
      </c>
      <c r="M179" s="35">
        <f t="shared" ca="1" si="40"/>
        <v>9.7222222222221877E-3</v>
      </c>
      <c r="N179" s="27" t="s">
        <v>291</v>
      </c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62" t="s">
        <v>250</v>
      </c>
      <c r="F180" s="27">
        <v>0</v>
      </c>
      <c r="G180" s="28">
        <f t="shared" si="39"/>
        <v>0</v>
      </c>
      <c r="H180" s="26" t="s">
        <v>20</v>
      </c>
      <c r="I180" s="26" t="s">
        <v>123</v>
      </c>
      <c r="J180" s="26" t="s">
        <v>114</v>
      </c>
      <c r="K180" s="29">
        <v>6.9444444444444441E-3</v>
      </c>
      <c r="L180" s="29">
        <v>2.5694444444444443E-2</v>
      </c>
      <c r="M180" s="30">
        <f t="shared" ca="1" si="40"/>
        <v>1.8749999999999999E-2</v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250</v>
      </c>
      <c r="F181" s="27">
        <v>5</v>
      </c>
      <c r="G181" s="34">
        <f>IF(F181="","",IF(E181="PC 17",F181*4.2,IF(E181="PC 19",F181*5,IF(E181="CB",F181*24,""))))</f>
        <v>21</v>
      </c>
      <c r="H181" s="33" t="s">
        <v>20</v>
      </c>
      <c r="I181" s="33" t="s">
        <v>149</v>
      </c>
      <c r="J181" s="33" t="s">
        <v>134</v>
      </c>
      <c r="K181" s="29">
        <v>4.5138888888888888E-2</v>
      </c>
      <c r="L181" s="29">
        <v>7.013888888888889E-2</v>
      </c>
      <c r="M181" s="35">
        <f t="shared" ca="1" si="40"/>
        <v>2.5000000000000001E-2</v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62" t="s">
        <v>250</v>
      </c>
      <c r="F182" s="27">
        <v>2</v>
      </c>
      <c r="G182" s="28">
        <f t="shared" si="39"/>
        <v>8.4</v>
      </c>
      <c r="H182" s="26" t="s">
        <v>20</v>
      </c>
      <c r="I182" s="26"/>
      <c r="J182" s="26" t="s">
        <v>74</v>
      </c>
      <c r="K182" s="29">
        <v>8.3333333333333329E-2</v>
      </c>
      <c r="L182" s="29">
        <v>0.15486111111111112</v>
      </c>
      <c r="M182" s="30">
        <f t="shared" ca="1" si="40"/>
        <v>7.1527777777777787E-2</v>
      </c>
      <c r="N182" s="27" t="s">
        <v>276</v>
      </c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250</v>
      </c>
      <c r="F183" s="27">
        <v>1</v>
      </c>
      <c r="G183" s="34">
        <f t="shared" si="39"/>
        <v>4.2</v>
      </c>
      <c r="H183" s="33" t="s">
        <v>20</v>
      </c>
      <c r="I183" s="33" t="s">
        <v>47</v>
      </c>
      <c r="J183" s="33" t="s">
        <v>51</v>
      </c>
      <c r="K183" s="29">
        <v>0.16666666666666666</v>
      </c>
      <c r="L183" s="29">
        <v>0.1701388888888889</v>
      </c>
      <c r="M183" s="35">
        <f t="shared" ca="1" si="40"/>
        <v>3.4722222222222376E-3</v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62" t="s">
        <v>250</v>
      </c>
      <c r="F184" s="27">
        <v>0</v>
      </c>
      <c r="G184" s="28">
        <f t="shared" si="39"/>
        <v>0</v>
      </c>
      <c r="H184" s="26" t="s">
        <v>20</v>
      </c>
      <c r="I184" s="26"/>
      <c r="J184" s="26" t="s">
        <v>74</v>
      </c>
      <c r="K184" s="29">
        <v>0.18958333333333333</v>
      </c>
      <c r="L184" s="29">
        <v>0.1986111111111111</v>
      </c>
      <c r="M184" s="30">
        <f t="shared" ca="1" si="40"/>
        <v>9.0277777777777735E-3</v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250</v>
      </c>
      <c r="F185" s="27">
        <v>2</v>
      </c>
      <c r="G185" s="34">
        <f t="shared" si="39"/>
        <v>8.4</v>
      </c>
      <c r="H185" s="33" t="s">
        <v>20</v>
      </c>
      <c r="I185" s="33"/>
      <c r="J185" s="33" t="s">
        <v>74</v>
      </c>
      <c r="K185" s="29">
        <v>0.23958333333333334</v>
      </c>
      <c r="L185" s="29">
        <v>0.28611111111111109</v>
      </c>
      <c r="M185" s="35">
        <f t="shared" ca="1" si="40"/>
        <v>4.6527777777777751E-2</v>
      </c>
      <c r="N185" s="27" t="s">
        <v>276</v>
      </c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62" t="s">
        <v>250</v>
      </c>
      <c r="F186" s="27">
        <v>3</v>
      </c>
      <c r="G186" s="28">
        <f t="shared" si="39"/>
        <v>12.600000000000001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250</v>
      </c>
      <c r="F187" s="27">
        <v>4</v>
      </c>
      <c r="G187" s="34">
        <f t="shared" si="39"/>
        <v>16.8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62" t="s">
        <v>250</v>
      </c>
      <c r="F188" s="27">
        <v>0</v>
      </c>
      <c r="G188" s="28">
        <f t="shared" si="39"/>
        <v>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4" t="s">
        <v>238</v>
      </c>
      <c r="B189" s="105"/>
      <c r="C189" s="105"/>
      <c r="D189" s="105"/>
      <c r="E189" s="106">
        <f>SUM(E177:E188)</f>
        <v>0</v>
      </c>
      <c r="F189" s="36">
        <f>SUM(F177:F188)</f>
        <v>19</v>
      </c>
      <c r="G189" s="36">
        <f>SUM(G177:G188)</f>
        <v>79.8</v>
      </c>
      <c r="H189" s="37"/>
      <c r="I189" s="37"/>
      <c r="J189" s="37"/>
      <c r="K189" s="37"/>
      <c r="L189" s="37"/>
      <c r="M189" s="38">
        <f ca="1">IFERROR(SUM(M177:M188),"")</f>
        <v>0.31736111111111109</v>
      </c>
      <c r="N189" s="36" t="s">
        <v>236</v>
      </c>
      <c r="O189" s="39">
        <v>72220</v>
      </c>
    </row>
    <row r="190" spans="1:15" ht="18" customHeight="1">
      <c r="A190" s="107" t="s">
        <v>239</v>
      </c>
      <c r="B190" s="108"/>
      <c r="C190" s="108"/>
      <c r="D190" s="108"/>
      <c r="E190" s="109">
        <f>E176+E189</f>
        <v>0</v>
      </c>
      <c r="F190" s="40">
        <f>F176+F189</f>
        <v>84</v>
      </c>
      <c r="G190" s="40">
        <f>G176+G189</f>
        <v>352.8</v>
      </c>
      <c r="H190" s="41"/>
      <c r="I190" s="41"/>
      <c r="J190" s="41"/>
      <c r="K190" s="41"/>
      <c r="L190" s="41"/>
      <c r="M190" s="42">
        <f ca="1">IFERROR(M176+M189,"")</f>
        <v>0.40208333333333335</v>
      </c>
      <c r="N190" s="40" t="s">
        <v>240</v>
      </c>
      <c r="O190" s="43">
        <f>IFERROR(O176+O189,"")</f>
        <v>343570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250</v>
      </c>
      <c r="F191" s="27">
        <v>0</v>
      </c>
      <c r="G191" s="34">
        <f t="shared" ref="G191:G202" si="42">IF(F191="","",IF(E191="PC 17",F191*4.2,IF(E191="PC 19",F191*5,IF(E191="CB",F191*24,""))))</f>
        <v>0</v>
      </c>
      <c r="H191" s="33" t="s">
        <v>20</v>
      </c>
      <c r="I191" s="33" t="s">
        <v>149</v>
      </c>
      <c r="J191" s="33" t="s">
        <v>182</v>
      </c>
      <c r="K191" s="29">
        <v>0.29166666666666669</v>
      </c>
      <c r="L191" s="29">
        <v>0.33333333333333331</v>
      </c>
      <c r="M191" s="35">
        <f t="shared" ref="M191:M202" ca="1" si="43">IFERROR(IF(K191="","",IF(L191="",MOD(NOW()-K191,1),IF(L191&gt;=K191,L191-K191,L191+1-K191))),"")</f>
        <v>4.166666666666663E-2</v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250</v>
      </c>
      <c r="F192" s="27">
        <v>2</v>
      </c>
      <c r="G192" s="28">
        <f t="shared" si="42"/>
        <v>8.4</v>
      </c>
      <c r="H192" s="26" t="s">
        <v>20</v>
      </c>
      <c r="I192" s="26" t="s">
        <v>47</v>
      </c>
      <c r="J192" s="33" t="s">
        <v>36</v>
      </c>
      <c r="K192" s="29">
        <v>0.38472222222222224</v>
      </c>
      <c r="L192" s="29">
        <v>0.40972222222222221</v>
      </c>
      <c r="M192" s="30">
        <f t="shared" ca="1" si="43"/>
        <v>2.4999999999999967E-2</v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250</v>
      </c>
      <c r="F193" s="27">
        <v>0</v>
      </c>
      <c r="G193" s="34">
        <f t="shared" si="42"/>
        <v>0</v>
      </c>
      <c r="H193" s="33" t="s">
        <v>19</v>
      </c>
      <c r="I193" s="33" t="s">
        <v>47</v>
      </c>
      <c r="J193" s="33" t="s">
        <v>27</v>
      </c>
      <c r="K193" s="29">
        <v>0.43055555555555558</v>
      </c>
      <c r="L193" s="29">
        <v>0.44583333333333336</v>
      </c>
      <c r="M193" s="35">
        <f t="shared" ca="1" si="43"/>
        <v>1.5277777777777779E-2</v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250</v>
      </c>
      <c r="F194" s="27">
        <v>2</v>
      </c>
      <c r="G194" s="28">
        <f t="shared" si="42"/>
        <v>8.4</v>
      </c>
      <c r="H194" s="26" t="s">
        <v>20</v>
      </c>
      <c r="I194" s="26" t="s">
        <v>149</v>
      </c>
      <c r="J194" s="26" t="s">
        <v>182</v>
      </c>
      <c r="K194" s="29">
        <v>0.47499999999999998</v>
      </c>
      <c r="L194" s="29">
        <v>0.4861111111111111</v>
      </c>
      <c r="M194" s="30">
        <f t="shared" ca="1" si="43"/>
        <v>1.1111111111111127E-2</v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250</v>
      </c>
      <c r="F195" s="27">
        <v>0</v>
      </c>
      <c r="G195" s="34">
        <f t="shared" si="42"/>
        <v>0</v>
      </c>
      <c r="H195" s="33" t="s">
        <v>20</v>
      </c>
      <c r="I195" s="33" t="s">
        <v>149</v>
      </c>
      <c r="J195" s="26" t="s">
        <v>182</v>
      </c>
      <c r="K195" s="29">
        <v>0.50694444444444442</v>
      </c>
      <c r="L195" s="29">
        <v>0.53333333333333333</v>
      </c>
      <c r="M195" s="35">
        <f t="shared" ca="1" si="43"/>
        <v>2.6388888888888906E-2</v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250</v>
      </c>
      <c r="F196" s="27">
        <v>0</v>
      </c>
      <c r="G196" s="28">
        <f t="shared" si="42"/>
        <v>0</v>
      </c>
      <c r="H196" s="26" t="s">
        <v>19</v>
      </c>
      <c r="I196" s="26" t="s">
        <v>47</v>
      </c>
      <c r="J196" s="26" t="s">
        <v>78</v>
      </c>
      <c r="K196" s="29">
        <v>0.58750000000000002</v>
      </c>
      <c r="L196" s="29">
        <v>0.59375</v>
      </c>
      <c r="M196" s="30">
        <f t="shared" ca="1" si="43"/>
        <v>6.2499999999999778E-3</v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250</v>
      </c>
      <c r="F197" s="27">
        <v>2</v>
      </c>
      <c r="G197" s="34">
        <f t="shared" si="42"/>
        <v>8.4</v>
      </c>
      <c r="H197" s="33" t="s">
        <v>20</v>
      </c>
      <c r="I197" s="33" t="s">
        <v>47</v>
      </c>
      <c r="J197" s="33" t="s">
        <v>51</v>
      </c>
      <c r="K197" s="29">
        <v>0.6069444444444444</v>
      </c>
      <c r="L197" s="29">
        <v>0.61319444444444449</v>
      </c>
      <c r="M197" s="35">
        <f t="shared" ca="1" si="43"/>
        <v>6.2500000000000888E-3</v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250</v>
      </c>
      <c r="F198" s="27">
        <v>3</v>
      </c>
      <c r="G198" s="28">
        <f t="shared" si="42"/>
        <v>12.600000000000001</v>
      </c>
      <c r="H198" s="26" t="s">
        <v>19</v>
      </c>
      <c r="I198" s="26" t="s">
        <v>47</v>
      </c>
      <c r="J198" s="33" t="s">
        <v>78</v>
      </c>
      <c r="K198" s="29">
        <v>0.625</v>
      </c>
      <c r="L198" s="29">
        <v>0.63194444444444442</v>
      </c>
      <c r="M198" s="30">
        <f t="shared" ca="1" si="43"/>
        <v>6.9444444444444198E-3</v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250</v>
      </c>
      <c r="F199" s="27">
        <v>0</v>
      </c>
      <c r="G199" s="34">
        <f t="shared" si="42"/>
        <v>0</v>
      </c>
      <c r="H199" s="33" t="s">
        <v>19</v>
      </c>
      <c r="I199" s="33" t="s">
        <v>47</v>
      </c>
      <c r="J199" s="33" t="s">
        <v>78</v>
      </c>
      <c r="K199" s="29">
        <v>0.68402777777777779</v>
      </c>
      <c r="L199" s="29">
        <v>0.69097222222222221</v>
      </c>
      <c r="M199" s="35">
        <f t="shared" ca="1" si="43"/>
        <v>6.9444444444444198E-3</v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250</v>
      </c>
      <c r="F200" s="27">
        <v>4</v>
      </c>
      <c r="G200" s="28">
        <f t="shared" si="42"/>
        <v>16.8</v>
      </c>
      <c r="H200" s="26" t="s">
        <v>20</v>
      </c>
      <c r="I200" s="26" t="s">
        <v>123</v>
      </c>
      <c r="J200" s="26" t="s">
        <v>114</v>
      </c>
      <c r="K200" s="29">
        <v>0.71666666666666667</v>
      </c>
      <c r="L200" s="29">
        <v>0.72499999999999998</v>
      </c>
      <c r="M200" s="30">
        <f t="shared" ca="1" si="43"/>
        <v>8.3333333333333037E-3</v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250</v>
      </c>
      <c r="F201" s="27">
        <v>0</v>
      </c>
      <c r="G201" s="34">
        <f t="shared" si="42"/>
        <v>0</v>
      </c>
      <c r="H201" s="33" t="s">
        <v>20</v>
      </c>
      <c r="I201" s="33" t="s">
        <v>123</v>
      </c>
      <c r="J201" s="33" t="s">
        <v>114</v>
      </c>
      <c r="K201" s="29">
        <v>0.7368055555555556</v>
      </c>
      <c r="L201" s="29">
        <v>0.74444444444444446</v>
      </c>
      <c r="M201" s="35">
        <f t="shared" ca="1" si="43"/>
        <v>7.6388888888888618E-3</v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250</v>
      </c>
      <c r="F202" s="27">
        <v>2</v>
      </c>
      <c r="G202" s="28">
        <f t="shared" si="42"/>
        <v>8.4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4" t="s">
        <v>235</v>
      </c>
      <c r="B203" s="105"/>
      <c r="C203" s="105"/>
      <c r="D203" s="105"/>
      <c r="E203" s="106">
        <f>SUM(E191:E202)</f>
        <v>0</v>
      </c>
      <c r="F203" s="36">
        <f>SUM(F191:F202)</f>
        <v>15</v>
      </c>
      <c r="G203" s="36">
        <f>SUM(G191:G202)</f>
        <v>63.000000000000007</v>
      </c>
      <c r="H203" s="37"/>
      <c r="I203" s="37"/>
      <c r="J203" s="37"/>
      <c r="K203" s="37"/>
      <c r="L203" s="37"/>
      <c r="M203" s="38">
        <f ca="1">IFERROR(SUM(M191:M202),"")</f>
        <v>0.16180555555555548</v>
      </c>
      <c r="N203" s="36" t="s">
        <v>236</v>
      </c>
      <c r="O203" s="39">
        <v>92510</v>
      </c>
    </row>
    <row r="204" spans="1:15" ht="15" customHeight="1">
      <c r="A204" s="68">
        <v>46242</v>
      </c>
      <c r="B204" s="25">
        <v>0.83333333333333304</v>
      </c>
      <c r="C204" s="26" t="s">
        <v>45</v>
      </c>
      <c r="D204" s="59" t="s">
        <v>30</v>
      </c>
      <c r="E204" s="59" t="s">
        <v>250</v>
      </c>
      <c r="F204" s="27">
        <v>2</v>
      </c>
      <c r="G204" s="28">
        <f t="shared" ref="G204:G215" si="45">IF(F204="","",IF(E204="PC 17",F204*4.2,IF(E204="PC 19",F204*5,IF(E204="CB",F204*24,""))))</f>
        <v>8.4</v>
      </c>
      <c r="H204" s="26" t="s">
        <v>20</v>
      </c>
      <c r="I204" s="26" t="s">
        <v>47</v>
      </c>
      <c r="J204" s="26" t="s">
        <v>51</v>
      </c>
      <c r="K204" s="29">
        <v>0.79166666666666663</v>
      </c>
      <c r="L204" s="29">
        <v>0.79791666666666672</v>
      </c>
      <c r="M204" s="30">
        <f t="shared" ref="M204:M215" ca="1" si="46">IFERROR(IF(K204="","",IF(L204="",MOD(NOW()-K204,1),IF(L204&gt;=K204,L204-K204,L204+1-K204))),"")</f>
        <v>6.2500000000000888E-3</v>
      </c>
      <c r="N204" s="27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 t="s">
        <v>45</v>
      </c>
      <c r="D205" s="59" t="s">
        <v>30</v>
      </c>
      <c r="E205" s="59" t="s">
        <v>250</v>
      </c>
      <c r="F205" s="27">
        <v>6</v>
      </c>
      <c r="G205" s="34">
        <f t="shared" si="45"/>
        <v>25.200000000000003</v>
      </c>
      <c r="H205" s="33" t="s">
        <v>20</v>
      </c>
      <c r="I205" s="33" t="s">
        <v>47</v>
      </c>
      <c r="J205" s="33" t="s">
        <v>56</v>
      </c>
      <c r="K205" s="29">
        <v>0.80833333333333335</v>
      </c>
      <c r="L205" s="29">
        <v>0.85763888888888884</v>
      </c>
      <c r="M205" s="35">
        <f t="shared" ca="1" si="46"/>
        <v>4.9305555555555491E-2</v>
      </c>
      <c r="N205" s="27" t="s">
        <v>292</v>
      </c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 t="s">
        <v>45</v>
      </c>
      <c r="D206" s="59" t="s">
        <v>30</v>
      </c>
      <c r="E206" s="59" t="s">
        <v>250</v>
      </c>
      <c r="F206" s="27">
        <v>1</v>
      </c>
      <c r="G206" s="28">
        <f t="shared" si="45"/>
        <v>4.2</v>
      </c>
      <c r="H206" s="26" t="s">
        <v>20</v>
      </c>
      <c r="I206" s="26"/>
      <c r="J206" s="26" t="s">
        <v>74</v>
      </c>
      <c r="K206" s="29">
        <v>0.88680555555555551</v>
      </c>
      <c r="L206" s="29">
        <v>0.89930555555555558</v>
      </c>
      <c r="M206" s="30">
        <f t="shared" ca="1" si="46"/>
        <v>1.2500000000000067E-2</v>
      </c>
      <c r="N206" s="27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 t="s">
        <v>45</v>
      </c>
      <c r="D207" s="59" t="s">
        <v>30</v>
      </c>
      <c r="E207" s="59" t="s">
        <v>250</v>
      </c>
      <c r="F207" s="27">
        <v>5</v>
      </c>
      <c r="G207" s="34">
        <f t="shared" si="45"/>
        <v>21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 t="s">
        <v>45</v>
      </c>
      <c r="D208" s="59" t="s">
        <v>30</v>
      </c>
      <c r="E208" s="59" t="s">
        <v>250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 t="s">
        <v>45</v>
      </c>
      <c r="D209" s="59" t="s">
        <v>30</v>
      </c>
      <c r="E209" s="59" t="s">
        <v>250</v>
      </c>
      <c r="F209" s="27">
        <v>7</v>
      </c>
      <c r="G209" s="34">
        <f t="shared" si="45"/>
        <v>29.400000000000002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 t="s">
        <v>45</v>
      </c>
      <c r="D210" s="59" t="s">
        <v>30</v>
      </c>
      <c r="E210" s="59" t="s">
        <v>250</v>
      </c>
      <c r="F210" s="27">
        <v>4</v>
      </c>
      <c r="G210" s="28">
        <f t="shared" si="45"/>
        <v>16.8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 t="s">
        <v>45</v>
      </c>
      <c r="D211" s="59" t="s">
        <v>30</v>
      </c>
      <c r="E211" s="59" t="s">
        <v>250</v>
      </c>
      <c r="F211" s="27">
        <v>5</v>
      </c>
      <c r="G211" s="34">
        <f t="shared" si="45"/>
        <v>21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 t="s">
        <v>45</v>
      </c>
      <c r="D212" s="59" t="s">
        <v>30</v>
      </c>
      <c r="E212" s="59" t="s">
        <v>250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 t="s">
        <v>45</v>
      </c>
      <c r="D213" s="59" t="s">
        <v>30</v>
      </c>
      <c r="E213" s="59" t="s">
        <v>250</v>
      </c>
      <c r="F213" s="27">
        <v>3</v>
      </c>
      <c r="G213" s="34">
        <f t="shared" si="45"/>
        <v>12.600000000000001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46242</v>
      </c>
      <c r="B214" s="25">
        <f t="shared" si="47"/>
        <v>1.25</v>
      </c>
      <c r="C214" s="26" t="s">
        <v>45</v>
      </c>
      <c r="D214" s="59" t="s">
        <v>30</v>
      </c>
      <c r="E214" s="59" t="s">
        <v>250</v>
      </c>
      <c r="F214" s="27">
        <v>3</v>
      </c>
      <c r="G214" s="28">
        <f t="shared" si="45"/>
        <v>12.600000000000001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 t="s">
        <v>45</v>
      </c>
      <c r="D215" s="59" t="s">
        <v>30</v>
      </c>
      <c r="E215" s="59" t="s">
        <v>250</v>
      </c>
      <c r="F215" s="27">
        <v>3</v>
      </c>
      <c r="G215" s="34">
        <f t="shared" si="45"/>
        <v>12.600000000000001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104" t="s">
        <v>238</v>
      </c>
      <c r="B216" s="105"/>
      <c r="C216" s="105"/>
      <c r="D216" s="105"/>
      <c r="E216" s="106">
        <f>SUM(E204:E215)</f>
        <v>0</v>
      </c>
      <c r="F216" s="36">
        <f>SUM(F204:F215)</f>
        <v>46</v>
      </c>
      <c r="G216" s="36">
        <f>SUM(G204:G215)</f>
        <v>193.2</v>
      </c>
      <c r="H216" s="37"/>
      <c r="I216" s="37"/>
      <c r="J216" s="37"/>
      <c r="K216" s="37"/>
      <c r="L216" s="37"/>
      <c r="M216" s="38">
        <f ca="1">IFERROR(SUM(M204:M215),"")</f>
        <v>6.8055555555555647E-2</v>
      </c>
      <c r="N216" s="36" t="s">
        <v>236</v>
      </c>
      <c r="O216" s="39">
        <v>148720</v>
      </c>
    </row>
    <row r="217" spans="1:15" ht="18" customHeight="1">
      <c r="A217" s="107" t="s">
        <v>239</v>
      </c>
      <c r="B217" s="108"/>
      <c r="C217" s="108"/>
      <c r="D217" s="108"/>
      <c r="E217" s="109">
        <f>E203+E216</f>
        <v>0</v>
      </c>
      <c r="F217" s="40">
        <f>F203+F216</f>
        <v>61</v>
      </c>
      <c r="G217" s="40">
        <f>G203+G216</f>
        <v>256.2</v>
      </c>
      <c r="H217" s="41"/>
      <c r="I217" s="41"/>
      <c r="J217" s="41"/>
      <c r="K217" s="41"/>
      <c r="L217" s="41"/>
      <c r="M217" s="42">
        <f ca="1">IFERROR(M203+M216,"")</f>
        <v>0.22986111111111113</v>
      </c>
      <c r="N217" s="40" t="s">
        <v>240</v>
      </c>
      <c r="O217" s="48">
        <f>IFERROR(O203+O216,"")</f>
        <v>241230</v>
      </c>
    </row>
    <row r="218" spans="1:15" ht="15" customHeight="1">
      <c r="A218" s="68">
        <v>46243</v>
      </c>
      <c r="B218" s="25">
        <v>0.33333333333333298</v>
      </c>
      <c r="C218" s="26" t="s">
        <v>29</v>
      </c>
      <c r="D218" s="59" t="s">
        <v>30</v>
      </c>
      <c r="E218" s="59" t="s">
        <v>250</v>
      </c>
      <c r="F218" s="27">
        <v>0</v>
      </c>
      <c r="G218" s="28">
        <f t="shared" ref="G218:G229" si="48">IF(F218="","",IF(E218="PC 17",F218*4.2,IF(E218="PC 19",F218*5,IF(E218="CB",F218*24,""))))</f>
        <v>0</v>
      </c>
      <c r="H218" s="26" t="s">
        <v>19</v>
      </c>
      <c r="I218" s="26" t="s">
        <v>135</v>
      </c>
      <c r="J218" s="26" t="s">
        <v>61</v>
      </c>
      <c r="K218" s="29">
        <v>0.4375</v>
      </c>
      <c r="L218" s="29">
        <v>0.46944444444444444</v>
      </c>
      <c r="M218" s="30">
        <f t="shared" ref="M218:M229" ca="1" si="49">IFERROR(IF(K218="","",IF(L218="",MOD(NOW()-K218,1),IF(L218&gt;=K218,L218-K218,L218+1-K218))),"")</f>
        <v>3.1944444444444442E-2</v>
      </c>
      <c r="N218" s="27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250</v>
      </c>
      <c r="F219" s="27">
        <v>12</v>
      </c>
      <c r="G219" s="34">
        <f t="shared" si="48"/>
        <v>50.400000000000006</v>
      </c>
      <c r="H219" s="33" t="s">
        <v>20</v>
      </c>
      <c r="I219" s="33" t="s">
        <v>47</v>
      </c>
      <c r="J219" s="33" t="s">
        <v>36</v>
      </c>
      <c r="K219" s="29">
        <v>0.50694444444444442</v>
      </c>
      <c r="L219" s="29">
        <v>0.52152777777777781</v>
      </c>
      <c r="M219" s="35">
        <f t="shared" ca="1" si="49"/>
        <v>1.4583333333333393E-2</v>
      </c>
      <c r="N219" s="27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250</v>
      </c>
      <c r="F220" s="27">
        <v>10</v>
      </c>
      <c r="G220" s="28">
        <f t="shared" si="48"/>
        <v>42</v>
      </c>
      <c r="H220" s="26" t="s">
        <v>20</v>
      </c>
      <c r="I220" s="26" t="s">
        <v>157</v>
      </c>
      <c r="J220" s="26" t="s">
        <v>74</v>
      </c>
      <c r="K220" s="29">
        <v>0.62847222222222221</v>
      </c>
      <c r="L220" s="29">
        <v>0.6333333333333333</v>
      </c>
      <c r="M220" s="30">
        <f t="shared" ca="1" si="49"/>
        <v>4.8611111111110938E-3</v>
      </c>
      <c r="N220" s="27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250</v>
      </c>
      <c r="F221" s="27">
        <v>7</v>
      </c>
      <c r="G221" s="34">
        <f t="shared" si="48"/>
        <v>29.400000000000002</v>
      </c>
      <c r="H221" s="33" t="s">
        <v>18</v>
      </c>
      <c r="I221" s="33" t="s">
        <v>135</v>
      </c>
      <c r="J221" s="33" t="s">
        <v>100</v>
      </c>
      <c r="K221" s="29">
        <v>0.67777777777777781</v>
      </c>
      <c r="L221" s="29">
        <v>0.68472222222222223</v>
      </c>
      <c r="M221" s="35">
        <f t="shared" ca="1" si="49"/>
        <v>6.9444444444444198E-3</v>
      </c>
      <c r="N221" s="27" t="s">
        <v>293</v>
      </c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234</v>
      </c>
      <c r="F222" s="27">
        <v>5</v>
      </c>
      <c r="G222" s="28">
        <f t="shared" si="48"/>
        <v>25</v>
      </c>
      <c r="H222" s="26" t="s">
        <v>18</v>
      </c>
      <c r="I222" s="26" t="s">
        <v>135</v>
      </c>
      <c r="J222" s="26" t="s">
        <v>61</v>
      </c>
      <c r="K222" s="29">
        <v>0.69930555555555551</v>
      </c>
      <c r="L222" s="29" t="s">
        <v>294</v>
      </c>
      <c r="M222" s="30" t="str">
        <f t="shared" ca="1" si="49"/>
        <v/>
      </c>
      <c r="N222" s="27" t="s">
        <v>295</v>
      </c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250</v>
      </c>
      <c r="F223" s="27">
        <v>7</v>
      </c>
      <c r="G223" s="34">
        <f t="shared" si="48"/>
        <v>29.400000000000002</v>
      </c>
      <c r="H223" s="33" t="s">
        <v>19</v>
      </c>
      <c r="I223" s="33" t="s">
        <v>47</v>
      </c>
      <c r="J223" s="33" t="s">
        <v>27</v>
      </c>
      <c r="K223" s="29">
        <v>0.72430555555555554</v>
      </c>
      <c r="L223" s="29">
        <v>0.79166666666666663</v>
      </c>
      <c r="M223" s="35">
        <f t="shared" ca="1" si="49"/>
        <v>6.7361111111111094E-2</v>
      </c>
      <c r="N223" s="27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250</v>
      </c>
      <c r="F224" s="27">
        <v>5</v>
      </c>
      <c r="G224" s="28">
        <f t="shared" si="48"/>
        <v>21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250</v>
      </c>
      <c r="F225" s="27">
        <v>14</v>
      </c>
      <c r="G225" s="34">
        <f t="shared" si="48"/>
        <v>58.800000000000004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250</v>
      </c>
      <c r="F226" s="27">
        <v>3</v>
      </c>
      <c r="G226" s="28">
        <f t="shared" si="48"/>
        <v>12.600000000000001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250</v>
      </c>
      <c r="F227" s="27">
        <v>2</v>
      </c>
      <c r="G227" s="34">
        <f t="shared" si="48"/>
        <v>8.4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250</v>
      </c>
      <c r="F228" s="27">
        <v>2</v>
      </c>
      <c r="G228" s="28">
        <f t="shared" si="48"/>
        <v>8.4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250</v>
      </c>
      <c r="F229" s="27">
        <v>10</v>
      </c>
      <c r="G229" s="34">
        <f t="shared" si="48"/>
        <v>42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104" t="s">
        <v>235</v>
      </c>
      <c r="B230" s="105"/>
      <c r="C230" s="105"/>
      <c r="D230" s="105"/>
      <c r="E230" s="106">
        <f>SUM(E218:E229)</f>
        <v>0</v>
      </c>
      <c r="F230" s="36">
        <f>SUM(F218:F229)</f>
        <v>77</v>
      </c>
      <c r="G230" s="36">
        <f>SUM(G218:G229)</f>
        <v>327.39999999999998</v>
      </c>
      <c r="H230" s="37"/>
      <c r="I230" s="37"/>
      <c r="J230" s="37"/>
      <c r="K230" s="37"/>
      <c r="L230" s="37"/>
      <c r="M230" s="38">
        <f ca="1">IFERROR(SUM(M218:M229),"")</f>
        <v>0.12569444444444444</v>
      </c>
      <c r="N230" s="36" t="s">
        <v>236</v>
      </c>
      <c r="O230" s="39">
        <v>329640</v>
      </c>
    </row>
    <row r="231" spans="1:15" ht="15" customHeight="1">
      <c r="A231" s="69">
        <v>46243</v>
      </c>
      <c r="B231" s="32">
        <v>0.83333333333333304</v>
      </c>
      <c r="C231" s="33" t="s">
        <v>45</v>
      </c>
      <c r="D231" s="62" t="s">
        <v>30</v>
      </c>
      <c r="E231" s="62" t="s">
        <v>250</v>
      </c>
      <c r="F231" s="27">
        <v>9</v>
      </c>
      <c r="G231" s="34">
        <f t="shared" ref="G231:G242" si="51">IF(F231="","",IF(E231="PC 17",F231*4.2,IF(E231="PC 19",F231*5,IF(E231="CB",F231*24,""))))</f>
        <v>37.800000000000004</v>
      </c>
      <c r="H231" s="33" t="s">
        <v>19</v>
      </c>
      <c r="I231" s="33" t="s">
        <v>47</v>
      </c>
      <c r="J231" s="33" t="s">
        <v>27</v>
      </c>
      <c r="K231" s="29">
        <v>0.23749999999999999</v>
      </c>
      <c r="L231" s="29">
        <v>0.28749999999999998</v>
      </c>
      <c r="M231" s="35">
        <f t="shared" ref="M231:M242" ca="1" si="52">IFERROR(IF(K231="","",IF(L231="",MOD(NOW()-K231,1),IF(L231&gt;=K231,L231-K231,L231+1-K231))),"")</f>
        <v>4.9999999999999989E-2</v>
      </c>
      <c r="N231" s="27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 t="s">
        <v>45</v>
      </c>
      <c r="D232" s="62" t="s">
        <v>30</v>
      </c>
      <c r="E232" s="62" t="s">
        <v>234</v>
      </c>
      <c r="F232" s="27">
        <v>7</v>
      </c>
      <c r="G232" s="28">
        <f t="shared" si="51"/>
        <v>35</v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 t="s">
        <v>45</v>
      </c>
      <c r="D233" s="62" t="s">
        <v>30</v>
      </c>
      <c r="E233" s="62" t="s">
        <v>250</v>
      </c>
      <c r="F233" s="27">
        <v>2</v>
      </c>
      <c r="G233" s="34">
        <f t="shared" si="51"/>
        <v>8.4</v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 t="s">
        <v>45</v>
      </c>
      <c r="D234" s="62" t="s">
        <v>30</v>
      </c>
      <c r="E234" s="62" t="s">
        <v>234</v>
      </c>
      <c r="F234" s="27">
        <v>1</v>
      </c>
      <c r="G234" s="28">
        <f t="shared" si="51"/>
        <v>5</v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 t="s">
        <v>45</v>
      </c>
      <c r="D235" s="62" t="s">
        <v>30</v>
      </c>
      <c r="E235" s="62" t="s">
        <v>234</v>
      </c>
      <c r="F235" s="27">
        <v>7</v>
      </c>
      <c r="G235" s="34">
        <f t="shared" si="51"/>
        <v>35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 t="s">
        <v>45</v>
      </c>
      <c r="D236" s="62" t="s">
        <v>30</v>
      </c>
      <c r="E236" s="62" t="s">
        <v>234</v>
      </c>
      <c r="F236" s="27">
        <v>11</v>
      </c>
      <c r="G236" s="28">
        <f t="shared" si="51"/>
        <v>55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 t="s">
        <v>45</v>
      </c>
      <c r="D237" s="62" t="s">
        <v>30</v>
      </c>
      <c r="E237" s="62" t="s">
        <v>234</v>
      </c>
      <c r="F237" s="27">
        <v>12</v>
      </c>
      <c r="G237" s="34">
        <f t="shared" si="51"/>
        <v>60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 t="s">
        <v>45</v>
      </c>
      <c r="D238" s="62" t="s">
        <v>30</v>
      </c>
      <c r="E238" s="62" t="s">
        <v>234</v>
      </c>
      <c r="F238" s="27">
        <v>3</v>
      </c>
      <c r="G238" s="28">
        <f t="shared" si="51"/>
        <v>15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 t="s">
        <v>45</v>
      </c>
      <c r="D239" s="62" t="s">
        <v>30</v>
      </c>
      <c r="E239" s="62" t="s">
        <v>234</v>
      </c>
      <c r="F239" s="27">
        <v>7</v>
      </c>
      <c r="G239" s="34">
        <f t="shared" si="51"/>
        <v>35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 t="s">
        <v>45</v>
      </c>
      <c r="D240" s="62" t="s">
        <v>30</v>
      </c>
      <c r="E240" s="62" t="s">
        <v>234</v>
      </c>
      <c r="F240" s="27">
        <v>11</v>
      </c>
      <c r="G240" s="28">
        <f t="shared" si="51"/>
        <v>55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46243</v>
      </c>
      <c r="B241" s="32">
        <f t="shared" si="53"/>
        <v>1.25</v>
      </c>
      <c r="C241" s="33" t="s">
        <v>45</v>
      </c>
      <c r="D241" s="62" t="s">
        <v>30</v>
      </c>
      <c r="E241" s="62" t="s">
        <v>234</v>
      </c>
      <c r="F241" s="27">
        <v>3</v>
      </c>
      <c r="G241" s="34">
        <f t="shared" si="51"/>
        <v>15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 t="s">
        <v>45</v>
      </c>
      <c r="D242" s="62" t="s">
        <v>30</v>
      </c>
      <c r="E242" s="62" t="s">
        <v>234</v>
      </c>
      <c r="F242" s="27">
        <v>0</v>
      </c>
      <c r="G242" s="28">
        <f t="shared" si="51"/>
        <v>0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104" t="s">
        <v>238</v>
      </c>
      <c r="B243" s="105"/>
      <c r="C243" s="105"/>
      <c r="D243" s="105"/>
      <c r="E243" s="106">
        <f>SUM(E231:E242)</f>
        <v>0</v>
      </c>
      <c r="F243" s="36">
        <f>SUM(F231:F242)</f>
        <v>73</v>
      </c>
      <c r="G243" s="36">
        <f>SUM(G231:G242)</f>
        <v>356.20000000000005</v>
      </c>
      <c r="H243" s="37"/>
      <c r="I243" s="37"/>
      <c r="J243" s="37"/>
      <c r="K243" s="37"/>
      <c r="L243" s="37"/>
      <c r="M243" s="38">
        <f ca="1">IFERROR(SUM(M231:M242),"")</f>
        <v>4.9999999999999989E-2</v>
      </c>
      <c r="N243" s="36" t="s">
        <v>236</v>
      </c>
      <c r="O243" s="39">
        <v>352720</v>
      </c>
    </row>
    <row r="244" spans="1:15" ht="18" customHeight="1">
      <c r="A244" s="107" t="s">
        <v>239</v>
      </c>
      <c r="B244" s="108"/>
      <c r="C244" s="108"/>
      <c r="D244" s="108"/>
      <c r="E244" s="109">
        <f>E230+E243</f>
        <v>0</v>
      </c>
      <c r="F244" s="40">
        <f>F230+F243</f>
        <v>150</v>
      </c>
      <c r="G244" s="40">
        <f>G230+G243</f>
        <v>683.6</v>
      </c>
      <c r="H244" s="41"/>
      <c r="I244" s="41"/>
      <c r="J244" s="41"/>
      <c r="K244" s="41"/>
      <c r="L244" s="41"/>
      <c r="M244" s="42">
        <f ca="1">IFERROR(M230+M243,"")</f>
        <v>0.17569444444444443</v>
      </c>
      <c r="N244" s="40" t="s">
        <v>240</v>
      </c>
      <c r="O244" s="48">
        <f>IFERROR(O230+O243,"")</f>
        <v>682360</v>
      </c>
    </row>
    <row r="245" spans="1:15" ht="15" customHeight="1">
      <c r="A245" s="68">
        <v>46244</v>
      </c>
      <c r="B245" s="25">
        <v>0.33333333333333298</v>
      </c>
      <c r="C245" s="26" t="s">
        <v>29</v>
      </c>
      <c r="D245" s="59" t="s">
        <v>30</v>
      </c>
      <c r="E245" s="59" t="s">
        <v>234</v>
      </c>
      <c r="F245" s="103">
        <v>7</v>
      </c>
      <c r="G245" s="28">
        <f t="shared" ref="G245:G256" si="54">IF(F245="","",IF(E245="PC 17",F245*4.2,IF(E245="PC 19",F245*5,IF(E245="CB",F245*24,""))))</f>
        <v>35</v>
      </c>
      <c r="H245" s="33" t="s">
        <v>19</v>
      </c>
      <c r="I245" s="33" t="s">
        <v>47</v>
      </c>
      <c r="J245" s="33" t="s">
        <v>27</v>
      </c>
      <c r="K245" s="29">
        <v>0.30208333333333331</v>
      </c>
      <c r="L245" s="29">
        <v>0.31944444444444442</v>
      </c>
      <c r="M245" s="35">
        <f t="shared" ref="M245:M256" ca="1" si="55">IFERROR(IF(K245="","",IF(L245="",MOD(NOW()-K245,1),IF(L245&gt;=K245,L245-K245,L245+1-K245))),"")</f>
        <v>1.7361111111111105E-2</v>
      </c>
      <c r="N245" s="27" t="s">
        <v>296</v>
      </c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 t="s">
        <v>29</v>
      </c>
      <c r="D246" s="59" t="s">
        <v>30</v>
      </c>
      <c r="E246" s="59" t="s">
        <v>234</v>
      </c>
      <c r="F246" s="103">
        <v>2</v>
      </c>
      <c r="G246" s="34">
        <f t="shared" si="54"/>
        <v>10</v>
      </c>
      <c r="H246" s="33" t="s">
        <v>20</v>
      </c>
      <c r="I246" s="26" t="s">
        <v>47</v>
      </c>
      <c r="J246" s="33" t="s">
        <v>51</v>
      </c>
      <c r="K246" s="29">
        <v>0.3298611111111111</v>
      </c>
      <c r="L246" s="29">
        <v>0.33263888888888887</v>
      </c>
      <c r="M246" s="30">
        <f t="shared" ca="1" si="55"/>
        <v>2.7777777777777679E-3</v>
      </c>
      <c r="N246" s="27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 t="s">
        <v>29</v>
      </c>
      <c r="D247" s="59" t="s">
        <v>30</v>
      </c>
      <c r="E247" s="59" t="s">
        <v>234</v>
      </c>
      <c r="F247" s="103">
        <v>10</v>
      </c>
      <c r="G247" s="28">
        <f t="shared" si="54"/>
        <v>50</v>
      </c>
      <c r="H247" s="33" t="s">
        <v>20</v>
      </c>
      <c r="I247" s="33" t="s">
        <v>47</v>
      </c>
      <c r="J247" s="33" t="s">
        <v>36</v>
      </c>
      <c r="K247" s="29">
        <v>0.34236111111111112</v>
      </c>
      <c r="L247" s="29">
        <v>0.36805555555555558</v>
      </c>
      <c r="M247" s="35">
        <f t="shared" ca="1" si="55"/>
        <v>2.5694444444444464E-2</v>
      </c>
      <c r="N247" s="27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 t="s">
        <v>29</v>
      </c>
      <c r="D248" s="59" t="s">
        <v>30</v>
      </c>
      <c r="E248" s="59" t="s">
        <v>234</v>
      </c>
      <c r="F248" s="103">
        <v>13</v>
      </c>
      <c r="G248" s="34">
        <f t="shared" si="54"/>
        <v>65</v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 t="s">
        <v>29</v>
      </c>
      <c r="D249" s="59" t="s">
        <v>30</v>
      </c>
      <c r="E249" s="59" t="s">
        <v>250</v>
      </c>
      <c r="F249" s="103">
        <v>11</v>
      </c>
      <c r="G249" s="28">
        <f t="shared" si="54"/>
        <v>46.2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 t="s">
        <v>29</v>
      </c>
      <c r="D250" s="59" t="s">
        <v>30</v>
      </c>
      <c r="E250" s="59" t="s">
        <v>250</v>
      </c>
      <c r="F250" s="103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 t="s">
        <v>29</v>
      </c>
      <c r="D251" s="59" t="s">
        <v>22</v>
      </c>
      <c r="E251" s="59" t="s">
        <v>250</v>
      </c>
      <c r="F251" s="103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 t="s">
        <v>29</v>
      </c>
      <c r="D252" s="59" t="s">
        <v>22</v>
      </c>
      <c r="E252" s="59" t="s">
        <v>250</v>
      </c>
      <c r="F252" s="103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 t="s">
        <v>29</v>
      </c>
      <c r="D253" s="59" t="s">
        <v>22</v>
      </c>
      <c r="E253" s="59" t="s">
        <v>250</v>
      </c>
      <c r="F253" s="103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 t="s">
        <v>29</v>
      </c>
      <c r="D254" s="59" t="s">
        <v>22</v>
      </c>
      <c r="E254" s="59" t="s">
        <v>250</v>
      </c>
      <c r="F254" s="103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 t="s">
        <v>29</v>
      </c>
      <c r="D255" s="59" t="s">
        <v>22</v>
      </c>
      <c r="E255" s="59" t="s">
        <v>234</v>
      </c>
      <c r="F255" s="103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 t="s">
        <v>29</v>
      </c>
      <c r="D256" s="59" t="s">
        <v>22</v>
      </c>
      <c r="E256" s="59" t="s">
        <v>234</v>
      </c>
      <c r="F256" s="103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87" t="s">
        <v>235</v>
      </c>
      <c r="B257" s="88"/>
      <c r="C257" s="88"/>
      <c r="D257" s="88"/>
      <c r="E257" s="101"/>
      <c r="F257" s="102">
        <f>SUM(F245:F256)</f>
        <v>43</v>
      </c>
      <c r="G257" s="36">
        <f>SUM(G245:G256)</f>
        <v>206.2</v>
      </c>
      <c r="H257" s="37"/>
      <c r="I257" s="37"/>
      <c r="J257" s="37"/>
      <c r="K257" s="37"/>
      <c r="L257" s="37"/>
      <c r="M257" s="38">
        <f ca="1">IFERROR(SUM(M245:M256),"")</f>
        <v>4.5833333333333337E-2</v>
      </c>
      <c r="N257" s="36" t="s">
        <v>236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101"/>
      <c r="F258" s="103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101"/>
      <c r="F259" s="103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101"/>
      <c r="F260" s="103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104" t="s">
        <v>238</v>
      </c>
      <c r="B270" s="105"/>
      <c r="C270" s="105"/>
      <c r="D270" s="105"/>
      <c r="E270" s="106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236</v>
      </c>
      <c r="O270" s="39"/>
    </row>
    <row r="271" spans="1:15" ht="18" customHeight="1">
      <c r="A271" s="107" t="s">
        <v>239</v>
      </c>
      <c r="B271" s="108"/>
      <c r="C271" s="108"/>
      <c r="D271" s="108"/>
      <c r="E271" s="109">
        <f>E257+E270</f>
        <v>0</v>
      </c>
      <c r="F271" s="40">
        <f>F257+F270</f>
        <v>43</v>
      </c>
      <c r="G271" s="40">
        <f>G257+G270</f>
        <v>206.2</v>
      </c>
      <c r="H271" s="41"/>
      <c r="I271" s="41"/>
      <c r="J271" s="41"/>
      <c r="K271" s="41"/>
      <c r="L271" s="41"/>
      <c r="M271" s="42">
        <f ca="1">IFERROR(M257+M270,"")</f>
        <v>4.5833333333333337E-2</v>
      </c>
      <c r="N271" s="40" t="s">
        <v>240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104" t="s">
        <v>235</v>
      </c>
      <c r="B284" s="105"/>
      <c r="C284" s="105"/>
      <c r="D284" s="105"/>
      <c r="E284" s="106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236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104" t="s">
        <v>238</v>
      </c>
      <c r="B297" s="105"/>
      <c r="C297" s="105"/>
      <c r="D297" s="105"/>
      <c r="E297" s="106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236</v>
      </c>
      <c r="O297" s="39"/>
    </row>
    <row r="298" spans="1:15" ht="18" customHeight="1">
      <c r="A298" s="107" t="s">
        <v>239</v>
      </c>
      <c r="B298" s="108"/>
      <c r="C298" s="108"/>
      <c r="D298" s="108"/>
      <c r="E298" s="109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240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79" t="str">
        <f ca="1">IFERROR(IF(K303="","",IF(L303="",MOD(NOW()-K303,1),IF(L303&gt;=K303,L303-K303,L303+1-K303))),"")</f>
        <v/>
      </c>
      <c r="N303" s="27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104" t="s">
        <v>235</v>
      </c>
      <c r="B311" s="105"/>
      <c r="C311" s="105"/>
      <c r="D311" s="105"/>
      <c r="E311" s="106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236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104" t="s">
        <v>238</v>
      </c>
      <c r="B324" s="105"/>
      <c r="C324" s="105"/>
      <c r="D324" s="105"/>
      <c r="E324" s="106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236</v>
      </c>
      <c r="O324" s="39"/>
    </row>
    <row r="325" spans="1:15" ht="18" customHeight="1">
      <c r="A325" s="107" t="s">
        <v>239</v>
      </c>
      <c r="B325" s="108"/>
      <c r="C325" s="108"/>
      <c r="D325" s="108"/>
      <c r="E325" s="109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240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26"/>
      <c r="I327" s="26"/>
      <c r="J327" s="26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104" t="s">
        <v>235</v>
      </c>
      <c r="B338" s="105"/>
      <c r="C338" s="105"/>
      <c r="D338" s="105"/>
      <c r="E338" s="106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236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104" t="s">
        <v>238</v>
      </c>
      <c r="B351" s="105"/>
      <c r="C351" s="105"/>
      <c r="D351" s="105"/>
      <c r="E351" s="106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236</v>
      </c>
      <c r="O351" s="39"/>
    </row>
    <row r="352" spans="1:15" ht="18" customHeight="1">
      <c r="A352" s="107" t="s">
        <v>239</v>
      </c>
      <c r="B352" s="108"/>
      <c r="C352" s="108"/>
      <c r="D352" s="108"/>
      <c r="E352" s="109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240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104" t="s">
        <v>235</v>
      </c>
      <c r="B365" s="105"/>
      <c r="C365" s="105"/>
      <c r="D365" s="105"/>
      <c r="E365" s="106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236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104" t="s">
        <v>238</v>
      </c>
      <c r="B378" s="105"/>
      <c r="C378" s="105"/>
      <c r="D378" s="105"/>
      <c r="E378" s="106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236</v>
      </c>
      <c r="O378" s="39"/>
    </row>
    <row r="379" spans="1:15" ht="18" customHeight="1">
      <c r="A379" s="107" t="s">
        <v>239</v>
      </c>
      <c r="B379" s="108"/>
      <c r="C379" s="108"/>
      <c r="D379" s="108"/>
      <c r="E379" s="109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240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F381" s="27"/>
      <c r="G381" s="34" t="str">
        <f>IF(F381="","",IF(E382="PC 17",F381*4.2,IF(E382="PC 19",F381*5,"")))</f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/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104" t="s">
        <v>235</v>
      </c>
      <c r="B392" s="105"/>
      <c r="C392" s="105"/>
      <c r="D392" s="105"/>
      <c r="E392" s="106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236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104" t="s">
        <v>238</v>
      </c>
      <c r="B405" s="105"/>
      <c r="C405" s="105"/>
      <c r="D405" s="105"/>
      <c r="E405" s="106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236</v>
      </c>
      <c r="O405" s="39"/>
    </row>
    <row r="406" spans="1:15" ht="18" customHeight="1">
      <c r="A406" s="107" t="s">
        <v>239</v>
      </c>
      <c r="B406" s="108"/>
      <c r="C406" s="108"/>
      <c r="D406" s="108"/>
      <c r="E406" s="109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240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104" t="s">
        <v>235</v>
      </c>
      <c r="B419" s="105"/>
      <c r="C419" s="105"/>
      <c r="D419" s="105"/>
      <c r="E419" s="106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236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95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94" t="str">
        <f t="shared" ca="1" si="94"/>
        <v/>
      </c>
      <c r="N421" s="9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93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104" t="s">
        <v>238</v>
      </c>
      <c r="B432" s="105"/>
      <c r="C432" s="105"/>
      <c r="D432" s="105"/>
      <c r="E432" s="106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236</v>
      </c>
      <c r="O432" s="39"/>
    </row>
    <row r="433" spans="1:15" ht="18" customHeight="1">
      <c r="A433" s="107" t="s">
        <v>239</v>
      </c>
      <c r="B433" s="108"/>
      <c r="C433" s="108"/>
      <c r="D433" s="108"/>
      <c r="E433" s="109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240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104" t="s">
        <v>235</v>
      </c>
      <c r="B446" s="105"/>
      <c r="C446" s="105"/>
      <c r="D446" s="105"/>
      <c r="E446" s="106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236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104" t="s">
        <v>238</v>
      </c>
      <c r="B459" s="105"/>
      <c r="C459" s="105"/>
      <c r="D459" s="105"/>
      <c r="E459" s="106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236</v>
      </c>
      <c r="O459" s="39"/>
    </row>
    <row r="460" spans="1:15" ht="18" customHeight="1">
      <c r="A460" s="107" t="s">
        <v>239</v>
      </c>
      <c r="B460" s="108"/>
      <c r="C460" s="108"/>
      <c r="D460" s="108"/>
      <c r="E460" s="109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240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104" t="s">
        <v>235</v>
      </c>
      <c r="B473" s="105"/>
      <c r="C473" s="105"/>
      <c r="D473" s="105"/>
      <c r="E473" s="106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236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104" t="s">
        <v>238</v>
      </c>
      <c r="B486" s="105"/>
      <c r="C486" s="105"/>
      <c r="D486" s="105"/>
      <c r="E486" s="106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236</v>
      </c>
      <c r="O486" s="39"/>
    </row>
    <row r="487" spans="1:15" ht="18" customHeight="1">
      <c r="A487" s="107" t="s">
        <v>239</v>
      </c>
      <c r="B487" s="108"/>
      <c r="C487" s="108"/>
      <c r="D487" s="108"/>
      <c r="E487" s="109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240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104" t="s">
        <v>235</v>
      </c>
      <c r="B500" s="105"/>
      <c r="C500" s="105"/>
      <c r="D500" s="105"/>
      <c r="E500" s="106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236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104" t="s">
        <v>238</v>
      </c>
      <c r="B513" s="105"/>
      <c r="C513" s="105"/>
      <c r="D513" s="105"/>
      <c r="E513" s="106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236</v>
      </c>
      <c r="O513" s="39"/>
    </row>
    <row r="514" spans="1:15" ht="18" customHeight="1">
      <c r="A514" s="107" t="s">
        <v>239</v>
      </c>
      <c r="B514" s="108"/>
      <c r="C514" s="108"/>
      <c r="D514" s="108"/>
      <c r="E514" s="109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240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104" t="s">
        <v>235</v>
      </c>
      <c r="B527" s="105"/>
      <c r="C527" s="105"/>
      <c r="D527" s="105"/>
      <c r="E527" s="106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236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104" t="s">
        <v>238</v>
      </c>
      <c r="B540" s="105"/>
      <c r="C540" s="105"/>
      <c r="D540" s="105"/>
      <c r="E540" s="106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236</v>
      </c>
      <c r="O540" s="39"/>
    </row>
    <row r="541" spans="1:15" ht="18" customHeight="1">
      <c r="A541" s="107" t="s">
        <v>239</v>
      </c>
      <c r="B541" s="108"/>
      <c r="C541" s="108"/>
      <c r="D541" s="108"/>
      <c r="E541" s="109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240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104" t="s">
        <v>235</v>
      </c>
      <c r="B554" s="105"/>
      <c r="C554" s="105"/>
      <c r="D554" s="105"/>
      <c r="E554" s="106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236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104" t="s">
        <v>238</v>
      </c>
      <c r="B567" s="105"/>
      <c r="C567" s="105"/>
      <c r="D567" s="105"/>
      <c r="E567" s="106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236</v>
      </c>
      <c r="O567" s="39"/>
    </row>
    <row r="568" spans="1:15" ht="18" customHeight="1">
      <c r="A568" s="107" t="s">
        <v>239</v>
      </c>
      <c r="B568" s="108"/>
      <c r="C568" s="108"/>
      <c r="D568" s="108"/>
      <c r="E568" s="109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240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104" t="s">
        <v>235</v>
      </c>
      <c r="B581" s="105"/>
      <c r="C581" s="105"/>
      <c r="D581" s="105"/>
      <c r="E581" s="106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236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104" t="s">
        <v>238</v>
      </c>
      <c r="B594" s="105"/>
      <c r="C594" s="105"/>
      <c r="D594" s="105"/>
      <c r="E594" s="106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236</v>
      </c>
      <c r="O594" s="39"/>
    </row>
    <row r="595" spans="1:15" ht="18" customHeight="1">
      <c r="A595" s="107" t="s">
        <v>239</v>
      </c>
      <c r="B595" s="108"/>
      <c r="C595" s="108"/>
      <c r="D595" s="108"/>
      <c r="E595" s="109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240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8">
        <v>46256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104" t="s">
        <v>235</v>
      </c>
      <c r="B608" s="105"/>
      <c r="C608" s="105"/>
      <c r="D608" s="105"/>
      <c r="E608" s="106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236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104" t="s">
        <v>238</v>
      </c>
      <c r="B621" s="105"/>
      <c r="C621" s="105"/>
      <c r="D621" s="105"/>
      <c r="E621" s="106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236</v>
      </c>
      <c r="O621" s="39"/>
    </row>
    <row r="622" spans="1:15" ht="18" customHeight="1">
      <c r="A622" s="107" t="s">
        <v>239</v>
      </c>
      <c r="B622" s="108"/>
      <c r="C622" s="108"/>
      <c r="D622" s="108"/>
      <c r="E622" s="109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240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104" t="s">
        <v>235</v>
      </c>
      <c r="B635" s="105"/>
      <c r="C635" s="105"/>
      <c r="D635" s="105"/>
      <c r="E635" s="106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236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104" t="s">
        <v>238</v>
      </c>
      <c r="B648" s="105"/>
      <c r="C648" s="105"/>
      <c r="D648" s="105"/>
      <c r="E648" s="106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236</v>
      </c>
      <c r="O648" s="39"/>
    </row>
    <row r="649" spans="1:15" ht="18" customHeight="1">
      <c r="A649" s="107" t="s">
        <v>239</v>
      </c>
      <c r="B649" s="108"/>
      <c r="C649" s="108"/>
      <c r="D649" s="108"/>
      <c r="E649" s="109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240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104" t="s">
        <v>235</v>
      </c>
      <c r="B662" s="105"/>
      <c r="C662" s="105"/>
      <c r="D662" s="105"/>
      <c r="E662" s="106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236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104" t="s">
        <v>238</v>
      </c>
      <c r="B675" s="105"/>
      <c r="C675" s="105"/>
      <c r="D675" s="105"/>
      <c r="E675" s="106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236</v>
      </c>
      <c r="O675" s="39"/>
    </row>
    <row r="676" spans="1:15" ht="18" customHeight="1">
      <c r="A676" s="107" t="s">
        <v>239</v>
      </c>
      <c r="B676" s="108"/>
      <c r="C676" s="108"/>
      <c r="D676" s="108"/>
      <c r="E676" s="109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240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104" t="s">
        <v>235</v>
      </c>
      <c r="B689" s="105"/>
      <c r="C689" s="105"/>
      <c r="D689" s="105"/>
      <c r="E689" s="106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236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104" t="s">
        <v>238</v>
      </c>
      <c r="B702" s="105"/>
      <c r="C702" s="105"/>
      <c r="D702" s="105"/>
      <c r="E702" s="106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236</v>
      </c>
      <c r="O702" s="39"/>
    </row>
    <row r="703" spans="1:15" ht="18" customHeight="1">
      <c r="A703" s="107" t="s">
        <v>239</v>
      </c>
      <c r="B703" s="108"/>
      <c r="C703" s="108"/>
      <c r="D703" s="108"/>
      <c r="E703" s="109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240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104" t="s">
        <v>235</v>
      </c>
      <c r="B716" s="105"/>
      <c r="C716" s="105"/>
      <c r="D716" s="105"/>
      <c r="E716" s="106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236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104" t="s">
        <v>238</v>
      </c>
      <c r="B729" s="105"/>
      <c r="C729" s="105"/>
      <c r="D729" s="105"/>
      <c r="E729" s="106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236</v>
      </c>
      <c r="O729" s="39"/>
    </row>
    <row r="730" spans="1:15" ht="18" customHeight="1">
      <c r="A730" s="107" t="s">
        <v>239</v>
      </c>
      <c r="B730" s="108"/>
      <c r="C730" s="108"/>
      <c r="D730" s="108"/>
      <c r="E730" s="109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240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104" t="s">
        <v>235</v>
      </c>
      <c r="B743" s="105"/>
      <c r="C743" s="105"/>
      <c r="D743" s="105"/>
      <c r="E743" s="106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236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104" t="s">
        <v>238</v>
      </c>
      <c r="B756" s="105"/>
      <c r="C756" s="105"/>
      <c r="D756" s="105"/>
      <c r="E756" s="106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236</v>
      </c>
      <c r="O756" s="39"/>
    </row>
    <row r="757" spans="1:15" ht="18" customHeight="1">
      <c r="A757" s="107" t="s">
        <v>239</v>
      </c>
      <c r="B757" s="108"/>
      <c r="C757" s="108"/>
      <c r="D757" s="108"/>
      <c r="E757" s="109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240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104" t="s">
        <v>235</v>
      </c>
      <c r="B770" s="105"/>
      <c r="C770" s="105"/>
      <c r="D770" s="105"/>
      <c r="E770" s="106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236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104" t="s">
        <v>238</v>
      </c>
      <c r="B783" s="105"/>
      <c r="C783" s="105"/>
      <c r="D783" s="105"/>
      <c r="E783" s="106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236</v>
      </c>
      <c r="O783" s="39"/>
    </row>
    <row r="784" spans="1:15" ht="18" customHeight="1">
      <c r="A784" s="107" t="s">
        <v>239</v>
      </c>
      <c r="B784" s="108"/>
      <c r="C784" s="108"/>
      <c r="D784" s="108"/>
      <c r="E784" s="109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240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104" t="s">
        <v>235</v>
      </c>
      <c r="B797" s="105"/>
      <c r="C797" s="105"/>
      <c r="D797" s="105"/>
      <c r="E797" s="106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236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104" t="s">
        <v>238</v>
      </c>
      <c r="B810" s="105"/>
      <c r="C810" s="105"/>
      <c r="D810" s="105"/>
      <c r="E810" s="106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236</v>
      </c>
      <c r="O810" s="39"/>
    </row>
    <row r="811" spans="1:15" ht="18" customHeight="1">
      <c r="A811" s="107" t="s">
        <v>239</v>
      </c>
      <c r="B811" s="108"/>
      <c r="C811" s="108"/>
      <c r="D811" s="108"/>
      <c r="E811" s="109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240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33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4" t="s">
        <v>235</v>
      </c>
      <c r="B824" s="105"/>
      <c r="C824" s="105"/>
      <c r="D824" s="105"/>
      <c r="E824" s="106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236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4" t="s">
        <v>238</v>
      </c>
      <c r="B837" s="105"/>
      <c r="C837" s="105"/>
      <c r="D837" s="105"/>
      <c r="E837" s="106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236</v>
      </c>
      <c r="O837" s="39"/>
    </row>
    <row r="838" spans="1:15" ht="18" customHeight="1">
      <c r="A838" s="107" t="s">
        <v>239</v>
      </c>
      <c r="B838" s="108"/>
      <c r="C838" s="108"/>
      <c r="D838" s="108"/>
      <c r="E838" s="109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240</v>
      </c>
      <c r="O838" s="43">
        <f>IFERROR(O824+O837,"")</f>
        <v>0</v>
      </c>
    </row>
  </sheetData>
  <mergeCells count="92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43:E243"/>
    <mergeCell ref="A244:E244"/>
    <mergeCell ref="A270:E270"/>
    <mergeCell ref="A271:E271"/>
    <mergeCell ref="A284:E284"/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</mergeCells>
  <dataValidations count="3">
    <dataValidation type="list" allowBlank="1" showErrorMessage="1" errorTitle="Valor inválido" error="Selecione PC 17 ou PC 19 da lista." sqref="E15:E26 E2:E13 E516:E838 E382:E514 E29:E380" xr:uid="{618DBFC7-9EE5-4350-9682-B167270E51D8}">
      <formula1>"PC 17,PC 19,CB"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C15:C26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D2:D13 D296:D900 D15:D26 D29:D294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38"/>
  <sheetViews>
    <sheetView showGridLines="0" tabSelected="1" zoomScale="50" zoomScaleNormal="50" workbookViewId="0">
      <pane ySplit="1" topLeftCell="A221" activePane="bottomLeft" state="frozen"/>
      <selection pane="bottomLeft" activeCell="L250" sqref="L250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42.28515625" style="57" customWidth="1"/>
    <col min="11" max="11" width="18.42578125" style="57" customWidth="1"/>
    <col min="12" max="12" width="14" style="58" customWidth="1"/>
    <col min="13" max="13" width="14" style="57" customWidth="1"/>
    <col min="14" max="14" width="64.8554687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224</v>
      </c>
      <c r="C1" s="23" t="s">
        <v>12</v>
      </c>
      <c r="D1" s="22" t="s">
        <v>13</v>
      </c>
      <c r="E1" s="22" t="s">
        <v>225</v>
      </c>
      <c r="F1" s="23" t="s">
        <v>226</v>
      </c>
      <c r="G1" s="23" t="s">
        <v>227</v>
      </c>
      <c r="H1" s="23" t="s">
        <v>14</v>
      </c>
      <c r="I1" s="23" t="s">
        <v>15</v>
      </c>
      <c r="J1" s="23" t="s">
        <v>228</v>
      </c>
      <c r="K1" s="23" t="s">
        <v>229</v>
      </c>
      <c r="L1" s="23" t="s">
        <v>230</v>
      </c>
      <c r="M1" s="24" t="s">
        <v>231</v>
      </c>
      <c r="N1" s="23" t="s">
        <v>232</v>
      </c>
      <c r="O1" s="23" t="s">
        <v>233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250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52</v>
      </c>
      <c r="J2" s="26" t="s">
        <v>27</v>
      </c>
      <c r="K2" s="29">
        <v>0.33333333333333331</v>
      </c>
      <c r="L2" s="29">
        <v>0.3611111111111111</v>
      </c>
      <c r="M2" s="30">
        <f t="shared" ref="M2:M13" ca="1" si="1">IFERROR(IF(K2="","",IF(L2="",MOD(NOW()-K2,1),IF(L2&gt;=K2,L2-K2,L2+1-K2))),"")</f>
        <v>2.777777777777779E-2</v>
      </c>
      <c r="N2" s="27"/>
      <c r="O2" s="60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250</v>
      </c>
      <c r="F3" s="27">
        <v>4</v>
      </c>
      <c r="G3" s="34">
        <f t="shared" si="0"/>
        <v>16.8</v>
      </c>
      <c r="H3" s="33" t="s">
        <v>20</v>
      </c>
      <c r="I3" s="33" t="s">
        <v>57</v>
      </c>
      <c r="J3" s="33" t="s">
        <v>28</v>
      </c>
      <c r="K3" s="29">
        <v>0.47361111111111109</v>
      </c>
      <c r="L3" s="29">
        <v>0.4777777777777778</v>
      </c>
      <c r="M3" s="35">
        <f t="shared" ca="1" si="1"/>
        <v>4.1666666666667074E-3</v>
      </c>
      <c r="N3" s="27"/>
      <c r="O3" s="60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250</v>
      </c>
      <c r="F4" s="27">
        <v>18</v>
      </c>
      <c r="G4" s="28">
        <f t="shared" si="0"/>
        <v>75.600000000000009</v>
      </c>
      <c r="H4" s="26" t="s">
        <v>20</v>
      </c>
      <c r="I4" s="26" t="s">
        <v>57</v>
      </c>
      <c r="J4" s="26" t="s">
        <v>28</v>
      </c>
      <c r="K4" s="29">
        <v>0.59791666666666665</v>
      </c>
      <c r="L4" s="29">
        <v>0.60486111111111107</v>
      </c>
      <c r="M4" s="30">
        <f t="shared" ca="1" si="1"/>
        <v>6.9444444444444198E-3</v>
      </c>
      <c r="N4" s="27"/>
      <c r="O4" s="60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250</v>
      </c>
      <c r="F5" s="27">
        <v>16</v>
      </c>
      <c r="G5" s="34">
        <f t="shared" si="0"/>
        <v>67.2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250</v>
      </c>
      <c r="F6" s="27">
        <v>16</v>
      </c>
      <c r="G6" s="28">
        <f t="shared" si="0"/>
        <v>67.2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250</v>
      </c>
      <c r="F7" s="27">
        <v>7</v>
      </c>
      <c r="G7" s="34">
        <f t="shared" si="0"/>
        <v>29.400000000000002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250</v>
      </c>
      <c r="F8" s="27">
        <v>10</v>
      </c>
      <c r="G8" s="28">
        <f t="shared" si="0"/>
        <v>42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250</v>
      </c>
      <c r="F9" s="27">
        <v>15</v>
      </c>
      <c r="G9" s="34">
        <f t="shared" si="0"/>
        <v>63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250</v>
      </c>
      <c r="F10" s="27">
        <v>12</v>
      </c>
      <c r="G10" s="28">
        <f t="shared" si="0"/>
        <v>50.400000000000006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250</v>
      </c>
      <c r="F11" s="27">
        <v>10</v>
      </c>
      <c r="G11" s="34">
        <f t="shared" si="0"/>
        <v>42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250</v>
      </c>
      <c r="F12" s="27">
        <v>16</v>
      </c>
      <c r="G12" s="28">
        <f t="shared" si="0"/>
        <v>67.2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250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104" t="s">
        <v>235</v>
      </c>
      <c r="B14" s="105"/>
      <c r="C14" s="105"/>
      <c r="D14" s="105"/>
      <c r="E14" s="106"/>
      <c r="F14" s="36">
        <f>SUM(F2:F13)</f>
        <v>130</v>
      </c>
      <c r="G14" s="36">
        <f>SUM(G2:G13)</f>
        <v>546.00000000000011</v>
      </c>
      <c r="H14" s="37"/>
      <c r="I14" s="37"/>
      <c r="J14" s="37"/>
      <c r="K14" s="61"/>
      <c r="L14" s="61"/>
      <c r="M14" s="38">
        <f ca="1">IFERROR(SUM(M2:M13),"")</f>
        <v>3.8888888888888917E-2</v>
      </c>
      <c r="N14" s="36" t="s">
        <v>236</v>
      </c>
      <c r="O14" s="39">
        <v>561420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30</v>
      </c>
      <c r="E15" s="62" t="s">
        <v>250</v>
      </c>
      <c r="F15" s="27">
        <v>10</v>
      </c>
      <c r="G15" s="34">
        <f t="shared" ref="G15:G26" si="3">IF(F15="","",IF(E15="PC 17",F15*4.2,IF(E15="PC 19",F15*5,IF(E15="CB",F15*24,""))))</f>
        <v>42</v>
      </c>
      <c r="H15" s="33" t="s">
        <v>20</v>
      </c>
      <c r="I15" s="33" t="s">
        <v>52</v>
      </c>
      <c r="J15" s="33" t="s">
        <v>62</v>
      </c>
      <c r="K15" s="29">
        <v>0.79374999999999996</v>
      </c>
      <c r="L15" s="29">
        <v>0.79861111111111116</v>
      </c>
      <c r="M15" s="35">
        <f t="shared" ref="M15:M26" ca="1" si="4">IFERROR(IF(K15="","",IF(L15="",MOD(NOW()-K15,1),IF(L15&gt;=K15,L15-K15,L15+1-K15))),"")</f>
        <v>4.8611111111112049E-3</v>
      </c>
      <c r="N15" s="27"/>
      <c r="O15" s="60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30</v>
      </c>
      <c r="E16" s="62" t="s">
        <v>250</v>
      </c>
      <c r="F16" s="27">
        <v>13</v>
      </c>
      <c r="G16" s="28">
        <f t="shared" si="3"/>
        <v>54.6</v>
      </c>
      <c r="H16" s="26" t="s">
        <v>19</v>
      </c>
      <c r="I16" s="26" t="s">
        <v>57</v>
      </c>
      <c r="J16" s="26" t="s">
        <v>27</v>
      </c>
      <c r="K16" s="29">
        <v>0.80694444444444446</v>
      </c>
      <c r="L16" s="29">
        <v>0.8208333333333333</v>
      </c>
      <c r="M16" s="78">
        <f ca="1">IFERROR(IF(K16="","",IF(L16="",MOD(NOW()-K16,1),IF(L16&gt;=K16,L16-K16,L16+1-K16))),"")</f>
        <v>1.388888888888884E-2</v>
      </c>
      <c r="N16" s="27" t="s">
        <v>297</v>
      </c>
      <c r="O16" s="60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30</v>
      </c>
      <c r="E17" s="62" t="s">
        <v>250</v>
      </c>
      <c r="F17" s="27">
        <v>10</v>
      </c>
      <c r="G17" s="34">
        <f t="shared" si="3"/>
        <v>42</v>
      </c>
      <c r="H17" s="33" t="s">
        <v>19</v>
      </c>
      <c r="I17" s="33" t="s">
        <v>52</v>
      </c>
      <c r="J17" s="33" t="s">
        <v>27</v>
      </c>
      <c r="K17" s="29">
        <v>0.8208333333333333</v>
      </c>
      <c r="L17" s="29">
        <v>0.82916666666666672</v>
      </c>
      <c r="M17" s="35">
        <f t="shared" ca="1" si="4"/>
        <v>8.3333333333334147E-3</v>
      </c>
      <c r="N17" s="27" t="s">
        <v>261</v>
      </c>
      <c r="O17" s="60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30</v>
      </c>
      <c r="E18" s="62" t="s">
        <v>250</v>
      </c>
      <c r="F18" s="27">
        <v>16</v>
      </c>
      <c r="G18" s="28">
        <f t="shared" si="3"/>
        <v>67.2</v>
      </c>
      <c r="H18" s="26" t="s">
        <v>18</v>
      </c>
      <c r="I18" s="26" t="s">
        <v>52</v>
      </c>
      <c r="J18" s="26" t="s">
        <v>130</v>
      </c>
      <c r="K18" s="29">
        <v>0.82916666666666672</v>
      </c>
      <c r="L18" s="29">
        <v>0.84097222222222223</v>
      </c>
      <c r="M18" s="30">
        <f t="shared" ca="1" si="4"/>
        <v>1.1805555555555514E-2</v>
      </c>
      <c r="N18" s="27" t="s">
        <v>281</v>
      </c>
      <c r="O18" s="60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30</v>
      </c>
      <c r="E19" s="62" t="s">
        <v>250</v>
      </c>
      <c r="F19" s="27">
        <v>15</v>
      </c>
      <c r="G19" s="34">
        <f t="shared" si="3"/>
        <v>63</v>
      </c>
      <c r="H19" s="33" t="s">
        <v>18</v>
      </c>
      <c r="I19" s="33" t="s">
        <v>52</v>
      </c>
      <c r="J19" s="33" t="s">
        <v>130</v>
      </c>
      <c r="K19" s="29">
        <v>0.89513888888888893</v>
      </c>
      <c r="L19" s="29">
        <v>0.90972222222222221</v>
      </c>
      <c r="M19" s="35">
        <f t="shared" ca="1" si="4"/>
        <v>1.4583333333333282E-2</v>
      </c>
      <c r="N19" s="27" t="s">
        <v>298</v>
      </c>
      <c r="O19" s="60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30</v>
      </c>
      <c r="E20" s="62" t="s">
        <v>250</v>
      </c>
      <c r="F20" s="27">
        <v>12</v>
      </c>
      <c r="G20" s="28">
        <f t="shared" si="3"/>
        <v>50.400000000000006</v>
      </c>
      <c r="H20" s="26" t="s">
        <v>20</v>
      </c>
      <c r="I20" s="26" t="s">
        <v>57</v>
      </c>
      <c r="J20" s="26"/>
      <c r="K20" s="29">
        <v>0.90972222222222221</v>
      </c>
      <c r="L20" s="29">
        <v>0.9291666666666667</v>
      </c>
      <c r="M20" s="30">
        <f t="shared" ca="1" si="4"/>
        <v>1.9444444444444486E-2</v>
      </c>
      <c r="N20" s="27"/>
      <c r="O20" s="60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30</v>
      </c>
      <c r="E21" s="62" t="s">
        <v>250</v>
      </c>
      <c r="F21" s="27">
        <v>17</v>
      </c>
      <c r="G21" s="34">
        <f t="shared" si="3"/>
        <v>71.400000000000006</v>
      </c>
      <c r="H21" s="33" t="s">
        <v>20</v>
      </c>
      <c r="I21" s="33" t="s">
        <v>57</v>
      </c>
      <c r="J21" s="33" t="s">
        <v>62</v>
      </c>
      <c r="K21" s="29">
        <v>0.11388888888888889</v>
      </c>
      <c r="L21" s="29">
        <v>0.15347222222222223</v>
      </c>
      <c r="M21" s="35">
        <f t="shared" ca="1" si="4"/>
        <v>3.9583333333333345E-2</v>
      </c>
      <c r="N21" s="27"/>
      <c r="O21" s="60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30</v>
      </c>
      <c r="E22" s="62" t="s">
        <v>250</v>
      </c>
      <c r="F22" s="27">
        <v>15</v>
      </c>
      <c r="G22" s="28">
        <f t="shared" si="3"/>
        <v>63</v>
      </c>
      <c r="H22" s="26" t="s">
        <v>20</v>
      </c>
      <c r="I22" s="26"/>
      <c r="J22" s="26" t="s">
        <v>161</v>
      </c>
      <c r="K22" s="29">
        <v>0.2</v>
      </c>
      <c r="L22" s="29">
        <v>0.2388888888888889</v>
      </c>
      <c r="M22" s="30">
        <f t="shared" ca="1" si="4"/>
        <v>3.888888888888889E-2</v>
      </c>
      <c r="N22" s="27" t="s">
        <v>299</v>
      </c>
      <c r="O22" s="60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30</v>
      </c>
      <c r="E23" s="62" t="s">
        <v>250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30</v>
      </c>
      <c r="E24" s="62" t="s">
        <v>250</v>
      </c>
      <c r="F24" s="27">
        <v>0</v>
      </c>
      <c r="G24" s="28">
        <f t="shared" si="3"/>
        <v>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30</v>
      </c>
      <c r="E25" s="62" t="s">
        <v>250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30</v>
      </c>
      <c r="E26" s="62" t="s">
        <v>250</v>
      </c>
      <c r="F26" s="27">
        <v>10</v>
      </c>
      <c r="G26" s="28">
        <f t="shared" si="3"/>
        <v>42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104" t="s">
        <v>238</v>
      </c>
      <c r="B27" s="105"/>
      <c r="C27" s="105"/>
      <c r="D27" s="105"/>
      <c r="E27" s="106"/>
      <c r="F27" s="36">
        <f>SUM(F15:F26)</f>
        <v>138</v>
      </c>
      <c r="G27" s="36">
        <f>SUM(G15:G26)</f>
        <v>579.6</v>
      </c>
      <c r="H27" s="37"/>
      <c r="I27" s="37"/>
      <c r="J27" s="37"/>
      <c r="K27" s="61"/>
      <c r="L27" s="61"/>
      <c r="M27" s="38">
        <f ca="1">IFERROR(SUM(M15:M26),"")</f>
        <v>0.15138888888888896</v>
      </c>
      <c r="N27" s="36" t="s">
        <v>236</v>
      </c>
      <c r="O27" s="39">
        <v>491520</v>
      </c>
    </row>
    <row r="28" spans="1:15" ht="18" customHeight="1">
      <c r="A28" s="107" t="s">
        <v>239</v>
      </c>
      <c r="B28" s="108"/>
      <c r="C28" s="108"/>
      <c r="D28" s="108"/>
      <c r="E28" s="109"/>
      <c r="F28" s="40">
        <f>F14+F27</f>
        <v>268</v>
      </c>
      <c r="G28" s="40">
        <f>G14+G27</f>
        <v>1125.6000000000001</v>
      </c>
      <c r="H28" s="41"/>
      <c r="I28" s="41"/>
      <c r="J28" s="41"/>
      <c r="K28" s="63"/>
      <c r="L28" s="63"/>
      <c r="M28" s="42">
        <f ca="1">IFERROR(M14+M27,"")</f>
        <v>0.19027777777777788</v>
      </c>
      <c r="N28" s="40" t="s">
        <v>240</v>
      </c>
      <c r="O28" s="48">
        <f>IFERROR(O14+O27,"")</f>
        <v>1052940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250</v>
      </c>
      <c r="F29" s="27">
        <v>3</v>
      </c>
      <c r="G29" s="28">
        <f t="shared" ref="G29:G40" si="6">IF(F29="","",IF(E29="PC 17",F29*4.2,IF(E29="PC 19",F29*5,IF(E29="CB",F29*24,""))))</f>
        <v>12.600000000000001</v>
      </c>
      <c r="H29" s="33" t="s">
        <v>19</v>
      </c>
      <c r="I29" s="33" t="s">
        <v>57</v>
      </c>
      <c r="J29" s="33" t="s">
        <v>27</v>
      </c>
      <c r="K29" s="29">
        <v>0.69097222222222221</v>
      </c>
      <c r="L29" s="29">
        <v>0.70208333333333328</v>
      </c>
      <c r="M29" s="30">
        <f t="shared" ref="M29:M40" ca="1" si="7">IFERROR(IF(K29="","",IF(L29="",MOD(NOW()-K29,1),IF(L29&gt;=K29,L29-K29,L29+1-K29))),"")</f>
        <v>1.1111111111111072E-2</v>
      </c>
      <c r="N29" s="27"/>
      <c r="O29" s="60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250</v>
      </c>
      <c r="F30" s="27">
        <v>13</v>
      </c>
      <c r="G30" s="34">
        <f t="shared" si="6"/>
        <v>54.6</v>
      </c>
      <c r="H30" s="26"/>
      <c r="I30" s="26"/>
      <c r="J30" s="26"/>
      <c r="K30" s="29"/>
      <c r="L30" s="29"/>
      <c r="M30" s="35" t="str">
        <f t="shared" ca="1" si="7"/>
        <v/>
      </c>
      <c r="N30" s="27"/>
      <c r="O30" s="60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250</v>
      </c>
      <c r="F31" s="27">
        <v>15</v>
      </c>
      <c r="G31" s="28">
        <f t="shared" si="6"/>
        <v>63</v>
      </c>
      <c r="H31" s="33"/>
      <c r="I31" s="33"/>
      <c r="J31" s="33"/>
      <c r="K31" s="29"/>
      <c r="L31" s="29"/>
      <c r="M31" s="30" t="str">
        <f t="shared" ca="1" si="7"/>
        <v/>
      </c>
      <c r="N31" s="27"/>
      <c r="O31" s="60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250</v>
      </c>
      <c r="F32" s="27">
        <v>9</v>
      </c>
      <c r="G32" s="34">
        <f t="shared" si="6"/>
        <v>37.800000000000004</v>
      </c>
      <c r="H32" s="26"/>
      <c r="I32" s="26"/>
      <c r="J32" s="26"/>
      <c r="K32" s="29"/>
      <c r="L32" s="29"/>
      <c r="M32" s="35" t="str">
        <f t="shared" ca="1" si="7"/>
        <v/>
      </c>
      <c r="N32" s="27"/>
      <c r="O32" s="60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250</v>
      </c>
      <c r="F33" s="27">
        <v>12</v>
      </c>
      <c r="G33" s="28">
        <f t="shared" si="6"/>
        <v>50.400000000000006</v>
      </c>
      <c r="H33" s="33"/>
      <c r="I33" s="33"/>
      <c r="J33" s="33"/>
      <c r="K33" s="29"/>
      <c r="L33" s="29"/>
      <c r="M33" s="30" t="str">
        <f t="shared" ca="1" si="7"/>
        <v/>
      </c>
      <c r="N33" s="27"/>
      <c r="O33" s="60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250</v>
      </c>
      <c r="F34" s="27">
        <v>22</v>
      </c>
      <c r="G34" s="34">
        <f t="shared" si="6"/>
        <v>92.4</v>
      </c>
      <c r="H34" s="26"/>
      <c r="I34" s="26"/>
      <c r="J34" s="26"/>
      <c r="K34" s="29"/>
      <c r="L34" s="29"/>
      <c r="M34" s="35" t="str">
        <f t="shared" ca="1" si="7"/>
        <v/>
      </c>
      <c r="N34" s="27"/>
      <c r="O34" s="60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250</v>
      </c>
      <c r="F35" s="27">
        <v>17</v>
      </c>
      <c r="G35" s="28">
        <f t="shared" si="6"/>
        <v>71.400000000000006</v>
      </c>
      <c r="H35" s="33"/>
      <c r="I35" s="33"/>
      <c r="J35" s="33"/>
      <c r="K35" s="29"/>
      <c r="L35" s="29"/>
      <c r="M35" s="30" t="str">
        <f t="shared" ca="1" si="7"/>
        <v/>
      </c>
      <c r="N35" s="27"/>
      <c r="O35" s="60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250</v>
      </c>
      <c r="F36" s="27">
        <v>20</v>
      </c>
      <c r="G36" s="34">
        <f t="shared" si="6"/>
        <v>84</v>
      </c>
      <c r="H36" s="26"/>
      <c r="I36" s="26"/>
      <c r="J36" s="26"/>
      <c r="K36" s="29"/>
      <c r="L36" s="29"/>
      <c r="M36" s="35" t="str">
        <f t="shared" ca="1" si="7"/>
        <v/>
      </c>
      <c r="N36" s="27"/>
      <c r="O36" s="60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250</v>
      </c>
      <c r="F37" s="27">
        <v>5</v>
      </c>
      <c r="G37" s="28">
        <f t="shared" si="6"/>
        <v>21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250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250</v>
      </c>
      <c r="F39" s="57">
        <v>8</v>
      </c>
      <c r="G39" s="28">
        <f>IF(F50="","",IF(E39="PC 17",F50*4.2,IF(E39="PC 19",F50*5,IF(E39="CB",F50*24,""))))</f>
        <v>50.400000000000006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250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104" t="s">
        <v>235</v>
      </c>
      <c r="B41" s="105"/>
      <c r="C41" s="105"/>
      <c r="D41" s="105"/>
      <c r="E41" s="106"/>
      <c r="F41" s="36">
        <f>SUM(F29:F40)</f>
        <v>141</v>
      </c>
      <c r="G41" s="36">
        <f>SUM(G29:G40)</f>
        <v>609</v>
      </c>
      <c r="H41" s="37"/>
      <c r="I41" s="37"/>
      <c r="J41" s="37"/>
      <c r="K41" s="61"/>
      <c r="L41" s="61"/>
      <c r="M41" s="38">
        <f ca="1">IFERROR(SUM(M29:M40),"")</f>
        <v>1.1111111111111072E-2</v>
      </c>
      <c r="N41" s="36" t="s">
        <v>236</v>
      </c>
      <c r="O41" s="39">
        <v>766800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250</v>
      </c>
      <c r="F42" s="27">
        <v>23</v>
      </c>
      <c r="G42" s="34">
        <f t="shared" ref="G42:G53" si="9">IF(F42="","",IF(E42="PC 17",F42*4.2,IF(E42="PC 19",F42*5,IF(E42="CB",F42*24,""))))</f>
        <v>96.600000000000009</v>
      </c>
      <c r="H42" s="26" t="s">
        <v>20</v>
      </c>
      <c r="I42" s="26" t="s">
        <v>52</v>
      </c>
      <c r="J42" s="26" t="s">
        <v>51</v>
      </c>
      <c r="K42" s="29">
        <v>0.84375</v>
      </c>
      <c r="L42" s="29">
        <v>0.85763888888888884</v>
      </c>
      <c r="M42" s="35">
        <f t="shared" ref="M42:M53" ca="1" si="10">IFERROR(IF(K42="","",IF(L42="",MOD(NOW()-K42,1),IF(L42&gt;=K42,L42-K42,L42+1-K42))),"")</f>
        <v>1.388888888888884E-2</v>
      </c>
      <c r="N42" s="27"/>
      <c r="O42" s="60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250</v>
      </c>
      <c r="F43" s="27">
        <v>8</v>
      </c>
      <c r="G43" s="28">
        <f t="shared" si="9"/>
        <v>33.6</v>
      </c>
      <c r="H43" s="33" t="s">
        <v>20</v>
      </c>
      <c r="I43" s="33" t="s">
        <v>57</v>
      </c>
      <c r="J43" s="33" t="s">
        <v>51</v>
      </c>
      <c r="K43" s="29">
        <v>0.875</v>
      </c>
      <c r="L43" s="29">
        <v>0.89583333333333337</v>
      </c>
      <c r="M43" s="35">
        <f t="shared" ca="1" si="10"/>
        <v>2.083333333333337E-2</v>
      </c>
      <c r="N43" s="27"/>
      <c r="O43" s="60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250</v>
      </c>
      <c r="F44" s="27">
        <v>8</v>
      </c>
      <c r="G44" s="34">
        <f t="shared" si="9"/>
        <v>33.6</v>
      </c>
      <c r="H44" s="26" t="s">
        <v>19</v>
      </c>
      <c r="I44" s="26" t="s">
        <v>52</v>
      </c>
      <c r="J44" s="26" t="s">
        <v>27</v>
      </c>
      <c r="K44" s="29">
        <v>0.92638888888888893</v>
      </c>
      <c r="L44" s="29">
        <v>0.94097222222222221</v>
      </c>
      <c r="M44" s="35">
        <f t="shared" ca="1" si="10"/>
        <v>1.4583333333333282E-2</v>
      </c>
      <c r="N44" s="27"/>
      <c r="O44" s="60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250</v>
      </c>
      <c r="F45" s="27">
        <v>3</v>
      </c>
      <c r="G45" s="28">
        <f t="shared" si="9"/>
        <v>12.600000000000001</v>
      </c>
      <c r="H45" s="33" t="s">
        <v>20</v>
      </c>
      <c r="I45" s="33" t="s">
        <v>57</v>
      </c>
      <c r="J45" s="33" t="s">
        <v>62</v>
      </c>
      <c r="K45" s="29">
        <v>0.96944444444444444</v>
      </c>
      <c r="L45" s="29">
        <v>0.99305555555555558</v>
      </c>
      <c r="M45" s="35">
        <f t="shared" ca="1" si="10"/>
        <v>2.3611111111111138E-2</v>
      </c>
      <c r="N45" s="27" t="s">
        <v>300</v>
      </c>
      <c r="O45" s="60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250</v>
      </c>
      <c r="F46" s="27">
        <v>8</v>
      </c>
      <c r="G46" s="34">
        <f t="shared" si="9"/>
        <v>33.6</v>
      </c>
      <c r="H46" s="26" t="s">
        <v>20</v>
      </c>
      <c r="I46" s="26" t="s">
        <v>57</v>
      </c>
      <c r="J46" s="26" t="s">
        <v>36</v>
      </c>
      <c r="K46" s="29">
        <v>0.99583333333333335</v>
      </c>
      <c r="L46" s="29">
        <v>6.2500000000000003E-3</v>
      </c>
      <c r="M46" s="35">
        <f t="shared" ca="1" si="10"/>
        <v>1.0416666666666741E-2</v>
      </c>
      <c r="N46" s="27"/>
      <c r="O46" s="60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250</v>
      </c>
      <c r="F47" s="27">
        <v>11</v>
      </c>
      <c r="G47" s="28">
        <f t="shared" si="9"/>
        <v>46.2</v>
      </c>
      <c r="H47" s="33" t="s">
        <v>19</v>
      </c>
      <c r="I47" s="33" t="s">
        <v>57</v>
      </c>
      <c r="J47" s="33" t="s">
        <v>27</v>
      </c>
      <c r="K47" s="29">
        <v>0.1875</v>
      </c>
      <c r="L47" s="29">
        <v>0.19791666666666666</v>
      </c>
      <c r="M47" s="35">
        <f t="shared" ca="1" si="10"/>
        <v>1.0416666666666657E-2</v>
      </c>
      <c r="N47" s="27"/>
      <c r="O47" s="60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250</v>
      </c>
      <c r="F48" s="27">
        <v>17</v>
      </c>
      <c r="G48" s="34">
        <f t="shared" si="9"/>
        <v>71.400000000000006</v>
      </c>
      <c r="H48" s="26" t="s">
        <v>20</v>
      </c>
      <c r="I48" s="26" t="s">
        <v>57</v>
      </c>
      <c r="J48" s="26" t="s">
        <v>28</v>
      </c>
      <c r="K48" s="29">
        <v>0.19791666666666666</v>
      </c>
      <c r="L48" s="29">
        <v>0.23194444444444445</v>
      </c>
      <c r="M48" s="35">
        <f t="shared" ca="1" si="10"/>
        <v>3.4027777777777796E-2</v>
      </c>
      <c r="N48" s="27"/>
      <c r="O48" s="60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250</v>
      </c>
      <c r="F49" s="27">
        <v>20</v>
      </c>
      <c r="G49" s="28">
        <f t="shared" si="9"/>
        <v>84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250</v>
      </c>
      <c r="F50" s="27">
        <v>12</v>
      </c>
      <c r="G50" s="34"/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250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250</v>
      </c>
      <c r="F52" s="27">
        <v>11</v>
      </c>
      <c r="G52" s="34">
        <f t="shared" si="9"/>
        <v>46.2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250</v>
      </c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104" t="s">
        <v>238</v>
      </c>
      <c r="B54" s="105"/>
      <c r="C54" s="105"/>
      <c r="D54" s="105"/>
      <c r="E54" s="106">
        <f>SUM(E42:E53)</f>
        <v>0</v>
      </c>
      <c r="F54" s="36">
        <f>SUM(F42:F53)</f>
        <v>121</v>
      </c>
      <c r="G54" s="36">
        <f>SUM(G42:G53)</f>
        <v>457.8</v>
      </c>
      <c r="H54" s="37"/>
      <c r="I54" s="37"/>
      <c r="J54" s="37"/>
      <c r="K54" s="61"/>
      <c r="L54" s="61"/>
      <c r="M54" s="38">
        <f ca="1">IFERROR(SUM(M42:M53),"")</f>
        <v>0.12777777777777782</v>
      </c>
      <c r="N54" s="36" t="s">
        <v>236</v>
      </c>
      <c r="O54" s="39">
        <v>352430</v>
      </c>
    </row>
    <row r="55" spans="1:15" ht="18" customHeight="1">
      <c r="A55" s="107" t="s">
        <v>239</v>
      </c>
      <c r="B55" s="108"/>
      <c r="C55" s="108"/>
      <c r="D55" s="108"/>
      <c r="E55" s="109">
        <f>E41+E54</f>
        <v>0</v>
      </c>
      <c r="F55" s="40">
        <f>F41+F54</f>
        <v>262</v>
      </c>
      <c r="G55" s="40">
        <f>G41+G54</f>
        <v>1066.8</v>
      </c>
      <c r="H55" s="41"/>
      <c r="I55" s="41"/>
      <c r="J55" s="41"/>
      <c r="K55" s="63"/>
      <c r="L55" s="63"/>
      <c r="M55" s="42">
        <f ca="1">IFERROR(M41+M54,"")</f>
        <v>0.1388888888888889</v>
      </c>
      <c r="N55" s="40" t="s">
        <v>240</v>
      </c>
      <c r="O55" s="48">
        <f>IFERROR(O41+O54,"")</f>
        <v>1119230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250</v>
      </c>
      <c r="F56" s="27">
        <v>18</v>
      </c>
      <c r="G56" s="28">
        <f t="shared" ref="G56:G67" si="12">IF(F56="","",IF(E56="PC 17",F56*4.2,IF(E56="PC 19",F56*5,IF(E56="CB",F56*24,""))))</f>
        <v>75.600000000000009</v>
      </c>
      <c r="H56" s="26" t="s">
        <v>20</v>
      </c>
      <c r="I56" s="26" t="s">
        <v>57</v>
      </c>
      <c r="J56" s="33" t="s">
        <v>51</v>
      </c>
      <c r="K56" s="29">
        <v>0.4284722222222222</v>
      </c>
      <c r="L56" s="29">
        <v>0.43402777777777779</v>
      </c>
      <c r="M56" s="30">
        <f t="shared" ref="M56:M67" ca="1" si="13">IFERROR(IF(K56="","",IF(L56="",MOD(NOW()-K56,1),IF(L56&gt;=K56,L56-K56,L56+1-K56))),"")</f>
        <v>5.5555555555555913E-3</v>
      </c>
      <c r="N56" s="27"/>
      <c r="O56" s="60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250</v>
      </c>
      <c r="F57" s="27">
        <v>12</v>
      </c>
      <c r="G57" s="34">
        <f t="shared" si="12"/>
        <v>50.400000000000006</v>
      </c>
      <c r="H57" s="33" t="s">
        <v>19</v>
      </c>
      <c r="I57" s="33" t="s">
        <v>52</v>
      </c>
      <c r="J57" s="33" t="s">
        <v>27</v>
      </c>
      <c r="K57" s="29">
        <v>0.50208333333333333</v>
      </c>
      <c r="L57" s="29">
        <v>0.52569444444444446</v>
      </c>
      <c r="M57" s="35">
        <f t="shared" ca="1" si="13"/>
        <v>2.3611111111111138E-2</v>
      </c>
      <c r="N57" s="27"/>
      <c r="O57" s="60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250</v>
      </c>
      <c r="F58" s="27">
        <v>15</v>
      </c>
      <c r="G58" s="28">
        <f t="shared" si="12"/>
        <v>63</v>
      </c>
      <c r="H58" s="26" t="s">
        <v>20</v>
      </c>
      <c r="I58" s="26" t="s">
        <v>57</v>
      </c>
      <c r="J58" s="26" t="s">
        <v>206</v>
      </c>
      <c r="K58" s="29">
        <v>0.52777777777777779</v>
      </c>
      <c r="L58" s="29">
        <v>0.53263888888888888</v>
      </c>
      <c r="M58" s="30">
        <f t="shared" ca="1" si="13"/>
        <v>4.8611111111110938E-3</v>
      </c>
      <c r="N58" s="27"/>
      <c r="O58" s="60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250</v>
      </c>
      <c r="F59" s="27">
        <v>15</v>
      </c>
      <c r="G59" s="34">
        <f t="shared" si="12"/>
        <v>63</v>
      </c>
      <c r="H59" s="33" t="s">
        <v>18</v>
      </c>
      <c r="I59" s="33" t="s">
        <v>52</v>
      </c>
      <c r="J59" s="33" t="s">
        <v>34</v>
      </c>
      <c r="K59" s="29">
        <v>0.60555555555555551</v>
      </c>
      <c r="L59" s="29">
        <v>0.66319444444444442</v>
      </c>
      <c r="M59" s="35">
        <f t="shared" ca="1" si="13"/>
        <v>5.7638888888888906E-2</v>
      </c>
      <c r="N59" s="27" t="s">
        <v>301</v>
      </c>
      <c r="O59" s="60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250</v>
      </c>
      <c r="F60" s="27">
        <v>16</v>
      </c>
      <c r="G60" s="28">
        <f t="shared" si="12"/>
        <v>67.2</v>
      </c>
      <c r="H60" s="26" t="s">
        <v>18</v>
      </c>
      <c r="I60" s="26" t="s">
        <v>52</v>
      </c>
      <c r="J60" s="26" t="s">
        <v>130</v>
      </c>
      <c r="K60" s="29">
        <v>0.69513888888888886</v>
      </c>
      <c r="L60" s="29">
        <v>0.74861111111111112</v>
      </c>
      <c r="M60" s="30">
        <f t="shared" ca="1" si="13"/>
        <v>5.3472222222222254E-2</v>
      </c>
      <c r="N60" s="27" t="s">
        <v>302</v>
      </c>
      <c r="O60" s="60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250</v>
      </c>
      <c r="F61" s="27">
        <v>7</v>
      </c>
      <c r="G61" s="34">
        <f t="shared" si="12"/>
        <v>29.400000000000002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250</v>
      </c>
      <c r="F62" s="27">
        <v>15</v>
      </c>
      <c r="G62" s="28">
        <f t="shared" si="12"/>
        <v>63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250</v>
      </c>
      <c r="F63" s="27">
        <v>5</v>
      </c>
      <c r="G63" s="34">
        <f t="shared" si="12"/>
        <v>21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250</v>
      </c>
      <c r="F64" s="27">
        <v>0</v>
      </c>
      <c r="G64" s="28">
        <f t="shared" si="12"/>
        <v>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250</v>
      </c>
      <c r="F65" s="27">
        <v>6</v>
      </c>
      <c r="G65" s="34">
        <f t="shared" si="12"/>
        <v>25.200000000000003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250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250</v>
      </c>
      <c r="F67" s="27">
        <v>6</v>
      </c>
      <c r="G67" s="34">
        <f t="shared" si="12"/>
        <v>25.200000000000003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104" t="s">
        <v>235</v>
      </c>
      <c r="B68" s="105"/>
      <c r="C68" s="105"/>
      <c r="D68" s="105"/>
      <c r="E68" s="106">
        <f>SUM(E56:E67)</f>
        <v>0</v>
      </c>
      <c r="F68" s="36">
        <f>SUM(F56:F67)</f>
        <v>115</v>
      </c>
      <c r="G68" s="36">
        <f>SUM(G56:G67)</f>
        <v>482.99999999999994</v>
      </c>
      <c r="H68" s="37"/>
      <c r="I68" s="37"/>
      <c r="J68" s="37"/>
      <c r="K68" s="61"/>
      <c r="L68" s="61"/>
      <c r="M68" s="38">
        <f ca="1">IFERROR(SUM(M56:M67),"")</f>
        <v>0.14513888888888898</v>
      </c>
      <c r="N68" s="36" t="s">
        <v>236</v>
      </c>
      <c r="O68" s="39">
        <v>477090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250</v>
      </c>
      <c r="F69" s="27">
        <v>7</v>
      </c>
      <c r="G69" s="34">
        <f t="shared" ref="G69:G80" si="15">IF(F69="","",IF(E69="PC 17",F69*4.2,IF(E69="PC 19",F69*5,IF(E69="CB",F69*24,""))))</f>
        <v>29.400000000000002</v>
      </c>
      <c r="H69" s="33" t="s">
        <v>18</v>
      </c>
      <c r="I69" s="33" t="s">
        <v>52</v>
      </c>
      <c r="J69" s="33" t="s">
        <v>217</v>
      </c>
      <c r="K69" s="29">
        <v>0.79166666666666663</v>
      </c>
      <c r="L69" s="29">
        <v>0.84097222222222223</v>
      </c>
      <c r="M69" s="35">
        <f t="shared" ref="M69:M80" ca="1" si="16">IFERROR(IF(K69="","",IF(L69="",MOD(NOW()-K69,1),IF(L69&gt;=K69,L69-K69,L69+1-K69))),"")</f>
        <v>4.9305555555555602E-2</v>
      </c>
      <c r="N69" s="27" t="s">
        <v>303</v>
      </c>
      <c r="O69" s="60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250</v>
      </c>
      <c r="F70" s="27">
        <v>9</v>
      </c>
      <c r="G70" s="28">
        <f t="shared" si="15"/>
        <v>37.800000000000004</v>
      </c>
      <c r="H70" s="26" t="s">
        <v>20</v>
      </c>
      <c r="I70" s="26" t="s">
        <v>57</v>
      </c>
      <c r="J70" s="26" t="s">
        <v>62</v>
      </c>
      <c r="K70" s="29">
        <v>0.94374999999999998</v>
      </c>
      <c r="L70" s="29">
        <v>0.9458333333333333</v>
      </c>
      <c r="M70" s="30">
        <f t="shared" ca="1" si="16"/>
        <v>2.0833333333333259E-3</v>
      </c>
      <c r="N70" s="27"/>
      <c r="O70" s="60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250</v>
      </c>
      <c r="F71" s="27">
        <v>9</v>
      </c>
      <c r="G71" s="34">
        <f t="shared" si="15"/>
        <v>37.800000000000004</v>
      </c>
      <c r="H71" s="33" t="s">
        <v>19</v>
      </c>
      <c r="I71" s="33" t="s">
        <v>57</v>
      </c>
      <c r="J71" s="33" t="s">
        <v>27</v>
      </c>
      <c r="K71" s="29">
        <v>0.98541666666666672</v>
      </c>
      <c r="L71" s="29">
        <v>0.99652777777777779</v>
      </c>
      <c r="M71" s="35">
        <f t="shared" ca="1" si="16"/>
        <v>1.1111111111111072E-2</v>
      </c>
      <c r="N71" s="27"/>
      <c r="O71" s="60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250</v>
      </c>
      <c r="F72" s="27">
        <v>11</v>
      </c>
      <c r="G72" s="28">
        <f t="shared" si="15"/>
        <v>46.2</v>
      </c>
      <c r="H72" s="26" t="s">
        <v>18</v>
      </c>
      <c r="I72" s="26" t="s">
        <v>57</v>
      </c>
      <c r="J72" s="26" t="s">
        <v>130</v>
      </c>
      <c r="K72" s="29">
        <v>0.99652777777777779</v>
      </c>
      <c r="L72" s="29">
        <v>9.0277777777777769E-3</v>
      </c>
      <c r="M72" s="30">
        <f t="shared" ca="1" si="16"/>
        <v>1.2500000000000067E-2</v>
      </c>
      <c r="N72" s="27" t="s">
        <v>281</v>
      </c>
      <c r="O72" s="60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250</v>
      </c>
      <c r="F73" s="27">
        <v>13</v>
      </c>
      <c r="G73" s="34">
        <f t="shared" si="15"/>
        <v>54.6</v>
      </c>
      <c r="H73" s="33" t="s">
        <v>19</v>
      </c>
      <c r="I73" s="33" t="s">
        <v>52</v>
      </c>
      <c r="J73" s="33" t="s">
        <v>27</v>
      </c>
      <c r="K73" s="29">
        <v>0.11597222222222223</v>
      </c>
      <c r="L73" s="29">
        <v>0.12430555555555556</v>
      </c>
      <c r="M73" s="35">
        <f t="shared" ca="1" si="16"/>
        <v>8.3333333333333315E-3</v>
      </c>
      <c r="N73" s="27"/>
      <c r="O73" s="60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250</v>
      </c>
      <c r="F74" s="27">
        <v>14</v>
      </c>
      <c r="G74" s="28">
        <f t="shared" si="15"/>
        <v>58.800000000000004</v>
      </c>
      <c r="H74" s="26" t="s">
        <v>20</v>
      </c>
      <c r="I74" s="26" t="s">
        <v>52</v>
      </c>
      <c r="J74" s="33" t="s">
        <v>206</v>
      </c>
      <c r="K74" s="29">
        <v>0.16388888888888889</v>
      </c>
      <c r="L74" s="29">
        <v>0.16666666666666666</v>
      </c>
      <c r="M74" s="30">
        <f t="shared" ca="1" si="16"/>
        <v>2.7777777777777679E-3</v>
      </c>
      <c r="N74" s="27"/>
      <c r="O74" s="60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250</v>
      </c>
      <c r="F75" s="27">
        <v>18</v>
      </c>
      <c r="G75" s="34">
        <f>IF(F75="","",IF(E75="PC 17",F75*4.2,IF(E75="PC 19",F75*5,IF(E75="CB",F75*24,""))))</f>
        <v>75.600000000000009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60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250</v>
      </c>
      <c r="F76" s="27">
        <v>12</v>
      </c>
      <c r="G76" s="28">
        <f t="shared" si="15"/>
        <v>50.400000000000006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60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250</v>
      </c>
      <c r="F77" s="27">
        <v>12</v>
      </c>
      <c r="G77" s="34">
        <f t="shared" si="15"/>
        <v>50.400000000000006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60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30</v>
      </c>
      <c r="E78" s="62" t="s">
        <v>250</v>
      </c>
      <c r="F78" s="27">
        <v>14</v>
      </c>
      <c r="G78" s="28">
        <f t="shared" si="15"/>
        <v>58.800000000000004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 t="s">
        <v>250</v>
      </c>
      <c r="F79" s="27">
        <v>14</v>
      </c>
      <c r="G79" s="34">
        <f t="shared" si="15"/>
        <v>58.800000000000004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/>
      <c r="F80" s="27">
        <v>10</v>
      </c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104" t="s">
        <v>238</v>
      </c>
      <c r="B81" s="105"/>
      <c r="C81" s="105"/>
      <c r="D81" s="105"/>
      <c r="E81" s="106">
        <f>SUM(E69:E80)</f>
        <v>0</v>
      </c>
      <c r="F81" s="36">
        <f>SUM(F69:F80)</f>
        <v>143</v>
      </c>
      <c r="G81" s="36">
        <f>SUM(G69:G80)</f>
        <v>558.6</v>
      </c>
      <c r="H81" s="37"/>
      <c r="I81" s="37"/>
      <c r="J81" s="37"/>
      <c r="K81" s="61"/>
      <c r="L81" s="61"/>
      <c r="M81" s="38">
        <f ca="1">IFERROR(SUM(M69:M80),"")</f>
        <v>8.6111111111111166E-2</v>
      </c>
      <c r="N81" s="36" t="s">
        <v>236</v>
      </c>
      <c r="O81" s="39">
        <v>612410</v>
      </c>
    </row>
    <row r="82" spans="1:15" ht="18" customHeight="1">
      <c r="A82" s="107" t="s">
        <v>239</v>
      </c>
      <c r="B82" s="108"/>
      <c r="C82" s="108"/>
      <c r="D82" s="108"/>
      <c r="E82" s="109">
        <f>E68+E81</f>
        <v>0</v>
      </c>
      <c r="F82" s="40">
        <f>F68+F81</f>
        <v>258</v>
      </c>
      <c r="G82" s="40">
        <f>G68+G81</f>
        <v>1041.5999999999999</v>
      </c>
      <c r="H82" s="41"/>
      <c r="I82" s="41"/>
      <c r="J82" s="41"/>
      <c r="K82" s="63"/>
      <c r="L82" s="63"/>
      <c r="M82" s="42">
        <f ca="1">IFERROR(M68+M81,"")</f>
        <v>0.23125000000000015</v>
      </c>
      <c r="N82" s="40" t="s">
        <v>240</v>
      </c>
      <c r="O82" s="48">
        <f>IFERROR(O68+O81,"")</f>
        <v>1089500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250</v>
      </c>
      <c r="F83" s="27">
        <v>15</v>
      </c>
      <c r="G83" s="28">
        <f t="shared" ref="G83:G94" si="18">IF(F83="","",IF(E83="PC 17",F83*4.2,IF(E83="PC 19",F83*5,IF(E83="CB",F83*24,""))))</f>
        <v>63</v>
      </c>
      <c r="H83" s="33" t="s">
        <v>19</v>
      </c>
      <c r="I83" s="33" t="s">
        <v>162</v>
      </c>
      <c r="J83" s="33" t="s">
        <v>27</v>
      </c>
      <c r="K83" s="29">
        <v>0.375</v>
      </c>
      <c r="L83" s="29">
        <v>0.39444444444444443</v>
      </c>
      <c r="M83" s="30">
        <f t="shared" ref="M83:M94" ca="1" si="19">IFERROR(IF(K83="","",IF(L83="",MOD(NOW()-K83,1),IF(L83&gt;=K83,L83-K83,L83+1-K83))),"")</f>
        <v>1.9444444444444431E-2</v>
      </c>
      <c r="N83" s="27"/>
      <c r="O83" s="60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250</v>
      </c>
      <c r="F84" s="27">
        <v>20</v>
      </c>
      <c r="G84" s="34">
        <f t="shared" si="18"/>
        <v>84</v>
      </c>
      <c r="H84" s="26" t="s">
        <v>19</v>
      </c>
      <c r="I84" s="26" t="s">
        <v>52</v>
      </c>
      <c r="J84" s="26" t="s">
        <v>27</v>
      </c>
      <c r="K84" s="29">
        <v>0.70833333333333337</v>
      </c>
      <c r="L84" s="29">
        <v>0.72986111111111107</v>
      </c>
      <c r="M84" s="35">
        <f t="shared" ca="1" si="19"/>
        <v>2.1527777777777701E-2</v>
      </c>
      <c r="N84" s="27"/>
      <c r="O84" s="60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250</v>
      </c>
      <c r="F85" s="27">
        <v>10</v>
      </c>
      <c r="G85" s="28">
        <f t="shared" si="18"/>
        <v>42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250</v>
      </c>
      <c r="F86" s="27">
        <v>17</v>
      </c>
      <c r="G86" s="34">
        <f t="shared" si="18"/>
        <v>71.400000000000006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250</v>
      </c>
      <c r="F87" s="27">
        <v>17</v>
      </c>
      <c r="G87" s="28">
        <f t="shared" si="18"/>
        <v>71.400000000000006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250</v>
      </c>
      <c r="F88" s="27">
        <v>15</v>
      </c>
      <c r="G88" s="34">
        <f t="shared" si="18"/>
        <v>63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250</v>
      </c>
      <c r="F89" s="27">
        <v>16</v>
      </c>
      <c r="G89" s="28">
        <f t="shared" si="18"/>
        <v>67.2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250</v>
      </c>
      <c r="F90" s="27">
        <v>20</v>
      </c>
      <c r="G90" s="34">
        <f t="shared" si="18"/>
        <v>84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250</v>
      </c>
      <c r="F91" s="27">
        <v>16</v>
      </c>
      <c r="G91" s="28">
        <f t="shared" si="18"/>
        <v>67.2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250</v>
      </c>
      <c r="F92" s="27">
        <v>19</v>
      </c>
      <c r="G92" s="34">
        <f t="shared" si="18"/>
        <v>79.8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250</v>
      </c>
      <c r="F93" s="27">
        <v>3</v>
      </c>
      <c r="G93" s="28">
        <f t="shared" si="18"/>
        <v>12.600000000000001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250</v>
      </c>
      <c r="F94" s="27">
        <v>15</v>
      </c>
      <c r="G94" s="34">
        <f t="shared" si="18"/>
        <v>63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104" t="s">
        <v>235</v>
      </c>
      <c r="B95" s="105"/>
      <c r="C95" s="105"/>
      <c r="D95" s="105"/>
      <c r="E95" s="106">
        <f>SUM(E83:E94)</f>
        <v>0</v>
      </c>
      <c r="F95" s="36">
        <f>SUM(F83:F94)</f>
        <v>183</v>
      </c>
      <c r="G95" s="36">
        <f>SUM(G83:G94)</f>
        <v>768.6</v>
      </c>
      <c r="H95" s="37"/>
      <c r="I95" s="37"/>
      <c r="J95" s="37"/>
      <c r="K95" s="61"/>
      <c r="L95" s="61"/>
      <c r="M95" s="38">
        <f ca="1">IFERROR(SUM(M83:M94),"")</f>
        <v>4.0972222222222132E-2</v>
      </c>
      <c r="N95" s="36" t="s">
        <v>236</v>
      </c>
      <c r="O95" s="39">
        <v>786700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250</v>
      </c>
      <c r="F96" s="27">
        <v>20</v>
      </c>
      <c r="G96" s="34">
        <f t="shared" ref="G96:G107" si="21">IF(F96="","",IF(E96="PC 17",F96*4.2,IF(E96="PC 19",F96*5,IF(E96="CB",F96*24,""))))</f>
        <v>84</v>
      </c>
      <c r="H96" s="26" t="s">
        <v>19</v>
      </c>
      <c r="I96" s="26" t="s">
        <v>162</v>
      </c>
      <c r="J96" s="26" t="s">
        <v>27</v>
      </c>
      <c r="K96" s="29">
        <v>0.99861111111111112</v>
      </c>
      <c r="L96" s="29">
        <v>1.1805555555555555E-2</v>
      </c>
      <c r="M96" s="35">
        <f t="shared" ref="M96:M107" ca="1" si="22">IFERROR(IF(K96="","",IF(L96="",MOD(NOW()-K96,1),IF(L96&gt;=K96,L96-K96,L96+1-K96))),"")</f>
        <v>1.3194444444444509E-2</v>
      </c>
      <c r="N96" s="27"/>
      <c r="O96" s="60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250</v>
      </c>
      <c r="F97" s="27">
        <v>20</v>
      </c>
      <c r="G97" s="28">
        <f t="shared" si="21"/>
        <v>84</v>
      </c>
      <c r="H97" s="33" t="s">
        <v>18</v>
      </c>
      <c r="I97" s="33" t="s">
        <v>52</v>
      </c>
      <c r="J97" s="33" t="s">
        <v>130</v>
      </c>
      <c r="K97" s="29">
        <v>6.8750000000000006E-2</v>
      </c>
      <c r="L97" s="29">
        <v>8.6805555555555552E-2</v>
      </c>
      <c r="M97" s="30">
        <f t="shared" ca="1" si="22"/>
        <v>1.8055555555555547E-2</v>
      </c>
      <c r="N97" s="27" t="s">
        <v>281</v>
      </c>
      <c r="O97" s="60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250</v>
      </c>
      <c r="F98" s="27">
        <v>15</v>
      </c>
      <c r="G98" s="34">
        <f>IF(F98="","",IF(E98="PC 17",F98*4.2,IF(E98="PC 19",F98*5,IF(E98="CB",F98*24,""))))</f>
        <v>63</v>
      </c>
      <c r="H98" s="26"/>
      <c r="I98" s="26"/>
      <c r="J98" s="26"/>
      <c r="K98" s="29"/>
      <c r="L98" s="29"/>
      <c r="M98" s="35" t="str">
        <f t="shared" ca="1" si="22"/>
        <v/>
      </c>
      <c r="N98" s="27"/>
      <c r="O98" s="60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250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250</v>
      </c>
      <c r="F100" s="27">
        <v>14</v>
      </c>
      <c r="G100" s="34">
        <f t="shared" si="21"/>
        <v>58.800000000000004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250</v>
      </c>
      <c r="F101" s="27">
        <v>10</v>
      </c>
      <c r="G101" s="28">
        <f t="shared" si="21"/>
        <v>42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250</v>
      </c>
      <c r="F102" s="27">
        <v>14</v>
      </c>
      <c r="G102" s="34">
        <f t="shared" si="21"/>
        <v>58.800000000000004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250</v>
      </c>
      <c r="F103" s="27">
        <v>28</v>
      </c>
      <c r="G103" s="28">
        <f t="shared" si="21"/>
        <v>117.60000000000001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250</v>
      </c>
      <c r="F104" s="27">
        <v>17</v>
      </c>
      <c r="G104" s="34">
        <f t="shared" si="21"/>
        <v>71.400000000000006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250</v>
      </c>
      <c r="F105" s="27">
        <v>12</v>
      </c>
      <c r="G105" s="28">
        <f t="shared" si="21"/>
        <v>50.400000000000006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250</v>
      </c>
      <c r="F106" s="27">
        <v>15</v>
      </c>
      <c r="G106" s="34">
        <f t="shared" si="21"/>
        <v>63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250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104" t="s">
        <v>238</v>
      </c>
      <c r="B108" s="105"/>
      <c r="C108" s="105"/>
      <c r="D108" s="105"/>
      <c r="E108" s="106">
        <f>SUM(E96:E107)</f>
        <v>0</v>
      </c>
      <c r="F108" s="36">
        <f>SUM(F96:F107)</f>
        <v>197</v>
      </c>
      <c r="G108" s="36">
        <f>SUM(G96:G107)</f>
        <v>827.4</v>
      </c>
      <c r="H108" s="37"/>
      <c r="I108" s="37"/>
      <c r="J108" s="37"/>
      <c r="K108" s="61"/>
      <c r="L108" s="61"/>
      <c r="M108" s="38">
        <f ca="1">IFERROR(SUM(M96:M107),"")</f>
        <v>3.1250000000000056E-2</v>
      </c>
      <c r="N108" s="36" t="s">
        <v>236</v>
      </c>
      <c r="O108" s="39">
        <v>956070</v>
      </c>
    </row>
    <row r="109" spans="1:15" ht="18" customHeight="1">
      <c r="A109" s="107" t="s">
        <v>239</v>
      </c>
      <c r="B109" s="108"/>
      <c r="C109" s="108"/>
      <c r="D109" s="108"/>
      <c r="E109" s="109">
        <f>E95+E108</f>
        <v>0</v>
      </c>
      <c r="F109" s="40">
        <f>F95+F108</f>
        <v>380</v>
      </c>
      <c r="G109" s="40">
        <f>G95+G108</f>
        <v>1596</v>
      </c>
      <c r="H109" s="41"/>
      <c r="I109" s="41"/>
      <c r="J109" s="41"/>
      <c r="K109" s="63"/>
      <c r="L109" s="63"/>
      <c r="M109" s="42">
        <f ca="1">IFERROR(M95+M108,"")</f>
        <v>7.2222222222222188E-2</v>
      </c>
      <c r="N109" s="40" t="s">
        <v>240</v>
      </c>
      <c r="O109" s="48">
        <f>IFERROR(O95+O108,"")</f>
        <v>1742770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250</v>
      </c>
      <c r="F110" s="27">
        <v>25</v>
      </c>
      <c r="G110" s="28">
        <f t="shared" ref="G110:G121" si="24">IF(F110="","",IF(E110="PC 17",F110*4.2,IF(E110="PC 19",F110*5,IF(E110="CB",F110*24,""))))</f>
        <v>105</v>
      </c>
      <c r="H110" s="26" t="s">
        <v>19</v>
      </c>
      <c r="I110" s="26" t="s">
        <v>162</v>
      </c>
      <c r="J110" s="26" t="s">
        <v>27</v>
      </c>
      <c r="K110" s="29">
        <v>0.33333333333333331</v>
      </c>
      <c r="L110" s="29">
        <v>0.3527777777777778</v>
      </c>
      <c r="M110" s="30">
        <f t="shared" ref="M110:M121" ca="1" si="25">IFERROR(IF(K110="","",IF(L110="",MOD(NOW()-K110,1),IF(L110&gt;=K110,L110-K110,L110+1-K110))),"")</f>
        <v>1.9444444444444486E-2</v>
      </c>
      <c r="N110" s="27"/>
      <c r="O110" s="60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250</v>
      </c>
      <c r="F111" s="27">
        <v>10</v>
      </c>
      <c r="G111" s="34">
        <f t="shared" si="24"/>
        <v>42</v>
      </c>
      <c r="H111" s="33" t="s">
        <v>18</v>
      </c>
      <c r="I111" s="33" t="s">
        <v>57</v>
      </c>
      <c r="J111" s="33" t="s">
        <v>217</v>
      </c>
      <c r="K111" s="29">
        <v>0.40277777777777779</v>
      </c>
      <c r="L111" s="29">
        <v>0.41805555555555557</v>
      </c>
      <c r="M111" s="35">
        <f t="shared" ca="1" si="25"/>
        <v>1.5277777777777779E-2</v>
      </c>
      <c r="N111" s="27"/>
      <c r="O111" s="60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250</v>
      </c>
      <c r="F112" s="27">
        <v>16</v>
      </c>
      <c r="G112" s="28">
        <f t="shared" si="24"/>
        <v>67.2</v>
      </c>
      <c r="H112" s="26" t="s">
        <v>18</v>
      </c>
      <c r="I112" s="26"/>
      <c r="J112" s="33" t="s">
        <v>222</v>
      </c>
      <c r="K112" s="29">
        <v>0.57499999999999996</v>
      </c>
      <c r="L112" s="29">
        <v>0.59722222222222221</v>
      </c>
      <c r="M112" s="30">
        <f t="shared" ca="1" si="25"/>
        <v>2.2222222222222254E-2</v>
      </c>
      <c r="N112" s="27"/>
      <c r="O112" s="60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250</v>
      </c>
      <c r="F113" s="27">
        <v>18</v>
      </c>
      <c r="G113" s="34">
        <f t="shared" si="24"/>
        <v>75.600000000000009</v>
      </c>
      <c r="H113" s="26" t="s">
        <v>18</v>
      </c>
      <c r="I113" s="33"/>
      <c r="J113" s="33" t="s">
        <v>222</v>
      </c>
      <c r="K113" s="29">
        <v>0.60416666666666663</v>
      </c>
      <c r="L113" s="29">
        <v>0.61805555555555558</v>
      </c>
      <c r="M113" s="35">
        <f t="shared" ca="1" si="25"/>
        <v>1.3888888888888951E-2</v>
      </c>
      <c r="N113" s="27"/>
      <c r="O113" s="60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250</v>
      </c>
      <c r="F114" s="27">
        <v>14</v>
      </c>
      <c r="G114" s="28">
        <f t="shared" si="24"/>
        <v>58.800000000000004</v>
      </c>
      <c r="H114" s="26" t="s">
        <v>19</v>
      </c>
      <c r="I114" s="26" t="s">
        <v>162</v>
      </c>
      <c r="J114" s="26" t="s">
        <v>27</v>
      </c>
      <c r="K114" s="29">
        <v>0.68541666666666667</v>
      </c>
      <c r="L114" s="29">
        <v>0.73888888888888893</v>
      </c>
      <c r="M114" s="30">
        <f t="shared" ca="1" si="25"/>
        <v>5.3472222222222254E-2</v>
      </c>
      <c r="N114" s="27" t="s">
        <v>304</v>
      </c>
      <c r="O114" s="60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250</v>
      </c>
      <c r="F115" s="27">
        <v>20</v>
      </c>
      <c r="G115" s="34">
        <f t="shared" si="24"/>
        <v>84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250</v>
      </c>
      <c r="F116" s="27">
        <v>13</v>
      </c>
      <c r="G116" s="28">
        <f t="shared" si="24"/>
        <v>54.6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250</v>
      </c>
      <c r="F117" s="27">
        <v>7</v>
      </c>
      <c r="G117" s="34">
        <f t="shared" si="24"/>
        <v>29.400000000000002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250</v>
      </c>
      <c r="F118" s="27">
        <v>21</v>
      </c>
      <c r="G118" s="28">
        <f t="shared" si="24"/>
        <v>88.2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250</v>
      </c>
      <c r="F119" s="27">
        <v>16</v>
      </c>
      <c r="G119" s="34">
        <f t="shared" si="24"/>
        <v>67.2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250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250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104" t="s">
        <v>235</v>
      </c>
      <c r="B122" s="105"/>
      <c r="C122" s="105"/>
      <c r="D122" s="105"/>
      <c r="E122" s="106">
        <f>SUM(E110:E121)</f>
        <v>0</v>
      </c>
      <c r="F122" s="36">
        <f>SUM(F110:F121)</f>
        <v>170</v>
      </c>
      <c r="G122" s="36">
        <f>SUM(G110:G121)</f>
        <v>714.00000000000011</v>
      </c>
      <c r="H122" s="37"/>
      <c r="I122" s="37"/>
      <c r="J122" s="37"/>
      <c r="K122" s="61"/>
      <c r="L122" s="61"/>
      <c r="M122" s="38">
        <f ca="1">IFERROR(SUM(M110:M121),"")</f>
        <v>0.12430555555555572</v>
      </c>
      <c r="N122" s="36" t="s">
        <v>236</v>
      </c>
      <c r="O122" s="39">
        <v>811580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250</v>
      </c>
      <c r="F123" s="27">
        <v>24</v>
      </c>
      <c r="G123" s="34">
        <f t="shared" ref="G123:G134" si="27">IF(F123="","",IF(E123="PC 17",F123*4.2,IF(E123="PC 19",F123*5,IF(E123="CB",F123*24,""))))</f>
        <v>100.80000000000001</v>
      </c>
      <c r="H123" s="33" t="s">
        <v>20</v>
      </c>
      <c r="I123" s="33" t="s">
        <v>52</v>
      </c>
      <c r="J123" s="33" t="s">
        <v>206</v>
      </c>
      <c r="K123" s="29">
        <v>0.85486111111111107</v>
      </c>
      <c r="L123" s="29">
        <v>0.85972222222222228</v>
      </c>
      <c r="M123" s="35">
        <f t="shared" ref="M123:M134" ca="1" si="28">IFERROR(IF(K123="","",IF(L123="",MOD(NOW()-K123,1),IF(L123&gt;=K123,L123-K123,L123+1-K123))),"")</f>
        <v>4.8611111111112049E-3</v>
      </c>
      <c r="N123" s="27"/>
      <c r="O123" s="60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250</v>
      </c>
      <c r="F124" s="27">
        <v>14</v>
      </c>
      <c r="G124" s="28">
        <f t="shared" si="27"/>
        <v>58.800000000000004</v>
      </c>
      <c r="H124" s="26" t="s">
        <v>20</v>
      </c>
      <c r="I124" s="26" t="s">
        <v>52</v>
      </c>
      <c r="J124" s="26" t="s">
        <v>56</v>
      </c>
      <c r="K124" s="29">
        <v>0.86875000000000002</v>
      </c>
      <c r="L124" s="29">
        <v>0.87569444444444444</v>
      </c>
      <c r="M124" s="30">
        <f t="shared" ca="1" si="28"/>
        <v>6.9444444444444198E-3</v>
      </c>
      <c r="N124" s="27" t="s">
        <v>305</v>
      </c>
      <c r="O124" s="60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250</v>
      </c>
      <c r="F125" s="27">
        <v>15</v>
      </c>
      <c r="G125" s="34">
        <f t="shared" si="27"/>
        <v>63</v>
      </c>
      <c r="H125" s="33" t="s">
        <v>20</v>
      </c>
      <c r="I125" s="33" t="s">
        <v>52</v>
      </c>
      <c r="J125" s="33" t="s">
        <v>36</v>
      </c>
      <c r="K125" s="29">
        <v>0.97222222222222221</v>
      </c>
      <c r="L125" s="29">
        <v>0.97916666666666663</v>
      </c>
      <c r="M125" s="35">
        <f t="shared" ca="1" si="28"/>
        <v>6.9444444444444198E-3</v>
      </c>
      <c r="N125" s="27"/>
      <c r="O125" s="60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250</v>
      </c>
      <c r="F126" s="27">
        <v>24</v>
      </c>
      <c r="G126" s="28"/>
      <c r="H126" s="26" t="s">
        <v>19</v>
      </c>
      <c r="I126" s="26" t="s">
        <v>57</v>
      </c>
      <c r="J126" s="26" t="s">
        <v>27</v>
      </c>
      <c r="K126" s="29">
        <v>0.97916666666666663</v>
      </c>
      <c r="L126" s="29">
        <v>0.98958333333333337</v>
      </c>
      <c r="M126" s="30">
        <f t="shared" ca="1" si="28"/>
        <v>1.0416666666666741E-2</v>
      </c>
      <c r="N126" s="27"/>
      <c r="O126" s="60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250</v>
      </c>
      <c r="F127" s="27">
        <v>10</v>
      </c>
      <c r="G127" s="34">
        <f t="shared" si="27"/>
        <v>42</v>
      </c>
      <c r="H127" s="33" t="s">
        <v>19</v>
      </c>
      <c r="I127" s="33" t="s">
        <v>52</v>
      </c>
      <c r="J127" s="33" t="s">
        <v>264</v>
      </c>
      <c r="K127" s="29">
        <v>0.98958333333333337</v>
      </c>
      <c r="L127" s="29">
        <v>0.99930555555555556</v>
      </c>
      <c r="M127" s="35">
        <f t="shared" ca="1" si="28"/>
        <v>9.7222222222221877E-3</v>
      </c>
      <c r="N127" s="27"/>
      <c r="O127" s="60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250</v>
      </c>
      <c r="F128" s="27">
        <v>16</v>
      </c>
      <c r="G128" s="28">
        <f t="shared" si="27"/>
        <v>67.2</v>
      </c>
      <c r="H128" s="26" t="s">
        <v>19</v>
      </c>
      <c r="I128" s="26" t="s">
        <v>57</v>
      </c>
      <c r="J128" s="26" t="s">
        <v>27</v>
      </c>
      <c r="K128" s="29">
        <v>0.2388888888888889</v>
      </c>
      <c r="L128" s="29">
        <v>0.25</v>
      </c>
      <c r="M128" s="30">
        <f t="shared" ca="1" si="28"/>
        <v>1.1111111111111099E-2</v>
      </c>
      <c r="N128" s="27"/>
      <c r="O128" s="60"/>
    </row>
    <row r="129" spans="1:18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250</v>
      </c>
      <c r="F129" s="27">
        <v>25</v>
      </c>
      <c r="G129" s="34">
        <f t="shared" si="27"/>
        <v>105</v>
      </c>
      <c r="H129" s="33" t="s">
        <v>18</v>
      </c>
      <c r="I129" s="33" t="s">
        <v>52</v>
      </c>
      <c r="J129" s="33" t="s">
        <v>130</v>
      </c>
      <c r="K129" s="29">
        <v>0.25</v>
      </c>
      <c r="L129" s="29">
        <v>0.26319444444444445</v>
      </c>
      <c r="M129" s="35">
        <f t="shared" ca="1" si="28"/>
        <v>1.3194444444444453E-2</v>
      </c>
      <c r="N129" s="27" t="s">
        <v>281</v>
      </c>
      <c r="O129" s="60"/>
    </row>
    <row r="130" spans="1:18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250</v>
      </c>
      <c r="F130" s="27">
        <v>13</v>
      </c>
      <c r="G130" s="28">
        <f t="shared" si="27"/>
        <v>54.6</v>
      </c>
      <c r="H130" s="26" t="s">
        <v>20</v>
      </c>
      <c r="I130" s="26" t="s">
        <v>57</v>
      </c>
      <c r="J130" s="26" t="s">
        <v>51</v>
      </c>
      <c r="K130" s="29">
        <v>0.27777777777777779</v>
      </c>
      <c r="L130" s="29">
        <v>0.28541666666666665</v>
      </c>
      <c r="M130" s="30">
        <f t="shared" ca="1" si="28"/>
        <v>7.6388888888888618E-3</v>
      </c>
      <c r="N130" s="27"/>
      <c r="O130" s="60"/>
    </row>
    <row r="131" spans="1:18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250</v>
      </c>
      <c r="F131" s="27">
        <v>20</v>
      </c>
      <c r="G131" s="34">
        <f t="shared" si="27"/>
        <v>84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250</v>
      </c>
      <c r="F132" s="27">
        <v>21</v>
      </c>
      <c r="G132" s="28">
        <f t="shared" si="27"/>
        <v>88.2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250</v>
      </c>
      <c r="F133" s="27">
        <v>10</v>
      </c>
      <c r="G133" s="34">
        <f t="shared" si="27"/>
        <v>42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250</v>
      </c>
      <c r="F134" s="27">
        <v>5</v>
      </c>
      <c r="G134" s="28">
        <f t="shared" si="27"/>
        <v>21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104" t="s">
        <v>238</v>
      </c>
      <c r="B135" s="105"/>
      <c r="C135" s="105"/>
      <c r="D135" s="105"/>
      <c r="E135" s="106">
        <f>SUM(E123:E134)</f>
        <v>0</v>
      </c>
      <c r="F135" s="36">
        <f>SUM(F123:F134)</f>
        <v>197</v>
      </c>
      <c r="G135" s="36">
        <f>SUM(G123:G134)</f>
        <v>726.60000000000014</v>
      </c>
      <c r="H135" s="37"/>
      <c r="I135" s="37"/>
      <c r="J135" s="37"/>
      <c r="K135" s="61"/>
      <c r="L135" s="61"/>
      <c r="M135" s="38">
        <f ca="1">IFERROR(SUM(M123:M134),"")</f>
        <v>7.0833333333333387E-2</v>
      </c>
      <c r="N135" s="36" t="s">
        <v>236</v>
      </c>
      <c r="O135" s="39">
        <v>912240</v>
      </c>
    </row>
    <row r="136" spans="1:18" ht="18" customHeight="1">
      <c r="A136" s="107" t="s">
        <v>239</v>
      </c>
      <c r="B136" s="108"/>
      <c r="C136" s="108"/>
      <c r="D136" s="108"/>
      <c r="E136" s="109">
        <f>E122+E135</f>
        <v>0</v>
      </c>
      <c r="F136" s="40">
        <f>F122+F135</f>
        <v>367</v>
      </c>
      <c r="G136" s="40">
        <f>G122+G135</f>
        <v>1440.6000000000004</v>
      </c>
      <c r="H136" s="41"/>
      <c r="I136" s="41"/>
      <c r="J136" s="41"/>
      <c r="K136" s="63"/>
      <c r="L136" s="63"/>
      <c r="M136" s="42">
        <f ca="1">IFERROR(M122+M135,"")</f>
        <v>0.19513888888888911</v>
      </c>
      <c r="N136" s="40" t="s">
        <v>240</v>
      </c>
      <c r="O136" s="48">
        <f>IFERROR(O122+O135,"")</f>
        <v>1723820</v>
      </c>
    </row>
    <row r="137" spans="1:18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250</v>
      </c>
      <c r="F137" s="27">
        <v>20</v>
      </c>
      <c r="G137" s="34">
        <f t="shared" ref="G137:G148" si="30">IF(F137="","",IF(E137="PC 17",F137*4.2,IF(E137="PC 19",F137*5,IF(E137="CB",F137*24,""))))</f>
        <v>84</v>
      </c>
      <c r="H137" s="33" t="s">
        <v>17</v>
      </c>
      <c r="I137" s="33"/>
      <c r="J137" s="33" t="s">
        <v>25</v>
      </c>
      <c r="K137" s="29">
        <v>0.3215277777777778</v>
      </c>
      <c r="L137" s="29">
        <v>0.33194444444444443</v>
      </c>
      <c r="M137" s="35">
        <f t="shared" ref="M137:M148" ca="1" si="31">IFERROR(IF(K137="","",IF(L137="",MOD(NOW()-K137,1),IF(L137&gt;=K137,L137-K137,L137+1-K137))),"")</f>
        <v>1.041666666666663E-2</v>
      </c>
      <c r="N137" s="27"/>
      <c r="O137" s="31"/>
    </row>
    <row r="138" spans="1:18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22</v>
      </c>
      <c r="E138" s="62" t="s">
        <v>250</v>
      </c>
      <c r="F138" s="27">
        <v>24</v>
      </c>
      <c r="G138" s="28">
        <f t="shared" si="30"/>
        <v>100.80000000000001</v>
      </c>
      <c r="H138" s="26" t="s">
        <v>20</v>
      </c>
      <c r="I138" s="26" t="s">
        <v>162</v>
      </c>
      <c r="J138" s="26" t="s">
        <v>36</v>
      </c>
      <c r="K138" s="29">
        <v>0.40694444444444444</v>
      </c>
      <c r="L138" s="29">
        <v>0.41319444444444442</v>
      </c>
      <c r="M138" s="30">
        <f t="shared" ca="1" si="31"/>
        <v>6.2499999999999778E-3</v>
      </c>
      <c r="N138" s="27" t="s">
        <v>306</v>
      </c>
      <c r="O138" s="31"/>
    </row>
    <row r="139" spans="1:18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250</v>
      </c>
      <c r="F139" s="27">
        <v>15</v>
      </c>
      <c r="G139" s="34">
        <f t="shared" si="30"/>
        <v>63</v>
      </c>
      <c r="H139" s="33" t="s">
        <v>16</v>
      </c>
      <c r="I139" s="33" t="s">
        <v>52</v>
      </c>
      <c r="J139" s="33" t="s">
        <v>110</v>
      </c>
      <c r="K139" s="29">
        <v>0.41319444444444442</v>
      </c>
      <c r="L139" s="29">
        <v>0.4236111111111111</v>
      </c>
      <c r="M139" s="35">
        <f t="shared" ca="1" si="31"/>
        <v>1.0416666666666685E-2</v>
      </c>
      <c r="N139" s="86" t="s">
        <v>307</v>
      </c>
      <c r="O139" s="31"/>
    </row>
    <row r="140" spans="1:18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250</v>
      </c>
      <c r="F140" s="27">
        <v>18</v>
      </c>
      <c r="G140" s="28">
        <f t="shared" si="30"/>
        <v>75.600000000000009</v>
      </c>
      <c r="H140" s="26" t="s">
        <v>20</v>
      </c>
      <c r="I140" s="26" t="s">
        <v>57</v>
      </c>
      <c r="J140" s="26" t="s">
        <v>51</v>
      </c>
      <c r="K140" s="29">
        <v>0.49652777777777779</v>
      </c>
      <c r="L140" s="29">
        <v>0.50347222222222221</v>
      </c>
      <c r="M140" s="30">
        <f t="shared" ca="1" si="31"/>
        <v>6.9444444444444198E-3</v>
      </c>
      <c r="N140" s="27"/>
      <c r="O140" s="31"/>
    </row>
    <row r="141" spans="1:18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250</v>
      </c>
      <c r="F141" s="27">
        <v>18</v>
      </c>
      <c r="G141" s="34">
        <f t="shared" si="30"/>
        <v>75.600000000000009</v>
      </c>
      <c r="H141" s="33" t="s">
        <v>20</v>
      </c>
      <c r="I141" s="33" t="s">
        <v>141</v>
      </c>
      <c r="J141" s="33" t="s">
        <v>74</v>
      </c>
      <c r="K141" s="29">
        <v>0.53611111111111109</v>
      </c>
      <c r="L141" s="29">
        <v>0.54861111111111116</v>
      </c>
      <c r="M141" s="35">
        <f t="shared" ca="1" si="31"/>
        <v>1.2500000000000067E-2</v>
      </c>
      <c r="N141" s="27"/>
      <c r="O141" s="31"/>
    </row>
    <row r="142" spans="1:18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250</v>
      </c>
      <c r="F142" s="27">
        <v>14</v>
      </c>
      <c r="G142" s="28">
        <f t="shared" si="30"/>
        <v>58.800000000000004</v>
      </c>
      <c r="H142" s="26" t="s">
        <v>20</v>
      </c>
      <c r="I142" s="26" t="s">
        <v>52</v>
      </c>
      <c r="J142" s="26" t="s">
        <v>51</v>
      </c>
      <c r="K142" s="29">
        <v>0.55972222222222223</v>
      </c>
      <c r="L142" s="29">
        <v>0.5625</v>
      </c>
      <c r="M142" s="30">
        <f t="shared" ca="1" si="31"/>
        <v>2.7777777777777679E-3</v>
      </c>
      <c r="N142" s="27"/>
      <c r="O142" s="31"/>
      <c r="R142" s="66"/>
    </row>
    <row r="143" spans="1:18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250</v>
      </c>
      <c r="F143" s="27">
        <v>17</v>
      </c>
      <c r="G143" s="34">
        <f t="shared" si="30"/>
        <v>71.400000000000006</v>
      </c>
      <c r="H143" s="33" t="s">
        <v>19</v>
      </c>
      <c r="I143" s="33" t="s">
        <v>162</v>
      </c>
      <c r="J143" s="33" t="s">
        <v>27</v>
      </c>
      <c r="K143" s="29">
        <v>0.61597222222222225</v>
      </c>
      <c r="L143" s="29">
        <v>0.63194444444444442</v>
      </c>
      <c r="M143" s="35">
        <f t="shared" ca="1" si="31"/>
        <v>1.5972222222222165E-2</v>
      </c>
      <c r="N143" s="27"/>
      <c r="O143" s="31"/>
    </row>
    <row r="144" spans="1:18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250</v>
      </c>
      <c r="F144" s="27">
        <v>12</v>
      </c>
      <c r="G144" s="28">
        <f t="shared" si="30"/>
        <v>50.400000000000006</v>
      </c>
      <c r="H144" s="26" t="s">
        <v>16</v>
      </c>
      <c r="I144" s="26" t="s">
        <v>57</v>
      </c>
      <c r="J144" s="26" t="s">
        <v>110</v>
      </c>
      <c r="K144" s="29">
        <v>0.65833333333333333</v>
      </c>
      <c r="L144" s="29">
        <v>0.6875</v>
      </c>
      <c r="M144" s="30">
        <f t="shared" ca="1" si="31"/>
        <v>2.9166666666666674E-2</v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250</v>
      </c>
      <c r="F145" s="27">
        <v>16</v>
      </c>
      <c r="G145" s="34">
        <f t="shared" si="30"/>
        <v>67.2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250</v>
      </c>
      <c r="F146" s="27">
        <v>12</v>
      </c>
      <c r="G146" s="28">
        <f t="shared" si="30"/>
        <v>50.400000000000006</v>
      </c>
      <c r="H146" s="26"/>
      <c r="I146" s="26"/>
      <c r="J146" s="26"/>
      <c r="K146" s="29"/>
      <c r="L146" s="29"/>
      <c r="M146" s="30" t="str">
        <f t="shared" ca="1" si="31"/>
        <v/>
      </c>
      <c r="N146" s="86" t="s">
        <v>273</v>
      </c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250</v>
      </c>
      <c r="F147" s="27">
        <v>10</v>
      </c>
      <c r="G147" s="34">
        <f t="shared" si="30"/>
        <v>42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250</v>
      </c>
      <c r="F148" s="27">
        <v>6</v>
      </c>
      <c r="G148" s="28">
        <f t="shared" si="30"/>
        <v>25.200000000000003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7" t="s">
        <v>235</v>
      </c>
      <c r="B149" s="88"/>
      <c r="C149" s="88"/>
      <c r="D149" s="88"/>
      <c r="E149" s="89">
        <f>SUM(E137:E148)</f>
        <v>0</v>
      </c>
      <c r="F149" s="36">
        <f>SUM(F137:F148)</f>
        <v>182</v>
      </c>
      <c r="G149" s="36">
        <f>SUM(G137:G148)</f>
        <v>764.40000000000009</v>
      </c>
      <c r="H149" s="37"/>
      <c r="I149" s="37"/>
      <c r="J149" s="37"/>
      <c r="K149" s="61"/>
      <c r="L149" s="61"/>
      <c r="M149" s="38">
        <f ca="1">IFERROR(SUM(M137:M148),"")</f>
        <v>9.4444444444444386E-2</v>
      </c>
      <c r="N149" s="36" t="s">
        <v>236</v>
      </c>
      <c r="O149" s="39">
        <v>797860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250</v>
      </c>
      <c r="F150" s="27">
        <v>10</v>
      </c>
      <c r="G150" s="28">
        <f t="shared" ref="G150:G161" si="33">IF(F150="","",IF(E150="PC 17",F150*4.2,IF(E150="PC 19",F150*5,IF(E150="CB",F150*24,""))))</f>
        <v>42</v>
      </c>
      <c r="H150" s="26" t="s">
        <v>19</v>
      </c>
      <c r="I150" s="26" t="s">
        <v>162</v>
      </c>
      <c r="J150" s="26" t="s">
        <v>27</v>
      </c>
      <c r="K150" s="29">
        <v>0.9194444444444444</v>
      </c>
      <c r="L150" s="29">
        <v>0.98750000000000004</v>
      </c>
      <c r="M150" s="30">
        <f t="shared" ref="M150:M161" ca="1" si="34">IFERROR(IF(K150="","",IF(L150="",MOD(NOW()-K150,1),IF(L150&gt;=K150,L150-K150,L150+1-K150))),"")</f>
        <v>6.8055555555555647E-2</v>
      </c>
      <c r="N150" s="27" t="s">
        <v>308</v>
      </c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250</v>
      </c>
      <c r="F151" s="27">
        <v>11</v>
      </c>
      <c r="G151" s="34">
        <f t="shared" si="33"/>
        <v>46.2</v>
      </c>
      <c r="H151" s="33" t="s">
        <v>16</v>
      </c>
      <c r="I151" s="33" t="s">
        <v>140</v>
      </c>
      <c r="J151" s="33" t="s">
        <v>58</v>
      </c>
      <c r="K151" s="29">
        <v>0.21180555555555555</v>
      </c>
      <c r="L151" s="29">
        <v>0.28680555555555554</v>
      </c>
      <c r="M151" s="35">
        <f t="shared" ca="1" si="34"/>
        <v>7.4999999999999983E-2</v>
      </c>
      <c r="N151" s="27" t="s">
        <v>309</v>
      </c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250</v>
      </c>
      <c r="F152" s="27">
        <v>10</v>
      </c>
      <c r="G152" s="28">
        <f t="shared" si="33"/>
        <v>42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250</v>
      </c>
      <c r="F153" s="27">
        <v>7</v>
      </c>
      <c r="G153" s="34">
        <f t="shared" si="33"/>
        <v>29.400000000000002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250</v>
      </c>
      <c r="F154" s="27">
        <v>10</v>
      </c>
      <c r="G154" s="28">
        <f t="shared" si="33"/>
        <v>42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250</v>
      </c>
      <c r="F155" s="27">
        <v>10</v>
      </c>
      <c r="G155" s="34">
        <f t="shared" si="33"/>
        <v>42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250</v>
      </c>
      <c r="F156" s="27">
        <v>19</v>
      </c>
      <c r="G156" s="28">
        <f t="shared" si="33"/>
        <v>79.8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250</v>
      </c>
      <c r="F157" s="27">
        <v>16</v>
      </c>
      <c r="G157" s="34">
        <f t="shared" si="33"/>
        <v>67.2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250</v>
      </c>
      <c r="F158" s="27">
        <v>19</v>
      </c>
      <c r="G158" s="28">
        <f t="shared" si="33"/>
        <v>79.8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250</v>
      </c>
      <c r="F159" s="27">
        <v>14</v>
      </c>
      <c r="G159" s="34">
        <f t="shared" si="33"/>
        <v>58.800000000000004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250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250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4" t="s">
        <v>238</v>
      </c>
      <c r="B162" s="105"/>
      <c r="C162" s="105"/>
      <c r="D162" s="105"/>
      <c r="E162" s="106">
        <f>SUM(E150:E161)</f>
        <v>0</v>
      </c>
      <c r="F162" s="36">
        <f>SUM(F150:F161)</f>
        <v>126</v>
      </c>
      <c r="G162" s="36">
        <f>SUM(G150:G161)</f>
        <v>529.19999999999993</v>
      </c>
      <c r="H162" s="37"/>
      <c r="I162" s="37"/>
      <c r="J162" s="37"/>
      <c r="K162" s="61"/>
      <c r="L162" s="61"/>
      <c r="M162" s="38">
        <f ca="1">IFERROR(SUM(M150:M161),"")</f>
        <v>0.14305555555555563</v>
      </c>
      <c r="N162" s="36" t="s">
        <v>236</v>
      </c>
      <c r="O162" s="39">
        <v>573230</v>
      </c>
    </row>
    <row r="163" spans="1:15" ht="18" customHeight="1">
      <c r="A163" s="107" t="s">
        <v>239</v>
      </c>
      <c r="B163" s="108"/>
      <c r="C163" s="108"/>
      <c r="D163" s="108"/>
      <c r="E163" s="109">
        <f>E149+E162</f>
        <v>0</v>
      </c>
      <c r="F163" s="40">
        <f>F149+F162</f>
        <v>308</v>
      </c>
      <c r="G163" s="40">
        <f>G149+G162</f>
        <v>1293.5999999999999</v>
      </c>
      <c r="H163" s="41"/>
      <c r="I163" s="41"/>
      <c r="J163" s="41"/>
      <c r="K163" s="63"/>
      <c r="L163" s="63"/>
      <c r="M163" s="42">
        <f ca="1">IFERROR(M149+M162,"")</f>
        <v>0.23750000000000002</v>
      </c>
      <c r="N163" s="40" t="s">
        <v>240</v>
      </c>
      <c r="O163" s="43">
        <f>IFERROR(O149+O162,"")</f>
        <v>1371090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250</v>
      </c>
      <c r="F164" s="27">
        <v>5</v>
      </c>
      <c r="G164" s="28">
        <f t="shared" ref="G164:G175" si="36">IF(F164="","",IF(E164="PC 17",F164*4.2,IF(E164="PC 19",F164*5,IF(E164="CB",F164*24,""))))</f>
        <v>21</v>
      </c>
      <c r="H164" s="26" t="s">
        <v>20</v>
      </c>
      <c r="I164" s="26" t="s">
        <v>140</v>
      </c>
      <c r="J164" s="26" t="s">
        <v>134</v>
      </c>
      <c r="K164" s="29">
        <v>0.29166666666666669</v>
      </c>
      <c r="L164" s="29">
        <v>0.3125</v>
      </c>
      <c r="M164" s="30">
        <f t="shared" ref="M164:M175" ca="1" si="37">IFERROR(IF(K164="","",IF(L164="",MOD(NOW()-K164,1),IF(L164&gt;=K164,L164-K164,L164+1-K164))),"")</f>
        <v>2.0833333333333315E-2</v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59" t="s">
        <v>250</v>
      </c>
      <c r="F165" s="27">
        <v>17</v>
      </c>
      <c r="G165" s="34">
        <f t="shared" si="36"/>
        <v>71.400000000000006</v>
      </c>
      <c r="H165" s="33" t="s">
        <v>20</v>
      </c>
      <c r="I165" s="33" t="s">
        <v>162</v>
      </c>
      <c r="J165" s="33" t="s">
        <v>183</v>
      </c>
      <c r="K165" s="29">
        <v>0.31597222222222221</v>
      </c>
      <c r="L165" s="29">
        <v>0.32013888888888886</v>
      </c>
      <c r="M165" s="35">
        <f t="shared" ca="1" si="37"/>
        <v>4.1666666666666519E-3</v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59" t="s">
        <v>250</v>
      </c>
      <c r="F166" s="27">
        <v>23</v>
      </c>
      <c r="G166" s="28">
        <f t="shared" si="36"/>
        <v>96.600000000000009</v>
      </c>
      <c r="H166" s="26" t="s">
        <v>19</v>
      </c>
      <c r="I166" s="26" t="s">
        <v>162</v>
      </c>
      <c r="J166" s="26" t="s">
        <v>27</v>
      </c>
      <c r="K166" s="29">
        <v>0.34027777777777779</v>
      </c>
      <c r="L166" s="29">
        <v>0.3576388888888889</v>
      </c>
      <c r="M166" s="30">
        <f t="shared" ca="1" si="37"/>
        <v>1.7361111111111105E-2</v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59" t="s">
        <v>250</v>
      </c>
      <c r="F167" s="27">
        <v>14</v>
      </c>
      <c r="G167" s="34">
        <f t="shared" si="36"/>
        <v>58.800000000000004</v>
      </c>
      <c r="H167" s="33" t="s">
        <v>20</v>
      </c>
      <c r="I167" s="33" t="s">
        <v>57</v>
      </c>
      <c r="J167" s="33" t="s">
        <v>36</v>
      </c>
      <c r="K167" s="29">
        <v>0.45208333333333334</v>
      </c>
      <c r="L167" s="29">
        <v>0.45833333333333331</v>
      </c>
      <c r="M167" s="35">
        <f t="shared" ca="1" si="37"/>
        <v>6.2499999999999778E-3</v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59" t="s">
        <v>250</v>
      </c>
      <c r="F168" s="27">
        <v>10</v>
      </c>
      <c r="G168" s="28">
        <f t="shared" si="36"/>
        <v>42</v>
      </c>
      <c r="H168" s="26" t="s">
        <v>18</v>
      </c>
      <c r="I168" s="26" t="s">
        <v>57</v>
      </c>
      <c r="J168" s="26" t="s">
        <v>156</v>
      </c>
      <c r="K168" s="29">
        <v>0.46875</v>
      </c>
      <c r="L168" s="29">
        <v>0.49305555555555558</v>
      </c>
      <c r="M168" s="30">
        <f t="shared" ca="1" si="37"/>
        <v>2.430555555555558E-2</v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59" t="s">
        <v>250</v>
      </c>
      <c r="F169" s="27">
        <v>14</v>
      </c>
      <c r="G169" s="34">
        <f t="shared" si="36"/>
        <v>58.800000000000004</v>
      </c>
      <c r="H169" s="33" t="s">
        <v>20</v>
      </c>
      <c r="I169" s="33" t="s">
        <v>141</v>
      </c>
      <c r="J169" s="33" t="s">
        <v>74</v>
      </c>
      <c r="K169" s="29">
        <v>0.52569444444444446</v>
      </c>
      <c r="L169" s="29">
        <v>0.55000000000000004</v>
      </c>
      <c r="M169" s="35">
        <f t="shared" ca="1" si="37"/>
        <v>2.430555555555558E-2</v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59" t="s">
        <v>250</v>
      </c>
      <c r="F170" s="27">
        <v>18</v>
      </c>
      <c r="G170" s="28">
        <f t="shared" si="36"/>
        <v>75.600000000000009</v>
      </c>
      <c r="H170" s="26" t="s">
        <v>19</v>
      </c>
      <c r="I170" s="26" t="s">
        <v>162</v>
      </c>
      <c r="J170" s="26" t="s">
        <v>27</v>
      </c>
      <c r="K170" s="29">
        <v>0.62847222222222221</v>
      </c>
      <c r="L170" s="29">
        <v>0.64930555555555558</v>
      </c>
      <c r="M170" s="30">
        <f t="shared" ca="1" si="37"/>
        <v>2.083333333333337E-2</v>
      </c>
      <c r="N170" s="27" t="s">
        <v>310</v>
      </c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59" t="s">
        <v>250</v>
      </c>
      <c r="F171" s="27">
        <v>17</v>
      </c>
      <c r="G171" s="34">
        <f t="shared" si="36"/>
        <v>71.400000000000006</v>
      </c>
      <c r="H171" s="33" t="s">
        <v>20</v>
      </c>
      <c r="I171" s="33" t="s">
        <v>141</v>
      </c>
      <c r="J171" s="33" t="s">
        <v>74</v>
      </c>
      <c r="K171" s="29">
        <v>0.69791666666666663</v>
      </c>
      <c r="L171" s="29">
        <v>0.71250000000000002</v>
      </c>
      <c r="M171" s="35">
        <f t="shared" ca="1" si="37"/>
        <v>1.4583333333333393E-2</v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59" t="s">
        <v>250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59" t="s">
        <v>250</v>
      </c>
      <c r="F173" s="27">
        <v>14</v>
      </c>
      <c r="G173" s="34">
        <f t="shared" si="36"/>
        <v>58.800000000000004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59" t="s">
        <v>250</v>
      </c>
      <c r="F174" s="27">
        <v>15</v>
      </c>
      <c r="G174" s="28">
        <f t="shared" si="36"/>
        <v>63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59" t="s">
        <v>250</v>
      </c>
      <c r="F175" s="27">
        <v>5</v>
      </c>
      <c r="G175" s="34">
        <f t="shared" si="36"/>
        <v>21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4" t="s">
        <v>235</v>
      </c>
      <c r="B176" s="105"/>
      <c r="C176" s="105"/>
      <c r="D176" s="105"/>
      <c r="E176" s="106">
        <f>SUM(E164:E175)</f>
        <v>0</v>
      </c>
      <c r="F176" s="36">
        <f>SUM(F164:F175)</f>
        <v>162</v>
      </c>
      <c r="G176" s="36">
        <f>SUM(G164:G175)</f>
        <v>680.4</v>
      </c>
      <c r="H176" s="37"/>
      <c r="I176" s="37"/>
      <c r="J176" s="37"/>
      <c r="K176" s="61"/>
      <c r="L176" s="61"/>
      <c r="M176" s="38">
        <f ca="1">IFERROR(SUM(M164:M175),"")</f>
        <v>0.13263888888888897</v>
      </c>
      <c r="N176" s="36" t="s">
        <v>236</v>
      </c>
      <c r="O176" s="39">
        <v>659400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250</v>
      </c>
      <c r="F177" s="27">
        <v>12</v>
      </c>
      <c r="G177" s="34">
        <f t="shared" ref="G177:G188" si="39">IF(F177="","",IF(E177="PC 17",F177*4.2,IF(E177="PC 19",F177*5,IF(E177="CB",F177*24,""))))</f>
        <v>50.400000000000006</v>
      </c>
      <c r="H177" s="33" t="s">
        <v>17</v>
      </c>
      <c r="I177" s="33"/>
      <c r="J177" s="33" t="s">
        <v>117</v>
      </c>
      <c r="K177" s="29">
        <v>0.8125</v>
      </c>
      <c r="L177" s="29">
        <v>0.84166666666666667</v>
      </c>
      <c r="M177" s="35">
        <f t="shared" ref="M177:M188" ca="1" si="40">IFERROR(IF(K177="","",IF(L177="",MOD(NOW()-K177,1),IF(L177&gt;=K177,L177-K177,L177+1-K177))),"")</f>
        <v>2.9166666666666674E-2</v>
      </c>
      <c r="N177" s="27" t="s">
        <v>311</v>
      </c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62" t="s">
        <v>250</v>
      </c>
      <c r="F178" s="27">
        <v>8</v>
      </c>
      <c r="G178" s="28">
        <f t="shared" si="39"/>
        <v>33.6</v>
      </c>
      <c r="H178" s="26" t="s">
        <v>18</v>
      </c>
      <c r="I178" s="26" t="s">
        <v>141</v>
      </c>
      <c r="J178" s="26" t="s">
        <v>130</v>
      </c>
      <c r="K178" s="29">
        <v>0.96805555555555556</v>
      </c>
      <c r="L178" s="29">
        <v>4.1666666666666664E-2</v>
      </c>
      <c r="M178" s="30">
        <f t="shared" ca="1" si="40"/>
        <v>7.3611111111111183E-2</v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250</v>
      </c>
      <c r="F179" s="27">
        <v>6</v>
      </c>
      <c r="G179" s="34">
        <f t="shared" si="39"/>
        <v>25.200000000000003</v>
      </c>
      <c r="H179" s="33" t="s">
        <v>19</v>
      </c>
      <c r="I179" s="33" t="s">
        <v>162</v>
      </c>
      <c r="J179" s="26" t="s">
        <v>27</v>
      </c>
      <c r="K179" s="29">
        <v>0.1076388888888889</v>
      </c>
      <c r="L179" s="29">
        <v>0.12847222222222221</v>
      </c>
      <c r="M179" s="35">
        <f t="shared" ca="1" si="40"/>
        <v>2.0833333333333315E-2</v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62" t="s">
        <v>250</v>
      </c>
      <c r="F180" s="27">
        <v>23</v>
      </c>
      <c r="G180" s="28">
        <f t="shared" si="39"/>
        <v>96.600000000000009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250</v>
      </c>
      <c r="F181" s="27">
        <v>10</v>
      </c>
      <c r="G181" s="34">
        <f t="shared" si="39"/>
        <v>42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62" t="s">
        <v>250</v>
      </c>
      <c r="F182" s="27">
        <v>13</v>
      </c>
      <c r="G182" s="28">
        <f t="shared" si="39"/>
        <v>54.6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250</v>
      </c>
      <c r="F183" s="27">
        <v>16</v>
      </c>
      <c r="G183" s="34">
        <f t="shared" si="39"/>
        <v>67.2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62" t="s">
        <v>250</v>
      </c>
      <c r="F184" s="27">
        <v>9</v>
      </c>
      <c r="G184" s="28">
        <f t="shared" si="39"/>
        <v>37.800000000000004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250</v>
      </c>
      <c r="F185" s="27">
        <v>19</v>
      </c>
      <c r="G185" s="34">
        <f t="shared" si="39"/>
        <v>79.8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62" t="s">
        <v>250</v>
      </c>
      <c r="F186" s="27">
        <v>20</v>
      </c>
      <c r="G186" s="28">
        <f t="shared" si="39"/>
        <v>84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250</v>
      </c>
      <c r="F187" s="27">
        <v>18</v>
      </c>
      <c r="G187" s="34">
        <f t="shared" si="39"/>
        <v>75.600000000000009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62" t="s">
        <v>250</v>
      </c>
      <c r="F188" s="27">
        <v>8</v>
      </c>
      <c r="G188" s="28">
        <f t="shared" si="39"/>
        <v>33.6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4" t="s">
        <v>238</v>
      </c>
      <c r="B189" s="105"/>
      <c r="C189" s="105"/>
      <c r="D189" s="105"/>
      <c r="E189" s="106">
        <f>SUM(E177:E188)</f>
        <v>0</v>
      </c>
      <c r="F189" s="36">
        <f>SUM(F177:F188)</f>
        <v>162</v>
      </c>
      <c r="G189" s="36">
        <f>SUM(G177:G188)</f>
        <v>680.40000000000009</v>
      </c>
      <c r="H189" s="37"/>
      <c r="I189" s="37"/>
      <c r="J189" s="37"/>
      <c r="K189" s="61"/>
      <c r="L189" s="61"/>
      <c r="M189" s="38">
        <f ca="1">IFERROR(SUM(M177:M188),"")</f>
        <v>0.12361111111111117</v>
      </c>
      <c r="N189" s="36" t="s">
        <v>236</v>
      </c>
      <c r="O189" s="39">
        <v>692750</v>
      </c>
    </row>
    <row r="190" spans="1:15" ht="18" customHeight="1">
      <c r="A190" s="107" t="s">
        <v>239</v>
      </c>
      <c r="B190" s="108"/>
      <c r="C190" s="108"/>
      <c r="D190" s="108"/>
      <c r="E190" s="109">
        <f>E176+E189</f>
        <v>0</v>
      </c>
      <c r="F190" s="40">
        <f>F176+F189</f>
        <v>324</v>
      </c>
      <c r="G190" s="40">
        <f>G176+G189</f>
        <v>1360.8000000000002</v>
      </c>
      <c r="H190" s="41"/>
      <c r="I190" s="41"/>
      <c r="J190" s="41"/>
      <c r="K190" s="63"/>
      <c r="L190" s="63"/>
      <c r="M190" s="42">
        <f ca="1">IFERROR(M176+M189,"")</f>
        <v>0.25625000000000014</v>
      </c>
      <c r="N190" s="40" t="s">
        <v>240</v>
      </c>
      <c r="O190" s="43">
        <f>IFERROR(O176+O189,"")</f>
        <v>1352150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250</v>
      </c>
      <c r="F191" s="27">
        <v>15</v>
      </c>
      <c r="G191" s="34">
        <f t="shared" ref="G191:G202" si="42">IF(F191="","",IF(E191="PC 17",F191*4.2,IF(E191="PC 19",F191*5,IF(E191="CB",F191*24,""))))</f>
        <v>63</v>
      </c>
      <c r="H191" s="33" t="s">
        <v>19</v>
      </c>
      <c r="I191" s="33" t="s">
        <v>162</v>
      </c>
      <c r="J191" s="33" t="s">
        <v>27</v>
      </c>
      <c r="K191" s="29">
        <v>0.29166666666666669</v>
      </c>
      <c r="L191" s="29">
        <v>0.31111111111111112</v>
      </c>
      <c r="M191" s="35">
        <f t="shared" ref="M191:M202" ca="1" si="43">IFERROR(IF(K191="","",IF(L191="",MOD(NOW()-K191,1),IF(L191&gt;=K191,L191-K191,L191+1-K191))),"")</f>
        <v>1.9444444444444431E-2</v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250</v>
      </c>
      <c r="F192" s="27">
        <v>15</v>
      </c>
      <c r="G192" s="28">
        <f t="shared" si="42"/>
        <v>63</v>
      </c>
      <c r="H192" s="26" t="s">
        <v>18</v>
      </c>
      <c r="I192" s="26" t="s">
        <v>52</v>
      </c>
      <c r="J192" s="33" t="s">
        <v>156</v>
      </c>
      <c r="K192" s="29">
        <v>0.55138888888888893</v>
      </c>
      <c r="L192" s="29">
        <v>0.58750000000000002</v>
      </c>
      <c r="M192" s="30">
        <f t="shared" ca="1" si="43"/>
        <v>3.6111111111111094E-2</v>
      </c>
      <c r="N192" s="27" t="s">
        <v>312</v>
      </c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250</v>
      </c>
      <c r="F193" s="27">
        <v>14</v>
      </c>
      <c r="G193" s="34">
        <f t="shared" si="42"/>
        <v>58.800000000000004</v>
      </c>
      <c r="H193" s="33" t="s">
        <v>20</v>
      </c>
      <c r="I193" s="33" t="s">
        <v>57</v>
      </c>
      <c r="J193" s="33" t="s">
        <v>28</v>
      </c>
      <c r="K193" s="29">
        <v>0.67013888888888884</v>
      </c>
      <c r="L193" s="29">
        <v>0.67638888888888893</v>
      </c>
      <c r="M193" s="35">
        <f t="shared" ca="1" si="43"/>
        <v>6.2500000000000888E-3</v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250</v>
      </c>
      <c r="F194" s="27">
        <v>18</v>
      </c>
      <c r="G194" s="28">
        <f t="shared" si="42"/>
        <v>75.600000000000009</v>
      </c>
      <c r="H194" s="26" t="s">
        <v>20</v>
      </c>
      <c r="I194" s="26" t="s">
        <v>157</v>
      </c>
      <c r="J194" s="26" t="s">
        <v>74</v>
      </c>
      <c r="K194" s="29">
        <v>0.69861111111111107</v>
      </c>
      <c r="L194" s="29">
        <v>0.70486111111111116</v>
      </c>
      <c r="M194" s="30">
        <f t="shared" ca="1" si="43"/>
        <v>6.2500000000000888E-3</v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250</v>
      </c>
      <c r="F195" s="27">
        <v>10</v>
      </c>
      <c r="G195" s="34">
        <f t="shared" si="42"/>
        <v>42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250</v>
      </c>
      <c r="F196" s="27">
        <v>17</v>
      </c>
      <c r="G196" s="28">
        <f t="shared" si="42"/>
        <v>71.400000000000006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250</v>
      </c>
      <c r="F197" s="27">
        <v>0</v>
      </c>
      <c r="G197" s="34">
        <f t="shared" si="42"/>
        <v>0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250</v>
      </c>
      <c r="F198" s="27">
        <v>16</v>
      </c>
      <c r="G198" s="28">
        <f t="shared" si="42"/>
        <v>67.2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250</v>
      </c>
      <c r="F199" s="27">
        <v>17</v>
      </c>
      <c r="G199" s="34">
        <f t="shared" si="42"/>
        <v>71.400000000000006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250</v>
      </c>
      <c r="F200" s="27">
        <v>20</v>
      </c>
      <c r="G200" s="28">
        <f t="shared" si="42"/>
        <v>84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250</v>
      </c>
      <c r="F201" s="27">
        <v>10</v>
      </c>
      <c r="G201" s="34">
        <f t="shared" si="42"/>
        <v>42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250</v>
      </c>
      <c r="F202" s="27">
        <v>9</v>
      </c>
      <c r="G202" s="28">
        <f t="shared" si="42"/>
        <v>37.800000000000004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4" t="s">
        <v>235</v>
      </c>
      <c r="B203" s="105"/>
      <c r="C203" s="105"/>
      <c r="D203" s="105"/>
      <c r="E203" s="106">
        <f>SUM(E191:E202)</f>
        <v>0</v>
      </c>
      <c r="F203" s="36">
        <f>SUM(F191:F202)</f>
        <v>161</v>
      </c>
      <c r="G203" s="36">
        <f>SUM(G191:G202)</f>
        <v>676.2</v>
      </c>
      <c r="H203" s="37"/>
      <c r="I203" s="37"/>
      <c r="J203" s="37"/>
      <c r="K203" s="61"/>
      <c r="L203" s="61"/>
      <c r="M203" s="38">
        <f ca="1">IFERROR(SUM(M191:M202),"")</f>
        <v>6.8055555555555702E-2</v>
      </c>
      <c r="N203" s="36" t="s">
        <v>236</v>
      </c>
      <c r="O203" s="45">
        <v>790070</v>
      </c>
    </row>
    <row r="204" spans="1:15" ht="15" customHeight="1">
      <c r="A204" s="68">
        <v>46242</v>
      </c>
      <c r="B204" s="25">
        <v>0.83333333333333304</v>
      </c>
      <c r="C204" s="26" t="s">
        <v>45</v>
      </c>
      <c r="D204" s="59" t="s">
        <v>30</v>
      </c>
      <c r="E204" s="59" t="s">
        <v>250</v>
      </c>
      <c r="F204" s="27">
        <v>14</v>
      </c>
      <c r="G204" s="28">
        <f t="shared" ref="G204:G215" si="45">IF(F204="","",IF(E204="PC 17",F204*4.2,IF(E204="PC 19",F204*5,IF(E204="CB",F204*24,""))))</f>
        <v>58.800000000000004</v>
      </c>
      <c r="H204" s="26" t="s">
        <v>18</v>
      </c>
      <c r="I204" s="33" t="s">
        <v>57</v>
      </c>
      <c r="J204" s="26" t="s">
        <v>34</v>
      </c>
      <c r="K204" s="29">
        <v>0.8125</v>
      </c>
      <c r="L204" s="29">
        <v>2.7777777777777779E-3</v>
      </c>
      <c r="M204" s="30">
        <f t="shared" ref="M204:M215" ca="1" si="46">IFERROR(IF(K204="","",IF(L204="",MOD(NOW()-K204,1),IF(L204&gt;=K204,L204-K204,L204+1-K204))),"")</f>
        <v>0.19027777777777777</v>
      </c>
      <c r="N204" s="27" t="s">
        <v>313</v>
      </c>
      <c r="O204" s="60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 t="s">
        <v>45</v>
      </c>
      <c r="D205" s="59" t="s">
        <v>30</v>
      </c>
      <c r="E205" s="59" t="s">
        <v>250</v>
      </c>
      <c r="F205" s="27">
        <v>6</v>
      </c>
      <c r="G205" s="34">
        <f t="shared" si="45"/>
        <v>25.200000000000003</v>
      </c>
      <c r="H205" s="33" t="s">
        <v>20</v>
      </c>
      <c r="I205" s="57" t="s">
        <v>314</v>
      </c>
      <c r="J205" s="33" t="s">
        <v>28</v>
      </c>
      <c r="K205" s="29">
        <v>0.85833333333333328</v>
      </c>
      <c r="L205" s="29">
        <v>0.86458333333333337</v>
      </c>
      <c r="M205" s="35">
        <f t="shared" ca="1" si="46"/>
        <v>6.2500000000000888E-3</v>
      </c>
      <c r="N205" s="27"/>
      <c r="O205" s="60"/>
    </row>
    <row r="206" spans="1:15" ht="15" customHeight="1">
      <c r="A206" s="68">
        <v>46242</v>
      </c>
      <c r="B206" s="25">
        <f t="shared" si="47"/>
        <v>0.9166666666666663</v>
      </c>
      <c r="C206" s="26" t="s">
        <v>45</v>
      </c>
      <c r="D206" s="59" t="s">
        <v>30</v>
      </c>
      <c r="E206" s="59" t="s">
        <v>250</v>
      </c>
      <c r="F206" s="27">
        <v>0</v>
      </c>
      <c r="G206" s="28">
        <f t="shared" si="45"/>
        <v>0</v>
      </c>
      <c r="H206" s="26" t="s">
        <v>20</v>
      </c>
      <c r="I206" s="26" t="s">
        <v>52</v>
      </c>
      <c r="J206" s="26" t="s">
        <v>36</v>
      </c>
      <c r="K206" s="29">
        <v>0.87708333333333333</v>
      </c>
      <c r="L206" s="29">
        <v>2.7777777777777779E-3</v>
      </c>
      <c r="M206" s="30">
        <f t="shared" ca="1" si="46"/>
        <v>0.12569444444444444</v>
      </c>
      <c r="N206" s="27" t="s">
        <v>315</v>
      </c>
      <c r="O206" s="60"/>
    </row>
    <row r="207" spans="1:15" ht="15" customHeight="1">
      <c r="A207" s="69">
        <v>46242</v>
      </c>
      <c r="B207" s="32">
        <f t="shared" si="47"/>
        <v>0.95833333333333293</v>
      </c>
      <c r="C207" s="26" t="s">
        <v>45</v>
      </c>
      <c r="D207" s="59" t="s">
        <v>30</v>
      </c>
      <c r="E207" s="59" t="s">
        <v>250</v>
      </c>
      <c r="F207" s="27">
        <v>0</v>
      </c>
      <c r="G207" s="34">
        <f t="shared" si="45"/>
        <v>0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8">
        <v>46242</v>
      </c>
      <c r="B208" s="25">
        <f t="shared" si="47"/>
        <v>0.99999999999999956</v>
      </c>
      <c r="C208" s="26" t="s">
        <v>45</v>
      </c>
      <c r="D208" s="59" t="s">
        <v>30</v>
      </c>
      <c r="E208" s="59" t="s">
        <v>250</v>
      </c>
      <c r="F208" s="27">
        <v>0</v>
      </c>
      <c r="G208" s="28">
        <f t="shared" si="45"/>
        <v>0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69">
        <v>46242</v>
      </c>
      <c r="B209" s="32">
        <f t="shared" si="47"/>
        <v>1.0416666666666663</v>
      </c>
      <c r="C209" s="26" t="s">
        <v>45</v>
      </c>
      <c r="D209" s="59" t="s">
        <v>30</v>
      </c>
      <c r="E209" s="59" t="s">
        <v>250</v>
      </c>
      <c r="F209" s="27">
        <v>20</v>
      </c>
      <c r="G209" s="34">
        <f t="shared" si="45"/>
        <v>84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8">
        <v>46242</v>
      </c>
      <c r="B210" s="25">
        <f t="shared" si="47"/>
        <v>1.083333333333333</v>
      </c>
      <c r="C210" s="26" t="s">
        <v>45</v>
      </c>
      <c r="D210" s="59" t="s">
        <v>30</v>
      </c>
      <c r="E210" s="59" t="s">
        <v>250</v>
      </c>
      <c r="F210" s="27">
        <v>19</v>
      </c>
      <c r="G210" s="28">
        <v>77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46242</v>
      </c>
      <c r="B211" s="32">
        <f t="shared" si="47"/>
        <v>1.1249999999999998</v>
      </c>
      <c r="C211" s="26" t="s">
        <v>45</v>
      </c>
      <c r="D211" s="59" t="s">
        <v>30</v>
      </c>
      <c r="E211" s="59" t="s">
        <v>250</v>
      </c>
      <c r="F211" s="27">
        <v>19</v>
      </c>
      <c r="G211" s="34">
        <f t="shared" si="45"/>
        <v>79.8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46242</v>
      </c>
      <c r="B212" s="25">
        <f t="shared" si="47"/>
        <v>1.1666666666666665</v>
      </c>
      <c r="C212" s="26" t="s">
        <v>45</v>
      </c>
      <c r="D212" s="59" t="s">
        <v>30</v>
      </c>
      <c r="E212" s="59" t="s">
        <v>250</v>
      </c>
      <c r="F212" s="27">
        <v>16</v>
      </c>
      <c r="G212" s="28">
        <f t="shared" si="45"/>
        <v>67.2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46242</v>
      </c>
      <c r="B213" s="32">
        <f t="shared" si="47"/>
        <v>1.2083333333333333</v>
      </c>
      <c r="C213" s="26" t="s">
        <v>45</v>
      </c>
      <c r="D213" s="59" t="s">
        <v>30</v>
      </c>
      <c r="E213" s="59" t="s">
        <v>250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46242</v>
      </c>
      <c r="B214" s="25">
        <f t="shared" si="47"/>
        <v>1.25</v>
      </c>
      <c r="C214" s="26" t="s">
        <v>45</v>
      </c>
      <c r="D214" s="59" t="s">
        <v>30</v>
      </c>
      <c r="E214" s="59" t="s">
        <v>250</v>
      </c>
      <c r="F214" s="27">
        <v>17</v>
      </c>
      <c r="G214" s="28">
        <f t="shared" si="45"/>
        <v>71.400000000000006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46242</v>
      </c>
      <c r="B215" s="32">
        <f t="shared" si="47"/>
        <v>1.2916666666666667</v>
      </c>
      <c r="C215" s="26" t="s">
        <v>45</v>
      </c>
      <c r="D215" s="59" t="s">
        <v>30</v>
      </c>
      <c r="E215" s="59" t="s">
        <v>250</v>
      </c>
      <c r="F215" s="27">
        <v>12</v>
      </c>
      <c r="G215" s="34">
        <f t="shared" si="45"/>
        <v>50.400000000000006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104" t="s">
        <v>238</v>
      </c>
      <c r="B216" s="105"/>
      <c r="C216" s="105"/>
      <c r="D216" s="105"/>
      <c r="E216" s="106">
        <f>SUM(E204:E215)</f>
        <v>0</v>
      </c>
      <c r="F216" s="36">
        <f>SUM(F204:F215)</f>
        <v>136</v>
      </c>
      <c r="G216" s="36">
        <f>SUM(G204:G215)</f>
        <v>568.4</v>
      </c>
      <c r="H216" s="37"/>
      <c r="I216" s="37"/>
      <c r="J216" s="37"/>
      <c r="K216" s="61"/>
      <c r="L216" s="61"/>
      <c r="M216" s="38">
        <f ca="1">IFERROR(SUM(M204:M215),"")</f>
        <v>0.3222222222222223</v>
      </c>
      <c r="N216" s="36" t="s">
        <v>236</v>
      </c>
      <c r="O216" s="45">
        <v>607180</v>
      </c>
    </row>
    <row r="217" spans="1:15" ht="18" customHeight="1">
      <c r="A217" s="107" t="s">
        <v>239</v>
      </c>
      <c r="B217" s="108"/>
      <c r="C217" s="108"/>
      <c r="D217" s="108"/>
      <c r="E217" s="109">
        <f>E203+E216</f>
        <v>0</v>
      </c>
      <c r="F217" s="40">
        <f>F203+F216</f>
        <v>297</v>
      </c>
      <c r="G217" s="40">
        <f>G203+G216</f>
        <v>1244.5999999999999</v>
      </c>
      <c r="H217" s="41"/>
      <c r="I217" s="41"/>
      <c r="J217" s="41"/>
      <c r="K217" s="63"/>
      <c r="L217" s="63"/>
      <c r="M217" s="42">
        <f ca="1">IFERROR(M203+M216,"")</f>
        <v>0.390277777777778</v>
      </c>
      <c r="N217" s="40" t="s">
        <v>240</v>
      </c>
      <c r="O217" s="48">
        <f>IFERROR(O203+O216,"")</f>
        <v>1397250</v>
      </c>
    </row>
    <row r="218" spans="1:15" ht="15" customHeight="1">
      <c r="A218" s="68">
        <v>46243</v>
      </c>
      <c r="B218" s="25">
        <v>0.33333333333333298</v>
      </c>
      <c r="C218" s="26" t="s">
        <v>29</v>
      </c>
      <c r="D218" s="59" t="s">
        <v>30</v>
      </c>
      <c r="E218" s="59" t="s">
        <v>250</v>
      </c>
      <c r="F218" s="27">
        <v>15</v>
      </c>
      <c r="G218" s="28">
        <f t="shared" ref="G218:G229" si="48">IF(F218="","",IF(E218="PC 17",F218*4.2,IF(E218="PC 19",F218*5,IF(E218="CB",F218*24,""))))</f>
        <v>63</v>
      </c>
      <c r="H218" s="26" t="s">
        <v>19</v>
      </c>
      <c r="I218" s="26" t="s">
        <v>57</v>
      </c>
      <c r="J218" s="26" t="s">
        <v>27</v>
      </c>
      <c r="K218" s="29">
        <v>0.41805555555555557</v>
      </c>
      <c r="L218" s="29">
        <v>0.42708333333333331</v>
      </c>
      <c r="M218" s="30">
        <f t="shared" ref="M218:M229" ca="1" si="49">IFERROR(IF(K218="","",IF(L218="",MOD(NOW()-K218,1),IF(L218&gt;=K218,L218-K218,L218+1-K218))),"")</f>
        <v>9.0277777777777457E-3</v>
      </c>
      <c r="N218" s="27"/>
      <c r="O218" s="60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250</v>
      </c>
      <c r="F219" s="27">
        <v>22</v>
      </c>
      <c r="G219" s="34">
        <f t="shared" si="48"/>
        <v>92.4</v>
      </c>
      <c r="H219" s="33" t="s">
        <v>19</v>
      </c>
      <c r="I219" s="33" t="s">
        <v>52</v>
      </c>
      <c r="J219" s="33" t="s">
        <v>27</v>
      </c>
      <c r="K219" s="29">
        <v>0.42708333333333331</v>
      </c>
      <c r="L219" s="29">
        <v>0.43680555555555556</v>
      </c>
      <c r="M219" s="35">
        <f t="shared" ca="1" si="49"/>
        <v>9.7222222222222432E-3</v>
      </c>
      <c r="N219" s="27"/>
      <c r="O219" s="60"/>
    </row>
    <row r="220" spans="1:15" ht="15" customHeight="1">
      <c r="A220" s="68">
        <v>46243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250</v>
      </c>
      <c r="F220" s="27">
        <v>14</v>
      </c>
      <c r="G220" s="28">
        <f t="shared" si="48"/>
        <v>58.800000000000004</v>
      </c>
      <c r="H220" s="26" t="s">
        <v>20</v>
      </c>
      <c r="I220" s="26" t="s">
        <v>52</v>
      </c>
      <c r="J220" s="26" t="s">
        <v>56</v>
      </c>
      <c r="K220" s="29">
        <v>0.5756944444444444</v>
      </c>
      <c r="L220" s="29">
        <v>0.59722222222222221</v>
      </c>
      <c r="M220" s="30">
        <f t="shared" ca="1" si="49"/>
        <v>2.1527777777777812E-2</v>
      </c>
      <c r="N220" s="27" t="s">
        <v>316</v>
      </c>
      <c r="O220" s="60"/>
    </row>
    <row r="221" spans="1:15" ht="15" customHeight="1">
      <c r="A221" s="69">
        <v>46243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250</v>
      </c>
      <c r="F221" s="27">
        <v>7</v>
      </c>
      <c r="G221" s="34">
        <f t="shared" si="48"/>
        <v>29.400000000000002</v>
      </c>
      <c r="H221" s="33" t="s">
        <v>19</v>
      </c>
      <c r="I221" s="33" t="s">
        <v>57</v>
      </c>
      <c r="J221" s="33" t="s">
        <v>78</v>
      </c>
      <c r="K221" s="29">
        <v>0.59722222222222221</v>
      </c>
      <c r="L221" s="29">
        <v>0.61111111111111116</v>
      </c>
      <c r="M221" s="35">
        <f t="shared" ca="1" si="49"/>
        <v>1.3888888888888951E-2</v>
      </c>
      <c r="N221" s="27" t="s">
        <v>317</v>
      </c>
      <c r="O221" s="60"/>
    </row>
    <row r="222" spans="1:15" ht="15" customHeight="1">
      <c r="A222" s="68">
        <v>46243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234</v>
      </c>
      <c r="F222" s="27">
        <v>20</v>
      </c>
      <c r="G222" s="28">
        <f t="shared" si="48"/>
        <v>100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69">
        <v>46243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250</v>
      </c>
      <c r="F223" s="27">
        <v>20</v>
      </c>
      <c r="G223" s="34">
        <f t="shared" si="48"/>
        <v>84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8">
        <v>46243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250</v>
      </c>
      <c r="F224" s="27">
        <v>10</v>
      </c>
      <c r="G224" s="28">
        <f t="shared" si="48"/>
        <v>42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69">
        <v>46243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250</v>
      </c>
      <c r="F225" s="27">
        <v>3</v>
      </c>
      <c r="G225" s="34">
        <f t="shared" si="48"/>
        <v>12.600000000000001</v>
      </c>
      <c r="H225" s="33"/>
      <c r="I225" s="33"/>
      <c r="J225" s="33"/>
      <c r="K225" s="29"/>
      <c r="L225" s="29"/>
      <c r="M225" s="79" t="str">
        <f ca="1">IFERROR(IF(K225="","",IF(L225="",MOD(NOW()-K225,1),IF(L225&gt;=K225,L225-K225,L225+1-K225))),"")</f>
        <v/>
      </c>
      <c r="N225" s="27"/>
      <c r="O225" s="60"/>
    </row>
    <row r="226" spans="1:15" ht="15" customHeight="1">
      <c r="A226" s="68">
        <v>46243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250</v>
      </c>
      <c r="F226" s="27">
        <v>16</v>
      </c>
      <c r="G226" s="28">
        <f t="shared" si="48"/>
        <v>67.2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46243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250</v>
      </c>
      <c r="F227" s="27">
        <v>15</v>
      </c>
      <c r="G227" s="34">
        <f t="shared" si="48"/>
        <v>63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46243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250</v>
      </c>
      <c r="F228" s="27">
        <v>17</v>
      </c>
      <c r="G228" s="28">
        <f t="shared" si="48"/>
        <v>71.400000000000006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46243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250</v>
      </c>
      <c r="F229" s="27">
        <v>10</v>
      </c>
      <c r="G229" s="34">
        <f t="shared" si="48"/>
        <v>42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104" t="s">
        <v>235</v>
      </c>
      <c r="B230" s="105"/>
      <c r="C230" s="105"/>
      <c r="D230" s="105"/>
      <c r="E230" s="106">
        <f>SUM(E218:E229)</f>
        <v>0</v>
      </c>
      <c r="F230" s="36">
        <f>SUM(F218:F229)</f>
        <v>169</v>
      </c>
      <c r="G230" s="36">
        <f>SUM(G218:G229)</f>
        <v>725.80000000000007</v>
      </c>
      <c r="H230" s="37"/>
      <c r="I230" s="37"/>
      <c r="J230" s="37"/>
      <c r="K230" s="61"/>
      <c r="L230" s="61"/>
      <c r="M230" s="38">
        <f ca="1">IFERROR(SUM(M218:M229),"")</f>
        <v>5.4166666666666752E-2</v>
      </c>
      <c r="N230" s="36" t="s">
        <v>236</v>
      </c>
      <c r="O230" s="39">
        <v>755220</v>
      </c>
    </row>
    <row r="231" spans="1:15" ht="15" customHeight="1">
      <c r="A231" s="69">
        <v>46243</v>
      </c>
      <c r="B231" s="32">
        <v>0.83333333333333304</v>
      </c>
      <c r="C231" s="33" t="s">
        <v>45</v>
      </c>
      <c r="D231" s="62" t="s">
        <v>30</v>
      </c>
      <c r="E231" s="62" t="s">
        <v>250</v>
      </c>
      <c r="F231" s="27">
        <v>18</v>
      </c>
      <c r="G231" s="34">
        <f t="shared" ref="G231:G242" si="51">IF(F231="","",IF(E231="PC 17",F231*4.2,IF(E231="PC 19",F231*5,IF(E231="CB",F231*24,""))))</f>
        <v>75.600000000000009</v>
      </c>
      <c r="H231" s="33" t="s">
        <v>20</v>
      </c>
      <c r="I231" s="33" t="s">
        <v>57</v>
      </c>
      <c r="J231" s="33" t="s">
        <v>36</v>
      </c>
      <c r="K231" s="29">
        <v>0.81458333333333333</v>
      </c>
      <c r="L231" s="29">
        <v>0.85624999999999996</v>
      </c>
      <c r="M231" s="35">
        <f t="shared" ref="M231:M242" ca="1" si="52">IFERROR(IF(K231="","",IF(L231="",MOD(NOW()-K231,1),IF(L231&gt;=K231,L231-K231,L231+1-K231))),"")</f>
        <v>4.166666666666663E-2</v>
      </c>
      <c r="N231" s="27" t="s">
        <v>318</v>
      </c>
      <c r="O231" s="60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 t="s">
        <v>45</v>
      </c>
      <c r="D232" s="62" t="s">
        <v>30</v>
      </c>
      <c r="E232" s="62" t="s">
        <v>234</v>
      </c>
      <c r="F232" s="27">
        <v>5</v>
      </c>
      <c r="G232" s="28">
        <f t="shared" si="51"/>
        <v>25</v>
      </c>
      <c r="H232" s="26" t="s">
        <v>20</v>
      </c>
      <c r="I232" s="26" t="s">
        <v>57</v>
      </c>
      <c r="J232" s="26" t="s">
        <v>56</v>
      </c>
      <c r="K232" s="29">
        <v>0.88749999999999996</v>
      </c>
      <c r="L232" s="29">
        <v>0.90347222222222223</v>
      </c>
      <c r="M232" s="30">
        <f t="shared" ca="1" si="52"/>
        <v>1.5972222222222276E-2</v>
      </c>
      <c r="N232" s="27" t="s">
        <v>319</v>
      </c>
      <c r="O232" s="60"/>
    </row>
    <row r="233" spans="1:15" ht="15" customHeight="1">
      <c r="A233" s="69">
        <v>46243</v>
      </c>
      <c r="B233" s="32">
        <f t="shared" si="53"/>
        <v>0.9166666666666663</v>
      </c>
      <c r="C233" s="33" t="s">
        <v>45</v>
      </c>
      <c r="D233" s="62" t="s">
        <v>30</v>
      </c>
      <c r="E233" s="62" t="s">
        <v>250</v>
      </c>
      <c r="F233" s="27">
        <v>7</v>
      </c>
      <c r="G233" s="34">
        <f t="shared" si="51"/>
        <v>29.400000000000002</v>
      </c>
      <c r="H233" s="33" t="s">
        <v>18</v>
      </c>
      <c r="I233" s="33" t="s">
        <v>152</v>
      </c>
      <c r="J233" s="33" t="s">
        <v>130</v>
      </c>
      <c r="K233" s="29">
        <v>3.5416666666666666E-2</v>
      </c>
      <c r="L233" s="29">
        <v>6.7361111111111108E-2</v>
      </c>
      <c r="M233" s="35">
        <f t="shared" ca="1" si="52"/>
        <v>3.1944444444444442E-2</v>
      </c>
      <c r="N233" s="27"/>
      <c r="O233" s="60"/>
    </row>
    <row r="234" spans="1:15" ht="15" customHeight="1">
      <c r="A234" s="68">
        <v>46243</v>
      </c>
      <c r="B234" s="25">
        <f t="shared" si="53"/>
        <v>0.95833333333333293</v>
      </c>
      <c r="C234" s="33" t="s">
        <v>45</v>
      </c>
      <c r="D234" s="62" t="s">
        <v>30</v>
      </c>
      <c r="E234" s="62" t="s">
        <v>234</v>
      </c>
      <c r="F234" s="27">
        <v>11</v>
      </c>
      <c r="G234" s="28">
        <f t="shared" si="51"/>
        <v>55</v>
      </c>
      <c r="H234" s="26" t="s">
        <v>19</v>
      </c>
      <c r="I234" s="26" t="s">
        <v>52</v>
      </c>
      <c r="J234" s="26" t="s">
        <v>27</v>
      </c>
      <c r="K234" s="29">
        <v>0.26041666666666669</v>
      </c>
      <c r="L234" s="29">
        <v>0.28749999999999998</v>
      </c>
      <c r="M234" s="30">
        <f t="shared" ca="1" si="52"/>
        <v>2.7083333333333293E-2</v>
      </c>
      <c r="N234" s="27"/>
      <c r="O234" s="60"/>
    </row>
    <row r="235" spans="1:15" ht="15" customHeight="1">
      <c r="A235" s="69">
        <v>46243</v>
      </c>
      <c r="B235" s="32">
        <f t="shared" si="53"/>
        <v>0.99999999999999956</v>
      </c>
      <c r="C235" s="33" t="s">
        <v>45</v>
      </c>
      <c r="D235" s="62" t="s">
        <v>30</v>
      </c>
      <c r="E235" s="62" t="s">
        <v>234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8">
        <v>46243</v>
      </c>
      <c r="B236" s="25">
        <f t="shared" si="53"/>
        <v>1.0416666666666663</v>
      </c>
      <c r="C236" s="33" t="s">
        <v>45</v>
      </c>
      <c r="D236" s="62" t="s">
        <v>30</v>
      </c>
      <c r="E236" s="62" t="s">
        <v>234</v>
      </c>
      <c r="F236" s="27">
        <v>12</v>
      </c>
      <c r="G236" s="28">
        <f t="shared" si="51"/>
        <v>60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69">
        <v>46243</v>
      </c>
      <c r="B237" s="32">
        <f t="shared" si="53"/>
        <v>1.083333333333333</v>
      </c>
      <c r="C237" s="33" t="s">
        <v>45</v>
      </c>
      <c r="D237" s="62" t="s">
        <v>30</v>
      </c>
      <c r="E237" s="62" t="s">
        <v>234</v>
      </c>
      <c r="F237" s="27">
        <v>12</v>
      </c>
      <c r="G237" s="34">
        <f t="shared" si="51"/>
        <v>60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46243</v>
      </c>
      <c r="B238" s="25">
        <f t="shared" si="53"/>
        <v>1.1249999999999998</v>
      </c>
      <c r="C238" s="33" t="s">
        <v>45</v>
      </c>
      <c r="D238" s="62" t="s">
        <v>30</v>
      </c>
      <c r="E238" s="62" t="s">
        <v>234</v>
      </c>
      <c r="F238" s="27">
        <v>17</v>
      </c>
      <c r="G238" s="28">
        <f t="shared" si="51"/>
        <v>85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46243</v>
      </c>
      <c r="B239" s="32">
        <f t="shared" si="53"/>
        <v>1.1666666666666665</v>
      </c>
      <c r="C239" s="33" t="s">
        <v>45</v>
      </c>
      <c r="D239" s="62" t="s">
        <v>30</v>
      </c>
      <c r="E239" s="62" t="s">
        <v>234</v>
      </c>
      <c r="F239" s="27">
        <v>11</v>
      </c>
      <c r="G239" s="34">
        <f t="shared" si="51"/>
        <v>55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46243</v>
      </c>
      <c r="B240" s="25">
        <f t="shared" si="53"/>
        <v>1.2083333333333333</v>
      </c>
      <c r="C240" s="33" t="s">
        <v>45</v>
      </c>
      <c r="D240" s="62" t="s">
        <v>30</v>
      </c>
      <c r="E240" s="62" t="s">
        <v>234</v>
      </c>
      <c r="F240" s="27">
        <v>14</v>
      </c>
      <c r="G240" s="28">
        <f t="shared" si="51"/>
        <v>70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46243</v>
      </c>
      <c r="B241" s="32">
        <f t="shared" si="53"/>
        <v>1.25</v>
      </c>
      <c r="C241" s="33" t="s">
        <v>45</v>
      </c>
      <c r="D241" s="62" t="s">
        <v>30</v>
      </c>
      <c r="E241" s="62" t="s">
        <v>234</v>
      </c>
      <c r="F241" s="27">
        <v>15</v>
      </c>
      <c r="G241" s="34">
        <f t="shared" si="51"/>
        <v>75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46243</v>
      </c>
      <c r="B242" s="25">
        <f t="shared" si="53"/>
        <v>1.2916666666666667</v>
      </c>
      <c r="C242" s="33" t="s">
        <v>45</v>
      </c>
      <c r="D242" s="62" t="s">
        <v>30</v>
      </c>
      <c r="E242" s="62" t="s">
        <v>234</v>
      </c>
      <c r="F242" s="27">
        <v>0</v>
      </c>
      <c r="G242" s="28">
        <f t="shared" si="51"/>
        <v>0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104" t="s">
        <v>238</v>
      </c>
      <c r="B243" s="105"/>
      <c r="C243" s="105"/>
      <c r="D243" s="105"/>
      <c r="E243" s="106">
        <f>SUM(E231:E242)</f>
        <v>0</v>
      </c>
      <c r="F243" s="36">
        <f>SUM(F231:F242)</f>
        <v>137</v>
      </c>
      <c r="G243" s="36">
        <f>SUM(G231:G242)</f>
        <v>665</v>
      </c>
      <c r="H243" s="37"/>
      <c r="I243" s="37"/>
      <c r="J243" s="37"/>
      <c r="K243" s="61"/>
      <c r="L243" s="61"/>
      <c r="M243" s="38">
        <f ca="1">IFERROR(SUM(M231:M242),"")</f>
        <v>0.11666666666666664</v>
      </c>
      <c r="N243" s="36" t="s">
        <v>236</v>
      </c>
      <c r="O243" s="39">
        <v>795250</v>
      </c>
    </row>
    <row r="244" spans="1:15" ht="18" customHeight="1">
      <c r="A244" s="107" t="s">
        <v>239</v>
      </c>
      <c r="B244" s="108"/>
      <c r="C244" s="108"/>
      <c r="D244" s="108"/>
      <c r="E244" s="109">
        <f>E230+E243</f>
        <v>0</v>
      </c>
      <c r="F244" s="40">
        <f>F230+F243</f>
        <v>306</v>
      </c>
      <c r="G244" s="40">
        <f>G230+G243</f>
        <v>1390.8000000000002</v>
      </c>
      <c r="H244" s="41"/>
      <c r="I244" s="41"/>
      <c r="J244" s="41"/>
      <c r="K244" s="63"/>
      <c r="L244" s="63"/>
      <c r="M244" s="42">
        <f ca="1">IFERROR(M230+M243,"")</f>
        <v>0.17083333333333339</v>
      </c>
      <c r="N244" s="40" t="s">
        <v>240</v>
      </c>
      <c r="O244" s="48">
        <f>IFERROR(O230+O243,"")</f>
        <v>1550470</v>
      </c>
    </row>
    <row r="245" spans="1:15" ht="15" customHeight="1">
      <c r="A245" s="68">
        <v>46244</v>
      </c>
      <c r="B245" s="25">
        <v>0.33333333333333298</v>
      </c>
      <c r="C245" s="26" t="s">
        <v>29</v>
      </c>
      <c r="D245" s="59" t="s">
        <v>30</v>
      </c>
      <c r="E245" s="59" t="s">
        <v>234</v>
      </c>
      <c r="F245" s="27">
        <v>15</v>
      </c>
      <c r="G245" s="28">
        <f t="shared" ref="G245:G256" si="54">IF(F245="","",IF(E245="PC 17",F245*4.2,IF(E245="PC 19",F245*5,IF(E245="CB",F245*24,""))))</f>
        <v>75</v>
      </c>
      <c r="H245" s="33" t="s">
        <v>18</v>
      </c>
      <c r="I245" s="33" t="s">
        <v>52</v>
      </c>
      <c r="J245" s="33" t="s">
        <v>166</v>
      </c>
      <c r="K245" s="29">
        <v>0.32222222222222224</v>
      </c>
      <c r="L245" s="29">
        <v>0.3263888888888889</v>
      </c>
      <c r="M245" s="30">
        <f t="shared" ref="M245:M256" ca="1" si="55">IFERROR(IF(K245="","",IF(L245="",MOD(NOW()-K245,1),IF(L245&gt;=K245,L245-K245,L245+1-K245))),"")</f>
        <v>4.1666666666666519E-3</v>
      </c>
      <c r="N245" s="27"/>
      <c r="O245" s="60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 t="s">
        <v>29</v>
      </c>
      <c r="D246" s="59" t="s">
        <v>30</v>
      </c>
      <c r="E246" s="59" t="s">
        <v>234</v>
      </c>
      <c r="F246" s="27">
        <v>15</v>
      </c>
      <c r="G246" s="34">
        <f t="shared" si="54"/>
        <v>75</v>
      </c>
      <c r="H246" s="33" t="s">
        <v>20</v>
      </c>
      <c r="I246" s="26" t="s">
        <v>57</v>
      </c>
      <c r="J246" s="33" t="s">
        <v>28</v>
      </c>
      <c r="K246" s="29">
        <v>0.34861111111111109</v>
      </c>
      <c r="L246" s="29">
        <v>0.36249999999999999</v>
      </c>
      <c r="M246" s="35">
        <f t="shared" ca="1" si="55"/>
        <v>1.3888888888888895E-2</v>
      </c>
      <c r="N246" s="27"/>
      <c r="O246" s="60"/>
    </row>
    <row r="247" spans="1:15" ht="15" customHeight="1">
      <c r="A247" s="68">
        <v>46244</v>
      </c>
      <c r="B247" s="25">
        <f t="shared" si="56"/>
        <v>0.41666666666666635</v>
      </c>
      <c r="C247" s="26" t="s">
        <v>29</v>
      </c>
      <c r="D247" s="59" t="s">
        <v>30</v>
      </c>
      <c r="E247" s="59" t="s">
        <v>234</v>
      </c>
      <c r="F247" s="27">
        <v>19</v>
      </c>
      <c r="G247" s="28">
        <f t="shared" si="54"/>
        <v>95</v>
      </c>
      <c r="H247" s="33" t="s">
        <v>20</v>
      </c>
      <c r="I247" s="33" t="s">
        <v>52</v>
      </c>
      <c r="J247" s="33" t="s">
        <v>62</v>
      </c>
      <c r="K247" s="29">
        <v>0.50069444444444444</v>
      </c>
      <c r="L247" s="29">
        <v>0.50208333333333333</v>
      </c>
      <c r="M247" s="30">
        <f t="shared" ca="1" si="55"/>
        <v>1.388888888888884E-3</v>
      </c>
      <c r="N247" s="27"/>
      <c r="O247" s="60"/>
    </row>
    <row r="248" spans="1:15" ht="15" customHeight="1">
      <c r="A248" s="69">
        <v>46244</v>
      </c>
      <c r="B248" s="32">
        <f t="shared" si="56"/>
        <v>0.45833333333333304</v>
      </c>
      <c r="C248" s="26" t="s">
        <v>29</v>
      </c>
      <c r="D248" s="59" t="s">
        <v>30</v>
      </c>
      <c r="E248" s="59" t="s">
        <v>234</v>
      </c>
      <c r="F248" s="27">
        <v>24</v>
      </c>
      <c r="G248" s="34">
        <f t="shared" si="54"/>
        <v>120</v>
      </c>
      <c r="H248" s="26" t="s">
        <v>19</v>
      </c>
      <c r="I248" s="26" t="s">
        <v>57</v>
      </c>
      <c r="J248" s="26" t="s">
        <v>27</v>
      </c>
      <c r="K248" s="29">
        <v>0.52430555555555558</v>
      </c>
      <c r="L248" s="29">
        <v>0.54027777777777775</v>
      </c>
      <c r="M248" s="35">
        <f t="shared" ca="1" si="55"/>
        <v>1.5972222222222165E-2</v>
      </c>
      <c r="N248" s="27"/>
      <c r="O248" s="60"/>
    </row>
    <row r="249" spans="1:15" ht="15" customHeight="1">
      <c r="A249" s="68">
        <v>46244</v>
      </c>
      <c r="B249" s="25">
        <f t="shared" si="56"/>
        <v>0.49999999999999972</v>
      </c>
      <c r="C249" s="26" t="s">
        <v>29</v>
      </c>
      <c r="D249" s="59" t="s">
        <v>30</v>
      </c>
      <c r="E249" s="59" t="s">
        <v>234</v>
      </c>
      <c r="F249" s="27">
        <v>10</v>
      </c>
      <c r="G249" s="28">
        <f t="shared" si="54"/>
        <v>50</v>
      </c>
      <c r="H249" s="33" t="s">
        <v>18</v>
      </c>
      <c r="I249" s="33" t="s">
        <v>152</v>
      </c>
      <c r="J249" s="33" t="s">
        <v>130</v>
      </c>
      <c r="K249" s="29">
        <v>0.55555555555555558</v>
      </c>
      <c r="L249" s="29">
        <v>0.56180555555555556</v>
      </c>
      <c r="M249" s="30">
        <f t="shared" ca="1" si="55"/>
        <v>6.2499999999999778E-3</v>
      </c>
      <c r="N249" s="27" t="s">
        <v>320</v>
      </c>
      <c r="O249" s="60"/>
    </row>
    <row r="250" spans="1:15" ht="15" customHeight="1">
      <c r="A250" s="69">
        <v>46244</v>
      </c>
      <c r="B250" s="32">
        <f t="shared" si="56"/>
        <v>0.54166666666666641</v>
      </c>
      <c r="C250" s="26" t="s">
        <v>29</v>
      </c>
      <c r="D250" s="59" t="s">
        <v>30</v>
      </c>
      <c r="E250" s="59" t="s">
        <v>234</v>
      </c>
      <c r="F250" s="27">
        <v>16</v>
      </c>
      <c r="G250" s="34">
        <f t="shared" si="54"/>
        <v>80</v>
      </c>
      <c r="H250" s="26" t="s">
        <v>19</v>
      </c>
      <c r="I250" s="26" t="s">
        <v>52</v>
      </c>
      <c r="J250" s="26" t="s">
        <v>27</v>
      </c>
      <c r="K250" s="29">
        <v>0.54027777777777775</v>
      </c>
      <c r="L250" s="29">
        <v>0.55555555555555558</v>
      </c>
      <c r="M250" s="35">
        <f t="shared" ca="1" si="55"/>
        <v>1.5277777777777835E-2</v>
      </c>
      <c r="N250" s="27"/>
      <c r="O250" s="60"/>
    </row>
    <row r="251" spans="1:15" ht="15" customHeight="1">
      <c r="A251" s="68">
        <v>46244</v>
      </c>
      <c r="B251" s="25">
        <f t="shared" si="56"/>
        <v>0.58333333333333304</v>
      </c>
      <c r="C251" s="26" t="s">
        <v>29</v>
      </c>
      <c r="D251" s="59" t="s">
        <v>30</v>
      </c>
      <c r="E251" s="59" t="s">
        <v>234</v>
      </c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46244</v>
      </c>
      <c r="B252" s="32">
        <f t="shared" si="56"/>
        <v>0.62499999999999967</v>
      </c>
      <c r="C252" s="26" t="s">
        <v>29</v>
      </c>
      <c r="D252" s="59" t="s">
        <v>30</v>
      </c>
      <c r="E252" s="59" t="s">
        <v>234</v>
      </c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46244</v>
      </c>
      <c r="B253" s="25">
        <f t="shared" si="56"/>
        <v>0.6666666666666663</v>
      </c>
      <c r="C253" s="26" t="s">
        <v>29</v>
      </c>
      <c r="D253" s="59" t="s">
        <v>30</v>
      </c>
      <c r="E253" s="59" t="s">
        <v>234</v>
      </c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46244</v>
      </c>
      <c r="B254" s="32">
        <f t="shared" si="56"/>
        <v>0.70833333333333293</v>
      </c>
      <c r="C254" s="26" t="s">
        <v>29</v>
      </c>
      <c r="D254" s="59" t="s">
        <v>30</v>
      </c>
      <c r="E254" s="59" t="s">
        <v>234</v>
      </c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46244</v>
      </c>
      <c r="B255" s="25">
        <f t="shared" si="56"/>
        <v>0.74999999999999956</v>
      </c>
      <c r="C255" s="26" t="s">
        <v>29</v>
      </c>
      <c r="D255" s="59" t="s">
        <v>30</v>
      </c>
      <c r="E255" s="59" t="s">
        <v>234</v>
      </c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46244</v>
      </c>
      <c r="B256" s="32">
        <f t="shared" si="56"/>
        <v>0.79166666666666619</v>
      </c>
      <c r="C256" s="26" t="s">
        <v>29</v>
      </c>
      <c r="D256" s="59" t="s">
        <v>30</v>
      </c>
      <c r="E256" s="59" t="s">
        <v>234</v>
      </c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104" t="s">
        <v>235</v>
      </c>
      <c r="B257" s="105"/>
      <c r="C257" s="105"/>
      <c r="D257" s="105"/>
      <c r="E257" s="106">
        <f>SUM(E245:E256)</f>
        <v>0</v>
      </c>
      <c r="F257" s="36">
        <f>SUM(F245:F256)</f>
        <v>99</v>
      </c>
      <c r="G257" s="36">
        <f>SUM(G245:G256)</f>
        <v>495</v>
      </c>
      <c r="H257" s="37"/>
      <c r="I257" s="37"/>
      <c r="J257" s="37"/>
      <c r="K257" s="61"/>
      <c r="L257" s="61"/>
      <c r="M257" s="38">
        <f ca="1">IFERROR(SUM(M245:M256),"")</f>
        <v>5.6944444444444409E-2</v>
      </c>
      <c r="N257" s="36" t="s">
        <v>236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104" t="s">
        <v>238</v>
      </c>
      <c r="B270" s="105"/>
      <c r="C270" s="105"/>
      <c r="D270" s="105"/>
      <c r="E270" s="106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236</v>
      </c>
      <c r="O270" s="39"/>
    </row>
    <row r="271" spans="1:15" ht="18" customHeight="1">
      <c r="A271" s="107" t="s">
        <v>239</v>
      </c>
      <c r="B271" s="108"/>
      <c r="C271" s="108"/>
      <c r="D271" s="108"/>
      <c r="E271" s="109">
        <f>E257+E270</f>
        <v>0</v>
      </c>
      <c r="F271" s="40">
        <f>F257+F270</f>
        <v>99</v>
      </c>
      <c r="G271" s="40">
        <f>G257+G270</f>
        <v>495</v>
      </c>
      <c r="H271" s="41"/>
      <c r="I271" s="41"/>
      <c r="J271" s="41"/>
      <c r="K271" s="63"/>
      <c r="L271" s="63"/>
      <c r="M271" s="42">
        <f ca="1">IFERROR(M257+M270,"")</f>
        <v>5.6944444444444409E-2</v>
      </c>
      <c r="N271" s="40" t="s">
        <v>240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104" t="s">
        <v>235</v>
      </c>
      <c r="B284" s="105"/>
      <c r="C284" s="105"/>
      <c r="D284" s="105"/>
      <c r="E284" s="106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236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104" t="s">
        <v>238</v>
      </c>
      <c r="B297" s="105"/>
      <c r="C297" s="105"/>
      <c r="D297" s="105"/>
      <c r="E297" s="106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236</v>
      </c>
      <c r="O297" s="39"/>
    </row>
    <row r="298" spans="1:15" ht="18" customHeight="1">
      <c r="A298" s="107" t="s">
        <v>239</v>
      </c>
      <c r="B298" s="108"/>
      <c r="C298" s="108"/>
      <c r="D298" s="108"/>
      <c r="E298" s="109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240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104" t="s">
        <v>235</v>
      </c>
      <c r="B311" s="105"/>
      <c r="C311" s="105"/>
      <c r="D311" s="105"/>
      <c r="E311" s="106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236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104" t="s">
        <v>238</v>
      </c>
      <c r="B324" s="105"/>
      <c r="C324" s="105"/>
      <c r="D324" s="105"/>
      <c r="E324" s="106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236</v>
      </c>
      <c r="O324" s="39"/>
    </row>
    <row r="325" spans="1:15" ht="18" customHeight="1">
      <c r="A325" s="107" t="s">
        <v>239</v>
      </c>
      <c r="B325" s="108"/>
      <c r="C325" s="108"/>
      <c r="D325" s="108"/>
      <c r="E325" s="109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240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F326" s="27"/>
      <c r="G326" s="28" t="str">
        <f>IF(F326="","",IF(E327="PC 17",F326*4.2,IF(E327="PC 19",F326*5,"")))</f>
        <v/>
      </c>
      <c r="H326" s="26"/>
      <c r="I326" s="26"/>
      <c r="J326" s="26"/>
      <c r="K326" s="29"/>
      <c r="L326" s="29"/>
      <c r="M326" s="30" t="str">
        <f t="shared" ref="M326:M337" ca="1" si="72">IFERROR(IF(K326="","",IF(L326="",MOD(NOW()-K326,1),IF(L326&gt;=K326,L326-K326,L326+1-K326))),"")</f>
        <v/>
      </c>
      <c r="N326" s="27"/>
      <c r="O326" s="60"/>
    </row>
    <row r="327" spans="1:15" ht="15" customHeight="1">
      <c r="A327" s="69">
        <v>46247</v>
      </c>
      <c r="B327" s="32">
        <f t="shared" ref="B327:B337" si="73">B326+TIME(0,60,0)</f>
        <v>0.37499999999999967</v>
      </c>
      <c r="C327" s="26"/>
      <c r="D327" s="59"/>
      <c r="E327" s="59"/>
      <c r="F327" s="27"/>
      <c r="G327" s="34"/>
      <c r="H327" s="33"/>
      <c r="I327" s="33"/>
      <c r="J327" s="33"/>
      <c r="K327" s="29"/>
      <c r="L327" s="29"/>
      <c r="M327" s="35" t="str">
        <f t="shared" ca="1" si="72"/>
        <v/>
      </c>
      <c r="N327" s="27"/>
      <c r="O327" s="60"/>
    </row>
    <row r="328" spans="1:15" ht="15" customHeight="1">
      <c r="A328" s="68">
        <v>46247</v>
      </c>
      <c r="B328" s="25">
        <f t="shared" si="73"/>
        <v>0.41666666666666635</v>
      </c>
      <c r="C328" s="26"/>
      <c r="D328" s="59"/>
      <c r="E328" s="59"/>
      <c r="F328" s="27"/>
      <c r="G328" s="28" t="str">
        <f t="shared" ref="G328:G337" si="74">IF(F328="","",IF(E328="PC 17",F328*4.2,IF(E328="PC 19",F328*5,IF(E328="CB",F328*24,""))))</f>
        <v/>
      </c>
      <c r="H328" s="26"/>
      <c r="I328" s="26"/>
      <c r="J328" s="26"/>
      <c r="K328" s="29"/>
      <c r="L328" s="29"/>
      <c r="M328" s="30" t="str">
        <f t="shared" ca="1" si="72"/>
        <v/>
      </c>
      <c r="N328" s="27"/>
      <c r="O328" s="60"/>
    </row>
    <row r="329" spans="1:15" ht="15" customHeight="1">
      <c r="A329" s="69">
        <v>46247</v>
      </c>
      <c r="B329" s="32">
        <f t="shared" si="73"/>
        <v>0.45833333333333304</v>
      </c>
      <c r="C329" s="26"/>
      <c r="D329" s="59"/>
      <c r="E329" s="59"/>
      <c r="F329" s="27"/>
      <c r="G329" s="34" t="str">
        <f t="shared" si="74"/>
        <v/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46247</v>
      </c>
      <c r="B330" s="25">
        <f t="shared" si="73"/>
        <v>0.49999999999999972</v>
      </c>
      <c r="C330" s="26"/>
      <c r="D330" s="59"/>
      <c r="E330" s="59"/>
      <c r="F330" s="27"/>
      <c r="G330" s="28" t="str">
        <f t="shared" si="74"/>
        <v/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46247</v>
      </c>
      <c r="B331" s="32">
        <f t="shared" si="73"/>
        <v>0.54166666666666641</v>
      </c>
      <c r="C331" s="26"/>
      <c r="D331" s="59"/>
      <c r="E331" s="59"/>
      <c r="F331" s="27"/>
      <c r="G331" s="34" t="str">
        <f t="shared" si="74"/>
        <v/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46247</v>
      </c>
      <c r="B332" s="25">
        <f t="shared" si="73"/>
        <v>0.58333333333333304</v>
      </c>
      <c r="C332" s="26"/>
      <c r="D332" s="59"/>
      <c r="E332" s="59"/>
      <c r="F332" s="27"/>
      <c r="G332" s="28" t="str">
        <f t="shared" si="74"/>
        <v/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46247</v>
      </c>
      <c r="B333" s="32">
        <f t="shared" si="73"/>
        <v>0.62499999999999967</v>
      </c>
      <c r="C333" s="26"/>
      <c r="D333" s="59"/>
      <c r="E333" s="59"/>
      <c r="F333" s="27"/>
      <c r="G333" s="34" t="str">
        <f t="shared" si="74"/>
        <v/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46247</v>
      </c>
      <c r="B334" s="25">
        <f t="shared" si="73"/>
        <v>0.6666666666666663</v>
      </c>
      <c r="C334" s="26"/>
      <c r="D334" s="59"/>
      <c r="E334" s="59"/>
      <c r="F334" s="27"/>
      <c r="G334" s="28" t="str">
        <f t="shared" si="74"/>
        <v/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46247</v>
      </c>
      <c r="B335" s="32">
        <f t="shared" si="73"/>
        <v>0.70833333333333293</v>
      </c>
      <c r="C335" s="26"/>
      <c r="D335" s="59"/>
      <c r="E335" s="59"/>
      <c r="F335" s="27"/>
      <c r="G335" s="34" t="str">
        <f t="shared" si="74"/>
        <v/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46247</v>
      </c>
      <c r="B336" s="25">
        <f t="shared" si="73"/>
        <v>0.74999999999999956</v>
      </c>
      <c r="C336" s="26"/>
      <c r="D336" s="59"/>
      <c r="E336" s="59"/>
      <c r="F336" s="27"/>
      <c r="G336" s="28" t="str">
        <f t="shared" si="74"/>
        <v/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46247</v>
      </c>
      <c r="B337" s="32">
        <f t="shared" si="73"/>
        <v>0.79166666666666619</v>
      </c>
      <c r="C337" s="26"/>
      <c r="D337" s="59"/>
      <c r="E337" s="59"/>
      <c r="F337" s="27"/>
      <c r="G337" s="34" t="str">
        <f t="shared" si="74"/>
        <v/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104" t="s">
        <v>235</v>
      </c>
      <c r="B338" s="105"/>
      <c r="C338" s="105"/>
      <c r="D338" s="105"/>
      <c r="E338" s="106">
        <f>SUM(E327:E337)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236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104" t="s">
        <v>238</v>
      </c>
      <c r="B351" s="105"/>
      <c r="C351" s="105"/>
      <c r="D351" s="105"/>
      <c r="E351" s="106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236</v>
      </c>
      <c r="O351" s="39"/>
    </row>
    <row r="352" spans="1:15" ht="18" customHeight="1">
      <c r="A352" s="107" t="s">
        <v>239</v>
      </c>
      <c r="B352" s="108"/>
      <c r="C352" s="108"/>
      <c r="D352" s="108"/>
      <c r="E352" s="109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240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33"/>
      <c r="I354" s="26"/>
      <c r="J354" s="33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235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236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104" t="s">
        <v>238</v>
      </c>
      <c r="B378" s="105"/>
      <c r="C378" s="105"/>
      <c r="D378" s="105"/>
      <c r="E378" s="106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236</v>
      </c>
      <c r="O378" s="39"/>
    </row>
    <row r="379" spans="1:15" ht="18" customHeight="1">
      <c r="A379" s="107" t="s">
        <v>239</v>
      </c>
      <c r="B379" s="108"/>
      <c r="C379" s="108"/>
      <c r="D379" s="108"/>
      <c r="E379" s="109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240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104" t="s">
        <v>235</v>
      </c>
      <c r="B392" s="105"/>
      <c r="C392" s="105"/>
      <c r="D392" s="105"/>
      <c r="E392" s="106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236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104" t="s">
        <v>238</v>
      </c>
      <c r="B405" s="105"/>
      <c r="C405" s="105"/>
      <c r="D405" s="105"/>
      <c r="E405" s="106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236</v>
      </c>
      <c r="O405" s="39"/>
    </row>
    <row r="406" spans="1:15" ht="18" customHeight="1">
      <c r="A406" s="107" t="s">
        <v>239</v>
      </c>
      <c r="B406" s="108"/>
      <c r="C406" s="108"/>
      <c r="D406" s="108"/>
      <c r="E406" s="109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240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104" t="s">
        <v>235</v>
      </c>
      <c r="B419" s="105"/>
      <c r="C419" s="105"/>
      <c r="D419" s="105"/>
      <c r="E419" s="106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236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104" t="s">
        <v>238</v>
      </c>
      <c r="B432" s="105"/>
      <c r="C432" s="105"/>
      <c r="D432" s="105"/>
      <c r="E432" s="106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236</v>
      </c>
      <c r="O432" s="39"/>
    </row>
    <row r="433" spans="1:17" ht="18" customHeight="1">
      <c r="A433" s="107" t="s">
        <v>239</v>
      </c>
      <c r="B433" s="108"/>
      <c r="C433" s="108"/>
      <c r="D433" s="108"/>
      <c r="E433" s="109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240</v>
      </c>
      <c r="O433" s="48">
        <f>IFERROR(O419+O432,"")</f>
        <v>0</v>
      </c>
    </row>
    <row r="434" spans="1:17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104" t="s">
        <v>235</v>
      </c>
      <c r="B446" s="105"/>
      <c r="C446" s="105"/>
      <c r="D446" s="105"/>
      <c r="E446" s="106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236</v>
      </c>
      <c r="O446" s="39"/>
    </row>
    <row r="447" spans="1:17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F450" s="27"/>
      <c r="G450" s="28" t="str">
        <f>IF(F450="","",IF(E451="PC 17",F450*4.2,IF(E451="PC 19",F450*5,"")))</f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/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104" t="s">
        <v>238</v>
      </c>
      <c r="B459" s="105"/>
      <c r="C459" s="105"/>
      <c r="D459" s="105"/>
      <c r="E459" s="106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236</v>
      </c>
      <c r="O459" s="39"/>
    </row>
    <row r="460" spans="1:15" ht="18" customHeight="1">
      <c r="A460" s="107" t="s">
        <v>239</v>
      </c>
      <c r="B460" s="108"/>
      <c r="C460" s="108"/>
      <c r="D460" s="108"/>
      <c r="E460" s="109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240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104" t="s">
        <v>235</v>
      </c>
      <c r="B473" s="105"/>
      <c r="C473" s="105"/>
      <c r="D473" s="105"/>
      <c r="E473" s="106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236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104" t="s">
        <v>238</v>
      </c>
      <c r="B486" s="105"/>
      <c r="C486" s="105"/>
      <c r="D486" s="105"/>
      <c r="E486" s="106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236</v>
      </c>
      <c r="O486" s="39"/>
    </row>
    <row r="487" spans="1:15" ht="18" customHeight="1">
      <c r="A487" s="107" t="s">
        <v>239</v>
      </c>
      <c r="B487" s="108"/>
      <c r="C487" s="108"/>
      <c r="D487" s="108"/>
      <c r="E487" s="109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240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69">
        <v>46253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8">
        <v>46253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69">
        <v>46253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8">
        <v>46253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46253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46253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46253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46253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46253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46253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46253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104" t="s">
        <v>235</v>
      </c>
      <c r="B500" s="105"/>
      <c r="C500" s="105"/>
      <c r="D500" s="105"/>
      <c r="E500" s="106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236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104" t="s">
        <v>238</v>
      </c>
      <c r="B513" s="105"/>
      <c r="C513" s="105"/>
      <c r="D513" s="105"/>
      <c r="E513" s="106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236</v>
      </c>
      <c r="O513" s="39"/>
    </row>
    <row r="514" spans="1:15" ht="18" customHeight="1">
      <c r="A514" s="107" t="s">
        <v>239</v>
      </c>
      <c r="B514" s="108"/>
      <c r="C514" s="108"/>
      <c r="D514" s="108"/>
      <c r="E514" s="109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240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104" t="s">
        <v>235</v>
      </c>
      <c r="B527" s="105"/>
      <c r="C527" s="105"/>
      <c r="D527" s="105"/>
      <c r="E527" s="106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236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104" t="s">
        <v>238</v>
      </c>
      <c r="B540" s="105"/>
      <c r="C540" s="105"/>
      <c r="D540" s="105"/>
      <c r="E540" s="106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236</v>
      </c>
      <c r="O540" s="39"/>
    </row>
    <row r="541" spans="1:15" ht="18" customHeight="1">
      <c r="A541" s="107" t="s">
        <v>239</v>
      </c>
      <c r="B541" s="108"/>
      <c r="C541" s="108"/>
      <c r="D541" s="108"/>
      <c r="E541" s="109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240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104" t="s">
        <v>235</v>
      </c>
      <c r="B554" s="105"/>
      <c r="C554" s="105"/>
      <c r="D554" s="105"/>
      <c r="E554" s="106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236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/>
      <c r="N555" s="27"/>
      <c r="O555" s="60"/>
    </row>
    <row r="556" spans="1:15" ht="15" customHeight="1">
      <c r="A556" s="68">
        <v>46255</v>
      </c>
      <c r="B556" s="25">
        <f t="shared" ref="B556:B566" si="124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ref="M556:M566" ca="1" si="125">IFERROR(IF(K556="","",IF(L556="",MOD(NOW()-K556,1),IF(L556&gt;=K556,L556-K556,L556+1-K556))),"")</f>
        <v/>
      </c>
      <c r="N556" s="27"/>
      <c r="O556" s="60"/>
    </row>
    <row r="557" spans="1:15" ht="15" customHeight="1">
      <c r="A557" s="69">
        <v>46255</v>
      </c>
      <c r="B557" s="32">
        <f t="shared" si="124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5"/>
        <v/>
      </c>
      <c r="N557" s="27"/>
      <c r="O557" s="60"/>
    </row>
    <row r="558" spans="1:15" ht="15" customHeight="1">
      <c r="A558" s="68">
        <v>46255</v>
      </c>
      <c r="B558" s="25">
        <f t="shared" si="124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46255</v>
      </c>
      <c r="B559" s="32">
        <f t="shared" si="124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46255</v>
      </c>
      <c r="B560" s="25">
        <f t="shared" si="124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46255</v>
      </c>
      <c r="B561" s="32">
        <f t="shared" si="124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46255</v>
      </c>
      <c r="B562" s="25">
        <f t="shared" si="124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46255</v>
      </c>
      <c r="B563" s="32">
        <f t="shared" si="124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46255</v>
      </c>
      <c r="B564" s="25">
        <f t="shared" si="124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46255</v>
      </c>
      <c r="B565" s="32">
        <f t="shared" si="124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46255</v>
      </c>
      <c r="B566" s="25">
        <f t="shared" si="124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104" t="s">
        <v>238</v>
      </c>
      <c r="B567" s="105"/>
      <c r="C567" s="105"/>
      <c r="D567" s="105"/>
      <c r="E567" s="106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236</v>
      </c>
      <c r="O567" s="39"/>
    </row>
    <row r="568" spans="1:15" ht="18" customHeight="1">
      <c r="A568" s="107" t="s">
        <v>239</v>
      </c>
      <c r="B568" s="108"/>
      <c r="C568" s="108"/>
      <c r="D568" s="108"/>
      <c r="E568" s="109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240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104" t="s">
        <v>235</v>
      </c>
      <c r="B581" s="105"/>
      <c r="C581" s="105"/>
      <c r="D581" s="105"/>
      <c r="E581" s="106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236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104" t="s">
        <v>238</v>
      </c>
      <c r="B594" s="105"/>
      <c r="C594" s="105"/>
      <c r="D594" s="105"/>
      <c r="E594" s="106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236</v>
      </c>
      <c r="O594" s="39"/>
    </row>
    <row r="595" spans="1:15" ht="18" customHeight="1">
      <c r="A595" s="107" t="s">
        <v>239</v>
      </c>
      <c r="B595" s="108"/>
      <c r="C595" s="108"/>
      <c r="D595" s="108"/>
      <c r="E595" s="109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240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104" t="s">
        <v>235</v>
      </c>
      <c r="B608" s="105"/>
      <c r="C608" s="105"/>
      <c r="D608" s="105"/>
      <c r="E608" s="106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236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104" t="s">
        <v>238</v>
      </c>
      <c r="B621" s="105"/>
      <c r="C621" s="105"/>
      <c r="D621" s="105"/>
      <c r="E621" s="106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236</v>
      </c>
      <c r="O621" s="39"/>
    </row>
    <row r="622" spans="1:15" ht="18" customHeight="1">
      <c r="A622" s="107" t="s">
        <v>239</v>
      </c>
      <c r="B622" s="108"/>
      <c r="C622" s="108"/>
      <c r="D622" s="108"/>
      <c r="E622" s="109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240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104" t="s">
        <v>235</v>
      </c>
      <c r="B635" s="105"/>
      <c r="C635" s="105"/>
      <c r="D635" s="105"/>
      <c r="E635" s="106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236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104" t="s">
        <v>238</v>
      </c>
      <c r="B648" s="105"/>
      <c r="C648" s="105"/>
      <c r="D648" s="105"/>
      <c r="E648" s="106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236</v>
      </c>
      <c r="O648" s="39"/>
    </row>
    <row r="649" spans="1:15" ht="18" customHeight="1">
      <c r="A649" s="107" t="s">
        <v>239</v>
      </c>
      <c r="B649" s="108"/>
      <c r="C649" s="108"/>
      <c r="D649" s="108"/>
      <c r="E649" s="109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240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104" t="s">
        <v>235</v>
      </c>
      <c r="B662" s="105"/>
      <c r="C662" s="105"/>
      <c r="D662" s="105"/>
      <c r="E662" s="106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236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104" t="s">
        <v>238</v>
      </c>
      <c r="B675" s="105"/>
      <c r="C675" s="105"/>
      <c r="D675" s="105"/>
      <c r="E675" s="106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236</v>
      </c>
      <c r="O675" s="39"/>
    </row>
    <row r="676" spans="1:15" ht="18" customHeight="1">
      <c r="A676" s="107" t="s">
        <v>239</v>
      </c>
      <c r="B676" s="108"/>
      <c r="C676" s="108"/>
      <c r="D676" s="108"/>
      <c r="E676" s="109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240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104" t="s">
        <v>235</v>
      </c>
      <c r="B689" s="105"/>
      <c r="C689" s="105"/>
      <c r="D689" s="105"/>
      <c r="E689" s="106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236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104" t="s">
        <v>238</v>
      </c>
      <c r="B702" s="105"/>
      <c r="C702" s="105"/>
      <c r="D702" s="105"/>
      <c r="E702" s="106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236</v>
      </c>
      <c r="O702" s="39"/>
    </row>
    <row r="703" spans="1:15" ht="18" customHeight="1">
      <c r="A703" s="107" t="s">
        <v>239</v>
      </c>
      <c r="B703" s="108"/>
      <c r="C703" s="108"/>
      <c r="D703" s="108"/>
      <c r="E703" s="109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240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104" t="s">
        <v>235</v>
      </c>
      <c r="B716" s="105"/>
      <c r="C716" s="105"/>
      <c r="D716" s="105"/>
      <c r="E716" s="106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236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104" t="s">
        <v>238</v>
      </c>
      <c r="B729" s="105"/>
      <c r="C729" s="105"/>
      <c r="D729" s="105"/>
      <c r="E729" s="106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236</v>
      </c>
      <c r="O729" s="39"/>
    </row>
    <row r="730" spans="1:15" ht="18" customHeight="1">
      <c r="A730" s="107" t="s">
        <v>239</v>
      </c>
      <c r="B730" s="108"/>
      <c r="C730" s="108"/>
      <c r="D730" s="108"/>
      <c r="E730" s="109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240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104" t="s">
        <v>235</v>
      </c>
      <c r="B743" s="105"/>
      <c r="C743" s="105"/>
      <c r="D743" s="105"/>
      <c r="E743" s="106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236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104" t="s">
        <v>238</v>
      </c>
      <c r="B756" s="105"/>
      <c r="C756" s="105"/>
      <c r="D756" s="105"/>
      <c r="E756" s="106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236</v>
      </c>
      <c r="O756" s="39"/>
    </row>
    <row r="757" spans="1:15" ht="18" customHeight="1">
      <c r="A757" s="107" t="s">
        <v>239</v>
      </c>
      <c r="B757" s="108"/>
      <c r="C757" s="108"/>
      <c r="D757" s="108"/>
      <c r="E757" s="109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240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104" t="s">
        <v>235</v>
      </c>
      <c r="B770" s="105"/>
      <c r="C770" s="105"/>
      <c r="D770" s="105"/>
      <c r="E770" s="106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236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104" t="s">
        <v>238</v>
      </c>
      <c r="B783" s="105"/>
      <c r="C783" s="105"/>
      <c r="D783" s="105"/>
      <c r="E783" s="106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236</v>
      </c>
      <c r="O783" s="39"/>
    </row>
    <row r="784" spans="1:15" ht="18" customHeight="1">
      <c r="A784" s="107" t="s">
        <v>239</v>
      </c>
      <c r="B784" s="108"/>
      <c r="C784" s="108"/>
      <c r="D784" s="108"/>
      <c r="E784" s="109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240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104" t="s">
        <v>235</v>
      </c>
      <c r="B797" s="105"/>
      <c r="C797" s="105"/>
      <c r="D797" s="105"/>
      <c r="E797" s="106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236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104" t="s">
        <v>238</v>
      </c>
      <c r="B810" s="105"/>
      <c r="C810" s="105"/>
      <c r="D810" s="105"/>
      <c r="E810" s="106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236</v>
      </c>
      <c r="O810" s="39"/>
    </row>
    <row r="811" spans="1:15" ht="18" customHeight="1">
      <c r="A811" s="107" t="s">
        <v>239</v>
      </c>
      <c r="B811" s="108"/>
      <c r="C811" s="108"/>
      <c r="D811" s="108"/>
      <c r="E811" s="109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240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0" t="str">
        <f t="shared" ref="M812:M823" ca="1" si="180">IFERROR(IF(K812="","",IF(L812="",MOD(NOW()-K812,1),IF(L812&gt;=K812,L812-K812,L812+1-K812))),"")</f>
        <v/>
      </c>
      <c r="N812" s="27"/>
      <c r="O812" s="60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5" t="str">
        <f t="shared" ca="1" si="180"/>
        <v/>
      </c>
      <c r="N813" s="27"/>
      <c r="O813" s="60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0" t="str">
        <f t="shared" ca="1" si="180"/>
        <v/>
      </c>
      <c r="N814" s="27"/>
      <c r="O814" s="60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5" t="str">
        <f t="shared" ca="1" si="180"/>
        <v/>
      </c>
      <c r="N815" s="27"/>
      <c r="O815" s="60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0" t="str">
        <f t="shared" ca="1" si="180"/>
        <v/>
      </c>
      <c r="N816" s="27"/>
      <c r="O816" s="60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5" t="str">
        <f t="shared" ca="1" si="180"/>
        <v/>
      </c>
      <c r="N817" s="27"/>
      <c r="O817" s="60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0" t="str">
        <f t="shared" ca="1" si="180"/>
        <v/>
      </c>
      <c r="N818" s="27"/>
      <c r="O818" s="60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5" t="str">
        <f t="shared" ca="1" si="180"/>
        <v/>
      </c>
      <c r="N819" s="27"/>
      <c r="O819" s="60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0" t="str">
        <f t="shared" ca="1" si="180"/>
        <v/>
      </c>
      <c r="N820" s="27"/>
      <c r="O820" s="60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5" t="str">
        <f t="shared" ca="1" si="180"/>
        <v/>
      </c>
      <c r="N821" s="27"/>
      <c r="O821" s="60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0" t="str">
        <f t="shared" ca="1" si="180"/>
        <v/>
      </c>
      <c r="N822" s="27"/>
      <c r="O822" s="60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5" t="str">
        <f t="shared" ca="1" si="180"/>
        <v/>
      </c>
      <c r="N823" s="27"/>
      <c r="O823" s="60"/>
    </row>
    <row r="824" spans="1:15" ht="15.75" customHeight="1">
      <c r="A824" s="104" t="s">
        <v>235</v>
      </c>
      <c r="B824" s="105"/>
      <c r="C824" s="105"/>
      <c r="D824" s="105"/>
      <c r="E824" s="106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61"/>
      <c r="L824" s="61"/>
      <c r="M824" s="38">
        <f ca="1">IFERROR(SUM(M812:M823),"")</f>
        <v>0</v>
      </c>
      <c r="N824" s="36" t="s">
        <v>236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5" t="str">
        <f t="shared" ref="M825:M836" ca="1" si="183">IFERROR(IF(K825="","",IF(L825="",MOD(NOW()-K825,1),IF(L825&gt;=K825,L825-K825,L825+1-K825))),"")</f>
        <v/>
      </c>
      <c r="N825" s="27"/>
      <c r="O825" s="60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60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5" t="str">
        <f t="shared" ca="1" si="183"/>
        <v/>
      </c>
      <c r="N827" s="27"/>
      <c r="O827" s="60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60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5" t="str">
        <f t="shared" ca="1" si="183"/>
        <v/>
      </c>
      <c r="N829" s="27"/>
      <c r="O829" s="60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60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5" t="str">
        <f t="shared" ca="1" si="183"/>
        <v/>
      </c>
      <c r="N831" s="27"/>
      <c r="O831" s="60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60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5" t="str">
        <f t="shared" ca="1" si="183"/>
        <v/>
      </c>
      <c r="N833" s="27"/>
      <c r="O833" s="60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60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5" t="str">
        <f t="shared" ca="1" si="183"/>
        <v/>
      </c>
      <c r="N835" s="27"/>
      <c r="O835" s="60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60"/>
    </row>
    <row r="837" spans="1:15" ht="15.75" customHeight="1">
      <c r="A837" s="104" t="s">
        <v>238</v>
      </c>
      <c r="B837" s="105"/>
      <c r="C837" s="105"/>
      <c r="D837" s="105"/>
      <c r="E837" s="106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61"/>
      <c r="L837" s="61"/>
      <c r="M837" s="38">
        <f ca="1">IFERROR(SUM(M825:M836),"")</f>
        <v>0</v>
      </c>
      <c r="N837" s="36" t="s">
        <v>236</v>
      </c>
      <c r="O837" s="39"/>
    </row>
    <row r="838" spans="1:15" ht="18" customHeight="1">
      <c r="A838" s="107" t="s">
        <v>239</v>
      </c>
      <c r="B838" s="108"/>
      <c r="C838" s="108"/>
      <c r="D838" s="108"/>
      <c r="E838" s="109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63"/>
      <c r="L838" s="63"/>
      <c r="M838" s="42">
        <f ca="1">IFERROR(M824+M837,"")</f>
        <v>0</v>
      </c>
      <c r="N838" s="40" t="s">
        <v>240</v>
      </c>
      <c r="O838" s="48">
        <f>IFERROR(O824+O837,"")</f>
        <v>0</v>
      </c>
    </row>
  </sheetData>
  <mergeCells count="91">
    <mergeCell ref="A797:E797"/>
    <mergeCell ref="A810:E810"/>
    <mergeCell ref="A811:E811"/>
    <mergeCell ref="A14:E14"/>
    <mergeCell ref="A27:E27"/>
    <mergeCell ref="A28:E2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41:E41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57:E257"/>
    <mergeCell ref="A270:E270"/>
    <mergeCell ref="A271:E271"/>
    <mergeCell ref="A284:E284"/>
    <mergeCell ref="A297:E297"/>
    <mergeCell ref="A824:E824"/>
    <mergeCell ref="A837:E837"/>
    <mergeCell ref="A838:E838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451:E838 E327:E449 E29:E40 E42:E325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D2:D13 D15:D26 C365 D29:D40 C149 D42:D900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I206:I900 I2:I204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60A38338-7112-4F45-BCE1-49C5EC8DDAF1}"/>
</file>

<file path=customXml/itemProps2.xml><?xml version="1.0" encoding="utf-8"?>
<ds:datastoreItem xmlns:ds="http://schemas.openxmlformats.org/officeDocument/2006/customXml" ds:itemID="{288F5DF9-2BBC-43A5-A79A-7C7087BA3892}"/>
</file>

<file path=customXml/itemProps3.xml><?xml version="1.0" encoding="utf-8"?>
<ds:datastoreItem xmlns:ds="http://schemas.openxmlformats.org/officeDocument/2006/customXml" ds:itemID="{2878EAE7-5404-4D83-90A8-98DF7BC2EF4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2026-08-10T17:31:52Z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