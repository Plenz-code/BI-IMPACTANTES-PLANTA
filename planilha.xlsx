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80" documentId="13_ncr:1_{0A10D8D4-8450-4366-8075-B53B08E6B7EA}" xr6:coauthVersionLast="47" xr6:coauthVersionMax="47" xr10:uidLastSave="{35680360-005D-4880-A0F4-AFD4F5A99981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44" i="6" s="1"/>
  <c r="J444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44" i="5" s="1"/>
  <c r="J444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44" i="4" s="1"/>
  <c r="J444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2" i="6" l="1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<sst xmlns="http://schemas.openxmlformats.org/spreadsheetml/2006/main" count="7546" uniqueCount="363">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</sst>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1" activePane="bottomLeft" state="frozen"/>
      <selection pane="bottomLeft" activeCell="F445" sqref="F44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141</v>
      </c>
      <c r="G446" s="81">
        <f>SUM(G434:G445)</f>
        <v>705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141</v>
      </c>
      <c r="G460" s="40">
        <f>G446+G459</f>
        <v>705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5" sqref="G44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0.6541935185159673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0.79308240740485614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0.8778046296270785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0</v>
      </c>
      <c r="I444" s="135">
        <f>IFERROR(IF($D444="","",VLOOKUP($D444,Cadastro!$C$4:$G$7,5,FALSE)),"")</f>
        <v>0.6</v>
      </c>
      <c r="J444" s="136">
        <f t="shared" si="106"/>
        <v>0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101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424.20000000000005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101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424.20000000000005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4" activePane="bottomLeft" state="frozen"/>
      <selection pane="bottomLeft" activeCell="P437" sqref="P43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329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4"/>
        <v>0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0</v>
      </c>
      <c r="I444" s="135">
        <f>IFERROR(IF($D444="","",VLOOKUP($D444,Cadastro!$C$4:$G$7,5,FALSE)),"")</f>
        <v>0.6</v>
      </c>
      <c r="J444" s="136">
        <f t="shared" si="104"/>
        <v>0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13" activePane="bottomLeft" state="frozen"/>
      <selection pane="bottomLeft" activeCell="P436" sqref="P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0</v>
      </c>
      <c r="I444" s="135">
        <f>IFERROR(IF($D444="","",VLOOKUP($D444,Cadastro!$C$4:$G$7,5,FALSE)),"")</f>
        <v>0.6</v>
      </c>
      <c r="J444" s="136">
        <f t="shared" si="106"/>
        <v>0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756.00000000000011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756.00000000000011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2026-08-17T22:38:44Z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