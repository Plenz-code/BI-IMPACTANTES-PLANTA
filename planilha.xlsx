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97" documentId="8_{AF585B22-221D-4780-BB9C-493D365A6A02}" xr6:coauthVersionLast="47" xr6:coauthVersionMax="47" xr10:uidLastSave="{15CDE052-67DF-461F-9A36-1CA6D542F5A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<sst xmlns="http://schemas.openxmlformats.org/spreadsheetml/2006/main" count="5505" uniqueCount="307">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</sst>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7" sqref="F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78</v>
      </c>
      <c r="G338" s="36">
        <f>SUM(G326:G337)</f>
        <v>390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J326" sqref="J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35</v>
      </c>
      <c r="G338" s="36">
        <f>SUM(G326:G337)</f>
        <v>147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35</v>
      </c>
      <c r="G352" s="40">
        <f>G338+G351</f>
        <v>147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L327" sqref="L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4.7222222222222221E-2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4.7222222222222221E-2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J326" sqref="J3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0.15007673611398786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0.34938229166954349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0.71674340278065451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/>
      <c r="M326" s="30">
        <f t="shared" ref="M326:M337" ca="1" si="72">IFERROR(IF(K326="","",IF(L326="",MOD(NOW()-K326,1),IF(L326&gt;=K326,L326-K326,L326+1-K326))),"")</f>
        <v>7.7118055924074724E-4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40</v>
      </c>
      <c r="G338" s="36">
        <f>SUM(G326:G337)</f>
        <v>168</v>
      </c>
      <c r="H338" s="37"/>
      <c r="I338" s="37"/>
      <c r="J338" s="37"/>
      <c r="K338" s="61"/>
      <c r="L338" s="61"/>
      <c r="M338" s="38">
        <f ca="1">IFERROR(SUM(M326:M337),"")</f>
        <v>7.7118055924074724E-4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</v>
      </c>
      <c r="H352" s="41"/>
      <c r="I352" s="41"/>
      <c r="J352" s="41"/>
      <c r="K352" s="63"/>
      <c r="L352" s="63"/>
      <c r="M352" s="42">
        <f ca="1">IFERROR(M338+M351,"")</f>
        <v>7.7118055924074724E-4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2026-07-13T13:35:37Z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