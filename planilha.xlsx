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55" documentId="13_ncr:1_{0A10D8D4-8450-4366-8075-B53B08E6B7EA}" xr6:coauthVersionLast="47" xr6:coauthVersionMax="47" xr10:uidLastSave="{96E98368-8168-4033-9537-B79BF950430A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8" i="6" s="1"/>
  <c r="J428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8" i="5" s="1"/>
  <c r="J428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8" i="4" s="1"/>
  <c r="J428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6" i="6" l="1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<sst xmlns="http://schemas.openxmlformats.org/spreadsheetml/2006/main" count="7351" uniqueCount="360">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</sst>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8" sqref="F428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205</v>
      </c>
      <c r="G432" s="36">
        <f>SUM(G420:G431)</f>
        <v>1025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415</v>
      </c>
      <c r="G433" s="40">
        <f>G419+G432</f>
        <v>2075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29" sqref="G429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5.5823032402258832E-2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0.19471192129114773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0.27943414351337004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/>
      <c r="Q426" s="30">
        <f t="shared" ca="1" si="104"/>
        <v>1.5545254624157678E-2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130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546</v>
      </c>
      <c r="L432" s="37"/>
      <c r="M432" s="37"/>
      <c r="N432" s="37"/>
      <c r="O432" s="37"/>
      <c r="P432" s="37"/>
      <c r="Q432" s="38">
        <f ca="1">IFERROR(SUM(Q420:Q431),"")</f>
        <v>7.5961921290824491E-2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277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1163.4000000000001</v>
      </c>
      <c r="L433" s="41"/>
      <c r="M433" s="41"/>
      <c r="N433" s="41"/>
      <c r="O433" s="41"/>
      <c r="P433" s="41"/>
      <c r="Q433" s="42">
        <f ca="1">IFERROR(Q419+Q432,"")</f>
        <v>0.16693414351304672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07" activePane="bottomLeft" state="frozen"/>
      <selection pane="bottomLeft" activeCell="G429" sqref="G42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30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126</v>
      </c>
      <c r="L432" s="37"/>
      <c r="M432" s="37"/>
      <c r="N432" s="37"/>
      <c r="O432" s="37"/>
      <c r="P432" s="37"/>
      <c r="Q432" s="38">
        <f ca="1">IFERROR(SUM(Q420:Q431),"")</f>
        <v>8.4722222222222282E-2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151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634.20000000000005</v>
      </c>
      <c r="L433" s="41"/>
      <c r="M433" s="41"/>
      <c r="N433" s="41"/>
      <c r="O433" s="41"/>
      <c r="P433" s="41"/>
      <c r="Q433" s="42">
        <f ca="1">IFERROR(Q419+Q432,"")</f>
        <v>0.15763888888888902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9" sqref="G42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153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642.6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295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1239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2026-08-17T08:15:26Z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