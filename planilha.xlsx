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395" documentId="8_{AF585B22-221D-4780-BB9C-493D365A6A02}" xr6:coauthVersionLast="47" xr6:coauthVersionMax="47" xr10:uidLastSave="{6D3F5EED-CE81-4303-B1EC-89DC8BF091A2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40" i="3" l="1"/>
  <c r="M623" i="4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<sst xmlns="http://schemas.openxmlformats.org/spreadsheetml/2006/main" count="9842" uniqueCount="386">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</sst>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8" sqref="G2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508090</v>
      </c>
      <c r="E27" s="11">
        <f>IFERROR('Linha 2'!O649,"")</f>
        <v>659370</v>
      </c>
      <c r="F27" s="11">
        <f>IFERROR('Linha 3'!O649,"")</f>
        <v>360420</v>
      </c>
      <c r="G27" s="12">
        <f t="shared" si="0"/>
        <v>1527880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28724530</v>
      </c>
      <c r="E35" s="13">
        <f>IFERROR(SUM(E4:E34),"")</f>
        <v>16744270</v>
      </c>
      <c r="F35" s="13">
        <f>IFERROR(SUM(F4:F34),"")</f>
        <v>30758160</v>
      </c>
      <c r="G35" s="13">
        <f>IFERROR(SUM(G4:G34),"")</f>
        <v>76226960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9" activePane="bottomLeft" state="frozen"/>
      <selection pane="bottomLeft" activeCell="H645" sqref="H64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194</v>
      </c>
      <c r="G648" s="36">
        <f>SUM(G636:G647)</f>
        <v>970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527</v>
      </c>
      <c r="G649" s="40">
        <f>G635+G648</f>
        <v>2635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20" activePane="bottomLeft" state="frozen"/>
      <selection pane="bottomLeft" activeCell="F643" sqref="F64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0.88293761573731899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1.0405765046262079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1.1502987268484302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0.86140983796212822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1.0322431712954616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1.1773820601843505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98</v>
      </c>
      <c r="G648" s="36">
        <f>SUM(G636:G647)</f>
        <v>411.6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191</v>
      </c>
      <c r="G649" s="40">
        <f>G635+G648</f>
        <v>802.2</v>
      </c>
      <c r="H649" s="41"/>
      <c r="I649" s="41"/>
      <c r="J649" s="41"/>
      <c r="K649" s="41"/>
      <c r="L649" s="41"/>
      <c r="M649" s="42">
        <f ca="1">IFERROR(M635+M648,"")</f>
        <v>1.0687499999999999</v>
      </c>
      <c r="N649" s="40" t="s">
        <v>236</v>
      </c>
      <c r="O649" s="83">
        <f>O635+O648</f>
        <v>508090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16" zoomScale="50" zoomScaleNormal="50" workbookViewId="0">
      <selection activeCell="F643" sqref="F64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317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319</v>
      </c>
      <c r="N166" s="27" t="s">
        <v>320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55</v>
      </c>
      <c r="G648" s="36">
        <f>SUM(G636:G647)</f>
        <v>231</v>
      </c>
      <c r="H648" s="37"/>
      <c r="I648" s="37"/>
      <c r="J648" s="37"/>
      <c r="K648" s="37"/>
      <c r="L648" s="37"/>
      <c r="M648" s="38">
        <f ca="1">IFERROR(SUM(M636:M647),"")</f>
        <v>6.9444444444444448E-2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201</v>
      </c>
      <c r="G649" s="40">
        <f>G635+G648</f>
        <v>844.19999999999993</v>
      </c>
      <c r="H649" s="41"/>
      <c r="I649" s="41"/>
      <c r="J649" s="41"/>
      <c r="K649" s="41"/>
      <c r="L649" s="41"/>
      <c r="M649" s="42">
        <f ca="1">IFERROR(M635+M648,"")</f>
        <v>7.4999999999999983E-2</v>
      </c>
      <c r="N649" s="40" t="s">
        <v>236</v>
      </c>
      <c r="O649" s="48">
        <f>IFERROR(O635+O648,"")</f>
        <v>659370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20" activePane="bottomLeft" state="frozen"/>
      <selection pane="bottomLeft" activeCell="H638" sqref="H63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344</v>
      </c>
      <c r="L58" s="29">
        <v>0.54097222222222219</v>
      </c>
      <c r="M58" s="30" t="str">
        <f t="shared" ca="1" si="13"/>
        <v/>
      </c>
      <c r="N58" s="27" t="s">
        <v>345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0.87321539351978572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1.0725209490753413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1.4398820601864524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/>
      <c r="J638" s="26"/>
      <c r="K638" s="29">
        <v>0.11458333333333333</v>
      </c>
      <c r="L638" s="29"/>
      <c r="M638" s="30">
        <f t="shared" ca="1" si="142"/>
        <v>7.9376157373189926E-3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22</v>
      </c>
      <c r="G648" s="36">
        <f>SUM(G636:G647)</f>
        <v>92.4</v>
      </c>
      <c r="H648" s="37"/>
      <c r="I648" s="37"/>
      <c r="J648" s="37"/>
      <c r="K648" s="61"/>
      <c r="L648" s="61"/>
      <c r="M648" s="38">
        <f ca="1">IFERROR(SUM(M636:M647),"")</f>
        <v>0.24335428240398571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108</v>
      </c>
      <c r="G649" s="40">
        <f>G635+G648</f>
        <v>453.6</v>
      </c>
      <c r="H649" s="41"/>
      <c r="I649" s="41"/>
      <c r="J649" s="41"/>
      <c r="K649" s="63"/>
      <c r="L649" s="63"/>
      <c r="M649" s="42">
        <f ca="1">IFERROR(M635+M648,"")</f>
        <v>0.41974317129287469</v>
      </c>
      <c r="N649" s="40" t="s">
        <v>236</v>
      </c>
      <c r="O649" s="48">
        <f>IFERROR(O635+O648,"")</f>
        <v>360420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2026-07-25T06:56:57Z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