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928" documentId="8_{AF585B22-221D-4780-BB9C-493D365A6A02}" xr6:coauthVersionLast="47" xr6:coauthVersionMax="47" xr10:uidLastSave="{1B9B6B81-4615-4474-8A96-9296C9E7CFE3}"/>
  <bookViews>
    <workbookView xWindow="-110" yWindow="-110" windowWidth="25820" windowHeight="15500" tabRatio="500" firstSheet="4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<sst xmlns="http://schemas.openxmlformats.org/spreadsheetml/2006/main" count="2209" uniqueCount="227">
  <si>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</si>
  <si>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</si>
  <si>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</si>
  <si>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</si>
  <si>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</si>
  <si>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</si>
  <si>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</si>
  <si>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</si>
  <si>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</si>
  <si>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</si>
  <si>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</si>
  <si>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</si>
  <si>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</si>
  <si>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</si>
  <si>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</si>
  <si>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</si>
  <si>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</si>
  <si>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</si>
  <si>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</si>
  <si>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</si>
  <si>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</si>
  <si>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</si>
  <si>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</si>
  <si>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</si>
  <si>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</si>
  <si>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</si>
  <si>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</si>
  <si>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</si>
  <si>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</si>
  <si>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</si>
  <si>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</si>
  <si>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</si>
  <si>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</si>
  <si>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</si>
  <si>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</si>
  <si>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</si>
  <si>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</si>
  <si>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</si>
  <si>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</si>
  <si>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</si>
  <si>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</si>
  <si>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</si>
  <si>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</si>
  <si>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</si>
  <si>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</si>
  <si>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</si>
  <si>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</si>
  <si>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</si>
  <si>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</si>
  <si>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</si>
  <si>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</si>
  <si>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</si>
  <si>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</si>
  <si>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</si>
  <si>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</si>
  <si>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</si>
  <si>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</si>
  <si>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</si>
  <si>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</si>
  <si>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</si>
  <si>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</si>
  <si>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</si>
  <si>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</si>
  <si>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</si>
  <si>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</si>
  <si>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</si>
  <si>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</si>
  <si>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</si>
  <si>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</si>
  <si>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</si>
  <si>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</si>
  <si>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</si>
  <si>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</si>
  <si>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</si>
  <si>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</si>
  <si>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</si>
  <si>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</si>
  <si>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</si>
  <si>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</si>
  <si>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</si>
  <si>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</si>
  <si>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</si>
  <si>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</si>
  <si>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</si>
  <si>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</si>
  <si>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</si>
  <si>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</si>
  <si>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</si>
  <si>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</si>
  <si>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</si>
  <si>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</si>
  <si>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</si>
  <si>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</si>
  <si>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</si>
  <si>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</si>
  <si>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</si>
  <si>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</si>
  <si>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</si>
  <si>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</si>
  <si>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</si>
  <si>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</si>
  <si>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</si>
  <si>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</si>
  <si>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</si>
  <si>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</si>
  <si>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</si>
  <si>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</si>
  <si>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</si>
  <si>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</si>
  <si>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</si>
  <si>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</si>
  <si>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</si>
  <si>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</si>
  <si>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</si>
  <si>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</si>
  <si>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</si>
  <si>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</si>
  <si>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</si>
  <si>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</si>
  <si>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</si>
  <si>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</si>
  <si>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</si>
  <si>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</si>
  <si>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</si>
  <si>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</si>
  <si>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</si>
  <si>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</si>
  <si>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</si>
  <si>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</si>
  <si>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</si>
  <si>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</si>
  <si>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</si>
  <si>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</si>
  <si>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</si>
  <si>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</si>
  <si>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</si>
  <si>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</si>
  <si>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</si>
  <si>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</si>
  <si>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</si>
  <si>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</si>
  <si>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</si>
  <si>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</si>
  <si>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</si>
  <si>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</si>
  <si>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</si>
  <si>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</si>
  <si>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</si>
  <si>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</si>
  <si>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</si>
  <si>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</si>
  <si>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</si>
  <si>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</si>
  <si>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</si>
  <si>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</si>
  <si>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</si>
  <si>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</si>
  <si>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</si>
  <si>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</si>
  <si>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</si>
  <si>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</si>
  <si>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</si>
  <si>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</si>
  <si>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</si>
  <si>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</si>
  <si>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</si>
  <si>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</si>
  <si>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</si>
  <si>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</si>
  <si>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</si>
  <si>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</si>
  <si>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</si>
  <si>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</si>
  <si>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</si>
  <si>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</si>
  <si>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</si>
  <si>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</si>
  <si>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</si>
  <si>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</si>
  <si>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</si>
  <si>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</si>
  <si>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</si>
  <si>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</si>
  <si>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</si>
  <si>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</si>
  <si>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</si>
  <si>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</si>
  <si>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</si>
  <si>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</si>
  <si>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</si>
  <si>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</si>
  <si>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</si>
  <si>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</si>
  <si>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</si>
  <si>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</si>
  <si>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</si>
  <si>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</si>
  <si>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</si>
  <si>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</si>
  <si>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</si>
  <si>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</si>
  <si>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</si>
  <si>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</si>
  <si>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</si>
  <si>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</si>
  <si>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</si>
  <si>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</si>
  <si>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</si>
  <si>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</si>
  <si>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</si>
  <si>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</si>
  <si>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</si>
  <si>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</si>
  <si>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</si>
  <si>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</si>
  <si>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</si>
  <si>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</si>
  <si>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</si>
  <si>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</si>
  <si>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</si>
  <si>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</si>
  <si>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</si>
  <si>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</si>
  <si>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</si>
  <si>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</si>
  <si>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</si>
  <si>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martelo,troca de grelha,revestimento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</si>
</sst>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6" sqref="G6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7" t="s">
        <v>0</v>
      </c>
      <c r="B1" s="87"/>
      <c r="C1" s="87"/>
      <c r="D1" s="87"/>
      <c r="E1" s="87"/>
      <c r="F1" s="87"/>
      <c r="G1" s="87"/>
    </row>
    <row r="2" spans="1:7" ht="24.75" customHeight="1">
      <c r="A2" s="88"/>
      <c r="B2" s="8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9" t="s">
        <v>9</v>
      </c>
      <c r="B35" s="89"/>
      <c r="C35" s="13">
        <f>IFERROR(SUM(C4:C34),"")</f>
        <v>6571570</v>
      </c>
      <c r="D35" s="13">
        <f>IFERROR(SUM(D4:D34),"")</f>
        <v>2436420</v>
      </c>
      <c r="E35" s="13">
        <f>IFERROR(SUM(E4:E34),"")</f>
        <v>1768690</v>
      </c>
      <c r="F35" s="13">
        <f>IFERROR(SUM(F4:F34),"")</f>
        <v>2636690</v>
      </c>
      <c r="G35" s="13">
        <f>IFERROR(SUM(G4:G34),"")</f>
        <v>6841800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0" t="s">
        <v>10</v>
      </c>
      <c r="B1" s="90"/>
      <c r="C1" s="90"/>
      <c r="D1" s="90"/>
      <c r="E1" s="90"/>
      <c r="F1" s="90"/>
      <c r="G1" s="90"/>
      <c r="H1" s="91"/>
      <c r="I1" s="92" t="s">
        <v>11</v>
      </c>
      <c r="J1" s="92"/>
      <c r="K1" s="92"/>
      <c r="L1" s="92"/>
      <c r="M1" s="92"/>
    </row>
    <row r="2" spans="1:13" ht="4.5" customHeight="1">
      <c r="H2" s="9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1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1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1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1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1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1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1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1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1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1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1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1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1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1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1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1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1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1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1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1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1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1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1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1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1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1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1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1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1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1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1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1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1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1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1"/>
      <c r="I48" s="16"/>
      <c r="J48" s="16"/>
      <c r="K48" s="16" t="s">
        <v>176</v>
      </c>
      <c r="L48" s="16"/>
      <c r="M48" s="16"/>
    </row>
    <row r="49" spans="1:13" ht="18" customHeight="1">
      <c r="H49" s="91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1"/>
      <c r="I50" s="16"/>
      <c r="J50" s="16"/>
      <c r="K50" s="16" t="s">
        <v>179</v>
      </c>
      <c r="L50" s="16"/>
      <c r="M50" s="16"/>
    </row>
    <row r="51" spans="1:13" ht="24" customHeight="1">
      <c r="H51" s="91"/>
      <c r="I51" s="17"/>
      <c r="J51" s="17"/>
      <c r="K51" s="17" t="s">
        <v>180</v>
      </c>
      <c r="L51" s="17"/>
      <c r="M51" s="17"/>
    </row>
    <row r="52" spans="1:13" ht="24" customHeight="1">
      <c r="H52" s="91"/>
      <c r="I52" s="16"/>
      <c r="J52" s="16"/>
      <c r="K52" s="16" t="s">
        <v>181</v>
      </c>
      <c r="L52" s="16"/>
      <c r="M52" s="16"/>
    </row>
    <row r="53" spans="1:13" ht="36" customHeight="1">
      <c r="H53" s="91"/>
      <c r="I53" s="17"/>
      <c r="J53" s="17"/>
      <c r="K53" s="17" t="s">
        <v>182</v>
      </c>
      <c r="L53" s="17"/>
      <c r="M53" s="17"/>
    </row>
    <row r="54" spans="1:13" ht="15" customHeight="1">
      <c r="H54" s="91"/>
      <c r="I54" s="16"/>
      <c r="J54" s="16"/>
      <c r="K54" s="16"/>
      <c r="L54" s="16"/>
      <c r="M54" s="16"/>
    </row>
    <row r="55" spans="1:13" ht="15" customHeight="1">
      <c r="H55" s="91"/>
      <c r="I55" s="17"/>
      <c r="J55" s="17"/>
      <c r="K55" s="17"/>
      <c r="L55" s="17"/>
      <c r="M55" s="17"/>
    </row>
    <row r="56" spans="1:13" ht="15" customHeight="1">
      <c r="H56" s="91"/>
      <c r="I56" s="16"/>
      <c r="J56" s="16"/>
      <c r="K56" s="16"/>
      <c r="L56" s="16"/>
      <c r="M56" s="16"/>
    </row>
    <row r="57" spans="1:13" ht="15" customHeight="1">
      <c r="H57" s="91"/>
      <c r="I57" s="17"/>
      <c r="J57" s="17"/>
      <c r="K57" s="17"/>
      <c r="L57" s="17"/>
      <c r="M57" s="17"/>
    </row>
    <row r="58" spans="1:13" ht="15" customHeight="1">
      <c r="H58" s="91"/>
      <c r="I58" s="16"/>
      <c r="J58" s="16"/>
      <c r="K58" s="16"/>
      <c r="L58" s="16"/>
      <c r="M58" s="16"/>
    </row>
    <row r="59" spans="1:13" ht="15" customHeight="1">
      <c r="H59" s="91"/>
      <c r="I59" s="17"/>
      <c r="J59" s="17"/>
      <c r="K59" s="17"/>
      <c r="L59" s="17"/>
      <c r="M59" s="17"/>
    </row>
    <row r="60" spans="1:13" ht="15" customHeight="1">
      <c r="H60" s="91"/>
      <c r="I60" s="16"/>
      <c r="J60" s="16"/>
      <c r="K60" s="16"/>
      <c r="L60" s="16"/>
      <c r="M60" s="16"/>
    </row>
    <row r="61" spans="1:13" ht="15" customHeight="1">
      <c r="H61" s="91"/>
      <c r="I61" s="17"/>
      <c r="J61" s="17"/>
      <c r="K61" s="17"/>
      <c r="L61" s="17"/>
      <c r="M61" s="17"/>
    </row>
    <row r="62" spans="1:13" ht="15" customHeight="1">
      <c r="H62" s="91"/>
      <c r="I62" s="16"/>
      <c r="J62" s="16"/>
      <c r="K62" s="16"/>
      <c r="L62" s="16"/>
      <c r="M62" s="16"/>
    </row>
    <row r="63" spans="1:13" ht="15" customHeight="1">
      <c r="H63" s="91"/>
      <c r="I63" s="17"/>
      <c r="J63" s="17"/>
      <c r="K63" s="17"/>
      <c r="L63" s="17"/>
      <c r="M63" s="17"/>
    </row>
    <row r="64" spans="1:13" ht="15" customHeight="1">
      <c r="H64" s="91"/>
      <c r="I64" s="16"/>
      <c r="J64" s="16"/>
      <c r="K64" s="16"/>
      <c r="L64" s="16"/>
      <c r="M64" s="16"/>
    </row>
    <row r="65" spans="8:13" ht="15" customHeight="1">
      <c r="H65" s="91"/>
      <c r="I65" s="17"/>
      <c r="J65" s="17"/>
      <c r="K65" s="17"/>
      <c r="L65" s="17"/>
      <c r="M65" s="17"/>
    </row>
    <row r="66" spans="8:13" ht="15" customHeight="1">
      <c r="H66" s="91"/>
      <c r="I66" s="16"/>
      <c r="J66" s="16"/>
      <c r="K66" s="16"/>
      <c r="L66" s="16"/>
      <c r="M66" s="16"/>
    </row>
    <row r="67" spans="8:13" ht="15" customHeight="1">
      <c r="H67" s="91"/>
      <c r="I67" s="17"/>
      <c r="J67" s="17"/>
      <c r="K67" s="17"/>
      <c r="L67" s="17"/>
      <c r="M67" s="17"/>
    </row>
    <row r="68" spans="8:13" ht="15" customHeight="1">
      <c r="H68" s="91"/>
      <c r="I68" s="16"/>
      <c r="J68" s="16"/>
      <c r="K68" s="16"/>
      <c r="L68" s="16"/>
      <c r="M68" s="16"/>
    </row>
    <row r="69" spans="8:13" ht="15" customHeight="1">
      <c r="H69" s="91"/>
      <c r="I69" s="17"/>
      <c r="J69" s="17"/>
      <c r="K69" s="17"/>
      <c r="L69" s="17"/>
      <c r="M69" s="17"/>
    </row>
    <row r="70" spans="8:13" ht="15" customHeight="1">
      <c r="H70" s="91"/>
      <c r="I70" s="16"/>
      <c r="J70" s="16"/>
      <c r="K70" s="16"/>
      <c r="L70" s="16"/>
      <c r="M70" s="16"/>
    </row>
    <row r="71" spans="8:13" ht="15" customHeight="1">
      <c r="H71" s="91"/>
      <c r="I71" s="17"/>
      <c r="J71" s="17"/>
      <c r="K71" s="17"/>
      <c r="L71" s="17"/>
      <c r="M71" s="17"/>
    </row>
    <row r="72" spans="8:13" ht="15" customHeight="1">
      <c r="H72" s="91"/>
      <c r="I72" s="16"/>
      <c r="J72" s="16"/>
      <c r="K72" s="16"/>
      <c r="L72" s="16"/>
      <c r="M72" s="16"/>
    </row>
    <row r="73" spans="8:13" ht="15" customHeight="1">
      <c r="H73" s="91"/>
      <c r="I73" s="17"/>
      <c r="J73" s="17"/>
      <c r="K73" s="17"/>
      <c r="L73" s="17"/>
      <c r="M73" s="17"/>
    </row>
    <row r="74" spans="8:13" ht="15" customHeight="1">
      <c r="H74" s="91"/>
      <c r="I74" s="16"/>
      <c r="J74" s="16"/>
      <c r="K74" s="16"/>
      <c r="L74" s="16"/>
      <c r="M74" s="16"/>
    </row>
    <row r="75" spans="8:13" ht="15" customHeight="1">
      <c r="H75" s="9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66" activePane="bottomLeft" state="frozen"/>
      <selection pane="bottomLeft" activeCell="H85" sqref="H8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>
        <v>878050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203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/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82</v>
      </c>
      <c r="G95" s="36">
        <f>SUM(G83:G94)</f>
        <v>410</v>
      </c>
      <c r="H95" s="37"/>
      <c r="I95" s="37"/>
      <c r="J95" s="37"/>
      <c r="K95" s="37"/>
      <c r="L95" s="37"/>
      <c r="M95" s="38">
        <f ca="1">IFERROR(SUM(M83:M94),"")</f>
        <v>0.11180555555555555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82</v>
      </c>
      <c r="G109" s="40">
        <f>G95+G108</f>
        <v>410</v>
      </c>
      <c r="H109" s="41"/>
      <c r="I109" s="41"/>
      <c r="J109" s="41"/>
      <c r="K109" s="41"/>
      <c r="L109" s="41"/>
      <c r="M109" s="42">
        <f ca="1">IFERROR(M95+M108,"")</f>
        <v>0.11180555555555555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74" activePane="bottomLeft" state="frozen"/>
      <selection pane="bottomLeft" activeCell="E94" sqref="E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95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205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97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204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97">
        <v>276360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95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94"/>
      <c r="K57" s="29"/>
      <c r="L57" s="29"/>
      <c r="M57" s="30"/>
      <c r="N57" s="46" t="s">
        <v>207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93"/>
      <c r="J58" s="26"/>
      <c r="K58" s="29"/>
      <c r="L58" s="29"/>
      <c r="M58" s="35"/>
      <c r="N58" s="46" t="s">
        <v>208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197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197</v>
      </c>
      <c r="O81" s="54">
        <v>787860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200</v>
      </c>
      <c r="O82" s="95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204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0.4152777777777778</v>
      </c>
      <c r="M83" s="35">
        <f t="shared" ref="M83:M94" ca="1" si="19">IFERROR(IF(K83="","",IF(L83="",MOD(NOW()-K83,1),IF(L83&gt;=K83,L83-K83,L83+1-K83))),"")</f>
        <v>2.7083333333333348E-2</v>
      </c>
      <c r="N83" s="46" t="s">
        <v>209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22</v>
      </c>
      <c r="G84" s="34">
        <f t="shared" si="18"/>
        <v>92.4</v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7</v>
      </c>
      <c r="G85" s="28">
        <f t="shared" si="18"/>
        <v>29.400000000000002</v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51</v>
      </c>
      <c r="G95" s="36">
        <f>SUM(G83:G94)</f>
        <v>214.2</v>
      </c>
      <c r="H95" s="37"/>
      <c r="I95" s="37"/>
      <c r="J95" s="37"/>
      <c r="K95" s="37"/>
      <c r="L95" s="37"/>
      <c r="M95" s="38">
        <f ca="1">IFERROR(SUM(M83:M94),"")</f>
        <v>2.7083333333333348E-2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51</v>
      </c>
      <c r="G109" s="40">
        <f>G95+G108</f>
        <v>214.2</v>
      </c>
      <c r="H109" s="41"/>
      <c r="I109" s="41"/>
      <c r="J109" s="41"/>
      <c r="K109" s="41"/>
      <c r="L109" s="41"/>
      <c r="M109" s="42">
        <f ca="1">IFERROR(M95+M108,"")</f>
        <v>2.7083333333333348E-2</v>
      </c>
      <c r="N109" s="40" t="s">
        <v>200</v>
      </c>
      <c r="O109" s="95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95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95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78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95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78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96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78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96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78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96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78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96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78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96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78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96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78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96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78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96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78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96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78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96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78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96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78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96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78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96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78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96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78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96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78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96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78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96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78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96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78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96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78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96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96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96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95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61" activePane="bottomLeft" state="frozen"/>
      <selection pane="bottomLeft" activeCell="N89" sqref="N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210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211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197</v>
      </c>
      <c r="O81" s="39">
        <v>396340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200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194</v>
      </c>
      <c r="F83" s="27"/>
      <c r="G83" s="28" t="str">
        <f t="shared" ref="G83:G94" si="18">IF(F83="","",IF(E83="PC 17",F83*4.2,IF(E83="PC 19",F83*5,"")))</f>
        <v/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194</v>
      </c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194</v>
      </c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194</v>
      </c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194</v>
      </c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215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0.2013888888888889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A68" activePane="bottomLeft" state="frozen"/>
      <selection pane="bottomLeft" activeCell="E94" sqref="E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204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1" t="s">
        <v>196</v>
      </c>
      <c r="B14" s="82"/>
      <c r="C14" s="82"/>
      <c r="D14" s="82"/>
      <c r="E14" s="8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1" t="s">
        <v>198</v>
      </c>
      <c r="B27" s="82"/>
      <c r="C27" s="82"/>
      <c r="D27" s="82"/>
      <c r="E27" s="8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4" t="s">
        <v>199</v>
      </c>
      <c r="B28" s="85"/>
      <c r="C28" s="85"/>
      <c r="D28" s="85"/>
      <c r="E28" s="8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204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204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1" t="s">
        <v>196</v>
      </c>
      <c r="B41" s="82"/>
      <c r="C41" s="82"/>
      <c r="D41" s="82"/>
      <c r="E41" s="8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1" t="s">
        <v>198</v>
      </c>
      <c r="B54" s="82"/>
      <c r="C54" s="82"/>
      <c r="D54" s="82"/>
      <c r="E54" s="8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4" t="s">
        <v>199</v>
      </c>
      <c r="B55" s="85"/>
      <c r="C55" s="85"/>
      <c r="D55" s="85"/>
      <c r="E55" s="8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220</v>
      </c>
      <c r="L58" s="29">
        <v>0.54097222222222219</v>
      </c>
      <c r="M58" s="30" t="str">
        <f t="shared" ca="1" si="13"/>
        <v/>
      </c>
      <c r="N58" s="27" t="s">
        <v>221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1" t="s">
        <v>196</v>
      </c>
      <c r="B68" s="82"/>
      <c r="C68" s="82"/>
      <c r="D68" s="82"/>
      <c r="E68" s="8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210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204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204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1" t="s">
        <v>198</v>
      </c>
      <c r="B81" s="82"/>
      <c r="C81" s="82"/>
      <c r="D81" s="82"/>
      <c r="E81" s="8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>
        <v>565120</v>
      </c>
    </row>
    <row r="82" spans="1:15" ht="18" customHeight="1">
      <c r="A82" s="84" t="s">
        <v>199</v>
      </c>
      <c r="B82" s="85"/>
      <c r="C82" s="85"/>
      <c r="D82" s="85"/>
      <c r="E82" s="8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204</v>
      </c>
      <c r="F83" s="27">
        <v>0</v>
      </c>
      <c r="G83" s="28">
        <f t="shared" ref="G83:G94" si="18">IF(F83="","",IF(E83="PC 17",F83*4.2,IF(E83="PC 19",F83*5,"")))</f>
        <v>0</v>
      </c>
      <c r="H83" s="33"/>
      <c r="I83" s="33" t="s">
        <v>52</v>
      </c>
      <c r="J83" s="33"/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204</v>
      </c>
      <c r="F84" s="27">
        <v>3</v>
      </c>
      <c r="G84" s="34">
        <f t="shared" si="18"/>
        <v>12.600000000000001</v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194</v>
      </c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194</v>
      </c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194</v>
      </c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194</v>
      </c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194</v>
      </c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194</v>
      </c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194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1" t="s">
        <v>196</v>
      </c>
      <c r="B95" s="82"/>
      <c r="C95" s="82"/>
      <c r="D95" s="82"/>
      <c r="E95" s="83">
        <f>SUM(E83:E94)</f>
        <v>0</v>
      </c>
      <c r="F95" s="36">
        <f>SUM(F83:F94)</f>
        <v>15</v>
      </c>
      <c r="G95" s="36">
        <f>SUM(G83:G94)</f>
        <v>63.000000000000007</v>
      </c>
      <c r="H95" s="37"/>
      <c r="I95" s="37"/>
      <c r="J95" s="37"/>
      <c r="K95" s="61"/>
      <c r="L95" s="61"/>
      <c r="M95" s="38">
        <f ca="1">IFERROR(SUM(M83:M94),"")</f>
        <v>0.1736111111111111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1" t="s">
        <v>198</v>
      </c>
      <c r="B108" s="82"/>
      <c r="C108" s="82"/>
      <c r="D108" s="82"/>
      <c r="E108" s="8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4" t="s">
        <v>199</v>
      </c>
      <c r="B109" s="85"/>
      <c r="C109" s="85"/>
      <c r="D109" s="85"/>
      <c r="E109" s="86">
        <f>E95+E108</f>
        <v>0</v>
      </c>
      <c r="F109" s="40">
        <f>F95+F108</f>
        <v>15</v>
      </c>
      <c r="G109" s="40">
        <f>G95+G108</f>
        <v>63.000000000000007</v>
      </c>
      <c r="H109" s="41"/>
      <c r="I109" s="41"/>
      <c r="J109" s="41"/>
      <c r="K109" s="63"/>
      <c r="L109" s="63"/>
      <c r="M109" s="42">
        <f ca="1">IFERROR(M95+M108,"")</f>
        <v>0.1736111111111111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1" t="s">
        <v>196</v>
      </c>
      <c r="B122" s="82"/>
      <c r="C122" s="82"/>
      <c r="D122" s="82"/>
      <c r="E122" s="83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1" t="s">
        <v>198</v>
      </c>
      <c r="B135" s="82"/>
      <c r="C135" s="82"/>
      <c r="D135" s="82"/>
      <c r="E135" s="83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4" t="s">
        <v>199</v>
      </c>
      <c r="B136" s="85"/>
      <c r="C136" s="85"/>
      <c r="D136" s="85"/>
      <c r="E136" s="86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1" t="s">
        <v>196</v>
      </c>
      <c r="B149" s="82"/>
      <c r="C149" s="82"/>
      <c r="D149" s="82"/>
      <c r="E149" s="83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1" t="s">
        <v>198</v>
      </c>
      <c r="B162" s="82"/>
      <c r="C162" s="82"/>
      <c r="D162" s="82"/>
      <c r="E162" s="83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4" t="s">
        <v>199</v>
      </c>
      <c r="B163" s="85"/>
      <c r="C163" s="85"/>
      <c r="D163" s="85"/>
      <c r="E163" s="86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1" t="s">
        <v>196</v>
      </c>
      <c r="B176" s="82"/>
      <c r="C176" s="82"/>
      <c r="D176" s="82"/>
      <c r="E176" s="8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1" t="s">
        <v>198</v>
      </c>
      <c r="B189" s="82"/>
      <c r="C189" s="82"/>
      <c r="D189" s="82"/>
      <c r="E189" s="8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4" t="s">
        <v>199</v>
      </c>
      <c r="B190" s="85"/>
      <c r="C190" s="85"/>
      <c r="D190" s="85"/>
      <c r="E190" s="8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1" t="s">
        <v>196</v>
      </c>
      <c r="B203" s="82"/>
      <c r="C203" s="82"/>
      <c r="D203" s="82"/>
      <c r="E203" s="8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1" t="s">
        <v>198</v>
      </c>
      <c r="B216" s="82"/>
      <c r="C216" s="82"/>
      <c r="D216" s="82"/>
      <c r="E216" s="8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4" t="s">
        <v>199</v>
      </c>
      <c r="B217" s="85"/>
      <c r="C217" s="85"/>
      <c r="D217" s="85"/>
      <c r="E217" s="8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1" t="s">
        <v>196</v>
      </c>
      <c r="B230" s="82"/>
      <c r="C230" s="82"/>
      <c r="D230" s="82"/>
      <c r="E230" s="8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1" t="s">
        <v>198</v>
      </c>
      <c r="B243" s="82"/>
      <c r="C243" s="82"/>
      <c r="D243" s="82"/>
      <c r="E243" s="8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4" t="s">
        <v>199</v>
      </c>
      <c r="B244" s="85"/>
      <c r="C244" s="85"/>
      <c r="D244" s="85"/>
      <c r="E244" s="8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1" t="s">
        <v>196</v>
      </c>
      <c r="B257" s="82"/>
      <c r="C257" s="82"/>
      <c r="D257" s="82"/>
      <c r="E257" s="8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1" t="s">
        <v>198</v>
      </c>
      <c r="B270" s="82"/>
      <c r="C270" s="82"/>
      <c r="D270" s="82"/>
      <c r="E270" s="8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4" t="s">
        <v>199</v>
      </c>
      <c r="B271" s="85"/>
      <c r="C271" s="85"/>
      <c r="D271" s="85"/>
      <c r="E271" s="8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1" t="s">
        <v>196</v>
      </c>
      <c r="B284" s="82"/>
      <c r="C284" s="82"/>
      <c r="D284" s="82"/>
      <c r="E284" s="8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1" t="s">
        <v>198</v>
      </c>
      <c r="B297" s="82"/>
      <c r="C297" s="82"/>
      <c r="D297" s="82"/>
      <c r="E297" s="8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4" t="s">
        <v>199</v>
      </c>
      <c r="B298" s="85"/>
      <c r="C298" s="85"/>
      <c r="D298" s="85"/>
      <c r="E298" s="8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1" t="s">
        <v>196</v>
      </c>
      <c r="B311" s="82"/>
      <c r="C311" s="82"/>
      <c r="D311" s="82"/>
      <c r="E311" s="8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1" t="s">
        <v>198</v>
      </c>
      <c r="B324" s="82"/>
      <c r="C324" s="82"/>
      <c r="D324" s="82"/>
      <c r="E324" s="8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4" t="s">
        <v>199</v>
      </c>
      <c r="B325" s="85"/>
      <c r="C325" s="85"/>
      <c r="D325" s="85"/>
      <c r="E325" s="8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1" t="s">
        <v>196</v>
      </c>
      <c r="B338" s="82"/>
      <c r="C338" s="82"/>
      <c r="D338" s="82"/>
      <c r="E338" s="8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1" t="s">
        <v>198</v>
      </c>
      <c r="B351" s="82"/>
      <c r="C351" s="82"/>
      <c r="D351" s="82"/>
      <c r="E351" s="8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4" t="s">
        <v>199</v>
      </c>
      <c r="B352" s="85"/>
      <c r="C352" s="85"/>
      <c r="D352" s="85"/>
      <c r="E352" s="8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1" t="s">
        <v>196</v>
      </c>
      <c r="B365" s="82"/>
      <c r="C365" s="82"/>
      <c r="D365" s="82"/>
      <c r="E365" s="8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1" t="s">
        <v>198</v>
      </c>
      <c r="B378" s="82"/>
      <c r="C378" s="82"/>
      <c r="D378" s="82"/>
      <c r="E378" s="8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4" t="s">
        <v>199</v>
      </c>
      <c r="B379" s="85"/>
      <c r="C379" s="85"/>
      <c r="D379" s="85"/>
      <c r="E379" s="8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1" t="s">
        <v>196</v>
      </c>
      <c r="B392" s="82"/>
      <c r="C392" s="82"/>
      <c r="D392" s="82"/>
      <c r="E392" s="8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1" t="s">
        <v>198</v>
      </c>
      <c r="B405" s="82"/>
      <c r="C405" s="82"/>
      <c r="D405" s="82"/>
      <c r="E405" s="8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4" t="s">
        <v>199</v>
      </c>
      <c r="B406" s="85"/>
      <c r="C406" s="85"/>
      <c r="D406" s="85"/>
      <c r="E406" s="8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1" t="s">
        <v>196</v>
      </c>
      <c r="B419" s="82"/>
      <c r="C419" s="82"/>
      <c r="D419" s="82"/>
      <c r="E419" s="8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1" t="s">
        <v>198</v>
      </c>
      <c r="B432" s="82"/>
      <c r="C432" s="82"/>
      <c r="D432" s="82"/>
      <c r="E432" s="8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4" t="s">
        <v>199</v>
      </c>
      <c r="B433" s="85"/>
      <c r="C433" s="85"/>
      <c r="D433" s="85"/>
      <c r="E433" s="8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1" t="s">
        <v>196</v>
      </c>
      <c r="B446" s="82"/>
      <c r="C446" s="82"/>
      <c r="D446" s="82"/>
      <c r="E446" s="8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1" t="s">
        <v>198</v>
      </c>
      <c r="B459" s="82"/>
      <c r="C459" s="82"/>
      <c r="D459" s="82"/>
      <c r="E459" s="8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4" t="s">
        <v>199</v>
      </c>
      <c r="B460" s="85"/>
      <c r="C460" s="85"/>
      <c r="D460" s="85"/>
      <c r="E460" s="8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1" t="s">
        <v>196</v>
      </c>
      <c r="B473" s="82"/>
      <c r="C473" s="82"/>
      <c r="D473" s="82"/>
      <c r="E473" s="8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1" t="s">
        <v>198</v>
      </c>
      <c r="B486" s="82"/>
      <c r="C486" s="82"/>
      <c r="D486" s="82"/>
      <c r="E486" s="8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4" t="s">
        <v>199</v>
      </c>
      <c r="B487" s="85"/>
      <c r="C487" s="85"/>
      <c r="D487" s="85"/>
      <c r="E487" s="8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1" t="s">
        <v>196</v>
      </c>
      <c r="B500" s="82"/>
      <c r="C500" s="82"/>
      <c r="D500" s="82"/>
      <c r="E500" s="8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1" t="s">
        <v>198</v>
      </c>
      <c r="B513" s="82"/>
      <c r="C513" s="82"/>
      <c r="D513" s="82"/>
      <c r="E513" s="8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4" t="s">
        <v>199</v>
      </c>
      <c r="B514" s="85"/>
      <c r="C514" s="85"/>
      <c r="D514" s="85"/>
      <c r="E514" s="8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1" t="s">
        <v>196</v>
      </c>
      <c r="B527" s="82"/>
      <c r="C527" s="82"/>
      <c r="D527" s="82"/>
      <c r="E527" s="8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1" t="s">
        <v>198</v>
      </c>
      <c r="B540" s="82"/>
      <c r="C540" s="82"/>
      <c r="D540" s="82"/>
      <c r="E540" s="8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4" t="s">
        <v>199</v>
      </c>
      <c r="B541" s="85"/>
      <c r="C541" s="85"/>
      <c r="D541" s="85"/>
      <c r="E541" s="8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1" t="s">
        <v>196</v>
      </c>
      <c r="B554" s="82"/>
      <c r="C554" s="82"/>
      <c r="D554" s="82"/>
      <c r="E554" s="8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1" t="s">
        <v>198</v>
      </c>
      <c r="B567" s="82"/>
      <c r="C567" s="82"/>
      <c r="D567" s="82"/>
      <c r="E567" s="8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4" t="s">
        <v>199</v>
      </c>
      <c r="B568" s="85"/>
      <c r="C568" s="85"/>
      <c r="D568" s="85"/>
      <c r="E568" s="8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1" t="s">
        <v>196</v>
      </c>
      <c r="B581" s="82"/>
      <c r="C581" s="82"/>
      <c r="D581" s="82"/>
      <c r="E581" s="8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1" t="s">
        <v>198</v>
      </c>
      <c r="B594" s="82"/>
      <c r="C594" s="82"/>
      <c r="D594" s="82"/>
      <c r="E594" s="8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4" t="s">
        <v>199</v>
      </c>
      <c r="B595" s="85"/>
      <c r="C595" s="85"/>
      <c r="D595" s="85"/>
      <c r="E595" s="8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1" t="s">
        <v>196</v>
      </c>
      <c r="B608" s="82"/>
      <c r="C608" s="82"/>
      <c r="D608" s="82"/>
      <c r="E608" s="8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1" t="s">
        <v>198</v>
      </c>
      <c r="B621" s="82"/>
      <c r="C621" s="82"/>
      <c r="D621" s="82"/>
      <c r="E621" s="8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4" t="s">
        <v>199</v>
      </c>
      <c r="B622" s="85"/>
      <c r="C622" s="85"/>
      <c r="D622" s="85"/>
      <c r="E622" s="8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1" t="s">
        <v>196</v>
      </c>
      <c r="B635" s="82"/>
      <c r="C635" s="82"/>
      <c r="D635" s="82"/>
      <c r="E635" s="8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1" t="s">
        <v>198</v>
      </c>
      <c r="B648" s="82"/>
      <c r="C648" s="82"/>
      <c r="D648" s="82"/>
      <c r="E648" s="8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4" t="s">
        <v>199</v>
      </c>
      <c r="B649" s="85"/>
      <c r="C649" s="85"/>
      <c r="D649" s="85"/>
      <c r="E649" s="8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1" t="s">
        <v>196</v>
      </c>
      <c r="B662" s="82"/>
      <c r="C662" s="82"/>
      <c r="D662" s="82"/>
      <c r="E662" s="8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1" t="s">
        <v>198</v>
      </c>
      <c r="B675" s="82"/>
      <c r="C675" s="82"/>
      <c r="D675" s="82"/>
      <c r="E675" s="8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4" t="s">
        <v>199</v>
      </c>
      <c r="B676" s="85"/>
      <c r="C676" s="85"/>
      <c r="D676" s="85"/>
      <c r="E676" s="8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1" t="s">
        <v>196</v>
      </c>
      <c r="B689" s="82"/>
      <c r="C689" s="82"/>
      <c r="D689" s="82"/>
      <c r="E689" s="8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1" t="s">
        <v>198</v>
      </c>
      <c r="B702" s="82"/>
      <c r="C702" s="82"/>
      <c r="D702" s="82"/>
      <c r="E702" s="8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4" t="s">
        <v>199</v>
      </c>
      <c r="B703" s="85"/>
      <c r="C703" s="85"/>
      <c r="D703" s="85"/>
      <c r="E703" s="8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1" t="s">
        <v>196</v>
      </c>
      <c r="B716" s="82"/>
      <c r="C716" s="82"/>
      <c r="D716" s="82"/>
      <c r="E716" s="8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1" t="s">
        <v>198</v>
      </c>
      <c r="B729" s="82"/>
      <c r="C729" s="82"/>
      <c r="D729" s="82"/>
      <c r="E729" s="8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4" t="s">
        <v>199</v>
      </c>
      <c r="B730" s="85"/>
      <c r="C730" s="85"/>
      <c r="D730" s="85"/>
      <c r="E730" s="8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1" t="s">
        <v>196</v>
      </c>
      <c r="B743" s="82"/>
      <c r="C743" s="82"/>
      <c r="D743" s="82"/>
      <c r="E743" s="8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1" t="s">
        <v>198</v>
      </c>
      <c r="B756" s="82"/>
      <c r="C756" s="82"/>
      <c r="D756" s="82"/>
      <c r="E756" s="8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4" t="s">
        <v>199</v>
      </c>
      <c r="B757" s="85"/>
      <c r="C757" s="85"/>
      <c r="D757" s="85"/>
      <c r="E757" s="8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1" t="s">
        <v>196</v>
      </c>
      <c r="B770" s="82"/>
      <c r="C770" s="82"/>
      <c r="D770" s="82"/>
      <c r="E770" s="8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1" t="s">
        <v>198</v>
      </c>
      <c r="B783" s="82"/>
      <c r="C783" s="82"/>
      <c r="D783" s="82"/>
      <c r="E783" s="8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4" t="s">
        <v>199</v>
      </c>
      <c r="B784" s="85"/>
      <c r="C784" s="85"/>
      <c r="D784" s="85"/>
      <c r="E784" s="8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1" t="s">
        <v>196</v>
      </c>
      <c r="B797" s="82"/>
      <c r="C797" s="82"/>
      <c r="D797" s="82"/>
      <c r="E797" s="8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1" t="s">
        <v>198</v>
      </c>
      <c r="B810" s="82"/>
      <c r="C810" s="82"/>
      <c r="D810" s="82"/>
      <c r="E810" s="8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4" t="s">
        <v>199</v>
      </c>
      <c r="B811" s="85"/>
      <c r="C811" s="85"/>
      <c r="D811" s="85"/>
      <c r="E811" s="8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2026-07-04T16:49:33Z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