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352" documentId="8_{C51EB6CB-002B-4D6B-B68F-DDEBDB4460C0}" xr6:coauthVersionLast="47" xr6:coauthVersionMax="47" xr10:uidLastSave="{2972E7C0-A8BE-4DDF-958F-079B2B9AF1EC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<sst xmlns="http://schemas.openxmlformats.org/spreadsheetml/2006/main" count="4483" uniqueCount="305">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</sst>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27280880</v>
      </c>
      <c r="D35" s="13">
        <f>IFERROR(SUM(D4:D34),"")</f>
        <v>8323860</v>
      </c>
      <c r="E35" s="13">
        <f>IFERROR(SUM(E4:E34),"")</f>
        <v>3877580</v>
      </c>
      <c r="F35" s="13">
        <f>IFERROR(SUM(F4:F34),"")</f>
        <v>10848750</v>
      </c>
      <c r="G35" s="13">
        <f>IFERROR(SUM(G4:G34),"")</f>
        <v>23050190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15" activePane="bottomLeft" state="frozen"/>
      <selection pane="bottomLeft" activeCell="F224" sqref="F2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206</v>
      </c>
      <c r="G230" s="36">
        <f>SUM(G218:G229)</f>
        <v>1030</v>
      </c>
      <c r="H230" s="37"/>
      <c r="I230" s="37"/>
      <c r="J230" s="37"/>
      <c r="K230" s="37"/>
      <c r="L230" s="37"/>
      <c r="M230" s="38">
        <f ca="1">IFERROR(SUM(M218:M229),"")</f>
        <v>1.0416666666666685E-2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206</v>
      </c>
      <c r="G244" s="40">
        <f>G230+G243</f>
        <v>1030</v>
      </c>
      <c r="H244" s="41"/>
      <c r="I244" s="41"/>
      <c r="J244" s="41"/>
      <c r="K244" s="41"/>
      <c r="L244" s="41"/>
      <c r="M244" s="42">
        <f ca="1">IFERROR(M230+M243,"")</f>
        <v>1.0416666666666685E-2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10" activePane="bottomLeft" state="frozen"/>
      <selection pane="bottomLeft" activeCell="L222" sqref="L22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0.43347326388902729</v>
      </c>
      <c r="N53" s="46" t="s">
        <v>259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0.57236215277791613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0.6570843750001385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260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68</v>
      </c>
      <c r="G230" s="36">
        <f>SUM(G218:G229)</f>
        <v>289.60000000000002</v>
      </c>
      <c r="H230" s="37"/>
      <c r="I230" s="37"/>
      <c r="J230" s="37"/>
      <c r="K230" s="37"/>
      <c r="L230" s="37"/>
      <c r="M230" s="38">
        <f ca="1">IFERROR(SUM(M218:M229),"")</f>
        <v>0.11597222222222225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68</v>
      </c>
      <c r="G244" s="40">
        <f>G230+G243</f>
        <v>289.60000000000002</v>
      </c>
      <c r="H244" s="41"/>
      <c r="I244" s="41"/>
      <c r="J244" s="41"/>
      <c r="K244" s="41"/>
      <c r="L244" s="41"/>
      <c r="M244" s="42">
        <f ca="1">IFERROR(M230+M243,"")</f>
        <v>0.11597222222222225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24" sqref="F2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41</v>
      </c>
      <c r="G230" s="36">
        <f>SUM(G218:G229)</f>
        <v>176.20000000000002</v>
      </c>
      <c r="H230" s="37"/>
      <c r="I230" s="37"/>
      <c r="J230" s="37"/>
      <c r="K230" s="37"/>
      <c r="L230" s="37"/>
      <c r="M230" s="38">
        <f ca="1">IFERROR(SUM(M218:M229),"")</f>
        <v>4.6527777777777835E-2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41</v>
      </c>
      <c r="G244" s="40">
        <f>G230+G243</f>
        <v>176.20000000000002</v>
      </c>
      <c r="H244" s="41"/>
      <c r="I244" s="41"/>
      <c r="J244" s="41"/>
      <c r="K244" s="41"/>
      <c r="L244" s="41"/>
      <c r="M244" s="42">
        <f ca="1">IFERROR(M230+M243,"")</f>
        <v>4.6527777777777835E-2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0" activePane="bottomLeft" state="frozen"/>
      <selection pane="bottomLeft" activeCell="F224" sqref="F22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37.28515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303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304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98</v>
      </c>
      <c r="G230" s="36">
        <f>SUM(G218:G229)</f>
        <v>427.6</v>
      </c>
      <c r="H230" s="37"/>
      <c r="I230" s="37"/>
      <c r="J230" s="37"/>
      <c r="K230" s="61"/>
      <c r="L230" s="61"/>
      <c r="M230" s="38">
        <f ca="1">IFERROR(SUM(M218:M229),"")</f>
        <v>1.8749999999999989E-2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98</v>
      </c>
      <c r="G244" s="40">
        <f>G230+G243</f>
        <v>427.6</v>
      </c>
      <c r="H244" s="41"/>
      <c r="I244" s="41"/>
      <c r="J244" s="41"/>
      <c r="K244" s="63"/>
      <c r="L244" s="63"/>
      <c r="M244" s="42">
        <f ca="1">IFERROR(M230+M243,"")</f>
        <v>1.8749999999999989E-2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2026-08-09T17:19:36Z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