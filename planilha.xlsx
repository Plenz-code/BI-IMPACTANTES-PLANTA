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54" documentId="8_{AF585B22-221D-4780-BB9C-493D365A6A02}" xr6:coauthVersionLast="47" xr6:coauthVersionMax="47" xr10:uidLastSave="{11D44710-44A9-4450-B049-7BDC70B5E2F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<sst xmlns="http://schemas.openxmlformats.org/spreadsheetml/2006/main" count="2963" uniqueCount="251">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</sst>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E150" sqref="E1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/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 t="s">
        <v>30</v>
      </c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20</v>
      </c>
      <c r="G162" s="36">
        <f>SUM(G150:G161)</f>
        <v>100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99</v>
      </c>
      <c r="G163" s="40">
        <f>G149+G162</f>
        <v>495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J146" sqref="J1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 t="s">
        <v>214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14</v>
      </c>
      <c r="G162" s="36">
        <f>SUM(G150:G161)</f>
        <v>70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109</v>
      </c>
      <c r="G163" s="40">
        <f>G149+G162</f>
        <v>545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E151" sqref="E1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 t="s">
        <v>214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8</v>
      </c>
      <c r="G162" s="36">
        <f>SUM(G150:G161)</f>
        <v>40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126</v>
      </c>
      <c r="G163" s="40">
        <f>G149+G162</f>
        <v>630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3" activePane="bottomLeft" state="frozen"/>
      <selection pane="bottomLeft" activeCell="L151" sqref="L15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0.60361851852212567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0.80292407407768129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1.1702851851887923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 t="s">
        <v>214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16</v>
      </c>
      <c r="G162" s="36">
        <f>SUM(G150:G161)</f>
        <v>80</v>
      </c>
      <c r="H162" s="37"/>
      <c r="I162" s="37"/>
      <c r="J162" s="37"/>
      <c r="K162" s="61"/>
      <c r="L162" s="61"/>
      <c r="M162" s="38">
        <f ca="1">IFERROR(SUM(M150:M161),"")</f>
        <v>1.1111111111111072E-2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237</v>
      </c>
      <c r="G163" s="40">
        <f>G149+G162</f>
        <v>1185</v>
      </c>
      <c r="H163" s="41"/>
      <c r="I163" s="41"/>
      <c r="J163" s="41"/>
      <c r="K163" s="63"/>
      <c r="L163" s="63"/>
      <c r="M163" s="42">
        <f ca="1">IFERROR(M149+M162,"")</f>
        <v>7.6388888888888895E-2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2026-07-07T00:28:45Z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