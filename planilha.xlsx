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sktopCCO01\Downloads\"/>
    </mc:Choice>
  </mc:AlternateContent>
  <xr:revisionPtr revIDLastSave="0" documentId="13_ncr:1_{02D3CAF2-FFA8-45B3-9014-0130030B6069}" xr6:coauthVersionLast="47" xr6:coauthVersionMax="47" xr10:uidLastSave="{00000000-0000-0000-0000-000000000000}"/>
  <bookViews>
    <workbookView xWindow="-110" yWindow="-110" windowWidth="25820" windowHeight="1550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" i="6" l="1"/>
  <c r="G3" i="5"/>
  <c r="F810" i="3"/>
  <c r="G809" i="3"/>
  <c r="G810" i="3" s="1"/>
  <c r="G808" i="3"/>
  <c r="G807" i="3"/>
  <c r="G806" i="3"/>
  <c r="G805" i="3"/>
  <c r="G804" i="3"/>
  <c r="G803" i="3"/>
  <c r="G802" i="3"/>
  <c r="G801" i="3"/>
  <c r="G797" i="3"/>
  <c r="G811" i="3" s="1"/>
  <c r="F797" i="3"/>
  <c r="F811" i="3" s="1"/>
  <c r="F783" i="3"/>
  <c r="G782" i="3"/>
  <c r="G781" i="3"/>
  <c r="G780" i="3"/>
  <c r="G779" i="3"/>
  <c r="G778" i="3"/>
  <c r="G777" i="3"/>
  <c r="G776" i="3"/>
  <c r="G775" i="3"/>
  <c r="G783" i="3" s="1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G756" i="3"/>
  <c r="F756" i="3"/>
  <c r="F757" i="3" s="1"/>
  <c r="G755" i="3"/>
  <c r="G754" i="3"/>
  <c r="G753" i="3"/>
  <c r="G752" i="3"/>
  <c r="G751" i="3"/>
  <c r="G750" i="3"/>
  <c r="G749" i="3"/>
  <c r="G748" i="3"/>
  <c r="G747" i="3"/>
  <c r="G746" i="3"/>
  <c r="G745" i="3"/>
  <c r="G744" i="3"/>
  <c r="F743" i="3"/>
  <c r="G742" i="3"/>
  <c r="G741" i="3"/>
  <c r="G740" i="3"/>
  <c r="G739" i="3"/>
  <c r="G738" i="3"/>
  <c r="G737" i="3"/>
  <c r="G736" i="3"/>
  <c r="G735" i="3"/>
  <c r="G743" i="3" s="1"/>
  <c r="G757" i="3" s="1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G716" i="3"/>
  <c r="G730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F702" i="3"/>
  <c r="F703" i="3" s="1"/>
  <c r="G701" i="3"/>
  <c r="G700" i="3"/>
  <c r="G699" i="3"/>
  <c r="G698" i="3"/>
  <c r="G697" i="3"/>
  <c r="G696" i="3"/>
  <c r="G702" i="3" s="1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6" i="3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G661" i="3"/>
  <c r="G660" i="3"/>
  <c r="G659" i="3"/>
  <c r="G658" i="3"/>
  <c r="G657" i="3"/>
  <c r="G656" i="3"/>
  <c r="G662" i="3" s="1"/>
  <c r="G655" i="3"/>
  <c r="G654" i="3"/>
  <c r="G653" i="3"/>
  <c r="G652" i="3"/>
  <c r="G651" i="3"/>
  <c r="G650" i="3"/>
  <c r="F648" i="3"/>
  <c r="F649" i="3" s="1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2" i="3"/>
  <c r="F621" i="3"/>
  <c r="G620" i="3"/>
  <c r="G619" i="3"/>
  <c r="G618" i="3"/>
  <c r="G617" i="3"/>
  <c r="G621" i="3" s="1"/>
  <c r="G616" i="3"/>
  <c r="G614" i="3"/>
  <c r="G613" i="3"/>
  <c r="G612" i="3"/>
  <c r="G611" i="3"/>
  <c r="G610" i="3"/>
  <c r="G609" i="3"/>
  <c r="F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G622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81" i="3" s="1"/>
  <c r="G595" i="3" s="1"/>
  <c r="G575" i="3"/>
  <c r="G574" i="3"/>
  <c r="G573" i="3"/>
  <c r="G572" i="3"/>
  <c r="G571" i="3"/>
  <c r="G570" i="3"/>
  <c r="G569" i="3"/>
  <c r="F567" i="3"/>
  <c r="F568" i="3" s="1"/>
  <c r="G566" i="3"/>
  <c r="G565" i="3"/>
  <c r="G564" i="3"/>
  <c r="G563" i="3"/>
  <c r="G562" i="3"/>
  <c r="G561" i="3"/>
  <c r="G560" i="3"/>
  <c r="G559" i="3"/>
  <c r="G558" i="3"/>
  <c r="G557" i="3"/>
  <c r="G556" i="3"/>
  <c r="G567" i="3" s="1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1" i="3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G526" i="3"/>
  <c r="G525" i="3"/>
  <c r="G524" i="3"/>
  <c r="G523" i="3"/>
  <c r="G522" i="3"/>
  <c r="G521" i="3"/>
  <c r="G520" i="3"/>
  <c r="G519" i="3"/>
  <c r="G518" i="3"/>
  <c r="G517" i="3"/>
  <c r="G516" i="3"/>
  <c r="G527" i="3" s="1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7" i="3"/>
  <c r="F486" i="3"/>
  <c r="G485" i="3"/>
  <c r="G484" i="3"/>
  <c r="G483" i="3"/>
  <c r="G482" i="3"/>
  <c r="G481" i="3"/>
  <c r="G480" i="3"/>
  <c r="G479" i="3"/>
  <c r="G478" i="3"/>
  <c r="G477" i="3"/>
  <c r="G486" i="3" s="1"/>
  <c r="G476" i="3"/>
  <c r="G475" i="3"/>
  <c r="G474" i="3"/>
  <c r="F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G487" i="3" s="1"/>
  <c r="F459" i="3"/>
  <c r="G458" i="3"/>
  <c r="G459" i="3" s="1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46" i="3" s="1"/>
  <c r="G460" i="3" s="1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32" i="3" s="1"/>
  <c r="G421" i="3"/>
  <c r="G420" i="3"/>
  <c r="F419" i="3"/>
  <c r="F433" i="3" s="1"/>
  <c r="G418" i="3"/>
  <c r="G419" i="3" s="1"/>
  <c r="G433" i="3" s="1"/>
  <c r="G417" i="3"/>
  <c r="G416" i="3"/>
  <c r="G415" i="3"/>
  <c r="G414" i="3"/>
  <c r="G413" i="3"/>
  <c r="G412" i="3"/>
  <c r="G411" i="3"/>
  <c r="G410" i="3"/>
  <c r="G409" i="3"/>
  <c r="G408" i="3"/>
  <c r="G407" i="3"/>
  <c r="F405" i="3"/>
  <c r="F406" i="3" s="1"/>
  <c r="G404" i="3"/>
  <c r="G403" i="3"/>
  <c r="G402" i="3"/>
  <c r="G401" i="3"/>
  <c r="G400" i="3"/>
  <c r="G399" i="3"/>
  <c r="G398" i="3"/>
  <c r="G405" i="3" s="1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92" i="3" s="1"/>
  <c r="G381" i="3"/>
  <c r="G380" i="3"/>
  <c r="F379" i="3"/>
  <c r="G378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F365" i="3"/>
  <c r="G364" i="3"/>
  <c r="G363" i="3"/>
  <c r="G362" i="3"/>
  <c r="G361" i="3"/>
  <c r="G360" i="3"/>
  <c r="G359" i="3"/>
  <c r="G358" i="3"/>
  <c r="G365" i="3" s="1"/>
  <c r="G379" i="3" s="1"/>
  <c r="G357" i="3"/>
  <c r="G356" i="3"/>
  <c r="G355" i="3"/>
  <c r="G354" i="3"/>
  <c r="G353" i="3"/>
  <c r="F351" i="3"/>
  <c r="F352" i="3" s="1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G338" i="3"/>
  <c r="G352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F324" i="3"/>
  <c r="F325" i="3" s="1"/>
  <c r="G323" i="3"/>
  <c r="G322" i="3"/>
  <c r="G321" i="3"/>
  <c r="G320" i="3"/>
  <c r="G319" i="3"/>
  <c r="G324" i="3" s="1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G325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84" i="3" s="1"/>
  <c r="G278" i="3"/>
  <c r="G277" i="3"/>
  <c r="G276" i="3"/>
  <c r="G275" i="3"/>
  <c r="G274" i="3"/>
  <c r="G273" i="3"/>
  <c r="G272" i="3"/>
  <c r="F270" i="3"/>
  <c r="F271" i="3" s="1"/>
  <c r="G269" i="3"/>
  <c r="G268" i="3"/>
  <c r="G267" i="3"/>
  <c r="G266" i="3"/>
  <c r="G265" i="3"/>
  <c r="G264" i="3"/>
  <c r="G263" i="3"/>
  <c r="G262" i="3"/>
  <c r="G261" i="3"/>
  <c r="G260" i="3"/>
  <c r="G259" i="3"/>
  <c r="G270" i="3" s="1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4" i="3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G229" i="3"/>
  <c r="G228" i="3"/>
  <c r="G227" i="3"/>
  <c r="G226" i="3"/>
  <c r="G225" i="3"/>
  <c r="G224" i="3"/>
  <c r="G223" i="3"/>
  <c r="G222" i="3"/>
  <c r="G221" i="3"/>
  <c r="G220" i="3"/>
  <c r="G219" i="3"/>
  <c r="G230" i="3" s="1"/>
  <c r="G244" i="3" s="1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90" i="3"/>
  <c r="F189" i="3"/>
  <c r="G188" i="3"/>
  <c r="G187" i="3"/>
  <c r="G186" i="3"/>
  <c r="G185" i="3"/>
  <c r="G184" i="3"/>
  <c r="G183" i="3"/>
  <c r="G182" i="3"/>
  <c r="G181" i="3"/>
  <c r="G180" i="3"/>
  <c r="G189" i="3" s="1"/>
  <c r="G179" i="3"/>
  <c r="G178" i="3"/>
  <c r="G177" i="3"/>
  <c r="F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G190" i="3" s="1"/>
  <c r="F162" i="3"/>
  <c r="G161" i="3"/>
  <c r="G162" i="3" s="1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49" i="3" s="1"/>
  <c r="G163" i="3" s="1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35" i="3" s="1"/>
  <c r="G124" i="3"/>
  <c r="G123" i="3"/>
  <c r="F122" i="3"/>
  <c r="F136" i="3" s="1"/>
  <c r="G121" i="3"/>
  <c r="G122" i="3" s="1"/>
  <c r="G120" i="3"/>
  <c r="G119" i="3"/>
  <c r="G118" i="3"/>
  <c r="G117" i="3"/>
  <c r="G116" i="3"/>
  <c r="G115" i="3"/>
  <c r="G114" i="3"/>
  <c r="G113" i="3"/>
  <c r="G112" i="3"/>
  <c r="G111" i="3"/>
  <c r="G110" i="3"/>
  <c r="F108" i="3"/>
  <c r="F109" i="3" s="1"/>
  <c r="G107" i="3"/>
  <c r="G106" i="3"/>
  <c r="G105" i="3"/>
  <c r="G104" i="3"/>
  <c r="G103" i="3"/>
  <c r="G102" i="3"/>
  <c r="G101" i="3"/>
  <c r="G108" i="3" s="1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95" i="3" s="1"/>
  <c r="G84" i="3"/>
  <c r="G83" i="3"/>
  <c r="F82" i="3"/>
  <c r="G81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F68" i="3"/>
  <c r="G67" i="3"/>
  <c r="G66" i="3"/>
  <c r="G65" i="3"/>
  <c r="G64" i="3"/>
  <c r="G63" i="3"/>
  <c r="G62" i="3"/>
  <c r="G61" i="3"/>
  <c r="G68" i="3" s="1"/>
  <c r="G82" i="3" s="1"/>
  <c r="G60" i="3"/>
  <c r="G59" i="3"/>
  <c r="G58" i="3"/>
  <c r="G57" i="3"/>
  <c r="G56" i="3"/>
  <c r="F54" i="3"/>
  <c r="F55" i="3" s="1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G41" i="3"/>
  <c r="G55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F27" i="3"/>
  <c r="G26" i="3"/>
  <c r="G25" i="3"/>
  <c r="G24" i="3"/>
  <c r="G23" i="3"/>
  <c r="G22" i="3"/>
  <c r="G27" i="3" s="1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14" i="5" s="1"/>
  <c r="G28" i="5" s="1"/>
  <c r="G5" i="5"/>
  <c r="G4" i="5"/>
  <c r="G2" i="5"/>
  <c r="E810" i="3"/>
  <c r="B800" i="3"/>
  <c r="B801" i="3" s="1"/>
  <c r="B802" i="3" s="1"/>
  <c r="B803" i="3" s="1"/>
  <c r="B804" i="3" s="1"/>
  <c r="B805" i="3" s="1"/>
  <c r="B806" i="3" s="1"/>
  <c r="B807" i="3" s="1"/>
  <c r="B808" i="3" s="1"/>
  <c r="B809" i="3" s="1"/>
  <c r="B799" i="3"/>
  <c r="E797" i="3"/>
  <c r="E811" i="3" s="1"/>
  <c r="B789" i="3"/>
  <c r="B790" i="3" s="1"/>
  <c r="B791" i="3" s="1"/>
  <c r="B792" i="3" s="1"/>
  <c r="B793" i="3" s="1"/>
  <c r="B794" i="3" s="1"/>
  <c r="B795" i="3" s="1"/>
  <c r="B796" i="3" s="1"/>
  <c r="B786" i="3"/>
  <c r="B787" i="3" s="1"/>
  <c r="B788" i="3" s="1"/>
  <c r="E783" i="3"/>
  <c r="E784" i="3" s="1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60" i="3"/>
  <c r="B761" i="3" s="1"/>
  <c r="B762" i="3" s="1"/>
  <c r="B763" i="3" s="1"/>
  <c r="B764" i="3" s="1"/>
  <c r="B765" i="3" s="1"/>
  <c r="B766" i="3" s="1"/>
  <c r="B767" i="3" s="1"/>
  <c r="B768" i="3" s="1"/>
  <c r="B769" i="3" s="1"/>
  <c r="B759" i="3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E730" i="3" s="1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6" i="3"/>
  <c r="B707" i="3" s="1"/>
  <c r="B708" i="3" s="1"/>
  <c r="B709" i="3" s="1"/>
  <c r="B710" i="3" s="1"/>
  <c r="B711" i="3" s="1"/>
  <c r="B712" i="3" s="1"/>
  <c r="B713" i="3" s="1"/>
  <c r="B714" i="3" s="1"/>
  <c r="B715" i="3" s="1"/>
  <c r="B705" i="3"/>
  <c r="E702" i="3"/>
  <c r="E703" i="3" s="1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E676" i="3" s="1"/>
  <c r="B670" i="3"/>
  <c r="B671" i="3" s="1"/>
  <c r="B672" i="3" s="1"/>
  <c r="B673" i="3" s="1"/>
  <c r="B674" i="3" s="1"/>
  <c r="B665" i="3"/>
  <c r="B666" i="3" s="1"/>
  <c r="B667" i="3" s="1"/>
  <c r="B668" i="3" s="1"/>
  <c r="B669" i="3" s="1"/>
  <c r="B664" i="3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9" i="3"/>
  <c r="E648" i="3"/>
  <c r="B641" i="3"/>
  <c r="B642" i="3" s="1"/>
  <c r="B643" i="3" s="1"/>
  <c r="B644" i="3" s="1"/>
  <c r="B645" i="3" s="1"/>
  <c r="B646" i="3" s="1"/>
  <c r="B647" i="3" s="1"/>
  <c r="B637" i="3"/>
  <c r="B638" i="3" s="1"/>
  <c r="B639" i="3" s="1"/>
  <c r="B640" i="3" s="1"/>
  <c r="E635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4" i="3"/>
  <c r="B585" i="3" s="1"/>
  <c r="B586" i="3" s="1"/>
  <c r="B587" i="3" s="1"/>
  <c r="B588" i="3" s="1"/>
  <c r="B589" i="3" s="1"/>
  <c r="B590" i="3" s="1"/>
  <c r="B591" i="3" s="1"/>
  <c r="B592" i="3" s="1"/>
  <c r="B593" i="3" s="1"/>
  <c r="B583" i="3"/>
  <c r="E581" i="3"/>
  <c r="E595" i="3" s="1"/>
  <c r="B576" i="3"/>
  <c r="B577" i="3" s="1"/>
  <c r="B578" i="3" s="1"/>
  <c r="B579" i="3" s="1"/>
  <c r="B580" i="3" s="1"/>
  <c r="B570" i="3"/>
  <c r="B571" i="3" s="1"/>
  <c r="B572" i="3" s="1"/>
  <c r="B573" i="3" s="1"/>
  <c r="B574" i="3" s="1"/>
  <c r="B575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4" i="3"/>
  <c r="B545" i="3" s="1"/>
  <c r="B546" i="3" s="1"/>
  <c r="B547" i="3" s="1"/>
  <c r="B548" i="3" s="1"/>
  <c r="B549" i="3" s="1"/>
  <c r="B550" i="3" s="1"/>
  <c r="B551" i="3" s="1"/>
  <c r="B552" i="3" s="1"/>
  <c r="B553" i="3" s="1"/>
  <c r="B543" i="3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E514" i="3" s="1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E487" i="3" s="1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3" i="3"/>
  <c r="B464" i="3" s="1"/>
  <c r="B465" i="3" s="1"/>
  <c r="B466" i="3" s="1"/>
  <c r="B467" i="3" s="1"/>
  <c r="B468" i="3" s="1"/>
  <c r="B469" i="3" s="1"/>
  <c r="B470" i="3" s="1"/>
  <c r="B471" i="3" s="1"/>
  <c r="B472" i="3" s="1"/>
  <c r="B462" i="3"/>
  <c r="E459" i="3"/>
  <c r="E460" i="3" s="1"/>
  <c r="B451" i="3"/>
  <c r="B452" i="3" s="1"/>
  <c r="B453" i="3" s="1"/>
  <c r="B454" i="3" s="1"/>
  <c r="B455" i="3" s="1"/>
  <c r="B456" i="3" s="1"/>
  <c r="B457" i="3" s="1"/>
  <c r="B458" i="3" s="1"/>
  <c r="B449" i="3"/>
  <c r="B450" i="3" s="1"/>
  <c r="B448" i="3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10" i="3"/>
  <c r="B411" i="3" s="1"/>
  <c r="B412" i="3" s="1"/>
  <c r="B413" i="3" s="1"/>
  <c r="B414" i="3" s="1"/>
  <c r="B415" i="3" s="1"/>
  <c r="B416" i="3" s="1"/>
  <c r="B417" i="3" s="1"/>
  <c r="B418" i="3" s="1"/>
  <c r="B409" i="3"/>
  <c r="B408" i="3"/>
  <c r="E405" i="3"/>
  <c r="B395" i="3"/>
  <c r="B396" i="3" s="1"/>
  <c r="B397" i="3" s="1"/>
  <c r="B398" i="3" s="1"/>
  <c r="B399" i="3" s="1"/>
  <c r="B400" i="3" s="1"/>
  <c r="B401" i="3" s="1"/>
  <c r="B402" i="3" s="1"/>
  <c r="B403" i="3" s="1"/>
  <c r="B404" i="3" s="1"/>
  <c r="B394" i="3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9" i="3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5" i="3"/>
  <c r="E324" i="3"/>
  <c r="B314" i="3"/>
  <c r="B315" i="3" s="1"/>
  <c r="B316" i="3" s="1"/>
  <c r="B317" i="3" s="1"/>
  <c r="B318" i="3" s="1"/>
  <c r="B319" i="3" s="1"/>
  <c r="B320" i="3" s="1"/>
  <c r="B321" i="3" s="1"/>
  <c r="B322" i="3" s="1"/>
  <c r="B323" i="3" s="1"/>
  <c r="B313" i="3"/>
  <c r="E311" i="3"/>
  <c r="B301" i="3"/>
  <c r="B302" i="3" s="1"/>
  <c r="B303" i="3" s="1"/>
  <c r="B304" i="3" s="1"/>
  <c r="B305" i="3" s="1"/>
  <c r="B306" i="3" s="1"/>
  <c r="B307" i="3" s="1"/>
  <c r="B308" i="3" s="1"/>
  <c r="B309" i="3" s="1"/>
  <c r="B310" i="3" s="1"/>
  <c r="B300" i="3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1" i="3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B165" i="3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E136" i="3" s="1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E109" i="3" s="1"/>
  <c r="B102" i="3"/>
  <c r="B103" i="3" s="1"/>
  <c r="B104" i="3" s="1"/>
  <c r="B105" i="3" s="1"/>
  <c r="B106" i="3" s="1"/>
  <c r="B107" i="3" s="1"/>
  <c r="B101" i="3"/>
  <c r="B97" i="3"/>
  <c r="B98" i="3" s="1"/>
  <c r="B99" i="3" s="1"/>
  <c r="B100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E82" i="3" s="1"/>
  <c r="B71" i="3"/>
  <c r="B72" i="3" s="1"/>
  <c r="B73" i="3" s="1"/>
  <c r="B74" i="3" s="1"/>
  <c r="B75" i="3" s="1"/>
  <c r="B76" i="3" s="1"/>
  <c r="B77" i="3" s="1"/>
  <c r="B78" i="3" s="1"/>
  <c r="B79" i="3" s="1"/>
  <c r="B80" i="3" s="1"/>
  <c r="B70" i="3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4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M2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B16" i="6"/>
  <c r="M15" i="6"/>
  <c r="G15" i="6"/>
  <c r="G27" i="6" s="1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28" i="6" l="1"/>
  <c r="F28" i="5"/>
  <c r="G14" i="4"/>
  <c r="G28" i="4" s="1"/>
  <c r="B4" i="4"/>
  <c r="B5" i="4" s="1"/>
  <c r="B6" i="4" s="1"/>
  <c r="B7" i="4" s="1"/>
  <c r="B8" i="4" s="1"/>
  <c r="B9" i="4" s="1"/>
  <c r="B10" i="4" s="1"/>
  <c r="B11" i="4" s="1"/>
  <c r="B12" i="4" s="1"/>
  <c r="B13" i="4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M28" i="5" l="1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<sst xmlns="http://schemas.openxmlformats.org/spreadsheetml/2006/main" count="981" uniqueCount="191">
  <si>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</si>
  <si>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</si>
  <si>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</si>
  <si>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</si>
  <si>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</si>
  <si>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</si>
  <si>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</si>
  <si>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</si>
  <si>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</si>
  <si>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</si>
  <si>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</si>
  <si>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</si>
  <si>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</si>
  <si>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</si>
  <si>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</si>
  <si>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</si>
  <si>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</si>
  <si>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</si>
  <si>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</si>
  <si>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</si>
  <si>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</si>
  <si>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</si>
  <si>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</si>
  <si>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</si>
  <si>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</si>
  <si>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</si>
  <si>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</si>
  <si>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</si>
  <si>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</si>
  <si>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</si>
  <si>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</si>
  <si>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</si>
  <si>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</si>
  <si>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</si>
  <si>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</si>
  <si>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</si>
  <si>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</si>
  <si>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</si>
  <si>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</si>
  <si>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</si>
  <si>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</si>
  <si>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</si>
  <si>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</si>
  <si>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</si>
  <si>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</si>
  <si>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</si>
  <si>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</si>
  <si>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</si>
  <si>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</si>
  <si>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</si>
  <si>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</si>
  <si>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</si>
  <si>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</si>
  <si>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</si>
  <si>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</si>
  <si>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</si>
  <si>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</si>
  <si>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</si>
  <si>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</si>
  <si>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</si>
  <si>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</si>
  <si>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</si>
  <si>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</si>
  <si>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</si>
  <si>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</si>
  <si>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</si>
  <si>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</si>
  <si>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</si>
  <si>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</si>
  <si>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</si>
  <si>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</si>
  <si>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</si>
  <si>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</si>
  <si>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</si>
  <si>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</si>
  <si>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</si>
  <si>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</si>
  <si>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</si>
  <si>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</si>
  <si>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</si>
  <si>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</si>
  <si>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</si>
  <si>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</si>
  <si>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</si>
  <si>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</si>
  <si>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</si>
  <si>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</si>
  <si>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</si>
  <si>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</si>
  <si>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</si>
  <si>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</si>
  <si>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</si>
  <si>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</si>
  <si>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</si>
  <si>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</si>
  <si>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</si>
  <si>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</si>
  <si>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</si>
  <si>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</si>
  <si>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</si>
  <si>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</si>
  <si>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</si>
  <si>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</si>
  <si>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</si>
  <si>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</si>
  <si>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</si>
  <si>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</si>
  <si>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</si>
  <si>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</si>
  <si>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</si>
  <si>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</si>
  <si>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</si>
  <si>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</si>
  <si>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</si>
  <si>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</si>
  <si>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</si>
  <si>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</si>
  <si>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</si>
  <si>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</si>
  <si>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</si>
  <si>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</si>
  <si>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</si>
  <si>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</si>
  <si>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</si>
  <si>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</si>
  <si>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</si>
  <si>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</si>
  <si>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</si>
  <si>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</si>
  <si>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</si>
  <si>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</si>
  <si>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</si>
  <si>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</si>
  <si>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</si>
  <si>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</si>
  <si>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</si>
  <si>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</si>
  <si>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</si>
  <si>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</si>
  <si>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</si>
  <si>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</si>
  <si>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</si>
  <si>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</si>
  <si>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</si>
  <si>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</si>
  <si>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</si>
  <si>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</si>
  <si>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</si>
  <si>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</si>
  <si>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</si>
  <si>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</si>
  <si>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</si>
  <si>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</si>
  <si>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</si>
  <si>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</si>
  <si>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</si>
  <si>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</si>
  <si>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</si>
  <si>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</si>
  <si>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</si>
  <si>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</si>
  <si>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</si>
  <si>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</si>
  <si>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</si>
  <si>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</si>
  <si>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</si>
  <si>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</si>
  <si>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</si>
  <si>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</si>
  <si>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</si>
  <si>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</si>
  <si>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</si>
  <si>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</si>
  <si>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</si>
  <si>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</si>
  <si>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</si>
  <si>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</si>
  <si>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</si>
  <si>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</si>
  <si>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</si>
  <si>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</si>
  <si>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</si>
  <si>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</si>
  <si>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</si>
  <si>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☀  TURNO DIURNO</t>
  </si>
  <si>
    <t>Totalizador da balança  ➜</t>
  </si>
  <si>
    <t>🌙  TURNO NOTURNO</t>
  </si>
  <si>
    <t>TOTAL GLOBAL DO DIA</t>
  </si>
  <si>
    <t>Totalizador global  ➜</t>
  </si>
  <si>
    <t>Produção Linha 3
(Hora a Hora)</t>
  </si>
  <si>
    <t>PC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</si>
</sst>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4296875" defaultRowHeight="14.5" x14ac:dyDescent="0.35"/>
  <cols>
    <col min="2" max="2" width="17.453125" style="71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83" t="s">
        <v>0</v>
      </c>
      <c r="B1" s="83"/>
      <c r="C1" s="83"/>
      <c r="D1" s="83"/>
      <c r="E1" s="83"/>
      <c r="F1" s="83"/>
      <c r="G1" s="83"/>
    </row>
    <row r="2" spans="1:7" ht="24.75" customHeight="1" x14ac:dyDescent="0.35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8" zoomScale="85" zoomScaleNormal="85" workbookViewId="0">
      <selection activeCell="M43" sqref="M43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08984375" customWidth="1"/>
    <col min="10" max="10" width="45.36328125" customWidth="1"/>
    <col min="11" max="11" width="42.08984375" customWidth="1"/>
    <col min="12" max="12" width="36" customWidth="1"/>
    <col min="13" max="13" width="45.90625" customWidth="1"/>
  </cols>
  <sheetData>
    <row r="1" spans="1:13" ht="27.75" customHeight="1" x14ac:dyDescent="0.35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 x14ac:dyDescent="0.35">
      <c r="H2" s="87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5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5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5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5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5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5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5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5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5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5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5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5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5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5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5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5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5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5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5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5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5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5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5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5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5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5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5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/>
    </row>
    <row r="44" spans="1:13" ht="15.75" customHeight="1" x14ac:dyDescent="0.35">
      <c r="A44" s="16"/>
      <c r="C44" s="16"/>
      <c r="E44" s="16"/>
      <c r="G44" s="16"/>
      <c r="H44" s="87"/>
      <c r="I44" s="16"/>
      <c r="J44" s="16"/>
      <c r="K44" s="16" t="s">
        <v>169</v>
      </c>
      <c r="L44" s="16"/>
      <c r="M44" s="16"/>
    </row>
    <row r="45" spans="1:13" ht="15.75" customHeight="1" x14ac:dyDescent="0.35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 x14ac:dyDescent="0.35">
      <c r="A46" s="16"/>
      <c r="C46" s="16"/>
      <c r="E46" s="16"/>
      <c r="G46" s="16"/>
      <c r="H46" s="87"/>
      <c r="I46" s="16"/>
      <c r="J46" s="16"/>
      <c r="K46" s="16" t="s">
        <v>170</v>
      </c>
      <c r="L46" s="16"/>
      <c r="M46" s="16"/>
    </row>
    <row r="47" spans="1:13" ht="15.75" customHeight="1" x14ac:dyDescent="0.35">
      <c r="A47" s="17"/>
      <c r="C47" s="17"/>
      <c r="E47" s="17"/>
      <c r="G47" s="17"/>
      <c r="H47" s="87"/>
      <c r="I47" s="17"/>
      <c r="J47" s="17"/>
      <c r="K47" s="17" t="s">
        <v>171</v>
      </c>
      <c r="L47" s="17"/>
      <c r="M47" s="17"/>
    </row>
    <row r="48" spans="1:13" ht="15.75" customHeight="1" x14ac:dyDescent="0.35">
      <c r="A48" s="16"/>
      <c r="C48" s="16"/>
      <c r="E48" s="16"/>
      <c r="G48" s="16"/>
      <c r="H48" s="87"/>
      <c r="I48" s="16"/>
      <c r="J48" s="16"/>
      <c r="K48" s="16" t="s">
        <v>172</v>
      </c>
      <c r="L48" s="16"/>
      <c r="M48" s="16"/>
    </row>
    <row r="49" spans="1:13" ht="18" customHeight="1" x14ac:dyDescent="0.35">
      <c r="H49" s="87"/>
      <c r="I49" s="17"/>
      <c r="J49" s="17"/>
      <c r="K49" s="17" t="s">
        <v>173</v>
      </c>
      <c r="L49" s="17"/>
      <c r="M49" s="17"/>
    </row>
    <row r="50" spans="1:13" ht="21" customHeight="1" x14ac:dyDescent="0.35">
      <c r="A50" s="19" t="s">
        <v>174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 x14ac:dyDescent="0.35">
      <c r="H51" s="87"/>
      <c r="I51" s="17"/>
      <c r="J51" s="17"/>
      <c r="K51" s="17"/>
      <c r="L51" s="17"/>
      <c r="M51" s="17"/>
    </row>
    <row r="52" spans="1:13" ht="24" customHeight="1" x14ac:dyDescent="0.35">
      <c r="H52" s="87"/>
      <c r="I52" s="16"/>
      <c r="J52" s="16"/>
      <c r="K52" s="16"/>
      <c r="L52" s="16"/>
      <c r="M52" s="16"/>
    </row>
    <row r="53" spans="1:13" ht="36" customHeight="1" x14ac:dyDescent="0.35">
      <c r="H53" s="87"/>
      <c r="I53" s="17"/>
      <c r="J53" s="17"/>
      <c r="K53" s="17"/>
      <c r="L53" s="17"/>
      <c r="M53" s="17"/>
    </row>
    <row r="54" spans="1:13" ht="15" customHeight="1" x14ac:dyDescent="0.35">
      <c r="H54" s="87"/>
      <c r="I54" s="16"/>
      <c r="J54" s="16"/>
      <c r="K54" s="16"/>
      <c r="L54" s="16"/>
      <c r="M54" s="16"/>
    </row>
    <row r="55" spans="1:13" ht="15" customHeight="1" x14ac:dyDescent="0.35">
      <c r="H55" s="87"/>
      <c r="I55" s="17"/>
      <c r="J55" s="17"/>
      <c r="K55" s="17"/>
      <c r="L55" s="17"/>
      <c r="M55" s="17"/>
    </row>
    <row r="56" spans="1:13" ht="15" customHeight="1" x14ac:dyDescent="0.35">
      <c r="H56" s="87"/>
      <c r="I56" s="16"/>
      <c r="J56" s="16"/>
      <c r="K56" s="16"/>
      <c r="L56" s="16"/>
      <c r="M56" s="16"/>
    </row>
    <row r="57" spans="1:13" ht="15" customHeight="1" x14ac:dyDescent="0.35">
      <c r="H57" s="87"/>
      <c r="I57" s="17"/>
      <c r="J57" s="17"/>
      <c r="K57" s="17"/>
      <c r="L57" s="17"/>
      <c r="M57" s="17"/>
    </row>
    <row r="58" spans="1:13" ht="15" customHeight="1" x14ac:dyDescent="0.35">
      <c r="H58" s="87"/>
      <c r="I58" s="16"/>
      <c r="J58" s="16"/>
      <c r="K58" s="16"/>
      <c r="L58" s="16"/>
      <c r="M58" s="16"/>
    </row>
    <row r="59" spans="1:13" ht="15" customHeight="1" x14ac:dyDescent="0.35">
      <c r="H59" s="87"/>
      <c r="I59" s="17"/>
      <c r="J59" s="17"/>
      <c r="K59" s="17"/>
      <c r="L59" s="17"/>
      <c r="M59" s="17"/>
    </row>
    <row r="60" spans="1:13" ht="15" customHeight="1" x14ac:dyDescent="0.35">
      <c r="H60" s="87"/>
      <c r="I60" s="16"/>
      <c r="J60" s="16"/>
      <c r="K60" s="16"/>
      <c r="L60" s="16"/>
      <c r="M60" s="16"/>
    </row>
    <row r="61" spans="1:13" ht="15" customHeight="1" x14ac:dyDescent="0.35">
      <c r="H61" s="87"/>
      <c r="I61" s="17"/>
      <c r="J61" s="17"/>
      <c r="K61" s="17"/>
      <c r="L61" s="17"/>
      <c r="M61" s="17"/>
    </row>
    <row r="62" spans="1:13" ht="15" customHeight="1" x14ac:dyDescent="0.35">
      <c r="H62" s="87"/>
      <c r="I62" s="16"/>
      <c r="J62" s="16"/>
      <c r="K62" s="16"/>
      <c r="L62" s="16"/>
      <c r="M62" s="16"/>
    </row>
    <row r="63" spans="1:13" ht="15" customHeight="1" x14ac:dyDescent="0.35">
      <c r="H63" s="87"/>
      <c r="I63" s="17"/>
      <c r="J63" s="17"/>
      <c r="K63" s="17"/>
      <c r="L63" s="17"/>
      <c r="M63" s="17"/>
    </row>
    <row r="64" spans="1:13" ht="15" customHeight="1" x14ac:dyDescent="0.35">
      <c r="H64" s="87"/>
      <c r="I64" s="16"/>
      <c r="J64" s="16"/>
      <c r="K64" s="16"/>
      <c r="L64" s="16"/>
      <c r="M64" s="16"/>
    </row>
    <row r="65" spans="8:13" ht="15" customHeight="1" x14ac:dyDescent="0.35">
      <c r="H65" s="87"/>
      <c r="I65" s="17"/>
      <c r="J65" s="17"/>
      <c r="K65" s="17"/>
      <c r="L65" s="17"/>
      <c r="M65" s="17"/>
    </row>
    <row r="66" spans="8:13" ht="15" customHeight="1" x14ac:dyDescent="0.35">
      <c r="H66" s="87"/>
      <c r="I66" s="16"/>
      <c r="J66" s="16"/>
      <c r="K66" s="16"/>
      <c r="L66" s="16"/>
      <c r="M66" s="16"/>
    </row>
    <row r="67" spans="8:13" ht="15" customHeight="1" x14ac:dyDescent="0.35">
      <c r="H67" s="87"/>
      <c r="I67" s="17"/>
      <c r="J67" s="17"/>
      <c r="K67" s="17"/>
      <c r="L67" s="17"/>
      <c r="M67" s="17"/>
    </row>
    <row r="68" spans="8:13" ht="15" customHeight="1" x14ac:dyDescent="0.35">
      <c r="H68" s="87"/>
      <c r="I68" s="16"/>
      <c r="J68" s="16"/>
      <c r="K68" s="16"/>
      <c r="L68" s="16"/>
      <c r="M68" s="16"/>
    </row>
    <row r="69" spans="8:13" ht="15" customHeight="1" x14ac:dyDescent="0.35">
      <c r="H69" s="87"/>
      <c r="I69" s="17"/>
      <c r="J69" s="17"/>
      <c r="K69" s="17"/>
      <c r="L69" s="17"/>
      <c r="M69" s="17"/>
    </row>
    <row r="70" spans="8:13" ht="15" customHeight="1" x14ac:dyDescent="0.35">
      <c r="H70" s="87"/>
      <c r="I70" s="16"/>
      <c r="J70" s="16"/>
      <c r="K70" s="16"/>
      <c r="L70" s="16"/>
      <c r="M70" s="16"/>
    </row>
    <row r="71" spans="8:13" ht="15" customHeight="1" x14ac:dyDescent="0.35">
      <c r="H71" s="87"/>
      <c r="I71" s="17"/>
      <c r="J71" s="17"/>
      <c r="K71" s="17"/>
      <c r="L71" s="17"/>
      <c r="M71" s="17"/>
    </row>
    <row r="72" spans="8:13" ht="15" customHeight="1" x14ac:dyDescent="0.35">
      <c r="H72" s="87"/>
      <c r="I72" s="16"/>
      <c r="J72" s="16"/>
      <c r="K72" s="16"/>
      <c r="L72" s="16"/>
      <c r="M72" s="16"/>
    </row>
    <row r="73" spans="8:13" ht="15" customHeight="1" x14ac:dyDescent="0.35">
      <c r="H73" s="87"/>
      <c r="I73" s="17"/>
      <c r="J73" s="17"/>
      <c r="K73" s="17"/>
      <c r="L73" s="17"/>
      <c r="M73" s="17"/>
    </row>
    <row r="74" spans="8:13" ht="15" customHeight="1" x14ac:dyDescent="0.35">
      <c r="H74" s="87"/>
      <c r="I74" s="16"/>
      <c r="J74" s="16"/>
      <c r="K74" s="16"/>
      <c r="L74" s="16"/>
      <c r="M74" s="16"/>
    </row>
    <row r="75" spans="8:13" ht="15" customHeight="1" x14ac:dyDescent="0.35">
      <c r="H75" s="87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D2" sqref="D2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08984375" style="20" customWidth="1"/>
    <col min="9" max="9" width="23.453125" style="20" customWidth="1"/>
    <col min="10" max="10" width="43.08984375" style="20" customWidth="1"/>
    <col min="11" max="11" width="14" style="20" customWidth="1"/>
    <col min="12" max="12" width="13.08984375" style="21" customWidth="1"/>
    <col min="13" max="13" width="14" style="20" customWidth="1"/>
    <col min="14" max="14" width="50.4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189</v>
      </c>
      <c r="H1" s="23" t="s">
        <v>14</v>
      </c>
      <c r="I1" s="23" t="s">
        <v>15</v>
      </c>
      <c r="J1" s="23" t="s">
        <v>178</v>
      </c>
      <c r="K1" s="23" t="s">
        <v>179</v>
      </c>
      <c r="L1" s="23" t="s">
        <v>180</v>
      </c>
      <c r="M1" s="24" t="s">
        <v>181</v>
      </c>
      <c r="N1" s="23" t="s">
        <v>182</v>
      </c>
      <c r="O1" s="23" t="s">
        <v>183</v>
      </c>
    </row>
    <row r="2" spans="1:15" ht="15" customHeight="1" x14ac:dyDescent="0.35">
      <c r="A2" s="69">
        <v>46204</v>
      </c>
      <c r="B2" s="25">
        <v>0.33333333333333298</v>
      </c>
      <c r="C2" s="26"/>
      <c r="D2" s="59"/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/>
      <c r="D3" s="59"/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77" t="s">
        <v>184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185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77" t="s">
        <v>186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185</v>
      </c>
      <c r="O27" s="39"/>
    </row>
    <row r="28" spans="1:15" ht="18" customHeight="1" x14ac:dyDescent="0.35">
      <c r="A28" s="80" t="s">
        <v>187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188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77" t="s">
        <v>184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185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77" t="s">
        <v>186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185</v>
      </c>
      <c r="O54" s="39"/>
    </row>
    <row r="55" spans="1:15" ht="18" customHeight="1" x14ac:dyDescent="0.35">
      <c r="A55" s="80" t="s">
        <v>187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188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77" t="s">
        <v>184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185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77" t="s">
        <v>186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185</v>
      </c>
      <c r="O81" s="39"/>
    </row>
    <row r="82" spans="1:15" ht="18" customHeight="1" x14ac:dyDescent="0.35">
      <c r="A82" s="80" t="s">
        <v>187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188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77" t="s">
        <v>184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185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77" t="s">
        <v>186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185</v>
      </c>
      <c r="O108" s="39"/>
    </row>
    <row r="109" spans="1:15" ht="18" customHeight="1" x14ac:dyDescent="0.35">
      <c r="A109" s="80" t="s">
        <v>187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188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77" t="s">
        <v>184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185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77" t="s">
        <v>186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185</v>
      </c>
      <c r="O135" s="39"/>
    </row>
    <row r="136" spans="1:15" ht="18" customHeight="1" x14ac:dyDescent="0.35">
      <c r="A136" s="80" t="s">
        <v>187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188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77" t="s">
        <v>184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185</v>
      </c>
      <c r="O149" s="4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77" t="s">
        <v>186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185</v>
      </c>
      <c r="O162" s="44"/>
    </row>
    <row r="163" spans="1:15" ht="18" customHeight="1" x14ac:dyDescent="0.35">
      <c r="A163" s="80" t="s">
        <v>187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188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77" t="s">
        <v>184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185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77" t="s">
        <v>186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185</v>
      </c>
      <c r="O189" s="39"/>
    </row>
    <row r="190" spans="1:15" ht="18" customHeight="1" x14ac:dyDescent="0.35">
      <c r="A190" s="80" t="s">
        <v>187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188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77" t="s">
        <v>184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185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77" t="s">
        <v>186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185</v>
      </c>
      <c r="O216" s="45"/>
    </row>
    <row r="217" spans="1:15" ht="18" customHeight="1" x14ac:dyDescent="0.35">
      <c r="A217" s="80" t="s">
        <v>187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188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77" t="s">
        <v>184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185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77" t="s">
        <v>186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185</v>
      </c>
      <c r="O243" s="39"/>
    </row>
    <row r="244" spans="1:15" ht="18" customHeight="1" x14ac:dyDescent="0.35">
      <c r="A244" s="80" t="s">
        <v>187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188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77" t="s">
        <v>184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185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77" t="s">
        <v>186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185</v>
      </c>
      <c r="O270" s="39"/>
    </row>
    <row r="271" spans="1:15" ht="18" customHeight="1" x14ac:dyDescent="0.35">
      <c r="A271" s="80" t="s">
        <v>187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188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77" t="s">
        <v>184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185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77" t="s">
        <v>186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185</v>
      </c>
      <c r="O297" s="39"/>
    </row>
    <row r="298" spans="1:15" ht="18" customHeight="1" x14ac:dyDescent="0.35">
      <c r="A298" s="80" t="s">
        <v>187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188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77" t="s">
        <v>184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185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77" t="s">
        <v>186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185</v>
      </c>
      <c r="O324" s="39"/>
    </row>
    <row r="325" spans="1:15" ht="18" customHeight="1" x14ac:dyDescent="0.35">
      <c r="A325" s="80" t="s">
        <v>187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188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77" t="s">
        <v>184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185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77" t="s">
        <v>186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185</v>
      </c>
      <c r="O351" s="39"/>
    </row>
    <row r="352" spans="1:15" ht="18" customHeight="1" x14ac:dyDescent="0.35">
      <c r="A352" s="80" t="s">
        <v>187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188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77" t="s">
        <v>184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185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77" t="s">
        <v>186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185</v>
      </c>
      <c r="O378" s="39"/>
    </row>
    <row r="379" spans="1:15" ht="18" customHeight="1" x14ac:dyDescent="0.35">
      <c r="A379" s="80" t="s">
        <v>187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188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77" t="s">
        <v>184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185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77" t="s">
        <v>186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185</v>
      </c>
      <c r="O405" s="39"/>
    </row>
    <row r="406" spans="1:15" ht="18" customHeight="1" x14ac:dyDescent="0.35">
      <c r="A406" s="80" t="s">
        <v>187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188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77" t="s">
        <v>184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185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77" t="s">
        <v>186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185</v>
      </c>
      <c r="O432" s="39"/>
    </row>
    <row r="433" spans="1:15" ht="18" customHeight="1" x14ac:dyDescent="0.35">
      <c r="A433" s="80" t="s">
        <v>187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188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77" t="s">
        <v>184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185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77" t="s">
        <v>186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185</v>
      </c>
      <c r="O459" s="39"/>
    </row>
    <row r="460" spans="1:15" ht="18" customHeight="1" x14ac:dyDescent="0.35">
      <c r="A460" s="80" t="s">
        <v>187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188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77" t="s">
        <v>184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185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77" t="s">
        <v>186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185</v>
      </c>
      <c r="O486" s="39"/>
    </row>
    <row r="487" spans="1:15" ht="18" customHeight="1" x14ac:dyDescent="0.35">
      <c r="A487" s="80" t="s">
        <v>187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188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77" t="s">
        <v>184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185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77" t="s">
        <v>186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185</v>
      </c>
      <c r="O513" s="39"/>
    </row>
    <row r="514" spans="1:15" ht="18" customHeight="1" x14ac:dyDescent="0.35">
      <c r="A514" s="80" t="s">
        <v>187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188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77" t="s">
        <v>184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185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77" t="s">
        <v>186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185</v>
      </c>
      <c r="O540" s="39"/>
    </row>
    <row r="541" spans="1:15" ht="18" customHeight="1" x14ac:dyDescent="0.35">
      <c r="A541" s="80" t="s">
        <v>187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188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77" t="s">
        <v>184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185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77" t="s">
        <v>186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185</v>
      </c>
      <c r="O567" s="39"/>
    </row>
    <row r="568" spans="1:15" ht="18" customHeight="1" x14ac:dyDescent="0.35">
      <c r="A568" s="80" t="s">
        <v>187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188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77" t="s">
        <v>184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185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77" t="s">
        <v>186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185</v>
      </c>
      <c r="O594" s="39"/>
    </row>
    <row r="595" spans="1:15" ht="18" customHeight="1" x14ac:dyDescent="0.35">
      <c r="A595" s="80" t="s">
        <v>187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188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77" t="s">
        <v>184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185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77" t="s">
        <v>186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185</v>
      </c>
      <c r="O621" s="39"/>
    </row>
    <row r="622" spans="1:15" ht="18" customHeight="1" x14ac:dyDescent="0.35">
      <c r="A622" s="80" t="s">
        <v>187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188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77" t="s">
        <v>184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185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77" t="s">
        <v>186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185</v>
      </c>
      <c r="O648" s="39"/>
    </row>
    <row r="649" spans="1:15" ht="18" customHeight="1" x14ac:dyDescent="0.35">
      <c r="A649" s="80" t="s">
        <v>187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188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77" t="s">
        <v>184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185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77" t="s">
        <v>186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185</v>
      </c>
      <c r="O675" s="39"/>
    </row>
    <row r="676" spans="1:15" ht="18" customHeight="1" x14ac:dyDescent="0.35">
      <c r="A676" s="80" t="s">
        <v>187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188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77" t="s">
        <v>184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185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77" t="s">
        <v>186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185</v>
      </c>
      <c r="O702" s="39"/>
    </row>
    <row r="703" spans="1:15" ht="18" customHeight="1" x14ac:dyDescent="0.35">
      <c r="A703" s="80" t="s">
        <v>187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188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77" t="s">
        <v>184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185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77" t="s">
        <v>186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185</v>
      </c>
      <c r="O729" s="39"/>
    </row>
    <row r="730" spans="1:15" ht="18" customHeight="1" x14ac:dyDescent="0.35">
      <c r="A730" s="80" t="s">
        <v>187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188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77" t="s">
        <v>184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185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77" t="s">
        <v>186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185</v>
      </c>
      <c r="O756" s="39"/>
    </row>
    <row r="757" spans="1:15" ht="18" customHeight="1" x14ac:dyDescent="0.35">
      <c r="A757" s="80" t="s">
        <v>187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188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77" t="s">
        <v>184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185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77" t="s">
        <v>186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185</v>
      </c>
      <c r="O783" s="39"/>
    </row>
    <row r="784" spans="1:15" ht="18" customHeight="1" x14ac:dyDescent="0.35">
      <c r="A784" s="80" t="s">
        <v>187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188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77" t="s">
        <v>184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185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77" t="s">
        <v>186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185</v>
      </c>
      <c r="O810" s="39"/>
    </row>
    <row r="811" spans="1:15" ht="18" customHeight="1" x14ac:dyDescent="0.35">
      <c r="A811" s="80" t="s">
        <v>187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188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K2" sqref="K2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08984375" style="20" customWidth="1"/>
    <col min="6" max="6" width="13" style="20" customWidth="1"/>
    <col min="7" max="7" width="14" style="20" customWidth="1"/>
    <col min="8" max="8" width="29.453125" style="20" customWidth="1"/>
    <col min="9" max="9" width="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4" style="20" customWidth="1"/>
    <col min="14" max="14" width="99.453125" style="20" customWidth="1"/>
    <col min="15" max="15" width="20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189</v>
      </c>
      <c r="H1" s="23" t="s">
        <v>14</v>
      </c>
      <c r="I1" s="23" t="s">
        <v>15</v>
      </c>
      <c r="J1" s="23" t="s">
        <v>178</v>
      </c>
      <c r="K1" s="23" t="s">
        <v>179</v>
      </c>
      <c r="L1" s="23" t="s">
        <v>180</v>
      </c>
      <c r="M1" s="24" t="s">
        <v>181</v>
      </c>
      <c r="N1" s="23" t="s">
        <v>182</v>
      </c>
      <c r="O1" s="23" t="s">
        <v>183</v>
      </c>
    </row>
    <row r="2" spans="1:15" ht="15" customHeight="1" x14ac:dyDescent="0.35">
      <c r="A2" s="69">
        <v>46204</v>
      </c>
      <c r="B2" s="25">
        <v>0.33333333333333298</v>
      </c>
      <c r="C2" s="26"/>
      <c r="D2" s="59"/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>
        <v>0.29166666666666669</v>
      </c>
      <c r="L2" s="29"/>
      <c r="M2" s="35">
        <f t="shared" ref="M2:M13" ca="1" si="1">IFERROR(IF(K2="","",IF(L2="",MOD(NOW()-K2,1),IF(L2&gt;=K2,L2-K2,L2+1-K2))),"")</f>
        <v>3.3776736112486105E-2</v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22</v>
      </c>
      <c r="E3" s="59" t="s">
        <v>190</v>
      </c>
      <c r="F3" s="27">
        <v>10</v>
      </c>
      <c r="G3" s="34">
        <f t="shared" si="0"/>
        <v>42</v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5">
      <c r="A14" s="77" t="s">
        <v>184</v>
      </c>
      <c r="B14" s="78"/>
      <c r="C14" s="78"/>
      <c r="D14" s="78"/>
      <c r="E14" s="79"/>
      <c r="F14" s="36">
        <f>SUM(F2:F13)</f>
        <v>10</v>
      </c>
      <c r="G14" s="36">
        <f>SUM(G2:G13)</f>
        <v>42</v>
      </c>
      <c r="H14" s="37"/>
      <c r="I14" s="37"/>
      <c r="J14" s="37"/>
      <c r="K14" s="37"/>
      <c r="L14" s="37"/>
      <c r="M14" s="38">
        <f ca="1">IFERROR(SUM(M2:M13),"")</f>
        <v>3.3776736112486105E-2</v>
      </c>
      <c r="N14" s="36" t="s">
        <v>185</v>
      </c>
      <c r="O14" s="54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 x14ac:dyDescent="0.5">
      <c r="A27" s="77" t="s">
        <v>186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185</v>
      </c>
      <c r="O27" s="54"/>
    </row>
    <row r="28" spans="1:15" ht="18" customHeight="1" x14ac:dyDescent="0.35">
      <c r="A28" s="80" t="s">
        <v>187</v>
      </c>
      <c r="B28" s="81"/>
      <c r="C28" s="81"/>
      <c r="D28" s="81"/>
      <c r="E28" s="82"/>
      <c r="F28" s="40">
        <f>F14+F27</f>
        <v>10</v>
      </c>
      <c r="G28" s="40">
        <f>G14+G27</f>
        <v>42</v>
      </c>
      <c r="H28" s="41"/>
      <c r="I28" s="41"/>
      <c r="J28" s="41"/>
      <c r="K28" s="41"/>
      <c r="L28" s="41"/>
      <c r="M28" s="42">
        <f ca="1">IFERROR(M14+M27,"")</f>
        <v>3.3776736112486105E-2</v>
      </c>
      <c r="N28" s="40" t="s">
        <v>188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5">
      <c r="A41" s="77" t="s">
        <v>184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185</v>
      </c>
      <c r="O41" s="54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5">
      <c r="A54" s="77" t="s">
        <v>186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185</v>
      </c>
      <c r="O54" s="54"/>
    </row>
    <row r="55" spans="1:15" ht="18" customHeight="1" x14ac:dyDescent="0.35">
      <c r="A55" s="80" t="s">
        <v>187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188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77" t="s">
        <v>184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185</v>
      </c>
      <c r="O68" s="54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77" t="s">
        <v>186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185</v>
      </c>
      <c r="O81" s="54"/>
    </row>
    <row r="82" spans="1:15" ht="18" customHeight="1" x14ac:dyDescent="0.35">
      <c r="A82" s="80" t="s">
        <v>187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188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77" t="s">
        <v>184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185</v>
      </c>
      <c r="O95" s="54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77" t="s">
        <v>186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185</v>
      </c>
      <c r="O108" s="54"/>
    </row>
    <row r="109" spans="1:15" ht="18" customHeight="1" x14ac:dyDescent="0.35">
      <c r="A109" s="80" t="s">
        <v>187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188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77" t="s">
        <v>184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185</v>
      </c>
      <c r="O122" s="54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77" t="s">
        <v>186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185</v>
      </c>
      <c r="O135" s="54"/>
    </row>
    <row r="136" spans="1:15" ht="18" customHeight="1" x14ac:dyDescent="0.35">
      <c r="A136" s="80" t="s">
        <v>187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188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77" t="s">
        <v>184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185</v>
      </c>
      <c r="O149" s="5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77" t="s">
        <v>186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185</v>
      </c>
      <c r="O162" s="54"/>
    </row>
    <row r="163" spans="1:15" ht="18" customHeight="1" x14ac:dyDescent="0.35">
      <c r="A163" s="80" t="s">
        <v>187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188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77" t="s">
        <v>184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185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77" t="s">
        <v>186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185</v>
      </c>
      <c r="O189" s="39"/>
    </row>
    <row r="190" spans="1:15" ht="18" customHeight="1" x14ac:dyDescent="0.35">
      <c r="A190" s="80" t="s">
        <v>187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188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77" t="s">
        <v>184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185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77" t="s">
        <v>186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185</v>
      </c>
      <c r="O216" s="45"/>
    </row>
    <row r="217" spans="1:15" ht="18" customHeight="1" x14ac:dyDescent="0.35">
      <c r="A217" s="80" t="s">
        <v>187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188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77" t="s">
        <v>184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185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77" t="s">
        <v>186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185</v>
      </c>
      <c r="O243" s="39"/>
    </row>
    <row r="244" spans="1:15" ht="18" customHeight="1" x14ac:dyDescent="0.35">
      <c r="A244" s="80" t="s">
        <v>187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188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77" t="s">
        <v>184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185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77" t="s">
        <v>186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185</v>
      </c>
      <c r="O270" s="39"/>
    </row>
    <row r="271" spans="1:15" ht="18" customHeight="1" x14ac:dyDescent="0.35">
      <c r="A271" s="80" t="s">
        <v>187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188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77" t="s">
        <v>184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185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77" t="s">
        <v>186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185</v>
      </c>
      <c r="O297" s="39"/>
    </row>
    <row r="298" spans="1:15" ht="18" customHeight="1" x14ac:dyDescent="0.35">
      <c r="A298" s="80" t="s">
        <v>187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188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77" t="s">
        <v>184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185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77" t="s">
        <v>186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185</v>
      </c>
      <c r="O324" s="39"/>
    </row>
    <row r="325" spans="1:15" ht="18" customHeight="1" x14ac:dyDescent="0.35">
      <c r="A325" s="80" t="s">
        <v>187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188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77" t="s">
        <v>184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185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77" t="s">
        <v>186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185</v>
      </c>
      <c r="O351" s="39"/>
    </row>
    <row r="352" spans="1:15" ht="18" customHeight="1" x14ac:dyDescent="0.35">
      <c r="A352" s="80" t="s">
        <v>187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188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77" t="s">
        <v>184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185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77" t="s">
        <v>186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185</v>
      </c>
      <c r="O378" s="39"/>
    </row>
    <row r="379" spans="1:15" ht="18" customHeight="1" x14ac:dyDescent="0.35">
      <c r="A379" s="80" t="s">
        <v>187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188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77" t="s">
        <v>184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185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77" t="s">
        <v>186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185</v>
      </c>
      <c r="O405" s="39"/>
    </row>
    <row r="406" spans="1:15" ht="18" customHeight="1" x14ac:dyDescent="0.35">
      <c r="A406" s="80" t="s">
        <v>187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188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77" t="s">
        <v>184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185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77" t="s">
        <v>186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185</v>
      </c>
      <c r="O432" s="39"/>
    </row>
    <row r="433" spans="1:15" ht="18" customHeight="1" x14ac:dyDescent="0.35">
      <c r="A433" s="80" t="s">
        <v>187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188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77" t="s">
        <v>184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185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77" t="s">
        <v>186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185</v>
      </c>
      <c r="O459" s="39"/>
    </row>
    <row r="460" spans="1:15" ht="18" customHeight="1" x14ac:dyDescent="0.35">
      <c r="A460" s="80" t="s">
        <v>187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188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77" t="s">
        <v>184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185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77" t="s">
        <v>186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185</v>
      </c>
      <c r="O486" s="39"/>
    </row>
    <row r="487" spans="1:15" ht="18" customHeight="1" x14ac:dyDescent="0.35">
      <c r="A487" s="80" t="s">
        <v>187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188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77" t="s">
        <v>184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185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77" t="s">
        <v>186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185</v>
      </c>
      <c r="O513" s="39"/>
    </row>
    <row r="514" spans="1:15" ht="18" customHeight="1" x14ac:dyDescent="0.35">
      <c r="A514" s="80" t="s">
        <v>187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188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77" t="s">
        <v>184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185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77" t="s">
        <v>186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185</v>
      </c>
      <c r="O540" s="39"/>
    </row>
    <row r="541" spans="1:15" ht="18" customHeight="1" x14ac:dyDescent="0.35">
      <c r="A541" s="80" t="s">
        <v>187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188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77" t="s">
        <v>184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185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77" t="s">
        <v>186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185</v>
      </c>
      <c r="O567" s="39"/>
    </row>
    <row r="568" spans="1:15" ht="18" customHeight="1" x14ac:dyDescent="0.35">
      <c r="A568" s="80" t="s">
        <v>187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188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77" t="s">
        <v>184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185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77" t="s">
        <v>186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185</v>
      </c>
      <c r="O594" s="39"/>
    </row>
    <row r="595" spans="1:15" ht="18" customHeight="1" x14ac:dyDescent="0.35">
      <c r="A595" s="80" t="s">
        <v>187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188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77" t="s">
        <v>184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185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77" t="s">
        <v>186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185</v>
      </c>
      <c r="O621" s="39"/>
    </row>
    <row r="622" spans="1:15" ht="18" customHeight="1" x14ac:dyDescent="0.35">
      <c r="A622" s="80" t="s">
        <v>187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188</v>
      </c>
      <c r="O622" s="48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77" t="s">
        <v>184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185</v>
      </c>
      <c r="O635" s="45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77" t="s">
        <v>186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185</v>
      </c>
      <c r="O648" s="39"/>
    </row>
    <row r="649" spans="1:15" ht="18" customHeight="1" x14ac:dyDescent="0.35">
      <c r="A649" s="80" t="s">
        <v>187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188</v>
      </c>
      <c r="O649" s="48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77" t="s">
        <v>184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185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77" t="s">
        <v>186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185</v>
      </c>
      <c r="O675" s="39"/>
    </row>
    <row r="676" spans="1:15" ht="18" customHeight="1" x14ac:dyDescent="0.35">
      <c r="A676" s="80" t="s">
        <v>187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188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77" t="s">
        <v>184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185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77" t="s">
        <v>186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185</v>
      </c>
      <c r="O702" s="39"/>
    </row>
    <row r="703" spans="1:15" ht="18" customHeight="1" x14ac:dyDescent="0.35">
      <c r="A703" s="80" t="s">
        <v>187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188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77" t="s">
        <v>184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185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77" t="s">
        <v>186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185</v>
      </c>
      <c r="O729" s="39"/>
    </row>
    <row r="730" spans="1:15" ht="18" customHeight="1" x14ac:dyDescent="0.35">
      <c r="A730" s="80" t="s">
        <v>187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188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77" t="s">
        <v>184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185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77" t="s">
        <v>186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185</v>
      </c>
      <c r="O756" s="39"/>
    </row>
    <row r="757" spans="1:15" ht="18" customHeight="1" x14ac:dyDescent="0.35">
      <c r="A757" s="80" t="s">
        <v>187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188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77" t="s">
        <v>184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185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77" t="s">
        <v>186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185</v>
      </c>
      <c r="O783" s="39"/>
    </row>
    <row r="784" spans="1:15" ht="18" customHeight="1" x14ac:dyDescent="0.35">
      <c r="A784" s="80" t="s">
        <v>187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188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77" t="s">
        <v>184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185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77" t="s">
        <v>186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185</v>
      </c>
      <c r="O810" s="39"/>
    </row>
    <row r="811" spans="1:15" ht="18" customHeight="1" x14ac:dyDescent="0.35">
      <c r="A811" s="80" t="s">
        <v>187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188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K2" sqref="K2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632812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43.6328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189</v>
      </c>
      <c r="H1" s="23" t="s">
        <v>14</v>
      </c>
      <c r="I1" s="23" t="s">
        <v>15</v>
      </c>
      <c r="J1" s="23" t="s">
        <v>178</v>
      </c>
      <c r="K1" s="23" t="s">
        <v>179</v>
      </c>
      <c r="L1" s="23" t="s">
        <v>180</v>
      </c>
      <c r="M1" s="24" t="s">
        <v>181</v>
      </c>
      <c r="N1" s="23" t="s">
        <v>182</v>
      </c>
      <c r="O1" s="23" t="s">
        <v>183</v>
      </c>
    </row>
    <row r="2" spans="1:15" ht="15" customHeight="1" x14ac:dyDescent="0.35">
      <c r="A2" s="69">
        <v>46204</v>
      </c>
      <c r="B2" s="25">
        <v>0.33333333333333298</v>
      </c>
      <c r="C2" s="26"/>
      <c r="D2" s="59"/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>
        <v>0.29166666666666669</v>
      </c>
      <c r="L2" s="29"/>
      <c r="M2" s="30">
        <f t="shared" ref="M2:M13" ca="1" si="1">IFERROR(IF(K2="","",IF(L2="",MOD(NOW()-K2,1),IF(L2&gt;=K2,L2-K2,L2+1-K2))),"")</f>
        <v>3.3776736112486105E-2</v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22</v>
      </c>
      <c r="E3" s="59" t="s">
        <v>190</v>
      </c>
      <c r="F3" s="27">
        <v>10</v>
      </c>
      <c r="G3" s="34">
        <f t="shared" si="0"/>
        <v>42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77" t="s">
        <v>184</v>
      </c>
      <c r="B14" s="78"/>
      <c r="C14" s="78"/>
      <c r="D14" s="78"/>
      <c r="E14" s="79"/>
      <c r="F14" s="36">
        <f>SUM(F2:F13)</f>
        <v>10</v>
      </c>
      <c r="G14" s="36">
        <f>SUM(G2:G13)</f>
        <v>42</v>
      </c>
      <c r="H14" s="37"/>
      <c r="I14" s="37"/>
      <c r="J14" s="37"/>
      <c r="K14" s="37"/>
      <c r="L14" s="37"/>
      <c r="M14" s="38">
        <f ca="1">IFERROR(SUM(M2:M13),"")</f>
        <v>3.3776736112486105E-2</v>
      </c>
      <c r="N14" s="36" t="s">
        <v>185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77" t="s">
        <v>186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185</v>
      </c>
      <c r="O27" s="39"/>
    </row>
    <row r="28" spans="1:15" ht="18" customHeight="1" x14ac:dyDescent="0.35">
      <c r="A28" s="80" t="s">
        <v>187</v>
      </c>
      <c r="B28" s="81"/>
      <c r="C28" s="81"/>
      <c r="D28" s="81"/>
      <c r="E28" s="82"/>
      <c r="F28" s="40">
        <f>F14+F27</f>
        <v>10</v>
      </c>
      <c r="G28" s="40">
        <f>G14+G27</f>
        <v>42</v>
      </c>
      <c r="H28" s="41"/>
      <c r="I28" s="41"/>
      <c r="J28" s="41"/>
      <c r="K28" s="41"/>
      <c r="L28" s="41"/>
      <c r="M28" s="42">
        <f ca="1">IFERROR(M14+M27,"")</f>
        <v>3.3776736112486105E-2</v>
      </c>
      <c r="N28" s="40" t="s">
        <v>188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77" t="s">
        <v>184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185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77" t="s">
        <v>186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185</v>
      </c>
      <c r="O54" s="39"/>
    </row>
    <row r="55" spans="1:15" ht="18" customHeight="1" x14ac:dyDescent="0.35">
      <c r="A55" s="80" t="s">
        <v>187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188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77" t="s">
        <v>184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185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77" t="s">
        <v>186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185</v>
      </c>
      <c r="O81" s="39"/>
    </row>
    <row r="82" spans="1:15" ht="18" customHeight="1" x14ac:dyDescent="0.35">
      <c r="A82" s="80" t="s">
        <v>187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188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77" t="s">
        <v>184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185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77" t="s">
        <v>186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185</v>
      </c>
      <c r="O108" s="39"/>
    </row>
    <row r="109" spans="1:15" ht="18" customHeight="1" x14ac:dyDescent="0.35">
      <c r="A109" s="80" t="s">
        <v>187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188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77" t="s">
        <v>184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185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77" t="s">
        <v>186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185</v>
      </c>
      <c r="O135" s="39"/>
    </row>
    <row r="136" spans="1:15" ht="18" customHeight="1" x14ac:dyDescent="0.35">
      <c r="A136" s="80" t="s">
        <v>187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188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77" t="s">
        <v>184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185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77" t="s">
        <v>186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185</v>
      </c>
      <c r="O162" s="39"/>
    </row>
    <row r="163" spans="1:15" ht="18" customHeight="1" x14ac:dyDescent="0.35">
      <c r="A163" s="80" t="s">
        <v>187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188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77" t="s">
        <v>184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185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77" t="s">
        <v>186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185</v>
      </c>
      <c r="O189" s="39"/>
    </row>
    <row r="190" spans="1:15" ht="18" customHeight="1" x14ac:dyDescent="0.35">
      <c r="A190" s="80" t="s">
        <v>187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188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77" t="s">
        <v>184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185</v>
      </c>
      <c r="O203" s="39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77" t="s">
        <v>186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185</v>
      </c>
      <c r="O216" s="39"/>
    </row>
    <row r="217" spans="1:15" ht="18" customHeight="1" x14ac:dyDescent="0.35">
      <c r="A217" s="80" t="s">
        <v>187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188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77" t="s">
        <v>184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185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77" t="s">
        <v>186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185</v>
      </c>
      <c r="O243" s="39"/>
    </row>
    <row r="244" spans="1:15" ht="18" customHeight="1" x14ac:dyDescent="0.35">
      <c r="A244" s="80" t="s">
        <v>187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188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77" t="s">
        <v>184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185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77" t="s">
        <v>186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185</v>
      </c>
      <c r="O270" s="39"/>
    </row>
    <row r="271" spans="1:15" ht="18" customHeight="1" x14ac:dyDescent="0.35">
      <c r="A271" s="80" t="s">
        <v>187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188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77" t="s">
        <v>184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185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77" t="s">
        <v>186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185</v>
      </c>
      <c r="O297" s="39"/>
    </row>
    <row r="298" spans="1:15" ht="18" customHeight="1" x14ac:dyDescent="0.35">
      <c r="A298" s="80" t="s">
        <v>187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188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77" t="s">
        <v>184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185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77" t="s">
        <v>186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185</v>
      </c>
      <c r="O324" s="39"/>
    </row>
    <row r="325" spans="1:15" ht="18" customHeight="1" x14ac:dyDescent="0.35">
      <c r="A325" s="80" t="s">
        <v>187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188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77" t="s">
        <v>184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185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77" t="s">
        <v>186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185</v>
      </c>
      <c r="O351" s="39"/>
    </row>
    <row r="352" spans="1:15" ht="18" customHeight="1" x14ac:dyDescent="0.35">
      <c r="A352" s="80" t="s">
        <v>187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188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77" t="s">
        <v>184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185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77" t="s">
        <v>186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185</v>
      </c>
      <c r="O378" s="39"/>
    </row>
    <row r="379" spans="1:15" ht="18" customHeight="1" x14ac:dyDescent="0.35">
      <c r="A379" s="80" t="s">
        <v>187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188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77" t="s">
        <v>184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185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77" t="s">
        <v>186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185</v>
      </c>
      <c r="O405" s="39"/>
    </row>
    <row r="406" spans="1:15" ht="18" customHeight="1" x14ac:dyDescent="0.35">
      <c r="A406" s="80" t="s">
        <v>187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188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5">
      <c r="A419" s="77" t="s">
        <v>184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185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77" t="s">
        <v>186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185</v>
      </c>
      <c r="O432" s="39"/>
    </row>
    <row r="433" spans="1:15" ht="18" customHeight="1" x14ac:dyDescent="0.35">
      <c r="A433" s="80" t="s">
        <v>187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188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77" t="s">
        <v>184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185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77" t="s">
        <v>186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185</v>
      </c>
      <c r="O459" s="39"/>
    </row>
    <row r="460" spans="1:15" ht="18" customHeight="1" x14ac:dyDescent="0.35">
      <c r="A460" s="80" t="s">
        <v>187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188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77" t="s">
        <v>184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185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77" t="s">
        <v>186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185</v>
      </c>
      <c r="O486" s="39"/>
    </row>
    <row r="487" spans="1:15" ht="18" customHeight="1" x14ac:dyDescent="0.35">
      <c r="A487" s="80" t="s">
        <v>187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188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77" t="s">
        <v>184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185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77" t="s">
        <v>186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185</v>
      </c>
      <c r="O513" s="39"/>
    </row>
    <row r="514" spans="1:15" ht="18" customHeight="1" x14ac:dyDescent="0.35">
      <c r="A514" s="80" t="s">
        <v>187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188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77" t="s">
        <v>184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185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77" t="s">
        <v>186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185</v>
      </c>
      <c r="O540" s="39"/>
    </row>
    <row r="541" spans="1:15" ht="18" customHeight="1" x14ac:dyDescent="0.35">
      <c r="A541" s="80" t="s">
        <v>187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188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77" t="s">
        <v>184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185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77" t="s">
        <v>186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185</v>
      </c>
      <c r="O567" s="39"/>
    </row>
    <row r="568" spans="1:15" ht="18" customHeight="1" x14ac:dyDescent="0.35">
      <c r="A568" s="80" t="s">
        <v>187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188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77" t="s">
        <v>184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185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77" t="s">
        <v>186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185</v>
      </c>
      <c r="O594" s="39"/>
    </row>
    <row r="595" spans="1:15" ht="18" customHeight="1" x14ac:dyDescent="0.35">
      <c r="A595" s="80" t="s">
        <v>187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188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77" t="s">
        <v>184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185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77" t="s">
        <v>186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185</v>
      </c>
      <c r="O621" s="39"/>
    </row>
    <row r="622" spans="1:15" ht="18" customHeight="1" x14ac:dyDescent="0.35">
      <c r="A622" s="80" t="s">
        <v>187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188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77" t="s">
        <v>184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185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77" t="s">
        <v>186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185</v>
      </c>
      <c r="O648" s="39"/>
    </row>
    <row r="649" spans="1:15" ht="18" customHeight="1" x14ac:dyDescent="0.35">
      <c r="A649" s="80" t="s">
        <v>187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188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77" t="s">
        <v>184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185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77" t="s">
        <v>186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185</v>
      </c>
      <c r="O675" s="39"/>
    </row>
    <row r="676" spans="1:15" ht="18" customHeight="1" x14ac:dyDescent="0.35">
      <c r="A676" s="80" t="s">
        <v>187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188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77" t="s">
        <v>184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185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77" t="s">
        <v>186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185</v>
      </c>
      <c r="O702" s="39"/>
    </row>
    <row r="703" spans="1:15" ht="18" customHeight="1" x14ac:dyDescent="0.35">
      <c r="A703" s="80" t="s">
        <v>187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188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77" t="s">
        <v>184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185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77" t="s">
        <v>186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185</v>
      </c>
      <c r="O729" s="39"/>
    </row>
    <row r="730" spans="1:15" ht="18" customHeight="1" x14ac:dyDescent="0.35">
      <c r="A730" s="80" t="s">
        <v>187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188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77" t="s">
        <v>184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185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77" t="s">
        <v>186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185</v>
      </c>
      <c r="O756" s="39"/>
    </row>
    <row r="757" spans="1:15" ht="18" customHeight="1" x14ac:dyDescent="0.35">
      <c r="A757" s="80" t="s">
        <v>187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188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77" t="s">
        <v>184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185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77" t="s">
        <v>186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185</v>
      </c>
      <c r="O783" s="39"/>
    </row>
    <row r="784" spans="1:15" ht="18" customHeight="1" x14ac:dyDescent="0.35">
      <c r="A784" s="80" t="s">
        <v>187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188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77" t="s">
        <v>184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185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77" t="s">
        <v>186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185</v>
      </c>
      <c r="O810" s="39"/>
    </row>
    <row r="811" spans="1:15" ht="18" customHeight="1" x14ac:dyDescent="0.35">
      <c r="A811" s="80" t="s">
        <v>187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188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K15" sqref="K15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08984375" style="57" customWidth="1"/>
    <col min="10" max="10" width="52.08984375" style="57" customWidth="1"/>
    <col min="11" max="11" width="18.36328125" style="57" customWidth="1"/>
    <col min="12" max="12" width="14" style="58" customWidth="1"/>
    <col min="13" max="13" width="14" style="57" customWidth="1"/>
    <col min="14" max="14" width="126.36328125" style="57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189</v>
      </c>
      <c r="H1" s="23" t="s">
        <v>14</v>
      </c>
      <c r="I1" s="23" t="s">
        <v>15</v>
      </c>
      <c r="J1" s="23" t="s">
        <v>178</v>
      </c>
      <c r="K1" s="23" t="s">
        <v>179</v>
      </c>
      <c r="L1" s="23" t="s">
        <v>180</v>
      </c>
      <c r="M1" s="24" t="s">
        <v>181</v>
      </c>
      <c r="N1" s="23" t="s">
        <v>182</v>
      </c>
      <c r="O1" s="23" t="s">
        <v>183</v>
      </c>
    </row>
    <row r="2" spans="1:15" ht="15" customHeight="1" x14ac:dyDescent="0.35">
      <c r="A2" s="69">
        <v>46204</v>
      </c>
      <c r="B2" s="25">
        <v>0.33333333333333298</v>
      </c>
      <c r="C2" s="26"/>
      <c r="D2" s="59"/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>
        <v>0.29166666666666669</v>
      </c>
      <c r="L2" s="29"/>
      <c r="M2" s="30">
        <f t="shared" ref="M2:M13" ca="1" si="1">IFERROR(IF(K2="","",IF(L2="",MOD(NOW()-K2,1),IF(L2&gt;=K2,L2-K2,L2+1-K2))),"")</f>
        <v>3.3776736112486105E-2</v>
      </c>
      <c r="N2" s="27"/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22</v>
      </c>
      <c r="E3" s="59" t="s">
        <v>190</v>
      </c>
      <c r="F3" s="27">
        <v>10</v>
      </c>
      <c r="G3" s="34">
        <f t="shared" si="0"/>
        <v>42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77" t="s">
        <v>184</v>
      </c>
      <c r="B14" s="78"/>
      <c r="C14" s="78"/>
      <c r="D14" s="78"/>
      <c r="E14" s="79"/>
      <c r="F14" s="36">
        <f>SUM(F2:F13)</f>
        <v>10</v>
      </c>
      <c r="G14" s="36">
        <f>SUM(G2:G13)</f>
        <v>42</v>
      </c>
      <c r="H14" s="37"/>
      <c r="I14" s="37"/>
      <c r="J14" s="37"/>
      <c r="K14" s="61"/>
      <c r="L14" s="61"/>
      <c r="M14" s="38">
        <f ca="1">IFERROR(SUM(M2:M13),"")</f>
        <v>3.3776736112486105E-2</v>
      </c>
      <c r="N14" s="36" t="s">
        <v>185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26"/>
      <c r="D16" s="59"/>
      <c r="E16" s="59"/>
      <c r="F16" s="27"/>
      <c r="G16" s="34"/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77" t="s">
        <v>186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185</v>
      </c>
      <c r="O27" s="39"/>
    </row>
    <row r="28" spans="1:15" ht="18" customHeight="1" x14ac:dyDescent="0.35">
      <c r="A28" s="80" t="s">
        <v>187</v>
      </c>
      <c r="B28" s="81"/>
      <c r="C28" s="81"/>
      <c r="D28" s="81"/>
      <c r="E28" s="82"/>
      <c r="F28" s="40">
        <f>F14+F27</f>
        <v>10</v>
      </c>
      <c r="G28" s="40">
        <f>G14+G27</f>
        <v>42</v>
      </c>
      <c r="H28" s="41"/>
      <c r="I28" s="41"/>
      <c r="J28" s="41"/>
      <c r="K28" s="63"/>
      <c r="L28" s="63"/>
      <c r="M28" s="42">
        <f ca="1">IFERROR(M14+M27,"")</f>
        <v>3.3776736112486105E-2</v>
      </c>
      <c r="N28" s="40" t="s">
        <v>188</v>
      </c>
      <c r="O28" s="48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77" t="s">
        <v>184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185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35">
      <c r="A54" s="77" t="s">
        <v>186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185</v>
      </c>
      <c r="O54" s="39"/>
    </row>
    <row r="55" spans="1:15" ht="18" customHeight="1" x14ac:dyDescent="0.35">
      <c r="A55" s="80" t="s">
        <v>187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188</v>
      </c>
      <c r="O55" s="48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77" t="s">
        <v>184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185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77" t="s">
        <v>186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185</v>
      </c>
      <c r="O81" s="39"/>
    </row>
    <row r="82" spans="1:15" ht="18" customHeight="1" x14ac:dyDescent="0.35">
      <c r="A82" s="80" t="s">
        <v>187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188</v>
      </c>
      <c r="O82" s="48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77" t="s">
        <v>184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185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77" t="s">
        <v>186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185</v>
      </c>
      <c r="O108" s="39"/>
    </row>
    <row r="109" spans="1:15" ht="18" customHeight="1" x14ac:dyDescent="0.35">
      <c r="A109" s="80" t="s">
        <v>187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188</v>
      </c>
      <c r="O109" s="48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77" t="s">
        <v>184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185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5">
      <c r="A135" s="77" t="s">
        <v>186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185</v>
      </c>
      <c r="O135" s="39"/>
    </row>
    <row r="136" spans="1:15" ht="18" customHeight="1" x14ac:dyDescent="0.35">
      <c r="A136" s="80" t="s">
        <v>187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188</v>
      </c>
      <c r="O136" s="48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77" t="s">
        <v>184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185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77" t="s">
        <v>186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185</v>
      </c>
      <c r="O162" s="39"/>
    </row>
    <row r="163" spans="1:15" ht="18" customHeight="1" x14ac:dyDescent="0.35">
      <c r="A163" s="80" t="s">
        <v>187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188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77" t="s">
        <v>184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185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77" t="s">
        <v>186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185</v>
      </c>
      <c r="O189" s="39"/>
    </row>
    <row r="190" spans="1:15" ht="18" customHeight="1" x14ac:dyDescent="0.35">
      <c r="A190" s="80" t="s">
        <v>187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188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77" t="s">
        <v>184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185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77" t="s">
        <v>186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185</v>
      </c>
      <c r="O216" s="45"/>
    </row>
    <row r="217" spans="1:15" ht="18" customHeight="1" x14ac:dyDescent="0.35">
      <c r="A217" s="80" t="s">
        <v>187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188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77" t="s">
        <v>184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185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77" t="s">
        <v>186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185</v>
      </c>
      <c r="O243" s="39"/>
    </row>
    <row r="244" spans="1:15" ht="18" customHeight="1" x14ac:dyDescent="0.35">
      <c r="A244" s="80" t="s">
        <v>187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188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77" t="s">
        <v>184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185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77" t="s">
        <v>186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185</v>
      </c>
      <c r="O270" s="39"/>
    </row>
    <row r="271" spans="1:15" ht="18" customHeight="1" x14ac:dyDescent="0.35">
      <c r="A271" s="80" t="s">
        <v>187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188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77" t="s">
        <v>184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185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77" t="s">
        <v>186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185</v>
      </c>
      <c r="O297" s="39"/>
    </row>
    <row r="298" spans="1:15" ht="18" customHeight="1" x14ac:dyDescent="0.35">
      <c r="A298" s="80" t="s">
        <v>187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188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77" t="s">
        <v>184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185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77" t="s">
        <v>186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185</v>
      </c>
      <c r="O324" s="39"/>
    </row>
    <row r="325" spans="1:15" ht="18" customHeight="1" x14ac:dyDescent="0.35">
      <c r="A325" s="80" t="s">
        <v>187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188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5">
      <c r="A338" s="77" t="s">
        <v>184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185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77" t="s">
        <v>186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185</v>
      </c>
      <c r="O351" s="39"/>
    </row>
    <row r="352" spans="1:15" ht="18" customHeight="1" x14ac:dyDescent="0.35">
      <c r="A352" s="80" t="s">
        <v>187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188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77" t="s">
        <v>184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185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5">
      <c r="A378" s="77" t="s">
        <v>186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185</v>
      </c>
      <c r="O378" s="39"/>
    </row>
    <row r="379" spans="1:15" ht="18" customHeight="1" x14ac:dyDescent="0.35">
      <c r="A379" s="80" t="s">
        <v>187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188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77" t="s">
        <v>184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185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77" t="s">
        <v>186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185</v>
      </c>
      <c r="O405" s="39"/>
    </row>
    <row r="406" spans="1:15" ht="18" customHeight="1" x14ac:dyDescent="0.35">
      <c r="A406" s="80" t="s">
        <v>187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188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77" t="s">
        <v>184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185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77" t="s">
        <v>186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185</v>
      </c>
      <c r="O432" s="39"/>
    </row>
    <row r="433" spans="1:17" ht="18" customHeight="1" x14ac:dyDescent="0.35">
      <c r="A433" s="80" t="s">
        <v>187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188</v>
      </c>
      <c r="O433" s="48">
        <f>IFERROR(O419+O432,"")</f>
        <v>0</v>
      </c>
    </row>
    <row r="434" spans="1:17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77" t="s">
        <v>184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185</v>
      </c>
      <c r="O446" s="39"/>
    </row>
    <row r="447" spans="1:17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77" t="s">
        <v>186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185</v>
      </c>
      <c r="O459" s="39"/>
    </row>
    <row r="460" spans="1:15" ht="18" customHeight="1" x14ac:dyDescent="0.35">
      <c r="A460" s="80" t="s">
        <v>187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188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77" t="s">
        <v>184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185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77" t="s">
        <v>186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185</v>
      </c>
      <c r="O486" s="39"/>
    </row>
    <row r="487" spans="1:15" ht="18" customHeight="1" x14ac:dyDescent="0.35">
      <c r="A487" s="80" t="s">
        <v>187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188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77" t="s">
        <v>184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185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77" t="s">
        <v>186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185</v>
      </c>
      <c r="O513" s="39"/>
    </row>
    <row r="514" spans="1:15" ht="18" customHeight="1" x14ac:dyDescent="0.35">
      <c r="A514" s="80" t="s">
        <v>187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188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77" t="s">
        <v>184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185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77" t="s">
        <v>186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185</v>
      </c>
      <c r="O540" s="39"/>
    </row>
    <row r="541" spans="1:15" ht="18" customHeight="1" x14ac:dyDescent="0.35">
      <c r="A541" s="80" t="s">
        <v>187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188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77" t="s">
        <v>184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185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77" t="s">
        <v>186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185</v>
      </c>
      <c r="O567" s="39"/>
    </row>
    <row r="568" spans="1:15" ht="18" customHeight="1" x14ac:dyDescent="0.35">
      <c r="A568" s="80" t="s">
        <v>187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188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77" t="s">
        <v>184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185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77" t="s">
        <v>186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185</v>
      </c>
      <c r="O594" s="39"/>
    </row>
    <row r="595" spans="1:15" ht="18" customHeight="1" x14ac:dyDescent="0.35">
      <c r="A595" s="80" t="s">
        <v>187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188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77" t="s">
        <v>184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185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77" t="s">
        <v>186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185</v>
      </c>
      <c r="O621" s="39"/>
    </row>
    <row r="622" spans="1:15" ht="18" customHeight="1" x14ac:dyDescent="0.35">
      <c r="A622" s="80" t="s">
        <v>187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188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77" t="s">
        <v>184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185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77" t="s">
        <v>186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185</v>
      </c>
      <c r="O648" s="39"/>
    </row>
    <row r="649" spans="1:15" ht="18" customHeight="1" x14ac:dyDescent="0.35">
      <c r="A649" s="80" t="s">
        <v>187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188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77" t="s">
        <v>184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185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77" t="s">
        <v>186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185</v>
      </c>
      <c r="O675" s="39"/>
    </row>
    <row r="676" spans="1:15" ht="18" customHeight="1" x14ac:dyDescent="0.35">
      <c r="A676" s="80" t="s">
        <v>187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188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77" t="s">
        <v>184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185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77" t="s">
        <v>186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185</v>
      </c>
      <c r="O702" s="39"/>
    </row>
    <row r="703" spans="1:15" ht="18" customHeight="1" x14ac:dyDescent="0.35">
      <c r="A703" s="80" t="s">
        <v>187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188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77" t="s">
        <v>184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185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77" t="s">
        <v>186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185</v>
      </c>
      <c r="O729" s="39"/>
    </row>
    <row r="730" spans="1:15" ht="18" customHeight="1" x14ac:dyDescent="0.35">
      <c r="A730" s="80" t="s">
        <v>187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188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77" t="s">
        <v>184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185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77" t="s">
        <v>186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185</v>
      </c>
      <c r="O756" s="39"/>
    </row>
    <row r="757" spans="1:15" ht="18" customHeight="1" x14ac:dyDescent="0.35">
      <c r="A757" s="80" t="s">
        <v>187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188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77" t="s">
        <v>184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185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77" t="s">
        <v>186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185</v>
      </c>
      <c r="O783" s="39"/>
    </row>
    <row r="784" spans="1:15" ht="18" customHeight="1" x14ac:dyDescent="0.35">
      <c r="A784" s="80" t="s">
        <v>187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188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77" t="s">
        <v>184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185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77" t="s">
        <v>186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185</v>
      </c>
      <c r="O810" s="39"/>
    </row>
    <row r="811" spans="1:15" ht="18" customHeight="1" x14ac:dyDescent="0.35">
      <c r="A811" s="80" t="s">
        <v>187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188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9:E811 E2:E13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Desktop CCO01</cp:lastModifiedBy>
  <cp:revision>0</cp:revision>
  <dcterms:created xsi:type="dcterms:W3CDTF">2026-06-05T19:56:02Z</dcterms:created>
  <dcterms:modified xsi:type="dcterms:W3CDTF">2026-07-01T11:48:46Z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