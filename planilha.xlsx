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08" documentId="8_{AF585B22-221D-4780-BB9C-493D365A6A02}" xr6:coauthVersionLast="47" xr6:coauthVersionMax="47" xr10:uidLastSave="{9FB11BFA-CCFC-445C-8409-4766818E850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<sst xmlns="http://schemas.openxmlformats.org/spreadsheetml/2006/main" count="7113" uniqueCount="340">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</sst>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0" sqref="K7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 t="s">
        <v>211</v>
      </c>
      <c r="L68" s="16"/>
      <c r="M68" s="16"/>
    </row>
    <row r="69" spans="8:13" ht="15" customHeight="1">
      <c r="H69" s="105"/>
      <c r="I69" s="17"/>
      <c r="J69" s="17"/>
      <c r="K69" s="17" t="s">
        <v>212</v>
      </c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0" sqref="F4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151</v>
      </c>
      <c r="G446" s="36">
        <f>SUM(G434:G445)</f>
        <v>755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151</v>
      </c>
      <c r="G460" s="40">
        <f>G446+G459</f>
        <v>755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K437" sqref="K4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0.30921678240702022</v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0.4668556712959091</v>
      </c>
      <c r="N378" s="36" t="s">
        <v>227</v>
      </c>
      <c r="O378" s="78">
        <v>511980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0.57657789351813127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0.28768900463182945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0.45852233796516284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0.60366122685405177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/>
      <c r="I436" s="26"/>
      <c r="J436" s="26"/>
      <c r="K436" s="29">
        <v>0.53125</v>
      </c>
      <c r="L436" s="29"/>
      <c r="M436" s="30">
        <f t="shared" ca="1" si="97"/>
        <v>1.7550115742778871E-2</v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97</v>
      </c>
      <c r="G446" s="36">
        <f>SUM(G434:G445)</f>
        <v>407.40000000000003</v>
      </c>
      <c r="H446" s="37"/>
      <c r="I446" s="37"/>
      <c r="J446" s="37"/>
      <c r="K446" s="37"/>
      <c r="L446" s="37"/>
      <c r="M446" s="38">
        <f ca="1">IFERROR(SUM(M434:M445),"")</f>
        <v>5.5744560187223346E-2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97</v>
      </c>
      <c r="G460" s="40">
        <f>G446+G459</f>
        <v>407.40000000000003</v>
      </c>
      <c r="H460" s="41"/>
      <c r="I460" s="41"/>
      <c r="J460" s="41"/>
      <c r="K460" s="41"/>
      <c r="L460" s="41"/>
      <c r="M460" s="42">
        <f ca="1">IFERROR(M446+M459,"")</f>
        <v>5.5744560187223346E-2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0" zoomScale="50" zoomScaleNormal="50" workbookViewId="0">
      <selection activeCell="F440" sqref="F4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296</v>
      </c>
      <c r="N166" s="27" t="s">
        <v>297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I447" sqref="I4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311</v>
      </c>
      <c r="L58" s="29">
        <v>0.54097222222222219</v>
      </c>
      <c r="M58" s="30" t="str">
        <f t="shared" ca="1" si="13"/>
        <v/>
      </c>
      <c r="N58" s="27" t="s">
        <v>312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0.29949456018948695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0.49880011574504257</v>
      </c>
      <c r="N135" s="36" t="s">
        <v>227</v>
      </c>
      <c r="O135" s="39">
        <v>729290</v>
      </c>
    </row>
    <row r="136" spans="1:18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0.8661612268561536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226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339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>
        <v>0.53819444444444442</v>
      </c>
      <c r="L435" s="29"/>
      <c r="M435" s="35">
        <f t="shared" ca="1" si="97"/>
        <v>1.0605671297525987E-2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115</v>
      </c>
      <c r="G446" s="36">
        <f>SUM(G434:G445)</f>
        <v>483.00000000000006</v>
      </c>
      <c r="H446" s="37"/>
      <c r="I446" s="37"/>
      <c r="J446" s="37"/>
      <c r="K446" s="61"/>
      <c r="L446" s="61"/>
      <c r="M446" s="38">
        <f ca="1">IFERROR(SUM(M434:M445),"")</f>
        <v>3.1439004630859357E-2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115</v>
      </c>
      <c r="G460" s="40">
        <f>G446+G459</f>
        <v>483.00000000000006</v>
      </c>
      <c r="H460" s="41"/>
      <c r="I460" s="41"/>
      <c r="J460" s="41"/>
      <c r="K460" s="63"/>
      <c r="L460" s="63"/>
      <c r="M460" s="42">
        <f ca="1">IFERROR(M446+M459,"")</f>
        <v>3.1439004630859357E-2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2026-07-17T17:10:22Z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