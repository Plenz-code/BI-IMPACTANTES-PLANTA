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001" documentId="8_{AF585B22-221D-4780-BB9C-493D365A6A02}" xr6:coauthVersionLast="47" xr6:coauthVersionMax="47" xr10:uidLastSave="{8021C965-C4E7-4654-8143-B963407D3346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<sst xmlns="http://schemas.openxmlformats.org/spreadsheetml/2006/main" count="2225" uniqueCount="228">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</sst>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7" t="s">
        <v>0</v>
      </c>
      <c r="B1" s="87"/>
      <c r="C1" s="87"/>
      <c r="D1" s="87"/>
      <c r="E1" s="87"/>
      <c r="F1" s="87"/>
      <c r="G1" s="87"/>
    </row>
    <row r="2" spans="1:7" ht="24.75" customHeight="1">
      <c r="A2" s="88"/>
      <c r="B2" s="8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9" t="s">
        <v>9</v>
      </c>
      <c r="B35" s="89"/>
      <c r="C35" s="13">
        <f>IFERROR(SUM(C4:C34),"")</f>
        <v>6571570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6841800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7" zoomScale="85" zoomScaleNormal="85" workbookViewId="0">
      <selection activeCell="M48" sqref="M4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0" t="s">
        <v>10</v>
      </c>
      <c r="B1" s="90"/>
      <c r="C1" s="90"/>
      <c r="D1" s="90"/>
      <c r="E1" s="90"/>
      <c r="F1" s="90"/>
      <c r="G1" s="90"/>
      <c r="H1" s="91"/>
      <c r="I1" s="92" t="s">
        <v>11</v>
      </c>
      <c r="J1" s="92"/>
      <c r="K1" s="92"/>
      <c r="L1" s="92"/>
      <c r="M1" s="92"/>
    </row>
    <row r="2" spans="1:13" ht="4.5" customHeight="1">
      <c r="H2" s="9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1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1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1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1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1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1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1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1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1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1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1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1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1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1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1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1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1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1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1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1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1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1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1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1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1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1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1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1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1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1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1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1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1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1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1"/>
      <c r="I48" s="16"/>
      <c r="J48" s="16"/>
      <c r="K48" s="16" t="s">
        <v>177</v>
      </c>
      <c r="L48" s="16"/>
      <c r="M48" s="16"/>
    </row>
    <row r="49" spans="1:13" ht="18" customHeight="1">
      <c r="H49" s="91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1"/>
      <c r="I50" s="16"/>
      <c r="J50" s="16"/>
      <c r="K50" s="16" t="s">
        <v>180</v>
      </c>
      <c r="L50" s="16"/>
      <c r="M50" s="16"/>
    </row>
    <row r="51" spans="1:13" ht="24" customHeight="1">
      <c r="H51" s="91"/>
      <c r="I51" s="17"/>
      <c r="J51" s="17"/>
      <c r="K51" s="17" t="s">
        <v>181</v>
      </c>
      <c r="L51" s="17"/>
      <c r="M51" s="17"/>
    </row>
    <row r="52" spans="1:13" ht="24" customHeight="1">
      <c r="H52" s="91"/>
      <c r="I52" s="16"/>
      <c r="J52" s="16"/>
      <c r="K52" s="16" t="s">
        <v>182</v>
      </c>
      <c r="L52" s="16"/>
      <c r="M52" s="16"/>
    </row>
    <row r="53" spans="1:13" ht="36" customHeight="1">
      <c r="H53" s="91"/>
      <c r="I53" s="17"/>
      <c r="J53" s="17"/>
      <c r="K53" s="17" t="s">
        <v>183</v>
      </c>
      <c r="L53" s="17"/>
      <c r="M53" s="17"/>
    </row>
    <row r="54" spans="1:13" ht="15" customHeight="1">
      <c r="H54" s="91"/>
      <c r="I54" s="16"/>
      <c r="J54" s="16"/>
      <c r="K54" s="16"/>
      <c r="L54" s="16"/>
      <c r="M54" s="16"/>
    </row>
    <row r="55" spans="1:13" ht="15" customHeight="1">
      <c r="H55" s="91"/>
      <c r="I55" s="17"/>
      <c r="J55" s="17"/>
      <c r="K55" s="17"/>
      <c r="L55" s="17"/>
      <c r="M55" s="17"/>
    </row>
    <row r="56" spans="1:13" ht="15" customHeight="1">
      <c r="H56" s="91"/>
      <c r="I56" s="16"/>
      <c r="J56" s="16"/>
      <c r="K56" s="16"/>
      <c r="L56" s="16"/>
      <c r="M56" s="16"/>
    </row>
    <row r="57" spans="1:13" ht="15" customHeight="1">
      <c r="H57" s="91"/>
      <c r="I57" s="17"/>
      <c r="J57" s="17"/>
      <c r="K57" s="17"/>
      <c r="L57" s="17"/>
      <c r="M57" s="17"/>
    </row>
    <row r="58" spans="1:13" ht="15" customHeight="1">
      <c r="H58" s="91"/>
      <c r="I58" s="16"/>
      <c r="J58" s="16"/>
      <c r="K58" s="16"/>
      <c r="L58" s="16"/>
      <c r="M58" s="16"/>
    </row>
    <row r="59" spans="1:13" ht="15" customHeight="1">
      <c r="H59" s="91"/>
      <c r="I59" s="17"/>
      <c r="J59" s="17"/>
      <c r="K59" s="17"/>
      <c r="L59" s="17"/>
      <c r="M59" s="17"/>
    </row>
    <row r="60" spans="1:13" ht="15" customHeight="1">
      <c r="H60" s="91"/>
      <c r="I60" s="16"/>
      <c r="J60" s="16"/>
      <c r="K60" s="16"/>
      <c r="L60" s="16"/>
      <c r="M60" s="16"/>
    </row>
    <row r="61" spans="1:13" ht="15" customHeight="1">
      <c r="H61" s="91"/>
      <c r="I61" s="17"/>
      <c r="J61" s="17"/>
      <c r="K61" s="17"/>
      <c r="L61" s="17"/>
      <c r="M61" s="17"/>
    </row>
    <row r="62" spans="1:13" ht="15" customHeight="1">
      <c r="H62" s="91"/>
      <c r="I62" s="16"/>
      <c r="J62" s="16"/>
      <c r="K62" s="16"/>
      <c r="L62" s="16"/>
      <c r="M62" s="16"/>
    </row>
    <row r="63" spans="1:13" ht="15" customHeight="1">
      <c r="H63" s="91"/>
      <c r="I63" s="17"/>
      <c r="J63" s="17"/>
      <c r="K63" s="17"/>
      <c r="L63" s="17"/>
      <c r="M63" s="17"/>
    </row>
    <row r="64" spans="1:13" ht="15" customHeight="1">
      <c r="H64" s="91"/>
      <c r="I64" s="16"/>
      <c r="J64" s="16"/>
      <c r="K64" s="16"/>
      <c r="L64" s="16"/>
      <c r="M64" s="16"/>
    </row>
    <row r="65" spans="8:13" ht="15" customHeight="1">
      <c r="H65" s="91"/>
      <c r="I65" s="17"/>
      <c r="J65" s="17"/>
      <c r="K65" s="17"/>
      <c r="L65" s="17"/>
      <c r="M65" s="17"/>
    </row>
    <row r="66" spans="8:13" ht="15" customHeight="1">
      <c r="H66" s="91"/>
      <c r="I66" s="16"/>
      <c r="J66" s="16"/>
      <c r="K66" s="16"/>
      <c r="L66" s="16"/>
      <c r="M66" s="16"/>
    </row>
    <row r="67" spans="8:13" ht="15" customHeight="1">
      <c r="H67" s="91"/>
      <c r="I67" s="17"/>
      <c r="J67" s="17"/>
      <c r="K67" s="17"/>
      <c r="L67" s="17"/>
      <c r="M67" s="17"/>
    </row>
    <row r="68" spans="8:13" ht="15" customHeight="1">
      <c r="H68" s="91"/>
      <c r="I68" s="16"/>
      <c r="J68" s="16"/>
      <c r="K68" s="16"/>
      <c r="L68" s="16"/>
      <c r="M68" s="16"/>
    </row>
    <row r="69" spans="8:13" ht="15" customHeight="1">
      <c r="H69" s="91"/>
      <c r="I69" s="17"/>
      <c r="J69" s="17"/>
      <c r="K69" s="17"/>
      <c r="L69" s="17"/>
      <c r="M69" s="17"/>
    </row>
    <row r="70" spans="8:13" ht="15" customHeight="1">
      <c r="H70" s="91"/>
      <c r="I70" s="16"/>
      <c r="J70" s="16"/>
      <c r="K70" s="16"/>
      <c r="L70" s="16"/>
      <c r="M70" s="16"/>
    </row>
    <row r="71" spans="8:13" ht="15" customHeight="1">
      <c r="H71" s="91"/>
      <c r="I71" s="17"/>
      <c r="J71" s="17"/>
      <c r="K71" s="17"/>
      <c r="L71" s="17"/>
      <c r="M71" s="17"/>
    </row>
    <row r="72" spans="8:13" ht="15" customHeight="1">
      <c r="H72" s="91"/>
      <c r="I72" s="16"/>
      <c r="J72" s="16"/>
      <c r="K72" s="16"/>
      <c r="L72" s="16"/>
      <c r="M72" s="16"/>
    </row>
    <row r="73" spans="8:13" ht="15" customHeight="1">
      <c r="H73" s="91"/>
      <c r="I73" s="17"/>
      <c r="J73" s="17"/>
      <c r="K73" s="17"/>
      <c r="L73" s="17"/>
      <c r="M73" s="17"/>
    </row>
    <row r="74" spans="8:13" ht="15" customHeight="1">
      <c r="H74" s="91"/>
      <c r="I74" s="16"/>
      <c r="J74" s="16"/>
      <c r="K74" s="16"/>
      <c r="L74" s="16"/>
      <c r="M74" s="16"/>
    </row>
    <row r="75" spans="8:13" ht="15" customHeight="1">
      <c r="H75" s="9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6" activePane="bottomLeft" state="frozen"/>
      <selection pane="bottomLeft" activeCell="F92" sqref="F9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194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198</v>
      </c>
      <c r="O27" s="39">
        <v>1183060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198</v>
      </c>
      <c r="O54" s="39">
        <v>959290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198</v>
      </c>
      <c r="O81" s="39">
        <v>878050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195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195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195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121</v>
      </c>
      <c r="G95" s="36">
        <f>SUM(G83:G94)</f>
        <v>605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198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121</v>
      </c>
      <c r="G109" s="40">
        <f>G95+G108</f>
        <v>605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201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44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8" activePane="bottomLeft" state="frozen"/>
      <selection pane="bottomLeft" activeCell="L86" sqref="L8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198</v>
      </c>
      <c r="O27" s="78">
        <v>393200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201</v>
      </c>
      <c r="O28" s="95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198</v>
      </c>
      <c r="O41" s="97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205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97">
        <v>276360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201</v>
      </c>
      <c r="O55" s="95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94"/>
      <c r="K57" s="29"/>
      <c r="L57" s="29"/>
      <c r="M57" s="30"/>
      <c r="N57" s="46" t="s">
        <v>208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93"/>
      <c r="J58" s="26"/>
      <c r="K58" s="29"/>
      <c r="L58" s="29"/>
      <c r="M58" s="35"/>
      <c r="N58" s="46" t="s">
        <v>209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198</v>
      </c>
      <c r="O81" s="54">
        <v>787860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201</v>
      </c>
      <c r="O82" s="95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87</v>
      </c>
      <c r="G95" s="36">
        <f>SUM(G83:G94)</f>
        <v>394.2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198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54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87</v>
      </c>
      <c r="G109" s="40">
        <f>G95+G108</f>
        <v>394.2</v>
      </c>
      <c r="H109" s="41"/>
      <c r="I109" s="41"/>
      <c r="J109" s="41"/>
      <c r="K109" s="41"/>
      <c r="L109" s="41"/>
      <c r="M109" s="42">
        <f ca="1">IFERROR(M95+M108,"")</f>
        <v>0.26180555555555557</v>
      </c>
      <c r="N109" s="40" t="s">
        <v>201</v>
      </c>
      <c r="O109" s="95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54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95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54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95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78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95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78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96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78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96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78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96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78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96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78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96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78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96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78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96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78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96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78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96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78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96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78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96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78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96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78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96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78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96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78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96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78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96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78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96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78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96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78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96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78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96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96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96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95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72" activePane="bottomLeft" state="frozen"/>
      <selection pane="bottomLeft" activeCell="F93" sqref="F9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198</v>
      </c>
      <c r="O27" s="39">
        <v>308500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39">
        <v>124290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198</v>
      </c>
      <c r="O81" s="39">
        <v>396340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216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66</v>
      </c>
      <c r="G95" s="36">
        <f>SUM(G83:G94)</f>
        <v>330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198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66</v>
      </c>
      <c r="G109" s="40">
        <f>G95+G108</f>
        <v>330</v>
      </c>
      <c r="H109" s="41"/>
      <c r="I109" s="41"/>
      <c r="J109" s="41"/>
      <c r="K109" s="41"/>
      <c r="L109" s="41"/>
      <c r="M109" s="42">
        <f ca="1">IFERROR(M95+M108,"")</f>
        <v>0.2013888888888889</v>
      </c>
      <c r="N109" s="40" t="s">
        <v>201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39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68" activePane="bottomLeft" state="frozen"/>
      <selection pane="bottomLeft" activeCell="J84" sqref="J8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198</v>
      </c>
      <c r="O27" s="39">
        <v>202230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198</v>
      </c>
      <c r="O54" s="39">
        <v>473910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221</v>
      </c>
      <c r="L58" s="29">
        <v>0.54097222222222219</v>
      </c>
      <c r="M58" s="30" t="str">
        <f t="shared" ca="1" si="13"/>
        <v/>
      </c>
      <c r="N58" s="27" t="s">
        <v>222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198</v>
      </c>
      <c r="O81" s="39">
        <v>565120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227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/>
      <c r="M84" s="35">
        <f t="shared" ca="1" si="19"/>
        <v>8.0312500358559191E-4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140</v>
      </c>
      <c r="G95" s="36">
        <f>SUM(G83:G94)</f>
        <v>688</v>
      </c>
      <c r="H95" s="37"/>
      <c r="I95" s="37"/>
      <c r="J95" s="37"/>
      <c r="K95" s="61"/>
      <c r="L95" s="61"/>
      <c r="M95" s="38">
        <f ca="1">IFERROR(SUM(M83:M94),"")</f>
        <v>0.1744142361146967</v>
      </c>
      <c r="N95" s="36" t="s">
        <v>198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140</v>
      </c>
      <c r="G109" s="40">
        <f>G95+G108</f>
        <v>688</v>
      </c>
      <c r="H109" s="41"/>
      <c r="I109" s="41"/>
      <c r="J109" s="41"/>
      <c r="K109" s="63"/>
      <c r="L109" s="63"/>
      <c r="M109" s="42">
        <f ca="1">IFERROR(M95+M108,"")</f>
        <v>0.1744142361146967</v>
      </c>
      <c r="N109" s="40" t="s">
        <v>201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201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198</v>
      </c>
      <c r="O432" s="39"/>
    </row>
    <row r="433" spans="1:17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2026-07-04T21:35:23Z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