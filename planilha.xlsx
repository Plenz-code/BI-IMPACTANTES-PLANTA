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894" documentId="8_{1D11E9C4-FEA4-4128-910F-91CB6BBF9255}" xr6:coauthVersionLast="47" xr6:coauthVersionMax="47" xr10:uidLastSave="{DA6C69B8-6342-410E-9D70-FAEA037853D9}"/>
  <bookViews>
    <workbookView xWindow="-110" yWindow="-110" windowWidth="25820" windowHeight="15500" tabRatio="500" firstSheet="3" activeTab="5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47" i="5" l="1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<sst xmlns="http://schemas.openxmlformats.org/spreadsheetml/2006/main" count="8285" uniqueCount="370">
  <si>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</si>
  <si>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</si>
  <si>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</si>
  <si>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</si>
  <si>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</si>
  <si>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</si>
  <si>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</si>
  <si>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</si>
  <si>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</si>
  <si>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</si>
  <si>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</si>
  <si>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</si>
  <si>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</si>
  <si>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</si>
  <si>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</si>
  <si>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</si>
  <si>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</si>
  <si>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</si>
  <si>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</si>
  <si>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</si>
  <si>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</si>
  <si>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</si>
  <si>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</si>
  <si>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</si>
  <si>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</si>
  <si>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</si>
  <si>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</si>
  <si>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</si>
  <si>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</si>
  <si>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</si>
  <si>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</si>
  <si>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</si>
  <si>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</si>
  <si>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</si>
  <si>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</si>
  <si>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</si>
  <si>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</si>
  <si>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</si>
  <si>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</si>
  <si>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</si>
  <si>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</si>
  <si>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</si>
  <si>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</si>
  <si>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</si>
  <si>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</si>
  <si>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</si>
  <si>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</si>
  <si>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</si>
  <si>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</si>
  <si>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</si>
  <si>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</si>
  <si>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</si>
  <si>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</si>
  <si>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</si>
  <si>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</si>
  <si>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</si>
  <si>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</si>
  <si>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</si>
  <si>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</si>
  <si>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</si>
  <si>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</si>
  <si>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</si>
  <si>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</si>
  <si>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</si>
  <si>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</si>
  <si>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</si>
  <si>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</si>
  <si>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</si>
  <si>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</si>
  <si>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</si>
  <si>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</si>
  <si>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</si>
  <si>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</si>
  <si>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</si>
  <si>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</si>
  <si>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</si>
  <si>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</si>
  <si>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</si>
  <si>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</si>
  <si>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</si>
  <si>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</si>
  <si>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</si>
  <si>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</si>
  <si>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</si>
  <si>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</si>
  <si>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</si>
  <si>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</si>
  <si>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</si>
  <si>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</si>
  <si>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</si>
  <si>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</si>
  <si>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</si>
  <si>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</si>
  <si>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</si>
  <si>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</si>
  <si>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</si>
  <si>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</si>
  <si>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</si>
  <si>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</si>
  <si>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</si>
  <si>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</si>
  <si>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</si>
  <si>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</si>
  <si>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</si>
  <si>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</si>
  <si>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</si>
  <si>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</si>
  <si>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</si>
  <si>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</si>
  <si>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</si>
  <si>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</si>
  <si>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</si>
  <si>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</si>
  <si>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</si>
  <si>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</si>
  <si>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</si>
  <si>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</si>
  <si>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</si>
  <si>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</si>
  <si>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</si>
  <si>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</si>
  <si>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</si>
  <si>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</si>
  <si>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</si>
  <si>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</si>
  <si>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</si>
  <si>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</si>
  <si>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</si>
  <si>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</si>
  <si>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</si>
  <si>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</si>
  <si>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</si>
  <si>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</si>
  <si>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</si>
  <si>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</si>
  <si>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</si>
  <si>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</si>
  <si>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</si>
  <si>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</si>
  <si>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</si>
  <si>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</si>
  <si>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</si>
  <si>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</si>
  <si>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</si>
  <si>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</si>
  <si>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</si>
  <si>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</si>
  <si>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</si>
  <si>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</si>
  <si>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</si>
  <si>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</si>
  <si>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</si>
  <si>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</si>
  <si>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</si>
  <si>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</si>
  <si>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</si>
  <si>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</si>
  <si>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</si>
  <si>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</si>
  <si>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</si>
  <si>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</si>
  <si>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</si>
  <si>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</si>
  <si>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</si>
  <si>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</si>
  <si>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</si>
  <si>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</si>
  <si>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</si>
  <si>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</si>
  <si>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</si>
  <si>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</si>
  <si>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</si>
  <si>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</si>
  <si>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</si>
  <si>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</si>
  <si>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</si>
  <si>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</si>
  <si>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</si>
  <si>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</si>
  <si>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</si>
  <si>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</si>
  <si>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</si>
  <si>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</si>
  <si>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</si>
  <si>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</si>
  <si>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</si>
  <si>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</si>
  <si>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</si>
  <si>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</si>
  <si>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</si>
  <si>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</si>
  <si>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</si>
  <si>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</si>
  <si>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</si>
  <si>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</si>
  <si>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</si>
  <si>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</si>
  <si>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</si>
  <si>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</si>
  <si>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</si>
  <si>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</si>
  <si>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</si>
  <si>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</si>
  <si>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</si>
  <si>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</si>
  <si>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</si>
  <si>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</si>
  <si>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</si>
  <si>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</si>
  <si>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</si>
  <si>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</si>
  <si>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</si>
  <si>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</si>
  <si>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</si>
  <si>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</si>
  <si>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</si>
  <si>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</si>
  <si>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</si>
  <si>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</si>
  <si>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</si>
  <si>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</si>
  <si>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</si>
  <si>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</si>
  <si>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</si>
  <si>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</si>
  <si>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</si>
  <si>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</si>
  <si>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</si>
  <si>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douglas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</si>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</sst>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2" t="s">
        <v>0</v>
      </c>
      <c r="B1" s="102"/>
      <c r="C1" s="102"/>
      <c r="D1" s="102"/>
      <c r="E1" s="102"/>
      <c r="F1" s="102"/>
      <c r="G1" s="102"/>
    </row>
    <row r="2" spans="1:7" ht="25.35" customHeight="1">
      <c r="A2" s="103"/>
      <c r="B2" s="10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4" t="s">
        <v>9</v>
      </c>
      <c r="B34" s="104"/>
      <c r="C34" s="55">
        <f t="shared" ref="C34:G34" si="1">IFERROR(SUM(C4:C33),"")</f>
        <v>48801910</v>
      </c>
      <c r="D34" s="55">
        <f t="shared" si="1"/>
        <v>24197620</v>
      </c>
      <c r="E34" s="55">
        <f t="shared" si="1"/>
        <v>9657450</v>
      </c>
      <c r="F34" s="55">
        <f t="shared" si="1"/>
        <v>27814745</v>
      </c>
      <c r="G34" s="55">
        <f t="shared" si="1"/>
        <v>61669815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1" zoomScale="85" zoomScaleNormal="85" workbookViewId="0">
      <selection activeCell="L19" sqref="L1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5" t="s">
        <v>10</v>
      </c>
      <c r="B1" s="105"/>
      <c r="C1" s="105"/>
      <c r="D1" s="105"/>
      <c r="E1" s="105"/>
      <c r="F1" s="105"/>
      <c r="G1" s="105"/>
      <c r="H1" s="106"/>
      <c r="I1" s="107" t="s">
        <v>11</v>
      </c>
      <c r="J1" s="107"/>
      <c r="K1" s="107"/>
      <c r="L1" s="107"/>
      <c r="M1" s="107"/>
    </row>
    <row r="2" spans="1:13" ht="4.5" customHeight="1">
      <c r="H2" s="10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6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6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6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6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6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6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6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6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6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6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6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6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6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6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6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6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6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6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6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6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6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6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6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6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6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6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6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6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6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6"/>
      <c r="I46" s="3"/>
      <c r="J46" s="3"/>
      <c r="K46" s="3" t="s">
        <v>174</v>
      </c>
      <c r="L46" s="3"/>
      <c r="M46" s="3"/>
    </row>
    <row r="47" spans="1:13" ht="15.75" customHeight="1">
      <c r="A47" s="4"/>
      <c r="C47" s="4"/>
      <c r="E47" s="4"/>
      <c r="G47" s="4"/>
      <c r="H47" s="106"/>
      <c r="I47" s="4"/>
      <c r="J47" s="4"/>
      <c r="K47" s="4" t="s">
        <v>175</v>
      </c>
      <c r="L47" s="4"/>
      <c r="M47" s="4"/>
    </row>
    <row r="48" spans="1:13" ht="15.75" customHeight="1">
      <c r="A48" s="3"/>
      <c r="C48" s="3"/>
      <c r="E48" s="3"/>
      <c r="G48" s="3"/>
      <c r="H48" s="106"/>
      <c r="I48" s="3"/>
      <c r="J48" s="3"/>
      <c r="K48" s="3" t="s">
        <v>176</v>
      </c>
      <c r="L48" s="3"/>
      <c r="M48" s="3"/>
    </row>
    <row r="49" spans="1:13" ht="18" customHeight="1">
      <c r="H49" s="106"/>
      <c r="I49" s="4"/>
      <c r="J49" s="4"/>
      <c r="K49" s="4" t="s">
        <v>177</v>
      </c>
      <c r="L49" s="4"/>
      <c r="M49" s="4"/>
    </row>
    <row r="50" spans="1:13" ht="21" customHeight="1">
      <c r="A50" s="6" t="s">
        <v>178</v>
      </c>
      <c r="B50" s="6"/>
      <c r="C50" s="6"/>
      <c r="D50" s="6"/>
      <c r="E50" s="6"/>
      <c r="F50" s="6"/>
      <c r="G50" s="6"/>
      <c r="H50" s="106"/>
      <c r="I50" s="3"/>
      <c r="J50" s="3"/>
      <c r="K50" s="3"/>
      <c r="L50" s="3"/>
      <c r="M50" s="3"/>
    </row>
    <row r="51" spans="1:13" ht="24" customHeight="1">
      <c r="H51" s="106"/>
      <c r="I51" s="4"/>
      <c r="J51" s="4"/>
      <c r="K51" s="4"/>
      <c r="L51" s="4"/>
      <c r="M51" s="4"/>
    </row>
    <row r="52" spans="1:13" ht="24" customHeight="1">
      <c r="H52" s="106"/>
      <c r="I52" s="3"/>
      <c r="J52" s="3"/>
      <c r="K52" s="3"/>
      <c r="L52" s="3"/>
      <c r="M52" s="3"/>
    </row>
    <row r="53" spans="1:13" ht="36" customHeight="1">
      <c r="H53" s="106"/>
      <c r="I53" s="4"/>
      <c r="J53" s="4"/>
      <c r="K53" s="4"/>
      <c r="L53" s="4"/>
      <c r="M53" s="4"/>
    </row>
    <row r="54" spans="1:13" ht="15" customHeight="1">
      <c r="H54" s="106"/>
      <c r="I54" s="3"/>
      <c r="J54" s="3"/>
      <c r="K54" s="3"/>
      <c r="L54" s="3"/>
      <c r="M54" s="3"/>
    </row>
    <row r="55" spans="1:13" ht="15" customHeight="1">
      <c r="H55" s="106"/>
      <c r="I55" s="4"/>
      <c r="J55" s="4"/>
      <c r="K55" s="4"/>
      <c r="L55" s="4"/>
      <c r="M55" s="4"/>
    </row>
    <row r="56" spans="1:13" ht="15" customHeight="1">
      <c r="H56" s="106"/>
      <c r="I56" s="3"/>
      <c r="J56" s="3"/>
      <c r="K56" s="3"/>
      <c r="L56" s="3"/>
      <c r="M56" s="3"/>
    </row>
    <row r="57" spans="1:13" ht="15" customHeight="1">
      <c r="H57" s="106"/>
      <c r="I57" s="4"/>
      <c r="J57" s="4"/>
      <c r="K57" s="4"/>
      <c r="L57" s="4"/>
      <c r="M57" s="4"/>
    </row>
    <row r="58" spans="1:13" ht="15" customHeight="1">
      <c r="H58" s="106"/>
      <c r="I58" s="3"/>
      <c r="J58" s="3"/>
      <c r="K58" s="3"/>
      <c r="L58" s="3"/>
      <c r="M58" s="3"/>
    </row>
    <row r="59" spans="1:13" ht="15" customHeight="1">
      <c r="H59" s="106"/>
      <c r="I59" s="4"/>
      <c r="J59" s="4"/>
      <c r="K59" s="4"/>
      <c r="L59" s="4"/>
      <c r="M59" s="4"/>
    </row>
    <row r="60" spans="1:13" ht="15" customHeight="1">
      <c r="H60" s="106"/>
      <c r="I60" s="3"/>
      <c r="J60" s="3"/>
      <c r="K60" s="3"/>
      <c r="L60" s="3"/>
      <c r="M60" s="3"/>
    </row>
    <row r="61" spans="1:13" ht="15" customHeight="1">
      <c r="H61" s="106"/>
      <c r="I61" s="4"/>
      <c r="J61" s="4"/>
      <c r="K61" s="4"/>
      <c r="L61" s="4"/>
      <c r="M61" s="4"/>
    </row>
    <row r="62" spans="1:13" ht="15" customHeight="1">
      <c r="H62" s="106"/>
      <c r="I62" s="3"/>
      <c r="J62" s="3"/>
      <c r="K62" s="3"/>
      <c r="L62" s="3"/>
      <c r="M62" s="3"/>
    </row>
    <row r="63" spans="1:13" ht="15" customHeight="1">
      <c r="H63" s="106"/>
      <c r="I63" s="4"/>
      <c r="J63" s="4"/>
      <c r="K63" s="4"/>
      <c r="L63" s="4"/>
      <c r="M63" s="4"/>
    </row>
    <row r="64" spans="1:13" ht="15" customHeight="1">
      <c r="H64" s="106"/>
      <c r="I64" s="3"/>
      <c r="J64" s="3"/>
      <c r="K64" s="3"/>
      <c r="L64" s="3"/>
      <c r="M64" s="3"/>
    </row>
    <row r="65" spans="8:13" ht="15" customHeight="1">
      <c r="H65" s="106"/>
      <c r="I65" s="4"/>
      <c r="J65" s="4"/>
      <c r="K65" s="4"/>
      <c r="L65" s="4"/>
      <c r="M65" s="4"/>
    </row>
    <row r="66" spans="8:13" ht="15" customHeight="1">
      <c r="H66" s="106"/>
      <c r="I66" s="3"/>
      <c r="J66" s="3"/>
      <c r="K66" s="3"/>
      <c r="L66" s="3"/>
      <c r="M66" s="3"/>
    </row>
    <row r="67" spans="8:13" ht="15" customHeight="1">
      <c r="H67" s="106"/>
      <c r="I67" s="4"/>
      <c r="J67" s="4"/>
      <c r="K67" s="4"/>
      <c r="L67" s="4"/>
      <c r="M67" s="4"/>
    </row>
    <row r="68" spans="8:13" ht="15" customHeight="1">
      <c r="H68" s="106"/>
      <c r="I68" s="3"/>
      <c r="J68" s="3"/>
      <c r="K68" s="3"/>
      <c r="L68" s="3"/>
      <c r="M68" s="3"/>
    </row>
    <row r="69" spans="8:13" ht="15" customHeight="1">
      <c r="H69" s="106"/>
      <c r="I69" s="4"/>
      <c r="J69" s="4"/>
      <c r="K69" s="4"/>
      <c r="L69" s="4"/>
      <c r="M69" s="4"/>
    </row>
    <row r="70" spans="8:13" ht="15" customHeight="1">
      <c r="H70" s="106"/>
      <c r="I70" s="3"/>
      <c r="J70" s="3"/>
      <c r="K70" s="3"/>
      <c r="L70" s="3"/>
      <c r="M70" s="3"/>
    </row>
    <row r="71" spans="8:13" ht="15" customHeight="1">
      <c r="H71" s="106"/>
      <c r="I71" s="4"/>
      <c r="J71" s="4"/>
      <c r="K71" s="4"/>
      <c r="L71" s="4"/>
      <c r="M71" s="4"/>
    </row>
    <row r="72" spans="8:13" ht="15" customHeight="1">
      <c r="H72" s="106"/>
      <c r="I72" s="3"/>
      <c r="J72" s="3"/>
      <c r="K72" s="3"/>
      <c r="L72" s="3"/>
      <c r="M72" s="3"/>
    </row>
    <row r="73" spans="8:13" ht="15" customHeight="1">
      <c r="H73" s="106"/>
      <c r="I73" s="4"/>
      <c r="J73" s="4"/>
      <c r="K73" s="4"/>
      <c r="L73" s="4"/>
      <c r="M73" s="4"/>
    </row>
    <row r="74" spans="8:13" ht="15" customHeight="1">
      <c r="H74" s="106"/>
      <c r="I74" s="3"/>
      <c r="J74" s="3"/>
      <c r="K74" s="3"/>
      <c r="L74" s="3"/>
      <c r="M74" s="3"/>
    </row>
    <row r="75" spans="8:13" ht="15" customHeight="1">
      <c r="H75" s="10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31" activePane="bottomLeft" state="frozen"/>
      <selection pane="bottomLeft" activeCell="J758" sqref="J758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179</v>
      </c>
      <c r="C1" s="8" t="s">
        <v>12</v>
      </c>
      <c r="D1" s="8" t="s">
        <v>13</v>
      </c>
      <c r="E1" s="8" t="s">
        <v>180</v>
      </c>
      <c r="F1" s="8" t="s">
        <v>181</v>
      </c>
      <c r="G1" s="8" t="s">
        <v>14</v>
      </c>
      <c r="H1" s="8" t="s">
        <v>15</v>
      </c>
      <c r="I1" s="8" t="s">
        <v>182</v>
      </c>
      <c r="J1" s="8" t="s">
        <v>183</v>
      </c>
      <c r="K1" s="8" t="s">
        <v>184</v>
      </c>
      <c r="L1" s="69" t="s">
        <v>185</v>
      </c>
      <c r="M1" s="8" t="s">
        <v>186</v>
      </c>
      <c r="N1" s="8" t="s">
        <v>187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188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8" t="s">
        <v>189</v>
      </c>
      <c r="B14" s="108"/>
      <c r="C14" s="108"/>
      <c r="D14" s="10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190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8" t="s">
        <v>191</v>
      </c>
      <c r="B27" s="108"/>
      <c r="C27" s="108"/>
      <c r="D27" s="10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190</v>
      </c>
      <c r="N27" s="20">
        <v>0</v>
      </c>
    </row>
    <row r="28" spans="1:14" ht="18" customHeight="1">
      <c r="A28" s="98" t="s">
        <v>192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193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194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8" t="s">
        <v>189</v>
      </c>
      <c r="B41" s="108"/>
      <c r="C41" s="108"/>
      <c r="D41" s="10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190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8" t="s">
        <v>191</v>
      </c>
      <c r="B54" s="108"/>
      <c r="C54" s="108"/>
      <c r="D54" s="10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190</v>
      </c>
      <c r="N54" s="20">
        <v>125660</v>
      </c>
    </row>
    <row r="55" spans="1:14" ht="18" customHeight="1">
      <c r="A55" s="98" t="s">
        <v>192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193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8" t="s">
        <v>189</v>
      </c>
      <c r="B68" s="108"/>
      <c r="C68" s="108"/>
      <c r="D68" s="10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190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8" t="s">
        <v>191</v>
      </c>
      <c r="B81" s="108"/>
      <c r="C81" s="108"/>
      <c r="D81" s="10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190</v>
      </c>
      <c r="N81" s="20">
        <v>580300</v>
      </c>
    </row>
    <row r="82" spans="1:14" ht="18" customHeight="1">
      <c r="A82" s="98" t="s">
        <v>192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193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188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8" t="s">
        <v>189</v>
      </c>
      <c r="B95" s="108"/>
      <c r="C95" s="108"/>
      <c r="D95" s="10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190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195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194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8" t="s">
        <v>191</v>
      </c>
      <c r="B108" s="108"/>
      <c r="C108" s="108"/>
      <c r="D108" s="10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190</v>
      </c>
      <c r="N108" s="20">
        <v>652520</v>
      </c>
    </row>
    <row r="109" spans="1:14" ht="18" customHeight="1">
      <c r="A109" s="98" t="s">
        <v>192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193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196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8" t="s">
        <v>189</v>
      </c>
      <c r="B122" s="108"/>
      <c r="C122" s="108"/>
      <c r="D122" s="10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190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8" t="s">
        <v>191</v>
      </c>
      <c r="B135" s="108"/>
      <c r="C135" s="108"/>
      <c r="D135" s="10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190</v>
      </c>
      <c r="N135" s="20">
        <v>909050</v>
      </c>
    </row>
    <row r="136" spans="1:14" ht="18" customHeight="1">
      <c r="A136" s="98" t="s">
        <v>192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193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188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8" t="s">
        <v>189</v>
      </c>
      <c r="B149" s="108"/>
      <c r="C149" s="108"/>
      <c r="D149" s="10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190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8" t="s">
        <v>191</v>
      </c>
      <c r="B162" s="108"/>
      <c r="C162" s="108"/>
      <c r="D162" s="10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190</v>
      </c>
      <c r="N162" s="27">
        <v>1048880</v>
      </c>
    </row>
    <row r="163" spans="1:14" ht="18" customHeight="1">
      <c r="A163" s="98" t="s">
        <v>192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193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196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197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8" t="s">
        <v>189</v>
      </c>
      <c r="B176" s="108"/>
      <c r="C176" s="108"/>
      <c r="D176" s="10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190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8" t="s">
        <v>191</v>
      </c>
      <c r="B189" s="108"/>
      <c r="C189" s="108"/>
      <c r="D189" s="10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190</v>
      </c>
      <c r="N189" s="20">
        <v>797540</v>
      </c>
    </row>
    <row r="190" spans="1:14" ht="18" customHeight="1">
      <c r="A190" s="98" t="s">
        <v>192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193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196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198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8" t="s">
        <v>189</v>
      </c>
      <c r="B203" s="108"/>
      <c r="C203" s="108"/>
      <c r="D203" s="10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190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8" t="s">
        <v>191</v>
      </c>
      <c r="B216" s="108"/>
      <c r="C216" s="108"/>
      <c r="D216" s="10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190</v>
      </c>
      <c r="N216" s="28">
        <v>203080</v>
      </c>
    </row>
    <row r="217" spans="1:14" ht="18" customHeight="1">
      <c r="A217" s="98" t="s">
        <v>192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193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8" t="s">
        <v>189</v>
      </c>
      <c r="B230" s="108"/>
      <c r="C230" s="108"/>
      <c r="D230" s="10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190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8" t="s">
        <v>191</v>
      </c>
      <c r="B243" s="108"/>
      <c r="C243" s="108"/>
      <c r="D243" s="10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190</v>
      </c>
      <c r="N243" s="20">
        <v>0</v>
      </c>
    </row>
    <row r="244" spans="1:14" ht="18" customHeight="1">
      <c r="A244" s="98" t="s">
        <v>192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193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8" t="s">
        <v>189</v>
      </c>
      <c r="B257" s="108"/>
      <c r="C257" s="108"/>
      <c r="D257" s="10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190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8" t="s">
        <v>191</v>
      </c>
      <c r="B270" s="108"/>
      <c r="C270" s="108"/>
      <c r="D270" s="10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190</v>
      </c>
      <c r="N270" s="20">
        <f>346400+269080</f>
        <v>615480</v>
      </c>
    </row>
    <row r="271" spans="1:14" ht="18" customHeight="1">
      <c r="A271" s="98" t="s">
        <v>192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193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199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8" t="s">
        <v>189</v>
      </c>
      <c r="B284" s="108"/>
      <c r="C284" s="108"/>
      <c r="D284" s="10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190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8" t="s">
        <v>191</v>
      </c>
      <c r="B297" s="108"/>
      <c r="C297" s="108"/>
      <c r="D297" s="10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190</v>
      </c>
      <c r="N297" s="20">
        <f>35160+383610</f>
        <v>418770</v>
      </c>
    </row>
    <row r="298" spans="1:14" ht="18" customHeight="1">
      <c r="A298" s="98" t="s">
        <v>192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193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200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8" t="s">
        <v>189</v>
      </c>
      <c r="B311" s="108"/>
      <c r="C311" s="108"/>
      <c r="D311" s="10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190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201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8" t="s">
        <v>191</v>
      </c>
      <c r="B324" s="108"/>
      <c r="C324" s="108"/>
      <c r="D324" s="10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190</v>
      </c>
      <c r="N324" s="20">
        <f>411220+466620</f>
        <v>877840</v>
      </c>
    </row>
    <row r="325" spans="1:14" ht="18" customHeight="1">
      <c r="A325" s="98" t="s">
        <v>192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193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202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8" t="s">
        <v>189</v>
      </c>
      <c r="B338" s="108"/>
      <c r="C338" s="108"/>
      <c r="D338" s="10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190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8" t="s">
        <v>191</v>
      </c>
      <c r="B351" s="108"/>
      <c r="C351" s="108"/>
      <c r="D351" s="10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190</v>
      </c>
      <c r="N351" s="20"/>
    </row>
    <row r="352" spans="1:14" ht="18" customHeight="1">
      <c r="A352" s="98" t="s">
        <v>192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193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203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8" t="s">
        <v>189</v>
      </c>
      <c r="B365" s="108"/>
      <c r="C365" s="108"/>
      <c r="D365" s="10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190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204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205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8" t="s">
        <v>191</v>
      </c>
      <c r="B378" s="108"/>
      <c r="C378" s="108"/>
      <c r="D378" s="10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190</v>
      </c>
      <c r="N378" s="20">
        <v>1299920</v>
      </c>
    </row>
    <row r="379" spans="1:14" ht="18" customHeight="1">
      <c r="A379" s="98" t="s">
        <v>192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193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8" t="s">
        <v>189</v>
      </c>
      <c r="B392" s="108"/>
      <c r="C392" s="108"/>
      <c r="D392" s="10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190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8" t="s">
        <v>191</v>
      </c>
      <c r="B405" s="108"/>
      <c r="C405" s="108"/>
      <c r="D405" s="10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190</v>
      </c>
      <c r="N405" s="20">
        <v>1342790</v>
      </c>
    </row>
    <row r="406" spans="1:14" ht="18" customHeight="1">
      <c r="A406" s="98" t="s">
        <v>192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193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206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8" t="s">
        <v>189</v>
      </c>
      <c r="B419" s="108"/>
      <c r="C419" s="108"/>
      <c r="D419" s="10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190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207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8" t="s">
        <v>191</v>
      </c>
      <c r="B432" s="108"/>
      <c r="C432" s="108"/>
      <c r="D432" s="10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190</v>
      </c>
      <c r="N432" s="20">
        <v>963120</v>
      </c>
    </row>
    <row r="433" spans="1:14" ht="18" customHeight="1">
      <c r="A433" s="98" t="s">
        <v>192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193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189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190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8" t="s">
        <v>191</v>
      </c>
      <c r="B459" s="108"/>
      <c r="C459" s="108"/>
      <c r="D459" s="10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190</v>
      </c>
      <c r="N459" s="20">
        <v>534910</v>
      </c>
    </row>
    <row r="460" spans="1:14" ht="18" customHeight="1">
      <c r="A460" s="98" t="s">
        <v>192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193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208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209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8" t="s">
        <v>189</v>
      </c>
      <c r="B473" s="108"/>
      <c r="C473" s="108"/>
      <c r="D473" s="10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190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8" t="s">
        <v>191</v>
      </c>
      <c r="B486" s="108"/>
      <c r="C486" s="108"/>
      <c r="D486" s="10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190</v>
      </c>
      <c r="N486" s="20">
        <v>557170</v>
      </c>
    </row>
    <row r="487" spans="1:14" ht="18" customHeight="1">
      <c r="A487" s="98" t="s">
        <v>192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193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8" t="s">
        <v>189</v>
      </c>
      <c r="B500" s="108"/>
      <c r="C500" s="108"/>
      <c r="D500" s="10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190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210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8" t="s">
        <v>191</v>
      </c>
      <c r="B513" s="108"/>
      <c r="C513" s="108"/>
      <c r="D513" s="10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190</v>
      </c>
      <c r="N513" s="20">
        <v>701090</v>
      </c>
    </row>
    <row r="514" spans="1:14" ht="18" customHeight="1">
      <c r="A514" s="98" t="s">
        <v>192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193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211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211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212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8" t="s">
        <v>189</v>
      </c>
      <c r="B527" s="108"/>
      <c r="C527" s="108"/>
      <c r="D527" s="10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190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8" t="s">
        <v>191</v>
      </c>
      <c r="B540" s="108"/>
      <c r="C540" s="108"/>
      <c r="D540" s="10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190</v>
      </c>
      <c r="N540" s="20">
        <v>915770</v>
      </c>
    </row>
    <row r="541" spans="1:14" ht="18" customHeight="1">
      <c r="A541" s="98" t="s">
        <v>192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193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213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214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215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8" t="s">
        <v>189</v>
      </c>
      <c r="B554" s="108"/>
      <c r="C554" s="108"/>
      <c r="D554" s="10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190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8" t="s">
        <v>191</v>
      </c>
      <c r="B567" s="108"/>
      <c r="C567" s="108"/>
      <c r="D567" s="10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190</v>
      </c>
      <c r="N567" s="20">
        <v>636740</v>
      </c>
    </row>
    <row r="568" spans="1:14" ht="18" customHeight="1">
      <c r="A568" s="98" t="s">
        <v>192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193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216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217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8" t="s">
        <v>189</v>
      </c>
      <c r="B581" s="108"/>
      <c r="C581" s="108"/>
      <c r="D581" s="10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190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218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8" t="s">
        <v>191</v>
      </c>
      <c r="B594" s="108"/>
      <c r="C594" s="108"/>
      <c r="D594" s="10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190</v>
      </c>
      <c r="N594" s="20">
        <v>394820</v>
      </c>
    </row>
    <row r="595" spans="1:14" ht="18" customHeight="1">
      <c r="A595" s="98" t="s">
        <v>192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193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219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220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220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221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8" t="s">
        <v>189</v>
      </c>
      <c r="B608" s="108"/>
      <c r="C608" s="108"/>
      <c r="D608" s="10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190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222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174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8" t="s">
        <v>191</v>
      </c>
      <c r="B621" s="108"/>
      <c r="C621" s="108"/>
      <c r="D621" s="10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190</v>
      </c>
      <c r="N621" s="20">
        <v>587370</v>
      </c>
    </row>
    <row r="622" spans="1:14" ht="18" customHeight="1">
      <c r="A622" s="98" t="s">
        <v>192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193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175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8" t="s">
        <v>189</v>
      </c>
      <c r="B635" s="108"/>
      <c r="C635" s="108"/>
      <c r="D635" s="10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190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223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8" t="s">
        <v>191</v>
      </c>
      <c r="B648" s="108"/>
      <c r="C648" s="108"/>
      <c r="D648" s="10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190</v>
      </c>
      <c r="N648" s="20">
        <v>635110</v>
      </c>
    </row>
    <row r="649" spans="1:14" ht="18" customHeight="1">
      <c r="A649" s="98" t="s">
        <v>192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193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8" t="s">
        <v>189</v>
      </c>
      <c r="B662" s="108"/>
      <c r="C662" s="108"/>
      <c r="D662" s="10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190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8" t="s">
        <v>191</v>
      </c>
      <c r="B675" s="108"/>
      <c r="C675" s="108"/>
      <c r="D675" s="10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190</v>
      </c>
      <c r="N675" s="20">
        <v>1608610</v>
      </c>
    </row>
    <row r="676" spans="1:14" ht="18" customHeight="1">
      <c r="A676" s="98" t="s">
        <v>192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193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175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177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224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225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8" t="s">
        <v>189</v>
      </c>
      <c r="B689" s="108"/>
      <c r="C689" s="108"/>
      <c r="D689" s="10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190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8" t="s">
        <v>191</v>
      </c>
      <c r="B702" s="108"/>
      <c r="C702" s="108"/>
      <c r="D702" s="10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190</v>
      </c>
      <c r="N702" s="20">
        <f>316300+609860</f>
        <v>926160</v>
      </c>
    </row>
    <row r="703" spans="1:14" ht="18" customHeight="1">
      <c r="A703" s="98" t="s">
        <v>192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193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226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227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8" t="s">
        <v>189</v>
      </c>
      <c r="B716" s="108"/>
      <c r="C716" s="108"/>
      <c r="D716" s="10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190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8" t="s">
        <v>191</v>
      </c>
      <c r="B729" s="108"/>
      <c r="C729" s="108"/>
      <c r="D729" s="108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190</v>
      </c>
      <c r="N729" s="20">
        <v>706600</v>
      </c>
    </row>
    <row r="730" spans="1:14" ht="18" customHeight="1">
      <c r="A730" s="98" t="s">
        <v>192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193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8" t="s">
        <v>189</v>
      </c>
      <c r="B743" s="108"/>
      <c r="C743" s="108"/>
      <c r="D743" s="108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190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191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190</v>
      </c>
      <c r="N756" s="20">
        <v>1646670</v>
      </c>
    </row>
    <row r="757" spans="1:14" ht="18" customHeight="1">
      <c r="A757" s="22" t="s">
        <v>192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193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7" t="s">
        <v>228</v>
      </c>
      <c r="D758" s="10" t="s">
        <v>30</v>
      </c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29</v>
      </c>
      <c r="D759" s="10" t="s">
        <v>30</v>
      </c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29</v>
      </c>
      <c r="D760" s="10" t="s">
        <v>30</v>
      </c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29</v>
      </c>
      <c r="D761" s="10" t="s">
        <v>30</v>
      </c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29</v>
      </c>
      <c r="D762" s="10" t="s">
        <v>30</v>
      </c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29</v>
      </c>
      <c r="D763" s="10" t="s">
        <v>30</v>
      </c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29</v>
      </c>
      <c r="D764" s="10" t="s">
        <v>30</v>
      </c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29</v>
      </c>
      <c r="D765" s="10" t="s">
        <v>30</v>
      </c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29</v>
      </c>
      <c r="D766" s="10" t="s">
        <v>30</v>
      </c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29</v>
      </c>
      <c r="D767" s="10" t="s">
        <v>30</v>
      </c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29</v>
      </c>
      <c r="D768" s="10" t="s">
        <v>30</v>
      </c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29</v>
      </c>
      <c r="D769" s="10" t="s">
        <v>30</v>
      </c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189</v>
      </c>
      <c r="B770" s="82"/>
      <c r="C770" s="82"/>
      <c r="D770" s="82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190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8" t="s">
        <v>191</v>
      </c>
      <c r="B783" s="108"/>
      <c r="C783" s="108"/>
      <c r="D783" s="10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190</v>
      </c>
      <c r="N783" s="20"/>
    </row>
    <row r="784" spans="1:14" ht="18" customHeight="1">
      <c r="A784" s="98" t="s">
        <v>192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193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8" t="s">
        <v>189</v>
      </c>
      <c r="B797" s="108"/>
      <c r="C797" s="108"/>
      <c r="D797" s="10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190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8" t="s">
        <v>191</v>
      </c>
      <c r="B810" s="108"/>
      <c r="C810" s="108"/>
      <c r="D810" s="10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190</v>
      </c>
      <c r="N810" s="20"/>
    </row>
    <row r="811" spans="1:14" ht="18" customHeight="1">
      <c r="A811" s="98" t="s">
        <v>192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193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C771:C900 C759:C769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24" zoomScale="85" zoomScaleNormal="85" workbookViewId="0">
      <selection activeCell="E758" sqref="E758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179</v>
      </c>
      <c r="C1" s="8" t="s">
        <v>12</v>
      </c>
      <c r="D1" s="8" t="s">
        <v>13</v>
      </c>
      <c r="E1" s="8" t="s">
        <v>180</v>
      </c>
      <c r="F1" s="8" t="s">
        <v>229</v>
      </c>
      <c r="G1" s="8" t="s">
        <v>14</v>
      </c>
      <c r="H1" s="8" t="s">
        <v>15</v>
      </c>
      <c r="I1" s="8" t="s">
        <v>182</v>
      </c>
      <c r="J1" s="8" t="s">
        <v>183</v>
      </c>
      <c r="K1" s="8" t="s">
        <v>184</v>
      </c>
      <c r="L1" s="69" t="s">
        <v>185</v>
      </c>
      <c r="M1" s="8" t="s">
        <v>186</v>
      </c>
      <c r="N1" s="8" t="s">
        <v>187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189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190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191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190</v>
      </c>
      <c r="N27" s="20">
        <v>1035240</v>
      </c>
    </row>
    <row r="28" spans="1:14" ht="18" customHeight="1">
      <c r="A28" s="98" t="s">
        <v>192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193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230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189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190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191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190</v>
      </c>
      <c r="N54" s="20">
        <v>871960</v>
      </c>
    </row>
    <row r="55" spans="1:14" ht="18" customHeight="1">
      <c r="A55" s="98" t="s">
        <v>192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193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231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189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190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232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191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190</v>
      </c>
      <c r="N81" s="20">
        <v>482250</v>
      </c>
    </row>
    <row r="82" spans="1:14" ht="18" customHeight="1">
      <c r="A82" s="98" t="s">
        <v>192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193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233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189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190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234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191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190</v>
      </c>
      <c r="N108" s="20">
        <v>529500</v>
      </c>
    </row>
    <row r="109" spans="1:14" ht="18" customHeight="1">
      <c r="A109" s="98" t="s">
        <v>192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193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234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234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189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190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234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235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191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190</v>
      </c>
      <c r="N135" s="20">
        <v>666150</v>
      </c>
    </row>
    <row r="136" spans="1:14" ht="18" customHeight="1">
      <c r="A136" s="98" t="s">
        <v>192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193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233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236</v>
      </c>
      <c r="I139" s="16" t="s">
        <v>237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234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189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190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191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190</v>
      </c>
      <c r="N162" s="35">
        <v>183240</v>
      </c>
    </row>
    <row r="163" spans="1:14" ht="18" customHeight="1">
      <c r="A163" s="98" t="s">
        <v>192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193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189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190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238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238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238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238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238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238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238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238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191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190</v>
      </c>
      <c r="N189" s="20">
        <v>0</v>
      </c>
    </row>
    <row r="190" spans="1:14" ht="18" customHeight="1">
      <c r="A190" s="98" t="s">
        <v>192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193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238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239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189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190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191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190</v>
      </c>
      <c r="N216" s="28">
        <v>525070</v>
      </c>
    </row>
    <row r="217" spans="1:14" ht="18" customHeight="1">
      <c r="A217" s="98" t="s">
        <v>192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193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240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189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190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191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190</v>
      </c>
      <c r="N243" s="20">
        <v>244000</v>
      </c>
    </row>
    <row r="244" spans="1:14" ht="18" customHeight="1">
      <c r="A244" s="98" t="s">
        <v>192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193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241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242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189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190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243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191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190</v>
      </c>
      <c r="N270" s="20">
        <v>8130</v>
      </c>
    </row>
    <row r="271" spans="1:14" ht="18" customHeight="1">
      <c r="A271" s="98" t="s">
        <v>192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193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244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189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190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191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190</v>
      </c>
      <c r="N297" s="20">
        <f>229280+228660</f>
        <v>457940</v>
      </c>
    </row>
    <row r="298" spans="1:14" ht="18" customHeight="1">
      <c r="A298" s="98" t="s">
        <v>192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193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245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246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246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247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189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190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248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249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250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251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191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190</v>
      </c>
      <c r="N324" s="20">
        <f>217310+197670</f>
        <v>414980</v>
      </c>
    </row>
    <row r="325" spans="1:14" ht="18" customHeight="1">
      <c r="A325" s="98" t="s">
        <v>192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193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252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253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189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190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254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255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191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190</v>
      </c>
      <c r="N351" s="20">
        <f>135270+304860</f>
        <v>440130</v>
      </c>
    </row>
    <row r="352" spans="1:14" ht="18" customHeight="1">
      <c r="A352" s="98" t="s">
        <v>192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193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256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257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258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189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190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191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190</v>
      </c>
      <c r="N378" s="20">
        <f>291750+291000</f>
        <v>582750</v>
      </c>
    </row>
    <row r="379" spans="1:14" ht="18" customHeight="1">
      <c r="A379" s="98" t="s">
        <v>192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193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189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190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259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260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191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190</v>
      </c>
      <c r="N405" s="20">
        <v>305810</v>
      </c>
    </row>
    <row r="406" spans="1:14" ht="18" customHeight="1">
      <c r="A406" s="98" t="s">
        <v>192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193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261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262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263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189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190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264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265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191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190</v>
      </c>
      <c r="N432" s="20">
        <v>522180</v>
      </c>
    </row>
    <row r="433" spans="1:14" ht="18" customHeight="1">
      <c r="A433" s="98" t="s">
        <v>192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193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266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267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268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189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190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269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191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190</v>
      </c>
      <c r="N459" s="20">
        <v>560220</v>
      </c>
    </row>
    <row r="460" spans="1:14" ht="18" customHeight="1">
      <c r="A460" s="98" t="s">
        <v>192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193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270</v>
      </c>
      <c r="J465" s="13">
        <v>0.70833333333333337</v>
      </c>
      <c r="K465" s="13" t="s">
        <v>271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272</v>
      </c>
      <c r="N472" s="30"/>
    </row>
    <row r="473" spans="1:14" ht="15.75" customHeight="1">
      <c r="A473" s="97" t="s">
        <v>189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190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273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274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191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190</v>
      </c>
      <c r="N486" s="20">
        <v>400000</v>
      </c>
    </row>
    <row r="487" spans="1:14" ht="18" customHeight="1">
      <c r="A487" s="98" t="s">
        <v>192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193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189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190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275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191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190</v>
      </c>
      <c r="N513" s="20">
        <f>1031250+71560</f>
        <v>1102810</v>
      </c>
    </row>
    <row r="514" spans="1:14" ht="18" customHeight="1">
      <c r="A514" s="98" t="s">
        <v>192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193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211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211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211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189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190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276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277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278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279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280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280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191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190</v>
      </c>
      <c r="N540" s="20">
        <v>504470</v>
      </c>
    </row>
    <row r="541" spans="1:14" ht="18" customHeight="1">
      <c r="A541" s="98" t="s">
        <v>192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193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281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189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190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191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190</v>
      </c>
      <c r="N567" s="20">
        <v>0</v>
      </c>
    </row>
    <row r="568" spans="1:14" ht="18" customHeight="1">
      <c r="A568" s="98" t="s">
        <v>192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193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189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190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282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191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190</v>
      </c>
      <c r="N594" s="20">
        <v>258960</v>
      </c>
    </row>
    <row r="595" spans="1:14" ht="18" customHeight="1">
      <c r="A595" s="98" t="s">
        <v>192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193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283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284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285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189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190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286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287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191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190</v>
      </c>
      <c r="N621" s="20">
        <v>687740</v>
      </c>
    </row>
    <row r="622" spans="1:14" ht="18" customHeight="1">
      <c r="A622" s="98" t="s">
        <v>192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193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288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189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190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289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290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291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191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190</v>
      </c>
      <c r="N648" s="20">
        <f>47050+58630</f>
        <v>105680</v>
      </c>
    </row>
    <row r="649" spans="1:14" ht="18" customHeight="1">
      <c r="A649" s="98" t="s">
        <v>192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193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189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190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292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293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294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191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190</v>
      </c>
      <c r="N675" s="20">
        <v>546550</v>
      </c>
    </row>
    <row r="676" spans="1:14" ht="18" customHeight="1">
      <c r="A676" s="98" t="s">
        <v>192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193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295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189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190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296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297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191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190</v>
      </c>
      <c r="N702" s="20">
        <f>430070+116100</f>
        <v>546170</v>
      </c>
    </row>
    <row r="703" spans="1:14" ht="18" customHeight="1">
      <c r="A703" s="98" t="s">
        <v>192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193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298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9" t="s">
        <v>189</v>
      </c>
      <c r="B716" s="100"/>
      <c r="C716" s="100"/>
      <c r="D716" s="101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190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191</v>
      </c>
      <c r="B729" s="97"/>
      <c r="C729" s="97"/>
      <c r="D729" s="97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190</v>
      </c>
      <c r="N729" s="20">
        <v>477920</v>
      </c>
    </row>
    <row r="730" spans="1:14" ht="18" customHeight="1">
      <c r="A730" s="98" t="s">
        <v>192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193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299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189</v>
      </c>
      <c r="B743" s="97"/>
      <c r="C743" s="97"/>
      <c r="D743" s="97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190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300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7" t="s">
        <v>191</v>
      </c>
      <c r="B756" s="97"/>
      <c r="C756" s="97"/>
      <c r="D756" s="97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190</v>
      </c>
      <c r="N756" s="20">
        <v>379890</v>
      </c>
    </row>
    <row r="757" spans="1:14" ht="18" customHeight="1">
      <c r="A757" s="98" t="s">
        <v>192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193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29</v>
      </c>
      <c r="D758" s="10" t="s">
        <v>30</v>
      </c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29</v>
      </c>
      <c r="D759" s="10" t="s">
        <v>30</v>
      </c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29</v>
      </c>
      <c r="D760" s="10" t="s">
        <v>30</v>
      </c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29</v>
      </c>
      <c r="D761" s="10" t="s">
        <v>30</v>
      </c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29</v>
      </c>
      <c r="D762" s="10" t="s">
        <v>30</v>
      </c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29</v>
      </c>
      <c r="D763" s="10" t="s">
        <v>30</v>
      </c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29</v>
      </c>
      <c r="D764" s="10" t="s">
        <v>30</v>
      </c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29</v>
      </c>
      <c r="D765" s="10" t="s">
        <v>30</v>
      </c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29</v>
      </c>
      <c r="D766" s="10" t="s">
        <v>30</v>
      </c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29</v>
      </c>
      <c r="D767" s="10" t="s">
        <v>30</v>
      </c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29</v>
      </c>
      <c r="D768" s="10" t="s">
        <v>30</v>
      </c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29</v>
      </c>
      <c r="D769" s="10" t="s">
        <v>30</v>
      </c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189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190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191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190</v>
      </c>
      <c r="N783" s="20"/>
    </row>
    <row r="784" spans="1:14" ht="18" customHeight="1">
      <c r="A784" s="98" t="s">
        <v>192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193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189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190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191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190</v>
      </c>
      <c r="N810" s="20"/>
    </row>
    <row r="811" spans="1:14" ht="18" customHeight="1">
      <c r="A811" s="98" t="s">
        <v>192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193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36" activePane="bottomLeft" state="frozen"/>
      <selection pane="bottomLeft" activeCell="E758" sqref="E758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179</v>
      </c>
      <c r="C1" s="8" t="s">
        <v>12</v>
      </c>
      <c r="D1" s="8" t="s">
        <v>13</v>
      </c>
      <c r="E1" s="8" t="s">
        <v>180</v>
      </c>
      <c r="F1" s="8" t="s">
        <v>301</v>
      </c>
      <c r="G1" s="8" t="s">
        <v>14</v>
      </c>
      <c r="H1" s="8" t="s">
        <v>15</v>
      </c>
      <c r="I1" s="8" t="s">
        <v>182</v>
      </c>
      <c r="J1" s="8" t="s">
        <v>183</v>
      </c>
      <c r="K1" s="8" t="s">
        <v>184</v>
      </c>
      <c r="L1" s="69" t="s">
        <v>185</v>
      </c>
      <c r="M1" s="8" t="s">
        <v>186</v>
      </c>
      <c r="N1" s="8" t="s">
        <v>187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189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190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191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190</v>
      </c>
      <c r="N27" s="20"/>
    </row>
    <row r="28" spans="1:14" ht="18" customHeight="1">
      <c r="A28" s="98" t="s">
        <v>192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193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189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190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191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190</v>
      </c>
      <c r="N54" s="20"/>
    </row>
    <row r="55" spans="1:14" ht="18" customHeight="1">
      <c r="A55" s="98" t="s">
        <v>192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193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189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190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302</v>
      </c>
      <c r="I80" s="10" t="s">
        <v>232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191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190</v>
      </c>
      <c r="N81" s="20">
        <v>206440</v>
      </c>
    </row>
    <row r="82" spans="1:14" ht="18" customHeight="1">
      <c r="A82" s="98" t="s">
        <v>192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193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189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190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191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190</v>
      </c>
      <c r="N108" s="20"/>
    </row>
    <row r="109" spans="1:14" ht="18" customHeight="1">
      <c r="A109" s="98" t="s">
        <v>192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193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189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190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191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190</v>
      </c>
      <c r="N135" s="20"/>
    </row>
    <row r="136" spans="1:14" ht="18" customHeight="1">
      <c r="A136" s="98" t="s">
        <v>192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193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189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190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191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190</v>
      </c>
      <c r="N162" s="20">
        <v>0</v>
      </c>
    </row>
    <row r="163" spans="1:14" ht="18" customHeight="1">
      <c r="A163" s="98" t="s">
        <v>192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193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189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190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191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190</v>
      </c>
      <c r="N189" s="20">
        <v>0</v>
      </c>
    </row>
    <row r="190" spans="1:14" ht="18" customHeight="1">
      <c r="A190" s="98" t="s">
        <v>192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193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189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190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191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190</v>
      </c>
      <c r="N216" s="20"/>
    </row>
    <row r="217" spans="1:14" ht="18" customHeight="1">
      <c r="A217" s="98" t="s">
        <v>192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193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189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190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191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190</v>
      </c>
      <c r="N243" s="20">
        <v>180000</v>
      </c>
    </row>
    <row r="244" spans="1:14" ht="18" customHeight="1">
      <c r="A244" s="98" t="s">
        <v>192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193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303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303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189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190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243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191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190</v>
      </c>
      <c r="N270" s="20">
        <f>103170+137770</f>
        <v>240940</v>
      </c>
    </row>
    <row r="271" spans="1:14" ht="18" customHeight="1">
      <c r="A271" s="98" t="s">
        <v>192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193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189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190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304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191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190</v>
      </c>
      <c r="N297" s="20">
        <f>110740+118380</f>
        <v>229120</v>
      </c>
    </row>
    <row r="298" spans="1:14" ht="18" customHeight="1">
      <c r="A298" s="98" t="s">
        <v>192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193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305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189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190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306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250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191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190</v>
      </c>
      <c r="N324" s="20">
        <f>119730+227060</f>
        <v>346790</v>
      </c>
    </row>
    <row r="325" spans="1:14" ht="18" customHeight="1">
      <c r="A325" s="98" t="s">
        <v>192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193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189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190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255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191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190</v>
      </c>
      <c r="N351" s="20">
        <f>50730+24450</f>
        <v>75180</v>
      </c>
    </row>
    <row r="352" spans="1:14" ht="18" customHeight="1">
      <c r="A352" s="98" t="s">
        <v>192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193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258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307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189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190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191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190</v>
      </c>
      <c r="N378" s="20">
        <f>151130+160740</f>
        <v>311870</v>
      </c>
    </row>
    <row r="379" spans="1:14" ht="18" customHeight="1">
      <c r="A379" s="98" t="s">
        <v>192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193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189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190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191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190</v>
      </c>
      <c r="N405" s="20">
        <v>340530</v>
      </c>
    </row>
    <row r="406" spans="1:14" ht="18" customHeight="1">
      <c r="A406" s="98" t="s">
        <v>192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193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189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190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191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190</v>
      </c>
      <c r="N432" s="20">
        <v>169230</v>
      </c>
    </row>
    <row r="433" spans="1:14" ht="18" customHeight="1">
      <c r="A433" s="98" t="s">
        <v>192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193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308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268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189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190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309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191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190</v>
      </c>
      <c r="N459" s="20">
        <v>221750</v>
      </c>
    </row>
    <row r="460" spans="1:14" ht="18" customHeight="1">
      <c r="A460" s="98" t="s">
        <v>192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193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270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272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272</v>
      </c>
      <c r="N472" s="30"/>
    </row>
    <row r="473" spans="1:14" ht="15.75" customHeight="1">
      <c r="A473" s="97" t="s">
        <v>189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190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191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190</v>
      </c>
      <c r="N486" s="20">
        <v>240000</v>
      </c>
    </row>
    <row r="487" spans="1:14" ht="18" customHeight="1">
      <c r="A487" s="98" t="s">
        <v>192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193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189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190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191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190</v>
      </c>
      <c r="N513" s="20">
        <v>3930</v>
      </c>
    </row>
    <row r="514" spans="1:14" ht="18" customHeight="1">
      <c r="A514" s="98" t="s">
        <v>192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193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189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190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310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278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191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190</v>
      </c>
      <c r="N540" s="20">
        <v>304230</v>
      </c>
    </row>
    <row r="541" spans="1:14" ht="18" customHeight="1">
      <c r="A541" s="98" t="s">
        <v>192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193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266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189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190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191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190</v>
      </c>
      <c r="N567" s="20">
        <v>437260</v>
      </c>
    </row>
    <row r="568" spans="1:14" ht="18" customHeight="1">
      <c r="A568" s="98" t="s">
        <v>192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193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311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189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190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312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250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191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190</v>
      </c>
      <c r="N594" s="20">
        <v>269570</v>
      </c>
    </row>
    <row r="595" spans="1:14" ht="18" customHeight="1">
      <c r="A595" s="98" t="s">
        <v>192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193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189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190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313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191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190</v>
      </c>
      <c r="N621" s="20">
        <v>176650</v>
      </c>
    </row>
    <row r="622" spans="1:14" ht="18" customHeight="1">
      <c r="A622" s="98" t="s">
        <v>192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193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314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189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190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315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191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190</v>
      </c>
      <c r="N648" s="20">
        <f>154590+56700</f>
        <v>211290</v>
      </c>
    </row>
    <row r="649" spans="1:14" ht="18" customHeight="1">
      <c r="A649" s="98" t="s">
        <v>192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193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189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190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191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190</v>
      </c>
      <c r="N675" s="20">
        <v>234010</v>
      </c>
    </row>
    <row r="676" spans="1:14" ht="18" customHeight="1">
      <c r="A676" s="98" t="s">
        <v>192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193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316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189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190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191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190</v>
      </c>
      <c r="N702" s="20">
        <f>151740+85690</f>
        <v>237430</v>
      </c>
    </row>
    <row r="703" spans="1:14" ht="18" customHeight="1">
      <c r="A703" s="98" t="s">
        <v>192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193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221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189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190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191</v>
      </c>
      <c r="B729" s="97"/>
      <c r="C729" s="97"/>
      <c r="D729" s="97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190</v>
      </c>
      <c r="N729" s="20">
        <v>377030</v>
      </c>
    </row>
    <row r="730" spans="1:14" ht="18" customHeight="1">
      <c r="A730" s="98" t="s">
        <v>192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193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299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317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189</v>
      </c>
      <c r="B743" s="97"/>
      <c r="C743" s="97"/>
      <c r="D743" s="97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190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300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191</v>
      </c>
      <c r="B756" s="97"/>
      <c r="C756" s="97"/>
      <c r="D756" s="97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190</v>
      </c>
      <c r="N756" s="20">
        <v>265090</v>
      </c>
    </row>
    <row r="757" spans="1:14" ht="18" customHeight="1">
      <c r="A757" s="98" t="s">
        <v>192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193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29</v>
      </c>
      <c r="D758" s="10" t="s">
        <v>38</v>
      </c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29</v>
      </c>
      <c r="D759" s="10" t="s">
        <v>38</v>
      </c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29</v>
      </c>
      <c r="D760" s="10" t="s">
        <v>38</v>
      </c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29</v>
      </c>
      <c r="D761" s="10" t="s">
        <v>38</v>
      </c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29</v>
      </c>
      <c r="D762" s="10" t="s">
        <v>38</v>
      </c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29</v>
      </c>
      <c r="D763" s="10" t="s">
        <v>38</v>
      </c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29</v>
      </c>
      <c r="D764" s="10" t="s">
        <v>38</v>
      </c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29</v>
      </c>
      <c r="D765" s="10" t="s">
        <v>38</v>
      </c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29</v>
      </c>
      <c r="D766" s="10" t="s">
        <v>38</v>
      </c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29</v>
      </c>
      <c r="D767" s="10" t="s">
        <v>38</v>
      </c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29</v>
      </c>
      <c r="D768" s="10" t="s">
        <v>38</v>
      </c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29</v>
      </c>
      <c r="D769" s="10" t="s">
        <v>38</v>
      </c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189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190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191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190</v>
      </c>
      <c r="N783" s="20"/>
    </row>
    <row r="784" spans="1:14" ht="18" customHeight="1">
      <c r="A784" s="98" t="s">
        <v>192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193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189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190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191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190</v>
      </c>
      <c r="N810" s="20"/>
    </row>
    <row r="811" spans="1:14" ht="18" customHeight="1">
      <c r="A811" s="98" t="s">
        <v>192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193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tabSelected="1" zoomScale="70" zoomScaleNormal="70" workbookViewId="0">
      <pane ySplit="1" topLeftCell="A734" activePane="bottomLeft" state="frozen"/>
      <selection pane="bottomLeft" activeCell="M760" sqref="M760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179</v>
      </c>
      <c r="C1" s="8" t="s">
        <v>12</v>
      </c>
      <c r="D1" s="57" t="s">
        <v>13</v>
      </c>
      <c r="E1" s="8" t="s">
        <v>180</v>
      </c>
      <c r="F1" s="8" t="s">
        <v>318</v>
      </c>
      <c r="G1" s="8" t="s">
        <v>14</v>
      </c>
      <c r="H1" s="8" t="s">
        <v>15</v>
      </c>
      <c r="I1" s="8" t="s">
        <v>182</v>
      </c>
      <c r="J1" s="8" t="s">
        <v>183</v>
      </c>
      <c r="K1" s="8" t="s">
        <v>184</v>
      </c>
      <c r="L1" s="69" t="s">
        <v>185</v>
      </c>
      <c r="M1" s="8" t="s">
        <v>186</v>
      </c>
      <c r="N1" s="8" t="s">
        <v>187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319</v>
      </c>
      <c r="I2" s="10" t="s">
        <v>320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319</v>
      </c>
      <c r="I3" s="16" t="s">
        <v>320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319</v>
      </c>
      <c r="I4" s="10" t="s">
        <v>320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319</v>
      </c>
      <c r="I5" s="16" t="s">
        <v>320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319</v>
      </c>
      <c r="I6" s="10" t="s">
        <v>320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319</v>
      </c>
      <c r="I7" s="16" t="s">
        <v>320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319</v>
      </c>
      <c r="I8" s="10" t="s">
        <v>320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319</v>
      </c>
      <c r="I9" s="16" t="s">
        <v>320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319</v>
      </c>
      <c r="I10" s="10" t="s">
        <v>320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319</v>
      </c>
      <c r="I11" s="16" t="s">
        <v>320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319</v>
      </c>
      <c r="I12" s="10" t="s">
        <v>320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319</v>
      </c>
      <c r="I13" s="16" t="s">
        <v>320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189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190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321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191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190</v>
      </c>
      <c r="N27" s="20">
        <v>537710</v>
      </c>
    </row>
    <row r="28" spans="1:14" ht="18" customHeight="1">
      <c r="A28" s="98" t="s">
        <v>192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193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322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323</v>
      </c>
      <c r="I33" s="16" t="s">
        <v>324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188</v>
      </c>
      <c r="H36" s="10" t="s">
        <v>325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189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190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232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191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190</v>
      </c>
      <c r="N54" s="20">
        <v>800250</v>
      </c>
    </row>
    <row r="55" spans="1:14" ht="18" customHeight="1">
      <c r="A55" s="98" t="s">
        <v>192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193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189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190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325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191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190</v>
      </c>
      <c r="N81" s="20">
        <v>423590</v>
      </c>
    </row>
    <row r="82" spans="1:14" ht="18" customHeight="1">
      <c r="A82" s="98" t="s">
        <v>192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193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189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190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326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191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190</v>
      </c>
      <c r="N108" s="20">
        <v>784300</v>
      </c>
    </row>
    <row r="109" spans="1:14" ht="18" customHeight="1">
      <c r="A109" s="98" t="s">
        <v>192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193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189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190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188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191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190</v>
      </c>
      <c r="N135" s="20">
        <v>527600</v>
      </c>
    </row>
    <row r="136" spans="1:14" ht="18" customHeight="1">
      <c r="A136" s="98" t="s">
        <v>192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193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188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189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190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191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190</v>
      </c>
      <c r="N162" s="20">
        <v>215370</v>
      </c>
    </row>
    <row r="163" spans="1:14" ht="18" customHeight="1">
      <c r="A163" s="98" t="s">
        <v>192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193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189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190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191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190</v>
      </c>
      <c r="N189" s="20">
        <v>400530</v>
      </c>
    </row>
    <row r="190" spans="1:14" ht="18" customHeight="1">
      <c r="A190" s="98" t="s">
        <v>192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193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327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189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190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235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191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190</v>
      </c>
      <c r="N216" s="28">
        <v>704110</v>
      </c>
    </row>
    <row r="217" spans="1:14" ht="18" customHeight="1">
      <c r="A217" s="98" t="s">
        <v>192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193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328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250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189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190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191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190</v>
      </c>
      <c r="N243" s="20">
        <v>0</v>
      </c>
    </row>
    <row r="244" spans="1:14" ht="18" customHeight="1">
      <c r="A244" s="98" t="s">
        <v>192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193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329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189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190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191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190</v>
      </c>
      <c r="N270" s="20">
        <f>214250+252630</f>
        <v>466880</v>
      </c>
    </row>
    <row r="271" spans="1:14" ht="18" customHeight="1">
      <c r="A271" s="98" t="s">
        <v>192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193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330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189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190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331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332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333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191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190</v>
      </c>
      <c r="N297" s="20">
        <f>124260+105220</f>
        <v>229480</v>
      </c>
    </row>
    <row r="298" spans="1:14" ht="18" customHeight="1">
      <c r="A298" s="98" t="s">
        <v>192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193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332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334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305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189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190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335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335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335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336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191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190</v>
      </c>
      <c r="N324" s="20">
        <f>311920+165290</f>
        <v>477210</v>
      </c>
    </row>
    <row r="325" spans="1:14" ht="18" customHeight="1">
      <c r="A325" s="98" t="s">
        <v>192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193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189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190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337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255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191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190</v>
      </c>
      <c r="N351" s="20">
        <f>117790+390790</f>
        <v>508580</v>
      </c>
    </row>
    <row r="352" spans="1:14" ht="18" customHeight="1">
      <c r="A352" s="98" t="s">
        <v>192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193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338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339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307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189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190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191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190</v>
      </c>
      <c r="N378" s="20">
        <f>490380+390690</f>
        <v>881070</v>
      </c>
    </row>
    <row r="379" spans="1:14" ht="18" customHeight="1">
      <c r="A379" s="98" t="s">
        <v>192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193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189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190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191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190</v>
      </c>
      <c r="N405" s="20">
        <v>745910</v>
      </c>
    </row>
    <row r="406" spans="1:14" ht="18" customHeight="1">
      <c r="A406" s="98" t="s">
        <v>192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193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340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341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342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189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190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191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190</v>
      </c>
      <c r="N432" s="20">
        <v>669300</v>
      </c>
    </row>
    <row r="433" spans="1:16" ht="18" customHeight="1">
      <c r="A433" s="98" t="s">
        <v>192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193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189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190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332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332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191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190</v>
      </c>
      <c r="N459" s="20">
        <v>561580</v>
      </c>
    </row>
    <row r="460" spans="1:14" ht="18" customHeight="1">
      <c r="A460" s="98" t="s">
        <v>192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193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272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272</v>
      </c>
      <c r="N472" s="41"/>
    </row>
    <row r="473" spans="1:14" ht="15.75" customHeight="1">
      <c r="A473" s="97" t="s">
        <v>189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190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343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344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345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191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190</v>
      </c>
      <c r="N486" s="20">
        <v>508000</v>
      </c>
    </row>
    <row r="487" spans="1:14" ht="18" customHeight="1">
      <c r="A487" s="98" t="s">
        <v>192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193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189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190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346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347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191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190</v>
      </c>
      <c r="N513" s="20">
        <v>745760</v>
      </c>
    </row>
    <row r="514" spans="1:14" ht="18" customHeight="1">
      <c r="A514" s="98" t="s">
        <v>192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193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189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190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348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349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250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191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190</v>
      </c>
      <c r="N540" s="20">
        <v>426450</v>
      </c>
    </row>
    <row r="541" spans="1:14" ht="18" customHeight="1">
      <c r="A541" s="98" t="s">
        <v>192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193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350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351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189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190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352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191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190</v>
      </c>
      <c r="N567" s="20">
        <v>652080</v>
      </c>
    </row>
    <row r="568" spans="1:14" ht="18" customHeight="1">
      <c r="A568" s="98" t="s">
        <v>192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193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353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354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189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190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355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276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250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191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190</v>
      </c>
      <c r="N594" s="20">
        <v>800310</v>
      </c>
    </row>
    <row r="595" spans="1:14" ht="18" customHeight="1">
      <c r="A595" s="98" t="s">
        <v>192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193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356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189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190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357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191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190</v>
      </c>
      <c r="N621" s="20">
        <v>141320</v>
      </c>
    </row>
    <row r="622" spans="1:14" ht="18" customHeight="1">
      <c r="A622" s="98" t="s">
        <v>192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193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344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189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190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358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176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359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191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190</v>
      </c>
      <c r="N648" s="20">
        <f>89640+153770</f>
        <v>243410</v>
      </c>
    </row>
    <row r="649" spans="1:14" ht="18" customHeight="1">
      <c r="A649" s="98" t="s">
        <v>192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193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189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190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360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191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190</v>
      </c>
      <c r="N675" s="20">
        <v>425320</v>
      </c>
    </row>
    <row r="676" spans="1:14" ht="18" customHeight="1">
      <c r="A676" s="98" t="s">
        <v>192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193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189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190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361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362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191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190</v>
      </c>
      <c r="N702" s="20">
        <f>626540+94190</f>
        <v>720730</v>
      </c>
    </row>
    <row r="703" spans="1:14" ht="18" customHeight="1">
      <c r="A703" s="98" t="s">
        <v>192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193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363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364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365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189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190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366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367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191</v>
      </c>
      <c r="B729" s="97"/>
      <c r="C729" s="97"/>
      <c r="D729" s="97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190</v>
      </c>
      <c r="N729" s="20">
        <v>874110</v>
      </c>
    </row>
    <row r="730" spans="1:14" ht="18" customHeight="1">
      <c r="A730" s="98" t="s">
        <v>192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193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368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299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317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189</v>
      </c>
      <c r="B743" s="97"/>
      <c r="C743" s="97"/>
      <c r="D743" s="97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190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300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191</v>
      </c>
      <c r="B756" s="97"/>
      <c r="C756" s="97"/>
      <c r="D756" s="97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190</v>
      </c>
      <c r="N756" s="20">
        <v>1001690</v>
      </c>
    </row>
    <row r="757" spans="1:14" ht="18" customHeight="1">
      <c r="A757" s="98" t="s">
        <v>192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193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29</v>
      </c>
      <c r="D758" s="62" t="s">
        <v>30</v>
      </c>
      <c r="E758" s="11"/>
      <c r="F758" s="12" t="str">
        <f t="shared" ref="F758:F769" si="169">IF(E758="","",E758*4)</f>
        <v/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29</v>
      </c>
      <c r="D759" s="62" t="s">
        <v>30</v>
      </c>
      <c r="E759" s="11"/>
      <c r="F759" s="17" t="str">
        <f t="shared" si="169"/>
        <v/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/>
      <c r="L759" s="71" t="str">
        <f t="shared" si="170"/>
        <v/>
      </c>
      <c r="M759" s="11" t="s">
        <v>369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29</v>
      </c>
      <c r="D760" s="62" t="s">
        <v>30</v>
      </c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29</v>
      </c>
      <c r="D761" s="62" t="s">
        <v>30</v>
      </c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29</v>
      </c>
      <c r="D762" s="62" t="s">
        <v>30</v>
      </c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29</v>
      </c>
      <c r="D763" s="62" t="s">
        <v>30</v>
      </c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29</v>
      </c>
      <c r="D764" s="62" t="s">
        <v>30</v>
      </c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29</v>
      </c>
      <c r="D765" s="62" t="s">
        <v>30</v>
      </c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29</v>
      </c>
      <c r="D766" s="62" t="s">
        <v>30</v>
      </c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29</v>
      </c>
      <c r="D767" s="62" t="s">
        <v>30</v>
      </c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29</v>
      </c>
      <c r="D768" s="62" t="s">
        <v>30</v>
      </c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29</v>
      </c>
      <c r="D769" s="62" t="s">
        <v>30</v>
      </c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7" t="s">
        <v>189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1.3888888888888895E-2</v>
      </c>
      <c r="M770" s="19" t="s">
        <v>190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191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190</v>
      </c>
      <c r="N783" s="20"/>
    </row>
    <row r="784" spans="1:14" ht="18" customHeight="1">
      <c r="A784" s="98" t="s">
        <v>192</v>
      </c>
      <c r="B784" s="98"/>
      <c r="C784" s="98"/>
      <c r="D784" s="98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1.3888888888888895E-2</v>
      </c>
      <c r="M784" s="22" t="s">
        <v>193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189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190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191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190</v>
      </c>
      <c r="N810" s="20"/>
    </row>
    <row r="811" spans="1:14" ht="18" customHeight="1">
      <c r="A811" s="110" t="s">
        <v>192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193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AD78A7-70F4-47FD-AA51-B85539CA8030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2026-06-29T11:34:10Z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