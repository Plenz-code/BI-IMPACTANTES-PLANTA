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9" documentId="13_ncr:1_{A6DBCFB4-28D9-4249-9038-216934055CA6}" xr6:coauthVersionLast="47" xr6:coauthVersionMax="47" xr10:uidLastSave="{3D35CDA1-1FE6-4E15-9D2D-74752053119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<sst xmlns="http://schemas.openxmlformats.org/spreadsheetml/2006/main" count="8516" uniqueCount="395">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</sst>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G505" sqref="G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40</v>
      </c>
      <c r="G513" s="2">
        <f>SUM(G501:G512)</f>
        <v>200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322</v>
      </c>
      <c r="G514" s="1">
        <f>G500+G513</f>
        <v>1610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1" sqref="G50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0.7167795138884685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0.85566840277735623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0.94039062499957904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154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E501" sqref="E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 t="s">
        <v>274</v>
      </c>
      <c r="F501" s="101" t="str">
        <f>IFERROR(IF($D501="","",VLOOKUP($D501,Cadastro!$C$4:$E$7,3,FALSE())),"")</f>
        <v/>
      </c>
      <c r="G501" s="89">
        <v>7</v>
      </c>
      <c r="H501" s="101">
        <f>IFERROR(IF($G501="","",$G501*$S$513/$G$513/Cadastro!$E$33),"")</f>
        <v>0</v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29.400000000000002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335.79999999999995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27" sqref="G527:G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 t="str">
        <f t="shared" ref="K501:K512" si="127">IF(G501="","",IF(E501="PC 17",G501*4.2,IF(E501="PC 19",G501*5,IF(E501="CB",G501*24,""))))</f>
        <v/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10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212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2026-08-20T00:07:14Z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