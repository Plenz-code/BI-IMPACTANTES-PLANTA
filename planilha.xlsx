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942" documentId="8_{AF585B22-221D-4780-BB9C-493D365A6A02}" xr6:coauthVersionLast="47" xr6:coauthVersionMax="47" xr10:uidLastSave="{683C73D7-4D7A-46E4-BD18-C0ED8A3F8399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<sst xmlns="http://schemas.openxmlformats.org/spreadsheetml/2006/main" count="11777" uniqueCount="427">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</sst>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8" activePane="bottomLeft" state="frozen"/>
      <selection pane="bottomLeft" activeCell="L772" sqref="L77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274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210</v>
      </c>
      <c r="G783" s="36">
        <f>SUM(G771:G782)</f>
        <v>1050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560</v>
      </c>
      <c r="G784" s="40">
        <f>G770+G783</f>
        <v>2800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F778" sqref="F7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0.88149027777399169</v>
      </c>
      <c r="N377" s="46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1.0391291666628806</v>
      </c>
      <c r="N378" s="36" t="s">
        <v>235</v>
      </c>
      <c r="O378" s="77">
        <v>511980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1.1488513888851029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0.85996249999880092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1.0307958333321343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1.1759347222210232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328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329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330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332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333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334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335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337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338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340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/>
      <c r="M775" s="35">
        <f t="shared" ca="1" si="172"/>
        <v>2.5240277776902076E-2</v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16</v>
      </c>
      <c r="G776" s="28">
        <f t="shared" si="171"/>
        <v>67.2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132</v>
      </c>
      <c r="G783" s="36">
        <f>SUM(G771:G782)</f>
        <v>563.19999999999993</v>
      </c>
      <c r="H783" s="37"/>
      <c r="I783" s="37"/>
      <c r="J783" s="37"/>
      <c r="K783" s="37"/>
      <c r="L783" s="37"/>
      <c r="M783" s="38">
        <f ca="1">IFERROR(SUM(M771:M782),"")</f>
        <v>7.5934722221346562E-2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266</v>
      </c>
      <c r="G784" s="40">
        <f>G770+G783</f>
        <v>1134</v>
      </c>
      <c r="H784" s="41"/>
      <c r="I784" s="41"/>
      <c r="J784" s="41"/>
      <c r="K784" s="41"/>
      <c r="L784" s="41"/>
      <c r="M784" s="42">
        <f ca="1">IFERROR(M770+M783,"")</f>
        <v>0.17107361111023539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54" zoomScale="50" zoomScaleNormal="50" workbookViewId="0">
      <selection activeCell="D779" sqref="D779:D7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288</v>
      </c>
      <c r="K141" s="29">
        <v>0.71597222222222223</v>
      </c>
      <c r="L141" s="29" t="s">
        <v>346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348</v>
      </c>
      <c r="N166" s="27" t="s">
        <v>349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325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325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/>
      <c r="M775" s="35">
        <f t="shared" ca="1" si="172"/>
        <v>2.5240277776902076E-2</v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2</v>
      </c>
      <c r="G776" s="28">
        <f t="shared" si="171"/>
        <v>8.4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47</v>
      </c>
      <c r="G783" s="36">
        <f>SUM(G771:G782)</f>
        <v>201.39999999999998</v>
      </c>
      <c r="H783" s="37"/>
      <c r="I783" s="37"/>
      <c r="J783" s="37"/>
      <c r="K783" s="37"/>
      <c r="L783" s="37"/>
      <c r="M783" s="38">
        <f ca="1">IFERROR(SUM(M771:M782),"")</f>
        <v>8.4268055554679977E-2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88</v>
      </c>
      <c r="G784" s="40">
        <f>G770+G783</f>
        <v>377.59999999999997</v>
      </c>
      <c r="H784" s="41"/>
      <c r="I784" s="41"/>
      <c r="J784" s="41"/>
      <c r="K784" s="41"/>
      <c r="L784" s="41"/>
      <c r="M784" s="42">
        <f ca="1">IFERROR(M770+M783,"")</f>
        <v>0.19815694444356891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64" activePane="bottomLeft" state="frozen"/>
      <selection pane="bottomLeft" activeCell="D779" sqref="D779:D78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378</v>
      </c>
      <c r="L58" s="29">
        <v>0.54097222222222219</v>
      </c>
      <c r="M58" s="30" t="str">
        <f t="shared" ca="1" si="13"/>
        <v/>
      </c>
      <c r="N58" s="27" t="s">
        <v>379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0.87176805555645842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1.071073611112014</v>
      </c>
      <c r="N135" s="36" t="s">
        <v>235</v>
      </c>
      <c r="O135" s="39">
        <v>729290</v>
      </c>
    </row>
    <row r="136" spans="1:18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1.4384347222231251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234</v>
      </c>
      <c r="B338" s="107"/>
      <c r="C338" s="107"/>
      <c r="D338" s="107"/>
      <c r="E338" s="108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283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325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424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425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426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340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423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136</v>
      </c>
      <c r="G783" s="36">
        <f>SUM(G771:G782)</f>
        <v>580.79999999999995</v>
      </c>
      <c r="H783" s="37"/>
      <c r="I783" s="37"/>
      <c r="J783" s="37"/>
      <c r="K783" s="61"/>
      <c r="L783" s="61"/>
      <c r="M783" s="38">
        <f ca="1">IFERROR(SUM(M771:M782),"")</f>
        <v>3.6111111111111219E-2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144</v>
      </c>
      <c r="G784" s="40">
        <f>G770+G783</f>
        <v>614.4</v>
      </c>
      <c r="H784" s="41"/>
      <c r="I784" s="41"/>
      <c r="J784" s="41"/>
      <c r="K784" s="63"/>
      <c r="L784" s="63"/>
      <c r="M784" s="42">
        <f ca="1">IFERROR(M770+M783,"")</f>
        <v>0.50000000000000011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2026-07-30T06:54:36Z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