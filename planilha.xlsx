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51" documentId="8_{C51EB6CB-002B-4D6B-B68F-DDEBDB4460C0}" xr6:coauthVersionLast="47" xr6:coauthVersionMax="47" xr10:uidLastSave="{3FFA6126-FC40-43E9-9E9F-8CA50E5934EB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<sst xmlns="http://schemas.openxmlformats.org/spreadsheetml/2006/main" count="5348" uniqueCount="334">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</sst>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0" sqref="F28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E282" sqref="E28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0.63228495370276505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0.77117384259165389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0.85589606481387626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/>
      <c r="I281" s="33"/>
      <c r="J281" s="33"/>
      <c r="K281" s="29">
        <v>0.75069444444444444</v>
      </c>
      <c r="L281" s="29"/>
      <c r="M281" s="35">
        <f t="shared" ca="1" si="60"/>
        <v>3.1182870370685123E-3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107</v>
      </c>
      <c r="G284" s="90">
        <f>SUM(G272:G283)</f>
        <v>425.6</v>
      </c>
      <c r="H284" s="37"/>
      <c r="I284" s="37"/>
      <c r="J284" s="37"/>
      <c r="K284" s="37"/>
      <c r="L284" s="37"/>
      <c r="M284" s="38">
        <f ca="1">IFERROR(SUM(M272:M283),"")</f>
        <v>0.10867384259262408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107</v>
      </c>
      <c r="G298" s="40">
        <f>G284+G297</f>
        <v>425.6</v>
      </c>
      <c r="H298" s="41"/>
      <c r="I298" s="41"/>
      <c r="J298" s="41"/>
      <c r="K298" s="41"/>
      <c r="L298" s="41"/>
      <c r="M298" s="42">
        <f ca="1">IFERROR(M284+M297,"")</f>
        <v>0.10867384259262408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3" sqref="F28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0.5593682870385237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0.62117384259407926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0.68228495370519049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89</v>
      </c>
      <c r="G284" s="36">
        <f>SUM(G272:G283)</f>
        <v>381.8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89</v>
      </c>
      <c r="G298" s="40">
        <f>G284+G297</f>
        <v>381.8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53" activePane="bottomLeft" state="frozen"/>
      <selection pane="bottomLeft" activeCell="F283" sqref="F28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157</v>
      </c>
      <c r="G284" s="36">
        <f>SUM(G272:G283)</f>
        <v>659.4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157</v>
      </c>
      <c r="G298" s="40">
        <f>G284+G297</f>
        <v>659.4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2026-08-11T22:05:54Z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