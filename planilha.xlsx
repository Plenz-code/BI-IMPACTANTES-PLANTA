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3905" documentId="8_{AF585B22-221D-4780-BB9C-493D365A6A02}" xr6:coauthVersionLast="47" xr6:coauthVersionMax="47" xr10:uidLastSave="{0118AFEE-82F5-4CA4-B07C-66D2199CC23A}"/>
  <bookViews>
    <workbookView xWindow="-110" yWindow="-110" windowWidth="25820" windowHeight="15500" tabRatio="500" firstSheet="2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773" i="3" l="1"/>
  <c r="G775" i="3"/>
  <c r="G774" i="3"/>
  <c r="G741" i="5"/>
  <c r="G742" i="5"/>
  <c r="E689" i="4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32" i="1" l="1"/>
  <c r="F136" i="6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<sst xmlns="http://schemas.openxmlformats.org/spreadsheetml/2006/main" count="11764" uniqueCount="426">
  <si>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</si>
  <si>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</si>
  <si>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</si>
  <si>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</si>
  <si>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</si>
  <si>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</si>
  <si>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</si>
  <si>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</si>
  <si>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</si>
  <si>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</si>
  <si>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</si>
  <si>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</si>
  <si>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</si>
  <si>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</si>
  <si>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</si>
  <si>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</si>
  <si>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</si>
  <si>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</si>
  <si>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</si>
  <si>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</si>
  <si>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</si>
  <si>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</si>
  <si>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</si>
  <si>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</si>
  <si>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</si>
  <si>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</si>
  <si>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</si>
  <si>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</si>
  <si>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</si>
  <si>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</si>
  <si>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</si>
  <si>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</si>
  <si>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</si>
  <si>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</si>
  <si>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</si>
  <si>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</si>
  <si>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</si>
  <si>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</si>
  <si>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</si>
  <si>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</si>
  <si>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</si>
  <si>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</si>
  <si>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</si>
  <si>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</si>
  <si>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</si>
  <si>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</si>
  <si>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</si>
  <si>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</si>
  <si>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</si>
  <si>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</si>
  <si>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</si>
  <si>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</si>
  <si>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</si>
  <si>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</si>
  <si>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</si>
  <si>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</si>
  <si>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</si>
  <si>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</si>
  <si>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</si>
  <si>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</si>
  <si>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</si>
  <si>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</si>
  <si>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</si>
  <si>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</si>
  <si>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</si>
  <si>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</si>
  <si>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</si>
  <si>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</si>
  <si>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</si>
  <si>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</si>
  <si>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</si>
  <si>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</si>
  <si>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</si>
  <si>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</si>
  <si>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</si>
  <si>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</si>
  <si>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</si>
  <si>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</si>
  <si>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</si>
  <si>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</si>
  <si>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</si>
  <si>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</si>
  <si>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</si>
  <si>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</si>
  <si>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</si>
  <si>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</si>
  <si>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</si>
  <si>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</si>
  <si>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</si>
  <si>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</si>
  <si>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</si>
  <si>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</si>
  <si>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</si>
  <si>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</si>
  <si>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</si>
  <si>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</si>
  <si>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</si>
  <si>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</si>
  <si>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</si>
  <si>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</si>
  <si>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</si>
  <si>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</si>
  <si>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</si>
  <si>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</si>
  <si>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</si>
  <si>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</si>
  <si>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</si>
  <si>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</si>
  <si>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</si>
  <si>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</si>
  <si>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</si>
  <si>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</si>
  <si>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</si>
  <si>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</si>
  <si>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</si>
  <si>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</si>
  <si>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</si>
  <si>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</si>
  <si>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</si>
  <si>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</si>
  <si>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</si>
  <si>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</si>
  <si>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</si>
  <si>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</si>
  <si>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</si>
  <si>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</si>
  <si>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</si>
  <si>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</si>
  <si>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</si>
  <si>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</si>
  <si>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</si>
  <si>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</si>
  <si>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</si>
  <si>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</si>
  <si>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</si>
  <si>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</si>
  <si>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</si>
  <si>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</si>
  <si>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</si>
  <si>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</si>
  <si>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</si>
  <si>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</si>
  <si>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</si>
  <si>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</si>
  <si>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</si>
  <si>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</si>
  <si>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</si>
  <si>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</si>
  <si>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</si>
  <si>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</si>
  <si>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</si>
  <si>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</si>
  <si>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</si>
  <si>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</si>
  <si>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</si>
  <si>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</si>
  <si>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</si>
  <si>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</si>
  <si>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</si>
  <si>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</si>
  <si>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</si>
  <si>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</si>
  <si>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</si>
  <si>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</si>
  <si>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</si>
  <si>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</si>
  <si>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</si>
  <si>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</si>
  <si>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</si>
  <si>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</si>
  <si>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</si>
  <si>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</si>
  <si>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</si>
  <si>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</si>
  <si>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</si>
  <si>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</si>
  <si>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</si>
  <si>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</si>
  <si>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</si>
  <si>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</si>
  <si>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</si>
  <si>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</si>
  <si>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</si>
  <si>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</si>
  <si>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</si>
  <si>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</si>
  <si>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</si>
  <si>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</si>
  <si>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</si>
  <si>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</si>
  <si>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</si>
  <si>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</si>
  <si>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</si>
  <si>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</si>
  <si>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</si>
  <si>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</si>
  <si>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</si>
  <si>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</si>
  <si>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</si>
  <si>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</si>
  <si>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</si>
  <si>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</si>
  <si>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</si>
  <si>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</si>
  <si>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</si>
  <si>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Bomba não jogando material pro hidrociclone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</si>
  <si>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</si>
  <si>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</si>
  <si>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</si>
  <si>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</si>
  <si>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</si>
  <si>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</si>
  <si>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</si>
  <si>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</si>
  <si>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</si>
  <si>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</si>
  <si>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</si>
  <si>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</si>
  <si>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</si>
  <si>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</si>
  <si>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</si>
  <si>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</si>
  <si>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</si>
  <si>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</si>
  <si>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</si>
  <si>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</si>
  <si>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</si>
  <si>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</si>
  <si>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</si>
  <si>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</si>
  <si>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</si>
  <si>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</si>
  <si>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</si>
  <si>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</si>
  <si>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</si>
  <si>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</si>
  <si>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</si>
  <si>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</si>
  <si>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</si>
  <si>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</si>
  <si>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</si>
  <si>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</si>
  <si>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</si>
  <si>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</si>
  <si>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</si>
  <si>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</si>
  <si>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</si>
  <si>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</si>
  <si>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</si>
  <si>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</si>
  <si>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</si>
  <si>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</si>
  <si>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</si>
  <si>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</si>
  <si>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</si>
  <si>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</si>
  <si>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</si>
  <si>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</si>
  <si>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</si>
  <si>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</si>
  <si>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</si>
  <si>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</si>
  <si>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</si>
  <si>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</si>
  <si>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</si>
  <si>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</si>
  <si>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</si>
  <si>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</si>
  <si>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</si>
  <si>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</si>
  <si>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caminhão basculante</t>
  </si>
  <si>
    <t>desobstrução</t>
  </si>
  <si>
    <t>apertar parafuso do mancal,manutenção na balata e colocar borracha</t>
  </si>
  <si>
    <t>apertar parafuso mancal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</si>
  <si>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</si>
  <si>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</si>
  <si>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</si>
  <si>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</si>
  <si>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</si>
  <si>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</si>
  <si>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</si>
  <si>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</si>
  <si>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</si>
  <si>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</si>
  <si>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</si>
  <si>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</si>
  <si>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</si>
  <si>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</si>
  <si>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</si>
  <si>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</si>
  <si>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</si>
  <si>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</si>
  <si>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</si>
  <si>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</si>
  <si>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</si>
  <si>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</si>
  <si>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</si>
  <si>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</si>
  <si>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</si>
  <si>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</si>
  <si>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</si>
  <si>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</si>
  <si>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</si>
  <si>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</si>
  <si>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</si>
  <si>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</si>
  <si>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</si>
  <si>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</si>
  <si>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</si>
  <si>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</si>
  <si>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</si>
  <si>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</si>
  <si>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</si>
  <si>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</si>
  <si>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</si>
  <si>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</si>
  <si>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</si>
  <si>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</si>
  <si>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</si>
  <si>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</si>
  <si>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</si>
  <si>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</si>
  <si>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</si>
  <si>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</si>
  <si>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</si>
  <si>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</si>
  <si>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</si>
  <si>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</si>
  <si>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</si>
  <si>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</si>
  <si>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</si>
  <si>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</si>
  <si>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</si>
  <si>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</si>
  <si>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</si>
  <si>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</si>
  <si>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adicionou 2 grelhas e solda no queixo</t>
  </si>
  <si>
    <t>9;15</t>
  </si>
  <si>
    <t>solda no queixo mm 2</t>
  </si>
  <si>
    <t>barramento bomba de rejeito 03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</si>
  <si>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</si>
  <si>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</si>
  <si>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</si>
  <si>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</si>
  <si>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</si>
  <si>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</si>
  <si>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</si>
  <si>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</si>
  <si>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</si>
  <si>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</si>
  <si>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</si>
  <si>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</si>
  <si>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</si>
  <si>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</si>
  <si>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</si>
  <si>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</si>
  <si>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</si>
  <si>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</si>
  <si>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</si>
  <si>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</si>
  <si>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</si>
  <si>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</si>
  <si>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</si>
  <si>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</si>
  <si>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</si>
  <si>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</si>
  <si>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</si>
  <si>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</si>
  <si>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</si>
  <si>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material preso caiu de uma vez e fez moinho entupir</t>
  </si>
  <si>
    <t>alimentação da linha 2 no 5%,  material caindo com alimentação parada</t>
  </si>
  <si>
    <t>solda na grelha e queixo</t>
  </si>
  <si>
    <t>barramento da bomba de rejeito 03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</si>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</sst>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N20" sqref="N20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3538220</v>
      </c>
      <c r="D31" s="11">
        <f>IFERROR('Linha 1'!O757,"")</f>
        <v>1264410</v>
      </c>
      <c r="E31" s="11">
        <f>IFERROR('Linha 2'!O757,"")</f>
        <v>426160</v>
      </c>
      <c r="F31" s="11">
        <f>IFERROR('Linha 3'!O757,"")</f>
        <v>1181050</v>
      </c>
      <c r="G31" s="12">
        <f t="shared" si="0"/>
        <v>2871620</v>
      </c>
    </row>
    <row r="32" spans="1:7" ht="15.75" customHeight="1">
      <c r="A32" s="7">
        <v>29</v>
      </c>
      <c r="B32" s="72">
        <v>46232</v>
      </c>
      <c r="C32" s="8">
        <f>IFERROR(Britador!O784,"")</f>
        <v>1751285</v>
      </c>
      <c r="D32" s="8">
        <f>IFERROR('Linha 1'!O784,"")</f>
        <v>610890</v>
      </c>
      <c r="E32" s="8">
        <f>IFERROR('Linha 2'!O784,"")</f>
        <v>172140</v>
      </c>
      <c r="F32" s="8">
        <f>IFERROR('Linha 3'!O784,"")</f>
        <v>39360</v>
      </c>
      <c r="G32" s="9">
        <f>IFERROR(D32+E32+F32,"")</f>
        <v>822390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87532313</v>
      </c>
      <c r="D35" s="13">
        <f>IFERROR(SUM(D4:D34),"")</f>
        <v>35210690</v>
      </c>
      <c r="E35" s="13">
        <f>IFERROR(SUM(E4:E34),"")</f>
        <v>19876800</v>
      </c>
      <c r="F35" s="13">
        <f>IFERROR(SUM(F4:F34),"")</f>
        <v>36042620</v>
      </c>
      <c r="G35" s="13">
        <f>IFERROR(SUM(G4:G34),"")</f>
        <v>91130110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8" zoomScale="85" zoomScaleNormal="85" workbookViewId="0">
      <selection activeCell="M58" sqref="M58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3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3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3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3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3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3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3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3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3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3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3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3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3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3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3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3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3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3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3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3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3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3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3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3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3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3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3"/>
      <c r="I57" s="17"/>
      <c r="J57" s="17"/>
      <c r="K57" s="17" t="s">
        <v>50</v>
      </c>
      <c r="L57" s="17"/>
      <c r="M57" s="17" t="s">
        <v>205</v>
      </c>
    </row>
    <row r="58" spans="1:13" ht="15" customHeight="1">
      <c r="H58" s="113"/>
      <c r="I58" s="16"/>
      <c r="J58" s="16"/>
      <c r="K58" s="16" t="s">
        <v>206</v>
      </c>
      <c r="L58" s="16"/>
      <c r="M58" s="16"/>
    </row>
    <row r="59" spans="1:13" ht="15" customHeight="1">
      <c r="H59" s="113"/>
      <c r="I59" s="17"/>
      <c r="J59" s="17"/>
      <c r="K59" s="17" t="s">
        <v>207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208</v>
      </c>
      <c r="L61" s="17"/>
      <c r="M61" s="17"/>
    </row>
    <row r="62" spans="1:13" ht="15" customHeight="1">
      <c r="H62" s="113"/>
      <c r="I62" s="16"/>
      <c r="J62" s="16"/>
      <c r="K62" s="16" t="s">
        <v>209</v>
      </c>
      <c r="L62" s="16"/>
      <c r="M62" s="16"/>
    </row>
    <row r="63" spans="1:13" ht="15" customHeight="1">
      <c r="H63" s="113"/>
      <c r="I63" s="17"/>
      <c r="J63" s="17"/>
      <c r="K63" s="17" t="s">
        <v>210</v>
      </c>
      <c r="L63" s="17"/>
      <c r="M63" s="17"/>
    </row>
    <row r="64" spans="1:13" ht="15" customHeight="1">
      <c r="H64" s="113"/>
      <c r="I64" s="16"/>
      <c r="J64" s="16"/>
      <c r="K64" s="16" t="s">
        <v>211</v>
      </c>
      <c r="L64" s="16"/>
      <c r="M64" s="16"/>
    </row>
    <row r="65" spans="8:13" ht="15" customHeight="1">
      <c r="H65" s="113"/>
      <c r="I65" s="17"/>
      <c r="J65" s="17"/>
      <c r="K65" s="17" t="s">
        <v>212</v>
      </c>
      <c r="L65" s="17"/>
      <c r="M65" s="17"/>
    </row>
    <row r="66" spans="8:13" ht="15" customHeight="1">
      <c r="H66" s="113"/>
      <c r="I66" s="16"/>
      <c r="J66" s="16"/>
      <c r="K66" s="16" t="s">
        <v>213</v>
      </c>
      <c r="L66" s="16"/>
      <c r="M66" s="16"/>
    </row>
    <row r="67" spans="8:13" ht="15" customHeight="1">
      <c r="H67" s="113"/>
      <c r="I67" s="17"/>
      <c r="J67" s="17"/>
      <c r="K67" s="17" t="s">
        <v>214</v>
      </c>
      <c r="L67" s="17"/>
      <c r="M67" s="17"/>
    </row>
    <row r="68" spans="8:13" ht="15" customHeight="1">
      <c r="H68" s="113"/>
      <c r="I68" s="16"/>
      <c r="J68" s="16"/>
      <c r="K68" s="16" t="s">
        <v>215</v>
      </c>
      <c r="L68" s="16"/>
      <c r="M68" s="16"/>
    </row>
    <row r="69" spans="8:13" ht="15" customHeight="1">
      <c r="H69" s="113"/>
      <c r="I69" s="17"/>
      <c r="J69" s="17"/>
      <c r="K69" s="17" t="s">
        <v>216</v>
      </c>
      <c r="L69" s="17"/>
      <c r="M69" s="17"/>
    </row>
    <row r="70" spans="8:13" ht="15" customHeight="1">
      <c r="H70" s="113"/>
      <c r="I70" s="16"/>
      <c r="J70" s="16"/>
      <c r="K70" s="16" t="s">
        <v>217</v>
      </c>
      <c r="L70" s="16"/>
      <c r="M70" s="16"/>
    </row>
    <row r="71" spans="8:13" ht="15" customHeight="1">
      <c r="H71" s="113"/>
      <c r="I71" s="17"/>
      <c r="J71" s="17"/>
      <c r="K71" s="17" t="s">
        <v>218</v>
      </c>
      <c r="L71" s="17"/>
      <c r="M71" s="17"/>
    </row>
    <row r="72" spans="8:13" ht="15" customHeight="1">
      <c r="H72" s="113"/>
      <c r="I72" s="16"/>
      <c r="J72" s="16"/>
      <c r="K72" s="16" t="s">
        <v>219</v>
      </c>
      <c r="L72" s="16"/>
      <c r="M72" s="16"/>
    </row>
    <row r="73" spans="8:13" ht="15" customHeight="1">
      <c r="H73" s="113"/>
      <c r="I73" s="17"/>
      <c r="J73" s="17"/>
      <c r="K73" s="17" t="s">
        <v>220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tabSelected="1" zoomScale="60" zoomScaleNormal="60" workbookViewId="0">
      <pane ySplit="1" topLeftCell="A745" activePane="bottomLeft" state="frozen"/>
      <selection pane="bottomLeft" activeCell="G773" sqref="G773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231</v>
      </c>
      <c r="E2" s="59" t="s">
        <v>232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233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232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232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232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232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232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232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232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232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232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232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232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235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232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232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232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232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232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232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232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232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232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232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232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235</v>
      </c>
      <c r="O27" s="39">
        <v>1183060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238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232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232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239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232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232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232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232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232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232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235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232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232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232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232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232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232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232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232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232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232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232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235</v>
      </c>
      <c r="O54" s="39">
        <v>959290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238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232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232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232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232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232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232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232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232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232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232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232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232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235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232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232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240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232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232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232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232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232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232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232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232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235</v>
      </c>
      <c r="O81" s="39">
        <v>878050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238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232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241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232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232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232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232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232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232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235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242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1700000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238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232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232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232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232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232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232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232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232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232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232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232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232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235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235</v>
      </c>
      <c r="O135" s="39">
        <v>862330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238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235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232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232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232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232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232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232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232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232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232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232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235</v>
      </c>
      <c r="O162" s="44">
        <v>1546080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238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232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232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232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232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232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232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232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232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232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232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235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232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232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232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232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232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232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232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232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232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232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232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232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235</v>
      </c>
      <c r="O189" s="39">
        <v>2355810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238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232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232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232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232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232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232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232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232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232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232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232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232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235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232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232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232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232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232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232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232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232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232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232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232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235</v>
      </c>
      <c r="O216" s="45">
        <v>2013260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238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232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243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232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232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232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232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232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232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232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232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232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232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235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232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232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232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232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232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232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232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232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232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232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235</v>
      </c>
      <c r="O243" s="39">
        <v>1545480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238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232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244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232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232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232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232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232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232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232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232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232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232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232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235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232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232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232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232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232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232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232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232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232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232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232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232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>
        <v>1182690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238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232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232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232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232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232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232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232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232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232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232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232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232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235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232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245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232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232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232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246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232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246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232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246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232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246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232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246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232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246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232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246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232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246</v>
      </c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235</v>
      </c>
      <c r="O297" s="39">
        <v>1843460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238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247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232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232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248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232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232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232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232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232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232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232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232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232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235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232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249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249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232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249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249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249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232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249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>
        <v>1940000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238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232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250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232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232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232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232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232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232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232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232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232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232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232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235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232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232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232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232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232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232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232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232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232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232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232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232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235</v>
      </c>
      <c r="O351" s="39">
        <v>701874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238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232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251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232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232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232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232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232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232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232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232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232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232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232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235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232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232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232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232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232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232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232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232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232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232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232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232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235</v>
      </c>
      <c r="O378" s="39">
        <v>1088710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238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232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212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232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252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232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253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232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232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232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232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232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232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232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232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232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235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232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232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254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232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232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232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232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232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232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232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232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232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235</v>
      </c>
      <c r="O405" s="39">
        <v>1202270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238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232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255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232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232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256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232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232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232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232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232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257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232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257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232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232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235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232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232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232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232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232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232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232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232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232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232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232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232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>
        <v>1801910</v>
      </c>
    </row>
    <row r="433" spans="1:15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238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232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216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232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232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232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232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232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232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232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232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232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232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232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235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259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217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259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259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259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259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259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259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259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259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259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259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259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235</v>
      </c>
      <c r="O459" s="39">
        <v>2675000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238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>
        <v>2310070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238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259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232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232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232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232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232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235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232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232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232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232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232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232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232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232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232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232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232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>
        <v>1298429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238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232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260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232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232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232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232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232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232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232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232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232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232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232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235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232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232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261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232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232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232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232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232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232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232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232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232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232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235</v>
      </c>
      <c r="O540" s="39">
        <v>1240140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238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232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209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262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232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232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232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232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232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232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232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232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232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232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232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235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232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232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232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232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232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232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232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232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232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232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232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232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235</v>
      </c>
      <c r="O567" s="39">
        <v>1482110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238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232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232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232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232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232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232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235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232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232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232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232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232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232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232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232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232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232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235</v>
      </c>
      <c r="O594" s="39">
        <v>1036800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238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232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232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232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232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232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232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232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232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232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232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232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232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235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263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232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232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232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232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232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232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232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232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232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235</v>
      </c>
      <c r="O621" s="39">
        <v>1295785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238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232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232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232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232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232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232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232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232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232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232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232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232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232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264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232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232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232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232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232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232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232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232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232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232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232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235</v>
      </c>
      <c r="O648" s="39">
        <v>1954490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238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232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232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232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232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232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232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232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232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232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232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232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235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232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265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232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232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232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232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232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232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232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232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232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232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232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235</v>
      </c>
      <c r="O675" s="39">
        <v>471180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238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232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266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232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267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232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232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232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232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232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232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232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232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232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232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235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232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268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232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232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232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232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232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232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232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232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232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235</v>
      </c>
      <c r="O702" s="39">
        <v>1620480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238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232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232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232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232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232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232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232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232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232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232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232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232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235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232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269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232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232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232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232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232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232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259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259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259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235</v>
      </c>
      <c r="O729" s="39">
        <v>1145450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238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>
        <v>5</v>
      </c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 t="s">
        <v>270</v>
      </c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232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232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232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232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232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232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232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232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232</v>
      </c>
      <c r="F740" s="27">
        <v>37</v>
      </c>
      <c r="G740" s="28">
        <f t="shared" si="162"/>
        <v>185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232</v>
      </c>
      <c r="F741" s="27">
        <v>33</v>
      </c>
      <c r="G741" s="34">
        <f t="shared" si="162"/>
        <v>165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232</v>
      </c>
      <c r="F742" s="27">
        <v>0</v>
      </c>
      <c r="G742" s="28">
        <f t="shared" si="162"/>
        <v>0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413</v>
      </c>
      <c r="G743" s="90">
        <f>SUM(G731:G742)</f>
        <v>2040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>
        <v>1888710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232</v>
      </c>
      <c r="F744" s="27">
        <v>30</v>
      </c>
      <c r="G744" s="28">
        <f t="shared" ref="G744:G755" si="165">IF(F744="","",IF(E744="PC 17",F744*4.2,IF(E744="PC 19",F744*5,"")))</f>
        <v>150</v>
      </c>
      <c r="H744" s="26" t="s">
        <v>19</v>
      </c>
      <c r="I744" s="26" t="s">
        <v>23</v>
      </c>
      <c r="J744" s="26" t="s">
        <v>50</v>
      </c>
      <c r="K744" s="29">
        <v>0.875</v>
      </c>
      <c r="L744" s="29">
        <v>0.95625000000000004</v>
      </c>
      <c r="M744" s="30">
        <f t="shared" ref="M744:M755" ca="1" si="166">IFERROR(IF(K744="","",IF(L744="",MOD(NOW()-K744,1),IF(L744&gt;=K744,L744-K744,L744+1-K744))),"")</f>
        <v>8.1250000000000044E-2</v>
      </c>
      <c r="N744" s="46" t="s">
        <v>271</v>
      </c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232</v>
      </c>
      <c r="F745" s="27">
        <v>14</v>
      </c>
      <c r="G745" s="34">
        <f t="shared" si="165"/>
        <v>70</v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232</v>
      </c>
      <c r="F746" s="27">
        <v>0</v>
      </c>
      <c r="G746" s="28">
        <f t="shared" si="165"/>
        <v>0</v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232</v>
      </c>
      <c r="F747" s="27">
        <v>0</v>
      </c>
      <c r="G747" s="34">
        <f t="shared" si="165"/>
        <v>0</v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232</v>
      </c>
      <c r="F748" s="27">
        <v>16</v>
      </c>
      <c r="G748" s="28">
        <f t="shared" si="165"/>
        <v>80</v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232</v>
      </c>
      <c r="F749" s="27">
        <v>25</v>
      </c>
      <c r="G749" s="34">
        <f t="shared" si="165"/>
        <v>125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232</v>
      </c>
      <c r="F750" s="27">
        <v>30</v>
      </c>
      <c r="G750" s="28">
        <f t="shared" si="165"/>
        <v>150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232</v>
      </c>
      <c r="F751" s="27">
        <v>25</v>
      </c>
      <c r="G751" s="34">
        <f t="shared" si="165"/>
        <v>125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232</v>
      </c>
      <c r="F752" s="27">
        <v>30</v>
      </c>
      <c r="G752" s="28">
        <f t="shared" si="165"/>
        <v>150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232</v>
      </c>
      <c r="F753" s="27">
        <v>30</v>
      </c>
      <c r="G753" s="34">
        <f t="shared" si="165"/>
        <v>150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232</v>
      </c>
      <c r="F754" s="27">
        <v>30</v>
      </c>
      <c r="G754" s="28">
        <f t="shared" si="165"/>
        <v>150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232</v>
      </c>
      <c r="F755" s="27">
        <v>18</v>
      </c>
      <c r="G755" s="34">
        <f t="shared" si="165"/>
        <v>90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248</v>
      </c>
      <c r="G756" s="36">
        <f>SUM(G744:G755)</f>
        <v>1240</v>
      </c>
      <c r="H756" s="37"/>
      <c r="I756" s="37"/>
      <c r="J756" s="37"/>
      <c r="K756" s="37"/>
      <c r="L756" s="37"/>
      <c r="M756" s="38">
        <f ca="1">IFERROR(SUM(M744:M755),"")</f>
        <v>8.1250000000000044E-2</v>
      </c>
      <c r="N756" s="36" t="s">
        <v>235</v>
      </c>
      <c r="O756" s="39">
        <v>1649510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661</v>
      </c>
      <c r="G757" s="40">
        <f>G743+G756</f>
        <v>3280</v>
      </c>
      <c r="H757" s="41"/>
      <c r="I757" s="41"/>
      <c r="J757" s="41"/>
      <c r="K757" s="41"/>
      <c r="L757" s="41"/>
      <c r="M757" s="42">
        <f ca="1">IFERROR(M743+M756,"")</f>
        <v>8.1250000000000044E-2</v>
      </c>
      <c r="N757" s="40" t="s">
        <v>238</v>
      </c>
      <c r="O757" s="48">
        <f>IFERROR(O743+O756,"")</f>
        <v>3538220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232</v>
      </c>
      <c r="F758" s="27">
        <v>6</v>
      </c>
      <c r="G758" s="28">
        <f t="shared" ref="G758:G769" si="168">IF(F758="","",IF(E758="PC 17",F758*4.2,IF(E758="PC 19",F758*5,"")))</f>
        <v>30</v>
      </c>
      <c r="H758" s="26" t="s">
        <v>18</v>
      </c>
      <c r="I758" s="26" t="s">
        <v>23</v>
      </c>
      <c r="J758" s="26" t="s">
        <v>167</v>
      </c>
      <c r="K758" s="29">
        <v>0.29166666666666669</v>
      </c>
      <c r="L758" s="29">
        <v>0.32291666666666669</v>
      </c>
      <c r="M758" s="30">
        <f t="shared" ref="M758:M769" ca="1" si="169">IFERROR(IF(K758="","",IF(L758="",MOD(NOW()-K758,1),IF(L758&gt;=K758,L758-K758,L758+1-K758))),"")</f>
        <v>3.125E-2</v>
      </c>
      <c r="N758" s="46" t="s">
        <v>272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232</v>
      </c>
      <c r="F759" s="27">
        <v>40</v>
      </c>
      <c r="G759" s="34">
        <f t="shared" si="168"/>
        <v>200</v>
      </c>
      <c r="H759" s="33" t="s">
        <v>20</v>
      </c>
      <c r="I759" s="33" t="s">
        <v>23</v>
      </c>
      <c r="J759" s="33" t="s">
        <v>200</v>
      </c>
      <c r="K759" s="29">
        <v>0.75138888888888888</v>
      </c>
      <c r="L759" s="29">
        <v>0.79166666666666663</v>
      </c>
      <c r="M759" s="35">
        <f t="shared" ca="1" si="169"/>
        <v>4.0277777777777746E-2</v>
      </c>
      <c r="N759" s="46" t="s">
        <v>273</v>
      </c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232</v>
      </c>
      <c r="F760" s="27">
        <v>34</v>
      </c>
      <c r="G760" s="28">
        <f t="shared" si="168"/>
        <v>170</v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232</v>
      </c>
      <c r="F761" s="27">
        <v>18</v>
      </c>
      <c r="G761" s="34">
        <f t="shared" si="168"/>
        <v>90</v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232</v>
      </c>
      <c r="F762" s="27">
        <v>11</v>
      </c>
      <c r="G762" s="28">
        <f t="shared" si="168"/>
        <v>55</v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232</v>
      </c>
      <c r="F763" s="27">
        <v>45</v>
      </c>
      <c r="G763" s="34">
        <f t="shared" si="168"/>
        <v>225</v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232</v>
      </c>
      <c r="F764" s="27">
        <v>24</v>
      </c>
      <c r="G764" s="28">
        <f t="shared" si="168"/>
        <v>120</v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232</v>
      </c>
      <c r="F765" s="27">
        <v>44</v>
      </c>
      <c r="G765" s="34">
        <f t="shared" si="168"/>
        <v>220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232</v>
      </c>
      <c r="F766" s="27">
        <v>45</v>
      </c>
      <c r="G766" s="28">
        <f t="shared" si="168"/>
        <v>225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232</v>
      </c>
      <c r="F767" s="27">
        <v>38</v>
      </c>
      <c r="G767" s="34">
        <f t="shared" si="168"/>
        <v>190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232</v>
      </c>
      <c r="F768" s="27">
        <v>45</v>
      </c>
      <c r="G768" s="28">
        <f t="shared" si="168"/>
        <v>225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232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350</v>
      </c>
      <c r="G770" s="36">
        <f>SUM(G758:G769)</f>
        <v>1750</v>
      </c>
      <c r="H770" s="37"/>
      <c r="I770" s="37"/>
      <c r="J770" s="37"/>
      <c r="K770" s="37"/>
      <c r="L770" s="37"/>
      <c r="M770" s="38">
        <f ca="1">IFERROR(SUM(M758:M769),"")</f>
        <v>7.1527777777777746E-2</v>
      </c>
      <c r="N770" s="36" t="s">
        <v>235</v>
      </c>
      <c r="O770" s="39">
        <v>1751285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232</v>
      </c>
      <c r="F771" s="27">
        <v>30</v>
      </c>
      <c r="G771" s="34">
        <f t="shared" ref="G771:G782" si="171">IF(F771="","",IF(E771="PC 17",F771*4.2,IF(E771="PC 19",F771*5,"")))</f>
        <v>150</v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232</v>
      </c>
      <c r="F772" s="27">
        <v>45</v>
      </c>
      <c r="G772" s="28">
        <f t="shared" si="171"/>
        <v>225</v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232</v>
      </c>
      <c r="F773" s="27">
        <v>5</v>
      </c>
      <c r="G773" s="34">
        <f>IF(F773="","",IF(E773="PC 17",F773*4.2,IF(E773="PC 19",F773*5,"")))</f>
        <v>25</v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232</v>
      </c>
      <c r="F774" s="27">
        <v>45</v>
      </c>
      <c r="G774" s="28">
        <f>IF(F774="","",IF(E774="PC 17",F774*4.2,IF(E774="PC 19",F774*5,"")))</f>
        <v>225</v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30</v>
      </c>
      <c r="E775" s="62" t="s">
        <v>232</v>
      </c>
      <c r="F775" s="27">
        <v>25</v>
      </c>
      <c r="G775" s="34">
        <f>IF(F775="","",IF(E775="PC 17",F775*4.2,IF(E775="PC 19",F775*5,"")))</f>
        <v>125</v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30</v>
      </c>
      <c r="E776" s="62" t="s">
        <v>232</v>
      </c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30</v>
      </c>
      <c r="E777" s="62" t="s">
        <v>232</v>
      </c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30</v>
      </c>
      <c r="E778" s="62" t="s">
        <v>232</v>
      </c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232</v>
      </c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232</v>
      </c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232</v>
      </c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232</v>
      </c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150</v>
      </c>
      <c r="G783" s="36">
        <f>SUM(G771:G782)</f>
        <v>750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500</v>
      </c>
      <c r="G784" s="40">
        <f>G770+G783</f>
        <v>2500</v>
      </c>
      <c r="H784" s="41"/>
      <c r="I784" s="41"/>
      <c r="J784" s="41"/>
      <c r="K784" s="41"/>
      <c r="L784" s="41"/>
      <c r="M784" s="42">
        <f ca="1">IFERROR(M770+M783,"")</f>
        <v>7.1527777777777746E-2</v>
      </c>
      <c r="N784" s="40" t="s">
        <v>238</v>
      </c>
      <c r="O784" s="48">
        <f>IFERROR(O770+O783,"")</f>
        <v>1751285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59" t="s">
        <v>232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750" activePane="bottomLeft" state="frozen"/>
      <selection pane="bottomLeft" activeCell="F776" sqref="F77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235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259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259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259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259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259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259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259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259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235</v>
      </c>
      <c r="O27" s="77">
        <v>393200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238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274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259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235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259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259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259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275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259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259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259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259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259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259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259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259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259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235</v>
      </c>
      <c r="O54" s="84">
        <v>276360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238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276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277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235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259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235</v>
      </c>
      <c r="O81" s="54">
        <v>787860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238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259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278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259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259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259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259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235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279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280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281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235</v>
      </c>
      <c r="O108" s="54">
        <v>1087080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238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282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235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283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250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284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285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235</v>
      </c>
      <c r="O135" s="54">
        <v>794480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238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286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287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235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288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207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289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235</v>
      </c>
      <c r="O162" s="54">
        <v>882280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238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259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259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259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259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259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259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259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259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259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259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259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259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235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235</v>
      </c>
      <c r="O189" s="77"/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238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235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290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291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235</v>
      </c>
      <c r="O216" s="77">
        <v>648410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238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292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293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259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259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259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259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259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259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234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235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207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294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288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259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259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235</v>
      </c>
      <c r="O243" s="77">
        <v>849060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238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295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259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259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259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259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259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259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235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232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235</v>
      </c>
      <c r="O270" s="77">
        <v>625070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238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296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297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235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298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259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235</v>
      </c>
      <c r="O297" s="77">
        <v>761660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238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299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299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259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235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259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300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301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235</v>
      </c>
      <c r="O324" s="77">
        <v>524410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238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259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259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259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259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302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232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259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259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259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259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259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259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259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235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303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304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235</v>
      </c>
      <c r="O351" s="77">
        <v>598420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238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259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259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235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259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259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259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0.78406180555612082</v>
      </c>
      <c r="N377" s="46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0.9417006944450097</v>
      </c>
      <c r="N378" s="36" t="s">
        <v>235</v>
      </c>
      <c r="O378" s="77">
        <v>511980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1.051422916667232</v>
      </c>
      <c r="N379" s="40" t="s">
        <v>238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259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259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213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259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259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288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259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305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259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259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259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259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235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259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306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250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235</v>
      </c>
      <c r="O405" s="77">
        <v>552440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238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259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259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259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259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259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259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259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232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259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259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235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259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214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307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0.76253402778093005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236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0.93336736111426344</v>
      </c>
      <c r="N432" s="36" t="s">
        <v>235</v>
      </c>
      <c r="O432" s="77">
        <v>484540</v>
      </c>
    </row>
    <row r="433" spans="1:15" ht="18" customHeight="1">
      <c r="A433" s="93" t="s">
        <v>237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1.0785062500031524</v>
      </c>
      <c r="N433" s="40" t="s">
        <v>238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309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235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310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232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235</v>
      </c>
      <c r="O459" s="77">
        <v>631190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238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311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312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313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232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232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232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232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235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314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235</v>
      </c>
      <c r="O486" s="77">
        <v>969510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238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232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232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315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232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259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259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259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259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259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259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235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236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235</v>
      </c>
      <c r="O513" s="77">
        <v>556040</v>
      </c>
    </row>
    <row r="514" spans="1:15" ht="18" customHeight="1">
      <c r="A514" s="93" t="s">
        <v>237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238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316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235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235</v>
      </c>
      <c r="O540" s="77">
        <v>548610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238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317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235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259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259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259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318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259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259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259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259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259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259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259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235</v>
      </c>
      <c r="O567" s="77">
        <v>722660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238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319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235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259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259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259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259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259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259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259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235</v>
      </c>
      <c r="O594" s="77">
        <v>644900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238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320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235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321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235</v>
      </c>
      <c r="O621" s="77">
        <v>348050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238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259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259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259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259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259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259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259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259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259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235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235</v>
      </c>
      <c r="O648" s="77">
        <v>757160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238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259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322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259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259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323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259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324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325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259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259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259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259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259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259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259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235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259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259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259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259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259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235</v>
      </c>
      <c r="O675" s="77">
        <v>681950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238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208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326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259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259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327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5" t="s">
        <v>234</v>
      </c>
      <c r="B689" s="116"/>
      <c r="C689" s="116"/>
      <c r="D689" s="116"/>
      <c r="E689" s="117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235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328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329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235</v>
      </c>
      <c r="O702" s="77">
        <v>813880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238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330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331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332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235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259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333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232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259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259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259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334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259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259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259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232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232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232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259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235</v>
      </c>
      <c r="O729" s="77">
        <v>766420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238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259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259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335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259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259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259</v>
      </c>
      <c r="F735" s="27">
        <v>12</v>
      </c>
      <c r="G735" s="34">
        <f t="shared" si="162"/>
        <v>50.400000000000006</v>
      </c>
      <c r="H735" s="33" t="s">
        <v>20</v>
      </c>
      <c r="I735" s="33" t="s">
        <v>121</v>
      </c>
      <c r="J735" s="33" t="s">
        <v>113</v>
      </c>
      <c r="K735" s="29">
        <v>0.68680555555555556</v>
      </c>
      <c r="L735" s="29">
        <v>0.7006944444444444</v>
      </c>
      <c r="M735" s="35">
        <f t="shared" ca="1" si="163"/>
        <v>1.388888888888884E-2</v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259</v>
      </c>
      <c r="F736" s="27">
        <v>0</v>
      </c>
      <c r="G736" s="28">
        <f t="shared" si="162"/>
        <v>0</v>
      </c>
      <c r="H736" s="26" t="s">
        <v>17</v>
      </c>
      <c r="I736" s="26" t="s">
        <v>133</v>
      </c>
      <c r="J736" s="26" t="s">
        <v>49</v>
      </c>
      <c r="K736" s="29">
        <v>0.7006944444444444</v>
      </c>
      <c r="L736" s="29">
        <v>0.70277777777777772</v>
      </c>
      <c r="M736" s="30">
        <f t="shared" ca="1" si="163"/>
        <v>2.0833333333333259E-3</v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259</v>
      </c>
      <c r="F737" s="27">
        <v>27</v>
      </c>
      <c r="G737" s="34">
        <f t="shared" si="162"/>
        <v>113.4</v>
      </c>
      <c r="H737" s="33" t="s">
        <v>20</v>
      </c>
      <c r="I737" s="33" t="s">
        <v>39</v>
      </c>
      <c r="J737" s="33" t="s">
        <v>56</v>
      </c>
      <c r="K737" s="29">
        <v>0.72847222222222219</v>
      </c>
      <c r="L737" s="29">
        <v>0.73819444444444449</v>
      </c>
      <c r="M737" s="35">
        <f t="shared" ca="1" si="163"/>
        <v>9.7222222222222987E-3</v>
      </c>
      <c r="N737" s="46" t="s">
        <v>336</v>
      </c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259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259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259</v>
      </c>
      <c r="F740" s="27">
        <v>15</v>
      </c>
      <c r="G740" s="28">
        <f t="shared" si="162"/>
        <v>63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259</v>
      </c>
      <c r="F741" s="27">
        <v>9</v>
      </c>
      <c r="G741" s="34">
        <f t="shared" si="162"/>
        <v>37.800000000000004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259</v>
      </c>
      <c r="F742" s="27">
        <v>5</v>
      </c>
      <c r="G742" s="28">
        <f t="shared" si="162"/>
        <v>21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135</v>
      </c>
      <c r="G743" s="36">
        <f>SUM(G731:G742)</f>
        <v>567</v>
      </c>
      <c r="H743" s="37"/>
      <c r="I743" s="37"/>
      <c r="J743" s="37"/>
      <c r="K743" s="37"/>
      <c r="L743" s="37"/>
      <c r="M743" s="38">
        <f ca="1">IFERROR(SUM(M731:M742),"")</f>
        <v>7.0138888888888862E-2</v>
      </c>
      <c r="N743" s="36" t="s">
        <v>235</v>
      </c>
      <c r="O743" s="77">
        <v>658990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11</v>
      </c>
      <c r="G745" s="34">
        <f t="shared" si="165"/>
        <v>46.2</v>
      </c>
      <c r="H745" s="33" t="s">
        <v>20</v>
      </c>
      <c r="I745" s="33" t="s">
        <v>39</v>
      </c>
      <c r="J745" s="33" t="s">
        <v>28</v>
      </c>
      <c r="K745" s="29">
        <v>0.93541666666666667</v>
      </c>
      <c r="L745" s="29">
        <v>0.9375</v>
      </c>
      <c r="M745" s="35">
        <f t="shared" ca="1" si="166"/>
        <v>2.0833333333333259E-3</v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10</v>
      </c>
      <c r="G746" s="28">
        <f t="shared" si="165"/>
        <v>42</v>
      </c>
      <c r="H746" s="26" t="s">
        <v>20</v>
      </c>
      <c r="I746" s="26" t="s">
        <v>39</v>
      </c>
      <c r="J746" s="26" t="s">
        <v>62</v>
      </c>
      <c r="K746" s="29">
        <v>7.6388888888888886E-3</v>
      </c>
      <c r="L746" s="29">
        <v>1.3888888888888888E-2</v>
      </c>
      <c r="M746" s="30">
        <f t="shared" ca="1" si="166"/>
        <v>6.2499999999999995E-3</v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9</v>
      </c>
      <c r="G747" s="34">
        <f t="shared" si="165"/>
        <v>37.800000000000004</v>
      </c>
      <c r="H747" s="33" t="s">
        <v>19</v>
      </c>
      <c r="I747" s="33" t="s">
        <v>157</v>
      </c>
      <c r="J747" s="33" t="s">
        <v>27</v>
      </c>
      <c r="K747" s="29">
        <v>6.805555555555555E-2</v>
      </c>
      <c r="L747" s="29">
        <v>9.7916666666666666E-2</v>
      </c>
      <c r="M747" s="35">
        <f t="shared" ca="1" si="166"/>
        <v>2.9861111111111116E-2</v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14</v>
      </c>
      <c r="G748" s="28">
        <f t="shared" si="165"/>
        <v>58.800000000000004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21</v>
      </c>
      <c r="G749" s="34">
        <f t="shared" si="165"/>
        <v>88.2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5</v>
      </c>
      <c r="G750" s="28">
        <f t="shared" si="165"/>
        <v>21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>
        <v>5</v>
      </c>
      <c r="G751" s="34">
        <f t="shared" si="165"/>
        <v>21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>
        <v>14</v>
      </c>
      <c r="G752" s="28">
        <f t="shared" si="165"/>
        <v>58.800000000000004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>
        <v>9</v>
      </c>
      <c r="G753" s="34">
        <f t="shared" si="165"/>
        <v>37.800000000000004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>
        <v>11</v>
      </c>
      <c r="G754" s="28">
        <f t="shared" si="165"/>
        <v>46.2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>
        <v>4</v>
      </c>
      <c r="G755" s="34">
        <f t="shared" si="165"/>
        <v>16.8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137</v>
      </c>
      <c r="G756" s="36">
        <f>SUM(G744:G755)</f>
        <v>575.4</v>
      </c>
      <c r="H756" s="37"/>
      <c r="I756" s="37"/>
      <c r="J756" s="37"/>
      <c r="K756" s="37"/>
      <c r="L756" s="37"/>
      <c r="M756" s="38">
        <f ca="1">IFERROR(SUM(M744:M755),"")</f>
        <v>9.7222222222222321E-2</v>
      </c>
      <c r="N756" s="36" t="s">
        <v>235</v>
      </c>
      <c r="O756" s="39">
        <v>605420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272</v>
      </c>
      <c r="G757" s="40">
        <f>G743+G756</f>
        <v>1142.4000000000001</v>
      </c>
      <c r="H757" s="41"/>
      <c r="I757" s="41"/>
      <c r="J757" s="41"/>
      <c r="K757" s="41"/>
      <c r="L757" s="41"/>
      <c r="M757" s="42">
        <f ca="1">IFERROR(M743+M756,"")</f>
        <v>0.16736111111111118</v>
      </c>
      <c r="N757" s="40" t="s">
        <v>238</v>
      </c>
      <c r="O757" s="83">
        <f>IFERROR(O743+O756,"")</f>
        <v>1264410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259</v>
      </c>
      <c r="F758" s="27">
        <v>21</v>
      </c>
      <c r="G758" s="28">
        <f t="shared" ref="G758:G769" si="168">IF(F758="","",IF(E758="PC 17",F758*4.2,IF(E758="PC 19",F758*5,"")))</f>
        <v>88.2</v>
      </c>
      <c r="H758" s="26" t="s">
        <v>20</v>
      </c>
      <c r="I758" s="26" t="s">
        <v>155</v>
      </c>
      <c r="J758" s="26" t="s">
        <v>74</v>
      </c>
      <c r="K758" s="29">
        <v>0.37986111111111109</v>
      </c>
      <c r="L758" s="29" t="s">
        <v>337</v>
      </c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259</v>
      </c>
      <c r="F759" s="27">
        <v>20</v>
      </c>
      <c r="G759" s="34">
        <f t="shared" si="168"/>
        <v>84</v>
      </c>
      <c r="H759" s="33" t="s">
        <v>19</v>
      </c>
      <c r="I759" s="33" t="s">
        <v>31</v>
      </c>
      <c r="J759" s="33" t="s">
        <v>50</v>
      </c>
      <c r="K759" s="29">
        <v>0.40902777777777777</v>
      </c>
      <c r="L759" s="29">
        <v>0.45347222222222222</v>
      </c>
      <c r="M759" s="35">
        <f t="shared" ca="1" si="169"/>
        <v>4.4444444444444453E-2</v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259</v>
      </c>
      <c r="F760" s="27">
        <v>8</v>
      </c>
      <c r="G760" s="28">
        <f t="shared" si="168"/>
        <v>33.6</v>
      </c>
      <c r="H760" s="26" t="s">
        <v>20</v>
      </c>
      <c r="I760" s="26" t="s">
        <v>155</v>
      </c>
      <c r="J760" s="26" t="s">
        <v>74</v>
      </c>
      <c r="K760" s="29">
        <v>0.52083333333333337</v>
      </c>
      <c r="L760" s="29">
        <v>0.52847222222222223</v>
      </c>
      <c r="M760" s="30">
        <f t="shared" ca="1" si="169"/>
        <v>7.6388888888888618E-3</v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259</v>
      </c>
      <c r="F761" s="27">
        <v>0</v>
      </c>
      <c r="G761" s="34">
        <f t="shared" si="168"/>
        <v>0</v>
      </c>
      <c r="H761" s="33" t="s">
        <v>19</v>
      </c>
      <c r="I761" s="33" t="s">
        <v>157</v>
      </c>
      <c r="J761" s="33" t="s">
        <v>27</v>
      </c>
      <c r="K761" s="29">
        <v>0.59097222222222223</v>
      </c>
      <c r="L761" s="29">
        <v>0.60416666666666663</v>
      </c>
      <c r="M761" s="35">
        <f t="shared" ca="1" si="169"/>
        <v>1.3194444444444398E-2</v>
      </c>
      <c r="N761" s="46" t="s">
        <v>338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259</v>
      </c>
      <c r="F762" s="27">
        <v>13</v>
      </c>
      <c r="G762" s="28">
        <f t="shared" si="168"/>
        <v>54.6</v>
      </c>
      <c r="H762" s="26" t="s">
        <v>20</v>
      </c>
      <c r="I762" s="26" t="s">
        <v>155</v>
      </c>
      <c r="J762" s="26" t="s">
        <v>74</v>
      </c>
      <c r="K762" s="29">
        <v>0.65069444444444446</v>
      </c>
      <c r="L762" s="29">
        <v>0.65347222222222223</v>
      </c>
      <c r="M762" s="30">
        <f t="shared" ca="1" si="169"/>
        <v>2.7777777777777679E-3</v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232</v>
      </c>
      <c r="F763" s="27">
        <v>10</v>
      </c>
      <c r="G763" s="34">
        <f t="shared" si="168"/>
        <v>50</v>
      </c>
      <c r="H763" s="33" t="s">
        <v>17</v>
      </c>
      <c r="I763" s="33"/>
      <c r="J763" s="33" t="s">
        <v>86</v>
      </c>
      <c r="K763" s="29">
        <v>0.73541666666666672</v>
      </c>
      <c r="L763" s="29">
        <v>0.76041666666666663</v>
      </c>
      <c r="M763" s="35">
        <f t="shared" ca="1" si="169"/>
        <v>2.4999999999999911E-2</v>
      </c>
      <c r="N763" s="46" t="s">
        <v>339</v>
      </c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22</v>
      </c>
      <c r="E764" s="59" t="s">
        <v>259</v>
      </c>
      <c r="F764" s="27">
        <v>9</v>
      </c>
      <c r="G764" s="28">
        <f t="shared" si="168"/>
        <v>37.800000000000004</v>
      </c>
      <c r="H764" s="26" t="s">
        <v>17</v>
      </c>
      <c r="I764" s="26"/>
      <c r="J764" s="26" t="s">
        <v>25</v>
      </c>
      <c r="K764" s="29">
        <v>0.76458333333333328</v>
      </c>
      <c r="L764" s="29">
        <v>0.76666666666666672</v>
      </c>
      <c r="M764" s="30">
        <f t="shared" ca="1" si="169"/>
        <v>2.083333333333437E-3</v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22</v>
      </c>
      <c r="E765" s="62" t="s">
        <v>259</v>
      </c>
      <c r="F765" s="27">
        <v>15</v>
      </c>
      <c r="G765" s="34">
        <f t="shared" si="168"/>
        <v>63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22</v>
      </c>
      <c r="E766" s="59" t="s">
        <v>259</v>
      </c>
      <c r="F766" s="27">
        <v>12</v>
      </c>
      <c r="G766" s="28">
        <f t="shared" si="168"/>
        <v>50.400000000000006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22</v>
      </c>
      <c r="E767" s="62" t="s">
        <v>259</v>
      </c>
      <c r="F767" s="27">
        <v>15</v>
      </c>
      <c r="G767" s="34">
        <f t="shared" si="168"/>
        <v>63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22</v>
      </c>
      <c r="E768" s="59" t="s">
        <v>259</v>
      </c>
      <c r="F768" s="27">
        <v>10</v>
      </c>
      <c r="G768" s="28">
        <f t="shared" si="168"/>
        <v>42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22</v>
      </c>
      <c r="E769" s="62" t="s">
        <v>259</v>
      </c>
      <c r="F769" s="27">
        <v>1</v>
      </c>
      <c r="G769" s="34">
        <f t="shared" si="168"/>
        <v>4.2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134</v>
      </c>
      <c r="G770" s="36">
        <f>SUM(G758:G769)</f>
        <v>570.80000000000007</v>
      </c>
      <c r="H770" s="37"/>
      <c r="I770" s="37"/>
      <c r="J770" s="37"/>
      <c r="K770" s="37"/>
      <c r="L770" s="37"/>
      <c r="M770" s="38">
        <f ca="1">IFERROR(SUM(M758:M769),"")</f>
        <v>9.5138888888888828E-2</v>
      </c>
      <c r="N770" s="36" t="s">
        <v>235</v>
      </c>
      <c r="O770" s="77">
        <v>610890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259</v>
      </c>
      <c r="F771" s="27">
        <v>23</v>
      </c>
      <c r="G771" s="34">
        <f t="shared" ref="G771:G782" si="171">IF(F771="","",IF(E771="PC 17",F771*4.2,IF(E771="PC 19",F771*5,"")))</f>
        <v>96.600000000000009</v>
      </c>
      <c r="H771" s="33" t="s">
        <v>20</v>
      </c>
      <c r="I771" s="33" t="s">
        <v>39</v>
      </c>
      <c r="J771" s="33" t="s">
        <v>36</v>
      </c>
      <c r="K771" s="29">
        <v>0.84027777777777779</v>
      </c>
      <c r="L771" s="29">
        <v>0.85416666666666663</v>
      </c>
      <c r="M771" s="35">
        <f t="shared" ref="M771:M782" ca="1" si="172">IFERROR(IF(K771="","",IF(L771="",MOD(NOW()-K771,1),IF(L771&gt;=K771,L771-K771,L771+1-K771))),"")</f>
        <v>1.388888888888884E-2</v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232</v>
      </c>
      <c r="F772" s="27">
        <v>11</v>
      </c>
      <c r="G772" s="28">
        <f t="shared" si="171"/>
        <v>55</v>
      </c>
      <c r="H772" s="26" t="s">
        <v>20</v>
      </c>
      <c r="I772" s="26" t="s">
        <v>121</v>
      </c>
      <c r="J772" s="26" t="s">
        <v>113</v>
      </c>
      <c r="K772" s="29">
        <v>0.91874999999999996</v>
      </c>
      <c r="L772" s="29">
        <v>0.93402777777777779</v>
      </c>
      <c r="M772" s="30">
        <f t="shared" ca="1" si="172"/>
        <v>1.5277777777777835E-2</v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259</v>
      </c>
      <c r="F773" s="27">
        <v>26</v>
      </c>
      <c r="G773" s="34">
        <f t="shared" si="171"/>
        <v>109.2</v>
      </c>
      <c r="H773" s="33" t="s">
        <v>19</v>
      </c>
      <c r="I773" s="33" t="s">
        <v>157</v>
      </c>
      <c r="J773" s="33" t="s">
        <v>27</v>
      </c>
      <c r="K773" s="29">
        <v>0.93472222222222223</v>
      </c>
      <c r="L773" s="29">
        <v>0.9458333333333333</v>
      </c>
      <c r="M773" s="35">
        <f t="shared" ca="1" si="172"/>
        <v>1.1111111111111072E-2</v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259</v>
      </c>
      <c r="F774" s="27">
        <v>11</v>
      </c>
      <c r="G774" s="28">
        <f t="shared" si="171"/>
        <v>46.2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0.98819444444444449</v>
      </c>
      <c r="M774" s="30">
        <f t="shared" ca="1" si="172"/>
        <v>1.0416666666666741E-2</v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259</v>
      </c>
      <c r="F775" s="27">
        <v>18</v>
      </c>
      <c r="G775" s="34">
        <f t="shared" si="171"/>
        <v>75.600000000000009</v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259</v>
      </c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259</v>
      </c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259</v>
      </c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22</v>
      </c>
      <c r="E779" s="62" t="s">
        <v>259</v>
      </c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22</v>
      </c>
      <c r="E780" s="62" t="s">
        <v>259</v>
      </c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22</v>
      </c>
      <c r="E781" s="62" t="s">
        <v>259</v>
      </c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22</v>
      </c>
      <c r="E782" s="62" t="s">
        <v>259</v>
      </c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89</v>
      </c>
      <c r="G783" s="36">
        <f>SUM(G771:G782)</f>
        <v>382.6</v>
      </c>
      <c r="H783" s="37"/>
      <c r="I783" s="37"/>
      <c r="J783" s="37"/>
      <c r="K783" s="37"/>
      <c r="L783" s="37"/>
      <c r="M783" s="38">
        <f ca="1">IFERROR(SUM(M771:M782),"")</f>
        <v>5.0694444444444486E-2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223</v>
      </c>
      <c r="G784" s="40">
        <f>G770+G783</f>
        <v>953.40000000000009</v>
      </c>
      <c r="H784" s="41"/>
      <c r="I784" s="41"/>
      <c r="J784" s="41"/>
      <c r="K784" s="41"/>
      <c r="L784" s="41"/>
      <c r="M784" s="42">
        <f ca="1">IFERROR(M770+M783,"")</f>
        <v>0.14583333333333331</v>
      </c>
      <c r="N784" s="40" t="s">
        <v>238</v>
      </c>
      <c r="O784" s="83">
        <f>IFERROR(O770+O783,"")</f>
        <v>610890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754" zoomScale="50" zoomScaleNormal="50" workbookViewId="0">
      <selection activeCell="F776" sqref="F77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4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324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340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235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259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259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259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259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259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259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259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235</v>
      </c>
      <c r="O27" s="39">
        <v>308500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238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341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259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259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259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235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259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259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259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259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259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259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259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259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259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259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235</v>
      </c>
      <c r="O54" s="39">
        <v>124290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238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259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259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259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259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342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259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259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259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259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259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259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259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259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235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310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235</v>
      </c>
      <c r="O81" s="39">
        <v>396340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238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232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232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343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235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235</v>
      </c>
      <c r="O108" s="39">
        <v>41230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238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235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285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235</v>
      </c>
      <c r="O135" s="39">
        <v>381250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238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344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287</v>
      </c>
      <c r="K141" s="29">
        <v>0.71597222222222223</v>
      </c>
      <c r="L141" s="29" t="s">
        <v>345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232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232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235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346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289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235</v>
      </c>
      <c r="O162" s="39">
        <v>337120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238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232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259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259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347</v>
      </c>
      <c r="N166" s="27" t="s">
        <v>348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259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259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259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259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259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259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259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259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235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259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259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259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259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259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259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259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259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259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259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259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259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235</v>
      </c>
      <c r="O189" s="39">
        <v>747210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238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259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259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349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259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259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259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259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259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259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259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259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259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259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235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235</v>
      </c>
      <c r="O216" s="39">
        <v>468430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238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259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259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259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259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259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259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235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259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235</v>
      </c>
      <c r="O243" s="39">
        <v>575930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238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209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259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259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259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259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259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259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235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259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350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351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235</v>
      </c>
      <c r="O270" s="39">
        <v>483510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238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235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352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259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353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259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235</v>
      </c>
      <c r="O297" s="39">
        <v>487980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238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354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232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235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259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355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356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235</v>
      </c>
      <c r="O324" s="39">
        <v>609460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238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259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357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259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259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259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310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232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259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344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259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259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259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259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259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259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235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235</v>
      </c>
      <c r="O351" s="39">
        <v>437940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238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259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259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235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259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259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259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259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259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259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259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235</v>
      </c>
      <c r="O378" s="39">
        <v>473310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238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259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259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259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259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259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259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259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259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259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235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235</v>
      </c>
      <c r="O405" s="39">
        <v>507450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238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259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259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259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259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259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259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259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232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232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259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259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235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232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307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235</v>
      </c>
      <c r="O432" s="39">
        <v>229150</v>
      </c>
    </row>
    <row r="433" spans="1:15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238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358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235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232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235</v>
      </c>
      <c r="O459" s="39">
        <v>409980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238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232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232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232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232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235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235</v>
      </c>
      <c r="O486" s="39">
        <v>341550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238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359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232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232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232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232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259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259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259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259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259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235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235</v>
      </c>
      <c r="O513" s="39">
        <v>276610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238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235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360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361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362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235</v>
      </c>
      <c r="O540" s="39">
        <v>194990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238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363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235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259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364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259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259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259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259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259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259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259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259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259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235</v>
      </c>
      <c r="O567" s="39">
        <v>315860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238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365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235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259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259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259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259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259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259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259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235</v>
      </c>
      <c r="O594" s="39">
        <v>424930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238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366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326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235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235</v>
      </c>
      <c r="O621" s="39">
        <v>377360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238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259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259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259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259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259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259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259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259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259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235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235</v>
      </c>
      <c r="O648" s="39">
        <v>319500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238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259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367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259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259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326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259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259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259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259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259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259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259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259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235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259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259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368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259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259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259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235</v>
      </c>
      <c r="O675" s="39">
        <v>323580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238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259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259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235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235</v>
      </c>
      <c r="O702" s="39">
        <v>349730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238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310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235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259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259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259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259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259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259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259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232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232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232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235</v>
      </c>
      <c r="O729" s="39">
        <v>175420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238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259</v>
      </c>
      <c r="F731" s="27">
        <v>1</v>
      </c>
      <c r="G731" s="34">
        <f t="shared" ref="G731:G742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259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324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259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259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259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>
        <v>0.69861111111111107</v>
      </c>
      <c r="M735" s="35">
        <f t="shared" ca="1" si="163"/>
        <v>1.388888888888884E-2</v>
      </c>
      <c r="N735" s="27" t="s">
        <v>324</v>
      </c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259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259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259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259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259</v>
      </c>
      <c r="F740" s="27">
        <v>2</v>
      </c>
      <c r="G740" s="28">
        <f t="shared" si="162"/>
        <v>8.4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259</v>
      </c>
      <c r="F741" s="27">
        <v>6</v>
      </c>
      <c r="G741" s="28">
        <f t="shared" si="162"/>
        <v>25.200000000000003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259</v>
      </c>
      <c r="F742" s="27">
        <v>6</v>
      </c>
      <c r="G742" s="28">
        <f t="shared" si="162"/>
        <v>25.200000000000003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65</v>
      </c>
      <c r="G743" s="36">
        <f>SUM(G731:G742)</f>
        <v>273</v>
      </c>
      <c r="H743" s="37"/>
      <c r="I743" s="37"/>
      <c r="J743" s="37"/>
      <c r="K743" s="37"/>
      <c r="L743" s="37"/>
      <c r="M743" s="38">
        <f ca="1">IFERROR(SUM(M731:M742),"")</f>
        <v>6.458333333333327E-2</v>
      </c>
      <c r="N743" s="36" t="s">
        <v>235</v>
      </c>
      <c r="O743" s="39">
        <v>272000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5</v>
      </c>
      <c r="G744" s="28">
        <f t="shared" ref="G744:G755" si="165">IF(F744="","",IF(E744="PC 17",F744*4.2,IF(E744="PC 19",F744*5,"")))</f>
        <v>21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2</v>
      </c>
      <c r="G745" s="34">
        <f t="shared" si="165"/>
        <v>8.4</v>
      </c>
      <c r="H745" s="33" t="s">
        <v>20</v>
      </c>
      <c r="I745" s="33" t="s">
        <v>47</v>
      </c>
      <c r="J745" s="33" t="s">
        <v>28</v>
      </c>
      <c r="K745" s="29">
        <v>0.97222222222222221</v>
      </c>
      <c r="L745" s="29">
        <v>0.98124999999999996</v>
      </c>
      <c r="M745" s="35">
        <f t="shared" ca="1" si="166"/>
        <v>9.0277777777777457E-3</v>
      </c>
      <c r="N745" s="27" t="s">
        <v>369</v>
      </c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4</v>
      </c>
      <c r="G746" s="28">
        <f t="shared" si="165"/>
        <v>16.8</v>
      </c>
      <c r="H746" s="26" t="s">
        <v>20</v>
      </c>
      <c r="I746" s="26" t="s">
        <v>47</v>
      </c>
      <c r="J746" s="26" t="s">
        <v>202</v>
      </c>
      <c r="K746" s="29">
        <v>5.1388888888888887E-2</v>
      </c>
      <c r="L746" s="29">
        <v>7.6388888888888895E-2</v>
      </c>
      <c r="M746" s="30">
        <f t="shared" ca="1" si="166"/>
        <v>2.5000000000000008E-2</v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2</v>
      </c>
      <c r="G747" s="34">
        <f t="shared" si="165"/>
        <v>8.4</v>
      </c>
      <c r="H747" s="33" t="s">
        <v>20</v>
      </c>
      <c r="I747" s="33" t="s">
        <v>47</v>
      </c>
      <c r="J747" s="33" t="s">
        <v>202</v>
      </c>
      <c r="K747" s="29">
        <v>8.3333333333333329E-2</v>
      </c>
      <c r="L747" s="29">
        <v>9.7222222222222224E-2</v>
      </c>
      <c r="M747" s="35">
        <f t="shared" ca="1" si="166"/>
        <v>1.3888888888888895E-2</v>
      </c>
      <c r="N747" s="27" t="s">
        <v>370</v>
      </c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3</v>
      </c>
      <c r="G748" s="28">
        <f t="shared" si="165"/>
        <v>12.600000000000001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6</v>
      </c>
      <c r="G749" s="34">
        <f t="shared" si="165"/>
        <v>25.200000000000003</v>
      </c>
      <c r="H749" s="33" t="s">
        <v>20</v>
      </c>
      <c r="I749" s="33" t="s">
        <v>47</v>
      </c>
      <c r="J749" s="33" t="s">
        <v>36</v>
      </c>
      <c r="K749" s="29">
        <v>0.1388888888888889</v>
      </c>
      <c r="L749" s="29">
        <v>0.15277777777777779</v>
      </c>
      <c r="M749" s="35">
        <f t="shared" ca="1" si="166"/>
        <v>1.3888888888888895E-2</v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2</v>
      </c>
      <c r="G750" s="28">
        <f t="shared" si="165"/>
        <v>8.4</v>
      </c>
      <c r="H750" s="26" t="s">
        <v>20</v>
      </c>
      <c r="I750" s="26" t="s">
        <v>47</v>
      </c>
      <c r="J750" s="26" t="s">
        <v>36</v>
      </c>
      <c r="K750" s="29">
        <v>0.19930555555555557</v>
      </c>
      <c r="L750" s="29">
        <v>0.21875</v>
      </c>
      <c r="M750" s="30">
        <f t="shared" ca="1" si="166"/>
        <v>1.9444444444444431E-2</v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>
        <v>4</v>
      </c>
      <c r="G751" s="34">
        <f t="shared" si="165"/>
        <v>16.8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>
        <v>0</v>
      </c>
      <c r="G752" s="28">
        <f t="shared" si="165"/>
        <v>0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>
        <v>4</v>
      </c>
      <c r="G753" s="34">
        <f t="shared" si="165"/>
        <v>16.8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>
        <v>2</v>
      </c>
      <c r="G754" s="28">
        <f t="shared" si="165"/>
        <v>8.4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>
        <v>1</v>
      </c>
      <c r="G755" s="34">
        <f t="shared" si="165"/>
        <v>4.2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35</v>
      </c>
      <c r="G756" s="36">
        <f>SUM(G744:G755)</f>
        <v>147</v>
      </c>
      <c r="H756" s="37"/>
      <c r="I756" s="37"/>
      <c r="J756" s="37"/>
      <c r="K756" s="37"/>
      <c r="L756" s="37"/>
      <c r="M756" s="38">
        <f ca="1">IFERROR(SUM(M744:M755),"")</f>
        <v>0.14027777777777783</v>
      </c>
      <c r="N756" s="36" t="s">
        <v>235</v>
      </c>
      <c r="O756" s="39">
        <v>154160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100</v>
      </c>
      <c r="G757" s="40">
        <f>G743+G756</f>
        <v>420</v>
      </c>
      <c r="H757" s="41"/>
      <c r="I757" s="41"/>
      <c r="J757" s="41"/>
      <c r="K757" s="41"/>
      <c r="L757" s="41"/>
      <c r="M757" s="42">
        <f ca="1">IFERROR(M743+M756,"")</f>
        <v>0.2048611111111111</v>
      </c>
      <c r="N757" s="40" t="s">
        <v>238</v>
      </c>
      <c r="O757" s="48">
        <f>IFERROR(O743+O756,"")</f>
        <v>426160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259</v>
      </c>
      <c r="F758" s="27">
        <v>2</v>
      </c>
      <c r="G758" s="28">
        <f t="shared" ref="G758:G769" si="168">IF(F758="","",IF(E758="PC 17",F758*4.2,IF(E758="PC 19",F758*5,"")))</f>
        <v>8.4</v>
      </c>
      <c r="H758" s="26" t="s">
        <v>18</v>
      </c>
      <c r="I758" s="26" t="s">
        <v>47</v>
      </c>
      <c r="J758" s="26" t="s">
        <v>128</v>
      </c>
      <c r="K758" s="29">
        <v>0.29930555555555555</v>
      </c>
      <c r="L758" s="29">
        <v>0.31597222222222221</v>
      </c>
      <c r="M758" s="30">
        <f t="shared" ref="M758:M769" ca="1" si="169">IFERROR(IF(K758="","",IF(L758="",MOD(NOW()-K758,1),IF(L758&gt;=K758,L758-K758,L758+1-K758))),"")</f>
        <v>1.6666666666666663E-2</v>
      </c>
      <c r="N758" s="27" t="s">
        <v>371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259</v>
      </c>
      <c r="F759" s="27">
        <v>1</v>
      </c>
      <c r="G759" s="34">
        <f t="shared" si="168"/>
        <v>4.2</v>
      </c>
      <c r="H759" s="33" t="s">
        <v>20</v>
      </c>
      <c r="I759" s="33" t="s">
        <v>47</v>
      </c>
      <c r="J759" s="33" t="s">
        <v>36</v>
      </c>
      <c r="K759" s="29">
        <v>0.34236111111111112</v>
      </c>
      <c r="L759" s="29">
        <v>0.36458333333333331</v>
      </c>
      <c r="M759" s="35">
        <f t="shared" ca="1" si="169"/>
        <v>2.2222222222222199E-2</v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259</v>
      </c>
      <c r="F760" s="27">
        <v>5</v>
      </c>
      <c r="G760" s="28">
        <f t="shared" si="168"/>
        <v>21</v>
      </c>
      <c r="H760" s="26" t="s">
        <v>20</v>
      </c>
      <c r="I760" s="26" t="s">
        <v>155</v>
      </c>
      <c r="J760" s="26" t="s">
        <v>74</v>
      </c>
      <c r="K760" s="29">
        <v>0.37986111111111109</v>
      </c>
      <c r="L760" s="29">
        <v>0.38541666666666669</v>
      </c>
      <c r="M760" s="30">
        <f t="shared" ca="1" si="169"/>
        <v>5.5555555555555913E-3</v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259</v>
      </c>
      <c r="F761" s="27">
        <v>4</v>
      </c>
      <c r="G761" s="34">
        <f t="shared" si="168"/>
        <v>16.8</v>
      </c>
      <c r="H761" s="33" t="s">
        <v>18</v>
      </c>
      <c r="I761" s="33" t="s">
        <v>47</v>
      </c>
      <c r="J761" s="33" t="s">
        <v>128</v>
      </c>
      <c r="K761" s="29">
        <v>0.39861111111111114</v>
      </c>
      <c r="L761" s="29">
        <v>0.4201388888888889</v>
      </c>
      <c r="M761" s="35">
        <f t="shared" ca="1" si="169"/>
        <v>2.1527777777777757E-2</v>
      </c>
      <c r="N761" s="27" t="s">
        <v>324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259</v>
      </c>
      <c r="F762" s="27">
        <v>8</v>
      </c>
      <c r="G762" s="28">
        <f t="shared" si="168"/>
        <v>33.6</v>
      </c>
      <c r="H762" s="26" t="s">
        <v>20</v>
      </c>
      <c r="I762" s="26" t="s">
        <v>155</v>
      </c>
      <c r="J762" s="26" t="s">
        <v>74</v>
      </c>
      <c r="K762" s="29">
        <v>0.52083333333333337</v>
      </c>
      <c r="L762" s="29">
        <v>0.52847222222222223</v>
      </c>
      <c r="M762" s="30">
        <f t="shared" ca="1" si="169"/>
        <v>7.6388888888888618E-3</v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232</v>
      </c>
      <c r="F763" s="27">
        <v>5</v>
      </c>
      <c r="G763" s="34">
        <f t="shared" si="168"/>
        <v>25</v>
      </c>
      <c r="H763" s="33" t="s">
        <v>20</v>
      </c>
      <c r="I763" s="33" t="s">
        <v>47</v>
      </c>
      <c r="J763" s="33" t="s">
        <v>51</v>
      </c>
      <c r="K763" s="29">
        <v>0.57361111111111107</v>
      </c>
      <c r="L763" s="29">
        <v>0.57708333333333328</v>
      </c>
      <c r="M763" s="35">
        <f t="shared" ca="1" si="169"/>
        <v>3.4722222222222099E-3</v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259</v>
      </c>
      <c r="F764" s="27">
        <v>1</v>
      </c>
      <c r="G764" s="28">
        <f t="shared" si="168"/>
        <v>4.2</v>
      </c>
      <c r="H764" s="26" t="s">
        <v>20</v>
      </c>
      <c r="I764" s="26" t="s">
        <v>47</v>
      </c>
      <c r="J764" s="26" t="s">
        <v>51</v>
      </c>
      <c r="K764" s="29">
        <v>0.61111111111111116</v>
      </c>
      <c r="L764" s="29">
        <v>0.61527777777777781</v>
      </c>
      <c r="M764" s="30">
        <f t="shared" ca="1" si="169"/>
        <v>4.1666666666666519E-3</v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259</v>
      </c>
      <c r="F765" s="27">
        <v>5</v>
      </c>
      <c r="G765" s="34">
        <f t="shared" si="168"/>
        <v>21</v>
      </c>
      <c r="H765" s="33" t="s">
        <v>20</v>
      </c>
      <c r="I765" s="33" t="s">
        <v>47</v>
      </c>
      <c r="J765" s="33" t="s">
        <v>51</v>
      </c>
      <c r="K765" s="29">
        <v>0.63888888888888884</v>
      </c>
      <c r="L765" s="29">
        <v>0.64236111111111116</v>
      </c>
      <c r="M765" s="35">
        <f t="shared" ca="1" si="169"/>
        <v>3.4722222222223209E-3</v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259</v>
      </c>
      <c r="F766" s="27">
        <v>0</v>
      </c>
      <c r="G766" s="28">
        <f t="shared" si="168"/>
        <v>0</v>
      </c>
      <c r="H766" s="26" t="s">
        <v>20</v>
      </c>
      <c r="I766" s="26" t="s">
        <v>47</v>
      </c>
      <c r="J766" s="26" t="s">
        <v>51</v>
      </c>
      <c r="K766" s="29">
        <v>0.66319444444444442</v>
      </c>
      <c r="L766" s="29">
        <v>0.66597222222222219</v>
      </c>
      <c r="M766" s="30">
        <f t="shared" ca="1" si="169"/>
        <v>2.7777777777777679E-3</v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259</v>
      </c>
      <c r="F767" s="27">
        <v>5</v>
      </c>
      <c r="G767" s="34">
        <f t="shared" si="168"/>
        <v>21</v>
      </c>
      <c r="H767" s="33" t="s">
        <v>17</v>
      </c>
      <c r="I767" s="33"/>
      <c r="J767" s="33" t="s">
        <v>86</v>
      </c>
      <c r="K767" s="29">
        <v>0.73541666666666672</v>
      </c>
      <c r="L767" s="29">
        <v>0.76041666666666663</v>
      </c>
      <c r="M767" s="35">
        <f t="shared" ca="1" si="169"/>
        <v>2.4999999999999911E-2</v>
      </c>
      <c r="N767" s="27" t="s">
        <v>372</v>
      </c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259</v>
      </c>
      <c r="F768" s="27">
        <v>5</v>
      </c>
      <c r="G768" s="28">
        <f t="shared" si="168"/>
        <v>21</v>
      </c>
      <c r="H768" s="26" t="s">
        <v>17</v>
      </c>
      <c r="I768" s="26"/>
      <c r="J768" s="26" t="s">
        <v>25</v>
      </c>
      <c r="K768" s="29">
        <v>0.76458333333333328</v>
      </c>
      <c r="L768" s="29">
        <v>0.76597222222222228</v>
      </c>
      <c r="M768" s="30">
        <f t="shared" ca="1" si="169"/>
        <v>1.388888888888995E-3</v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259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41</v>
      </c>
      <c r="G770" s="36">
        <f>SUM(G758:G769)</f>
        <v>176.2</v>
      </c>
      <c r="H770" s="37"/>
      <c r="I770" s="37"/>
      <c r="J770" s="37"/>
      <c r="K770" s="37"/>
      <c r="L770" s="37"/>
      <c r="M770" s="38">
        <f ca="1">IFERROR(SUM(M758:M769),"")</f>
        <v>0.11388888888888893</v>
      </c>
      <c r="N770" s="36" t="s">
        <v>235</v>
      </c>
      <c r="O770" s="39">
        <v>172140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259</v>
      </c>
      <c r="F771" s="27">
        <v>10</v>
      </c>
      <c r="G771" s="34">
        <f t="shared" ref="G771:G782" si="171">IF(F771="","",IF(E771="PC 17",F771*4.2,IF(E771="PC 19",F771*5,"")))</f>
        <v>42</v>
      </c>
      <c r="H771" s="33" t="s">
        <v>20</v>
      </c>
      <c r="I771" s="33" t="s">
        <v>47</v>
      </c>
      <c r="J771" s="33" t="s">
        <v>51</v>
      </c>
      <c r="K771" s="29">
        <v>0.81666666666666665</v>
      </c>
      <c r="L771" s="29">
        <v>0.82291666666666663</v>
      </c>
      <c r="M771" s="35">
        <f t="shared" ref="M771:M782" ca="1" si="172">IFERROR(IF(K771="","",IF(L771="",MOD(NOW()-K771,1),IF(L771&gt;=K771,L771-K771,L771+1-K771))),"")</f>
        <v>6.2499999999999778E-3</v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232</v>
      </c>
      <c r="F772" s="27">
        <v>5</v>
      </c>
      <c r="G772" s="28">
        <f t="shared" si="171"/>
        <v>25</v>
      </c>
      <c r="H772" s="26" t="s">
        <v>20</v>
      </c>
      <c r="I772" s="26" t="s">
        <v>47</v>
      </c>
      <c r="J772" s="26" t="s">
        <v>36</v>
      </c>
      <c r="K772" s="29">
        <v>0.89027777777777772</v>
      </c>
      <c r="L772" s="29">
        <v>0.91249999999999998</v>
      </c>
      <c r="M772" s="30">
        <f t="shared" ca="1" si="172"/>
        <v>2.2222222222222254E-2</v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259</v>
      </c>
      <c r="F773" s="27">
        <v>4</v>
      </c>
      <c r="G773" s="34">
        <f t="shared" si="171"/>
        <v>16.8</v>
      </c>
      <c r="H773" s="33" t="s">
        <v>20</v>
      </c>
      <c r="I773" s="33" t="s">
        <v>121</v>
      </c>
      <c r="J773" s="33" t="s">
        <v>113</v>
      </c>
      <c r="K773" s="29">
        <v>0.91874999999999996</v>
      </c>
      <c r="L773" s="29">
        <v>0.93402777777777779</v>
      </c>
      <c r="M773" s="35">
        <f t="shared" ca="1" si="172"/>
        <v>1.5277777777777835E-2</v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259</v>
      </c>
      <c r="F774" s="27">
        <v>6</v>
      </c>
      <c r="G774" s="28">
        <f t="shared" si="171"/>
        <v>25.200000000000003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0.99305555555555558</v>
      </c>
      <c r="M774" s="30">
        <f t="shared" ca="1" si="172"/>
        <v>1.5277777777777835E-2</v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259</v>
      </c>
      <c r="F775" s="27">
        <v>4</v>
      </c>
      <c r="G775" s="34">
        <f t="shared" si="171"/>
        <v>16.8</v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259</v>
      </c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259</v>
      </c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259</v>
      </c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22</v>
      </c>
      <c r="E779" s="62" t="s">
        <v>259</v>
      </c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22</v>
      </c>
      <c r="E780" s="62" t="s">
        <v>259</v>
      </c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22</v>
      </c>
      <c r="E781" s="62" t="s">
        <v>259</v>
      </c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22</v>
      </c>
      <c r="E782" s="62" t="s">
        <v>259</v>
      </c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29</v>
      </c>
      <c r="G783" s="36">
        <f>SUM(G771:G782)</f>
        <v>125.8</v>
      </c>
      <c r="H783" s="37"/>
      <c r="I783" s="37"/>
      <c r="J783" s="37"/>
      <c r="K783" s="37"/>
      <c r="L783" s="37"/>
      <c r="M783" s="38">
        <f ca="1">IFERROR(SUM(M771:M782),"")</f>
        <v>5.9027777777777901E-2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70</v>
      </c>
      <c r="G784" s="40">
        <f>G770+G783</f>
        <v>302</v>
      </c>
      <c r="H784" s="41"/>
      <c r="I784" s="41"/>
      <c r="J784" s="41"/>
      <c r="K784" s="41"/>
      <c r="L784" s="41"/>
      <c r="M784" s="42">
        <f ca="1">IFERROR(M770+M783,"")</f>
        <v>0.17291666666666683</v>
      </c>
      <c r="N784" s="40" t="s">
        <v>238</v>
      </c>
      <c r="O784" s="48">
        <f>IFERROR(O770+O783,"")</f>
        <v>172140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764" activePane="bottomLeft" state="frozen"/>
      <selection pane="bottomLeft" activeCell="F776" sqref="F776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373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310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235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374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259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259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259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259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259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259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259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235</v>
      </c>
      <c r="O27" s="39">
        <v>202230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238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375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376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259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259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235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259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259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259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259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259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259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259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259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259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259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235</v>
      </c>
      <c r="O54" s="39">
        <v>473910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238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259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259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259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377</v>
      </c>
      <c r="L58" s="29">
        <v>0.54097222222222219</v>
      </c>
      <c r="M58" s="30" t="str">
        <f t="shared" ca="1" si="13"/>
        <v/>
      </c>
      <c r="N58" s="27" t="s">
        <v>378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259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259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259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259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259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259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259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259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235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324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379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380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381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382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259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235</v>
      </c>
      <c r="O81" s="39">
        <v>565120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238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259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383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259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259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259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259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232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235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235</v>
      </c>
      <c r="O108" s="39">
        <v>558590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238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384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235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385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386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0.77433958333858754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285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0.97364513889414317</v>
      </c>
      <c r="N135" s="36" t="s">
        <v>235</v>
      </c>
      <c r="O135" s="39">
        <v>729290</v>
      </c>
    </row>
    <row r="136" spans="1:18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1.3410062500052542</v>
      </c>
      <c r="N136" s="40" t="s">
        <v>238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387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287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235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344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388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259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235</v>
      </c>
      <c r="O162" s="39">
        <v>697320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238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232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259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259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259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259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389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259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259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259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259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259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259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259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235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259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259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259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259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259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259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259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259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259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259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259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259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235</v>
      </c>
      <c r="O189" s="39">
        <v>973580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238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259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259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259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390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259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391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259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259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259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259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259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259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259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259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235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392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235</v>
      </c>
      <c r="O216" s="45">
        <v>1060630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238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393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394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259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259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395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259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259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259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259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235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396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232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235</v>
      </c>
      <c r="O243" s="39">
        <v>982340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238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397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208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259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259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259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259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259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259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235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259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235</v>
      </c>
      <c r="O270" s="39">
        <v>1208450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238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235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259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235</v>
      </c>
      <c r="O297" s="39">
        <v>1049090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238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398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210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211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259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235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232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282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235</v>
      </c>
      <c r="O324" s="39">
        <v>1063720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238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259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259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310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259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259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232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259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259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259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259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259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259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259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234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235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399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400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235</v>
      </c>
      <c r="O351" s="39">
        <v>696140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238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344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259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259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235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259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259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259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401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259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259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259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259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235</v>
      </c>
      <c r="O378" s="39">
        <v>704750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238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259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402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259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259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389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259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259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259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259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259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259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235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403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404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235</v>
      </c>
      <c r="O405" s="39">
        <v>958130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238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259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259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259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259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259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259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259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259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259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232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235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259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214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405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235</v>
      </c>
      <c r="O432" s="39">
        <v>605220</v>
      </c>
    </row>
    <row r="433" spans="1:17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238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215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235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321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218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235</v>
      </c>
      <c r="O459" s="39">
        <v>615330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238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406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407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382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232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232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232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232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235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235</v>
      </c>
      <c r="O486" s="39">
        <v>1120830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238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382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232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232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232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232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259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259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259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259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259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259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235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408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235</v>
      </c>
      <c r="O513" s="39">
        <v>416720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238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219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409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410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235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235</v>
      </c>
      <c r="O540" s="39">
        <v>404370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238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411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412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413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235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259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414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259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259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259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259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259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259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259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259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259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235</v>
      </c>
      <c r="O567" s="39">
        <v>499820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238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415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235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259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259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259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259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259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259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259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259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259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235</v>
      </c>
      <c r="O594" s="39">
        <v>572580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238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220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416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235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259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259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235</v>
      </c>
      <c r="O621" s="39">
        <v>414860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238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210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259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220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259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417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259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220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259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259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259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259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259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259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235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418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235</v>
      </c>
      <c r="O648" s="39">
        <v>284850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238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220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419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235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220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420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235</v>
      </c>
      <c r="O675" s="39">
        <v>486620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238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259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259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235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421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422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235</v>
      </c>
      <c r="O702" s="39">
        <v>988790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238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282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324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235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259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259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259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259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259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259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423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259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232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232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232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235</v>
      </c>
      <c r="O729" s="39">
        <v>852470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238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259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259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424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259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259</v>
      </c>
      <c r="F734" s="27">
        <v>16</v>
      </c>
      <c r="G734" s="28">
        <f t="shared" si="162"/>
        <v>67.2</v>
      </c>
      <c r="H734" s="26" t="s">
        <v>18</v>
      </c>
      <c r="I734" s="26" t="s">
        <v>127</v>
      </c>
      <c r="J734" s="26" t="s">
        <v>164</v>
      </c>
      <c r="K734" s="29">
        <v>0.42708333333333331</v>
      </c>
      <c r="L734" s="29">
        <v>0.4513888888888889</v>
      </c>
      <c r="M734" s="30">
        <f t="shared" ca="1" si="163"/>
        <v>2.430555555555558E-2</v>
      </c>
      <c r="N734" s="27" t="s">
        <v>425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259</v>
      </c>
      <c r="F735" s="27">
        <v>14</v>
      </c>
      <c r="G735" s="34">
        <f t="shared" si="162"/>
        <v>58.800000000000004</v>
      </c>
      <c r="H735" s="33" t="s">
        <v>20</v>
      </c>
      <c r="I735" s="33" t="s">
        <v>155</v>
      </c>
      <c r="J735" s="33" t="s">
        <v>74</v>
      </c>
      <c r="K735" s="29">
        <v>0.49305555555555558</v>
      </c>
      <c r="L735" s="29">
        <v>0.47152777777777777</v>
      </c>
      <c r="M735" s="35">
        <f t="shared" ca="1" si="163"/>
        <v>0.97847222222222219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259</v>
      </c>
      <c r="F736" s="27">
        <v>0</v>
      </c>
      <c r="G736" s="28">
        <f t="shared" si="162"/>
        <v>0</v>
      </c>
      <c r="H736" s="26" t="s">
        <v>19</v>
      </c>
      <c r="I736" s="26" t="s">
        <v>52</v>
      </c>
      <c r="J736" s="26" t="s">
        <v>27</v>
      </c>
      <c r="K736" s="29">
        <v>0.6069444444444444</v>
      </c>
      <c r="L736" s="29">
        <v>0.61875000000000002</v>
      </c>
      <c r="M736" s="30">
        <f t="shared" ca="1" si="163"/>
        <v>1.1805555555555625E-2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259</v>
      </c>
      <c r="F737" s="27">
        <v>26</v>
      </c>
      <c r="G737" s="34">
        <f t="shared" si="162"/>
        <v>109.2</v>
      </c>
      <c r="H737" s="33" t="s">
        <v>20</v>
      </c>
      <c r="I737" s="33" t="s">
        <v>57</v>
      </c>
      <c r="J737" s="33" t="s">
        <v>132</v>
      </c>
      <c r="K737" s="29">
        <v>0.70694444444444449</v>
      </c>
      <c r="L737" s="29">
        <v>0.71805555555555556</v>
      </c>
      <c r="M737" s="35">
        <f t="shared" ca="1" si="163"/>
        <v>1.1111111111111072E-2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259</v>
      </c>
      <c r="F738" s="27">
        <v>25</v>
      </c>
      <c r="G738" s="28">
        <f t="shared" si="162"/>
        <v>105</v>
      </c>
      <c r="H738" s="26" t="s">
        <v>20</v>
      </c>
      <c r="I738" s="26" t="s">
        <v>150</v>
      </c>
      <c r="J738" s="26" t="s">
        <v>180</v>
      </c>
      <c r="K738" s="29">
        <v>0.71388888888888891</v>
      </c>
      <c r="L738" s="29">
        <v>0.74097222222222225</v>
      </c>
      <c r="M738" s="30">
        <f t="shared" ca="1" si="163"/>
        <v>2.7083333333333348E-2</v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259</v>
      </c>
      <c r="F739" s="27">
        <v>27</v>
      </c>
      <c r="G739" s="34">
        <f t="shared" si="162"/>
        <v>113.4</v>
      </c>
      <c r="H739" s="33" t="s">
        <v>19</v>
      </c>
      <c r="I739" s="33" t="s">
        <v>57</v>
      </c>
      <c r="J739" s="33" t="s">
        <v>27</v>
      </c>
      <c r="K739" s="29">
        <v>0.71805555555555556</v>
      </c>
      <c r="L739" s="29">
        <v>0.72291666666666665</v>
      </c>
      <c r="M739" s="35">
        <f t="shared" ca="1" si="163"/>
        <v>4.8611111111110938E-3</v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259</v>
      </c>
      <c r="F740" s="27">
        <v>5</v>
      </c>
      <c r="G740" s="28">
        <f t="shared" si="162"/>
        <v>21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259</v>
      </c>
      <c r="F741" s="27">
        <v>5</v>
      </c>
      <c r="G741" s="34">
        <f t="shared" si="162"/>
        <v>21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259</v>
      </c>
      <c r="F742" s="27">
        <v>8</v>
      </c>
      <c r="G742" s="28">
        <f t="shared" si="162"/>
        <v>33.6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157</v>
      </c>
      <c r="G743" s="36">
        <f>SUM(G731:G742)</f>
        <v>659.4</v>
      </c>
      <c r="H743" s="37"/>
      <c r="I743" s="37"/>
      <c r="J743" s="37"/>
      <c r="K743" s="61"/>
      <c r="L743" s="61"/>
      <c r="M743" s="38">
        <f ca="1">IFERROR(SUM(M731:M742),"")</f>
        <v>1.1083333333333334</v>
      </c>
      <c r="N743" s="36" t="s">
        <v>235</v>
      </c>
      <c r="O743" s="39">
        <v>635080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17</v>
      </c>
      <c r="G745" s="34">
        <f t="shared" si="165"/>
        <v>71.400000000000006</v>
      </c>
      <c r="H745" s="33" t="s">
        <v>20</v>
      </c>
      <c r="I745" s="33" t="s">
        <v>139</v>
      </c>
      <c r="J745" s="33" t="s">
        <v>205</v>
      </c>
      <c r="K745" s="29">
        <v>0.92708333333333337</v>
      </c>
      <c r="L745" s="29">
        <v>0.93333333333333335</v>
      </c>
      <c r="M745" s="35">
        <f t="shared" ca="1" si="166"/>
        <v>6.2499999999999778E-3</v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9</v>
      </c>
      <c r="G746" s="28">
        <f t="shared" si="165"/>
        <v>37.800000000000004</v>
      </c>
      <c r="H746" s="26" t="s">
        <v>19</v>
      </c>
      <c r="I746" s="26" t="s">
        <v>160</v>
      </c>
      <c r="J746" s="33" t="s">
        <v>27</v>
      </c>
      <c r="K746" s="29">
        <v>4.8611111111111112E-2</v>
      </c>
      <c r="L746" s="29">
        <v>6.5972222222222224E-2</v>
      </c>
      <c r="M746" s="30">
        <f t="shared" ca="1" si="166"/>
        <v>1.7361111111111112E-2</v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8</v>
      </c>
      <c r="G747" s="34">
        <f t="shared" si="165"/>
        <v>33.6</v>
      </c>
      <c r="H747" s="33" t="s">
        <v>20</v>
      </c>
      <c r="I747" s="33" t="s">
        <v>139</v>
      </c>
      <c r="J747" s="33" t="s">
        <v>205</v>
      </c>
      <c r="K747" s="29">
        <v>6.5972222222222224E-2</v>
      </c>
      <c r="L747" s="29">
        <v>8.0555555555555561E-2</v>
      </c>
      <c r="M747" s="35">
        <f t="shared" ca="1" si="166"/>
        <v>1.4583333333333337E-2</v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13</v>
      </c>
      <c r="G748" s="28">
        <f t="shared" si="165"/>
        <v>54.6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21</v>
      </c>
      <c r="G749" s="34">
        <f t="shared" si="165"/>
        <v>88.2</v>
      </c>
      <c r="H749" s="33" t="s">
        <v>16</v>
      </c>
      <c r="I749" s="33"/>
      <c r="J749" s="33" t="s">
        <v>86</v>
      </c>
      <c r="K749" s="29">
        <v>0.22222222222222221</v>
      </c>
      <c r="L749" s="29">
        <v>0.29166666666666669</v>
      </c>
      <c r="M749" s="35">
        <f t="shared" ca="1" si="166"/>
        <v>6.9444444444444475E-2</v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1</v>
      </c>
      <c r="G750" s="28">
        <f t="shared" si="165"/>
        <v>4.2</v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>
        <v>6</v>
      </c>
      <c r="G751" s="34">
        <f t="shared" si="165"/>
        <v>25.200000000000003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>
        <v>10</v>
      </c>
      <c r="G752" s="28">
        <f t="shared" si="165"/>
        <v>42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>
        <v>0</v>
      </c>
      <c r="G753" s="34">
        <f t="shared" si="165"/>
        <v>0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>
        <v>0</v>
      </c>
      <c r="G754" s="28">
        <f t="shared" si="165"/>
        <v>0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>
        <v>0</v>
      </c>
      <c r="G755" s="34">
        <f t="shared" si="165"/>
        <v>0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109</v>
      </c>
      <c r="G756" s="36">
        <f>SUM(G744:G755)</f>
        <v>457.8</v>
      </c>
      <c r="H756" s="37"/>
      <c r="I756" s="37"/>
      <c r="J756" s="37"/>
      <c r="K756" s="61"/>
      <c r="L756" s="61"/>
      <c r="M756" s="38">
        <f ca="1">IFERROR(SUM(M744:M755),"")</f>
        <v>0.16666666666666677</v>
      </c>
      <c r="N756" s="36" t="s">
        <v>235</v>
      </c>
      <c r="O756" s="39">
        <v>545970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266</v>
      </c>
      <c r="G757" s="40">
        <f>G743+G756</f>
        <v>1117.2</v>
      </c>
      <c r="H757" s="41"/>
      <c r="I757" s="41"/>
      <c r="J757" s="41"/>
      <c r="K757" s="63"/>
      <c r="L757" s="63"/>
      <c r="M757" s="42">
        <f ca="1">IFERROR(M743+M756,"")</f>
        <v>1.2750000000000001</v>
      </c>
      <c r="N757" s="40" t="s">
        <v>238</v>
      </c>
      <c r="O757" s="48">
        <f>IFERROR(O743+O756,"")</f>
        <v>1181050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/>
      <c r="F758" s="27">
        <v>0</v>
      </c>
      <c r="G758" s="28" t="str">
        <f t="shared" ref="G758:G769" si="168">IF(F758="","",IF(E758="PC 17",F758*4.2,IF(E758="PC 19",F758*5,"")))</f>
        <v/>
      </c>
      <c r="H758" s="26" t="s">
        <v>16</v>
      </c>
      <c r="I758" s="26"/>
      <c r="J758" s="26" t="s">
        <v>86</v>
      </c>
      <c r="K758" s="29">
        <v>0.29166666666666669</v>
      </c>
      <c r="L758" s="29">
        <v>0.72916666666666663</v>
      </c>
      <c r="M758" s="30">
        <f t="shared" ref="M758:M769" ca="1" si="169">IFERROR(IF(K758="","",IF(L758="",MOD(NOW()-K758,1),IF(L758&gt;=K758,L758-K758,L758+1-K758))),"")</f>
        <v>0.43749999999999994</v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/>
      <c r="F759" s="27">
        <v>0</v>
      </c>
      <c r="G759" s="34" t="str">
        <f t="shared" si="168"/>
        <v/>
      </c>
      <c r="H759" s="33" t="s">
        <v>17</v>
      </c>
      <c r="I759" s="33"/>
      <c r="J759" s="33" t="s">
        <v>86</v>
      </c>
      <c r="K759" s="29">
        <v>0.73541666666666672</v>
      </c>
      <c r="L759" s="29">
        <v>0.76041666666666663</v>
      </c>
      <c r="M759" s="35">
        <f t="shared" ca="1" si="169"/>
        <v>2.4999999999999911E-2</v>
      </c>
      <c r="N759" s="27" t="s">
        <v>339</v>
      </c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/>
      <c r="F760" s="27">
        <v>0</v>
      </c>
      <c r="G760" s="28" t="str">
        <f t="shared" si="168"/>
        <v/>
      </c>
      <c r="H760" s="26" t="s">
        <v>17</v>
      </c>
      <c r="I760" s="26"/>
      <c r="J760" s="26" t="s">
        <v>25</v>
      </c>
      <c r="K760" s="29">
        <v>0.76458333333333328</v>
      </c>
      <c r="L760" s="29">
        <v>0.76597222222222228</v>
      </c>
      <c r="M760" s="30">
        <f t="shared" ca="1" si="169"/>
        <v>1.388888888888995E-3</v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/>
      <c r="F761" s="27">
        <v>0</v>
      </c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/>
      <c r="F762" s="27">
        <v>0</v>
      </c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/>
      <c r="F763" s="27">
        <v>0</v>
      </c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/>
      <c r="F764" s="27">
        <v>0</v>
      </c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/>
      <c r="F765" s="27">
        <v>0</v>
      </c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/>
      <c r="F766" s="27">
        <v>0</v>
      </c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/>
      <c r="F767" s="27">
        <v>0</v>
      </c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259</v>
      </c>
      <c r="F768" s="27">
        <v>5</v>
      </c>
      <c r="G768" s="28">
        <f t="shared" si="168"/>
        <v>21</v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259</v>
      </c>
      <c r="F769" s="27">
        <v>3</v>
      </c>
      <c r="G769" s="34">
        <f t="shared" si="168"/>
        <v>12.600000000000001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8</v>
      </c>
      <c r="G770" s="36">
        <f>SUM(G758:G769)</f>
        <v>33.6</v>
      </c>
      <c r="H770" s="37"/>
      <c r="I770" s="37"/>
      <c r="J770" s="37"/>
      <c r="K770" s="61"/>
      <c r="L770" s="61"/>
      <c r="M770" s="38">
        <f ca="1">IFERROR(SUM(M758:M769),"")</f>
        <v>0.46388888888888885</v>
      </c>
      <c r="N770" s="36" t="s">
        <v>235</v>
      </c>
      <c r="O770" s="39">
        <v>39360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259</v>
      </c>
      <c r="F771" s="27">
        <v>30</v>
      </c>
      <c r="G771" s="34">
        <f t="shared" ref="G771:G782" si="171">IF(F771="","",IF(E771="PC 17",F771*4.2,IF(E771="PC 19",F771*5,"")))</f>
        <v>126</v>
      </c>
      <c r="H771" s="33" t="s">
        <v>18</v>
      </c>
      <c r="I771" s="33" t="s">
        <v>57</v>
      </c>
      <c r="J771" s="33" t="s">
        <v>154</v>
      </c>
      <c r="K771" s="29">
        <v>0.97222222222222221</v>
      </c>
      <c r="L771" s="29">
        <v>3.472222222222222E-3</v>
      </c>
      <c r="M771" s="35">
        <f t="shared" ref="M771:M782" ca="1" si="172">IFERROR(IF(K771="","",IF(L771="",MOD(NOW()-K771,1),IF(L771&gt;=K771,L771-K771,L771+1-K771))),"")</f>
        <v>3.1250000000000111E-2</v>
      </c>
      <c r="N771" s="27" t="s">
        <v>422</v>
      </c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232</v>
      </c>
      <c r="F772" s="27">
        <v>12</v>
      </c>
      <c r="G772" s="28">
        <f t="shared" si="171"/>
        <v>60</v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259</v>
      </c>
      <c r="F773" s="27">
        <v>25</v>
      </c>
      <c r="G773" s="34">
        <f t="shared" si="171"/>
        <v>105</v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259</v>
      </c>
      <c r="F774" s="27">
        <v>24</v>
      </c>
      <c r="G774" s="28">
        <f t="shared" si="171"/>
        <v>100.80000000000001</v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259</v>
      </c>
      <c r="F775" s="27">
        <v>6</v>
      </c>
      <c r="G775" s="34">
        <f t="shared" si="171"/>
        <v>25.200000000000003</v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259</v>
      </c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259</v>
      </c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259</v>
      </c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22</v>
      </c>
      <c r="E779" s="62" t="s">
        <v>259</v>
      </c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22</v>
      </c>
      <c r="E780" s="62" t="s">
        <v>259</v>
      </c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22</v>
      </c>
      <c r="E781" s="62" t="s">
        <v>259</v>
      </c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22</v>
      </c>
      <c r="E782" s="62" t="s">
        <v>259</v>
      </c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97</v>
      </c>
      <c r="G783" s="36">
        <f>SUM(G771:G782)</f>
        <v>417</v>
      </c>
      <c r="H783" s="37"/>
      <c r="I783" s="37"/>
      <c r="J783" s="37"/>
      <c r="K783" s="61"/>
      <c r="L783" s="61"/>
      <c r="M783" s="38">
        <f ca="1">IFERROR(SUM(M771:M782),"")</f>
        <v>3.1250000000000111E-2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105</v>
      </c>
      <c r="G784" s="40">
        <f>G770+G783</f>
        <v>450.6</v>
      </c>
      <c r="H784" s="41"/>
      <c r="I784" s="41"/>
      <c r="J784" s="41"/>
      <c r="K784" s="63"/>
      <c r="L784" s="63"/>
      <c r="M784" s="42">
        <f ca="1">IFERROR(M770+M783,"")</f>
        <v>0.49513888888888896</v>
      </c>
      <c r="N784" s="40" t="s">
        <v>238</v>
      </c>
      <c r="O784" s="48">
        <f>IFERROR(O770+O783,"")</f>
        <v>39360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238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2026-07-30T04:34:20Z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