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90" documentId="8_{AF585B22-221D-4780-BB9C-493D365A6A02}" xr6:coauthVersionLast="47" xr6:coauthVersionMax="47" xr10:uidLastSave="{F71248E1-B1CA-4CCA-96C0-EC5ABCA6A47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<sst xmlns="http://schemas.openxmlformats.org/spreadsheetml/2006/main" count="5502" uniqueCount="307">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</sst>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7" sqref="F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78</v>
      </c>
      <c r="G338" s="36">
        <f>SUM(G326:G337)</f>
        <v>390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28" sqref="F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/>
      <c r="M326" s="30">
        <f t="shared" ref="M326:M337" ca="1" si="73">IFERROR(IF(K326="","",IF(L326="",MOD(NOW()-K326,1),IF(L326&gt;=K326,L326-K326,L326+1-K326))),"")</f>
        <v>1.2734490737784654E-2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35</v>
      </c>
      <c r="G338" s="36">
        <f>SUM(G326:G337)</f>
        <v>147</v>
      </c>
      <c r="H338" s="37"/>
      <c r="I338" s="37"/>
      <c r="J338" s="37"/>
      <c r="K338" s="37"/>
      <c r="L338" s="37"/>
      <c r="M338" s="38">
        <f ca="1">IFERROR(SUM(M326:M337),"")</f>
        <v>1.2734490737784654E-2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35</v>
      </c>
      <c r="G352" s="40">
        <f>G338+G351</f>
        <v>147</v>
      </c>
      <c r="H352" s="41"/>
      <c r="I352" s="41"/>
      <c r="J352" s="41"/>
      <c r="K352" s="41"/>
      <c r="L352" s="41"/>
      <c r="M352" s="42">
        <f ca="1">IFERROR(M338+M351,"")</f>
        <v>1.2734490737784654E-2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F328" sqref="F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2.6623379628290422E-2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2.6623379628290422E-2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2.6623379628290422E-2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G328" sqref="G3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0.12801226852025138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0.32731782407580701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0.69467893518691803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40</v>
      </c>
      <c r="G338" s="36">
        <f>SUM(G326:G337)</f>
        <v>168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2026-07-13T13:04:54Z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