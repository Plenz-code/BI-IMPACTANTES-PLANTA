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50" documentId="8_{C51EB6CB-002B-4D6B-B68F-DDEBDB4460C0}" xr6:coauthVersionLast="47" xr6:coauthVersionMax="47" xr10:uidLastSave="{D13C40E6-4B37-421D-AB89-92F823F3CF7B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<sst xmlns="http://schemas.openxmlformats.org/spreadsheetml/2006/main" count="3453" uniqueCount="285">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</sst>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1" sqref="F1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28</v>
      </c>
      <c r="G150" s="28">
        <f t="shared" ref="G150:G161" si="33">IF(F150="","",IF(E150="PC 17",F150*4.2,IF(E150="PC 19",F150*5,IF(E150="CB",F150*35,""))))</f>
        <v>140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28</v>
      </c>
      <c r="G162" s="36">
        <f>SUM(G150:G161)</f>
        <v>140</v>
      </c>
      <c r="H162" s="37"/>
      <c r="I162" s="37"/>
      <c r="J162" s="37"/>
      <c r="K162" s="37"/>
      <c r="L162" s="37"/>
      <c r="M162" s="38">
        <f ca="1">IFERROR(SUM(M150:M161),"")</f>
        <v>3.3333333333333326E-2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317</v>
      </c>
      <c r="G163" s="40">
        <f>G149+G162</f>
        <v>1585</v>
      </c>
      <c r="H163" s="41"/>
      <c r="I163" s="41"/>
      <c r="J163" s="41"/>
      <c r="K163" s="41"/>
      <c r="L163" s="41"/>
      <c r="M163" s="42">
        <f ca="1">IFERROR(M149+M162,"")</f>
        <v>0.13194444444444448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1" sqref="F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0.7461130786978174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0.88500196758670624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0.9697241898089286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71.400000000000006</v>
      </c>
      <c r="H162" s="37"/>
      <c r="I162" s="37"/>
      <c r="J162" s="37"/>
      <c r="K162" s="37"/>
      <c r="L162" s="37"/>
      <c r="M162" s="38">
        <f ca="1">IFERROR(SUM(M150:M161),"")</f>
        <v>2.9861111111111227E-2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157</v>
      </c>
      <c r="G163" s="40">
        <f>G149+G162</f>
        <v>659.4</v>
      </c>
      <c r="H163" s="41"/>
      <c r="I163" s="41"/>
      <c r="J163" s="41"/>
      <c r="K163" s="41"/>
      <c r="L163" s="41"/>
      <c r="M163" s="42">
        <f ca="1">IFERROR(M149+M162,"")</f>
        <v>0.20555555555555566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17" zoomScale="50" zoomScaleNormal="50" workbookViewId="0">
      <selection activeCell="J151" sqref="J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/>
      <c r="M151" s="35">
        <f t="shared" ca="1" si="34"/>
        <v>2.797453707898967E-4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</v>
      </c>
      <c r="G162" s="36">
        <f>SUM(G150:G161)</f>
        <v>16.8</v>
      </c>
      <c r="H162" s="37"/>
      <c r="I162" s="37"/>
      <c r="J162" s="37"/>
      <c r="K162" s="37"/>
      <c r="L162" s="37"/>
      <c r="M162" s="38">
        <f ca="1">IFERROR(SUM(M150:M161),"")</f>
        <v>2.0418634259678825E-2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37</v>
      </c>
      <c r="G163" s="40">
        <f>G149+G162</f>
        <v>155.4</v>
      </c>
      <c r="H163" s="41"/>
      <c r="I163" s="41"/>
      <c r="J163" s="41"/>
      <c r="K163" s="41"/>
      <c r="L163" s="41"/>
      <c r="M163" s="42">
        <f ca="1">IFERROR(M149+M162,"")</f>
        <v>0.173890856481901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10</v>
      </c>
      <c r="G162" s="36">
        <f>SUM(G150:G161)</f>
        <v>42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192</v>
      </c>
      <c r="G163" s="40">
        <f>G149+G162</f>
        <v>806.40000000000009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2026-08-07T00:49:45Z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