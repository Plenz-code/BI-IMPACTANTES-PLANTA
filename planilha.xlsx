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91" documentId="13_ncr:1_{0A10D8D4-8450-4366-8075-B53B08E6B7EA}" xr6:coauthVersionLast="47" xr6:coauthVersionMax="47" xr10:uidLastSave="{8FFD9C70-90E9-4E0E-8B91-E3F8DB92208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<sst xmlns="http://schemas.openxmlformats.org/spreadsheetml/2006/main" count="7718" uniqueCount="369">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</sst>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 t="s">
        <v>27</v>
      </c>
      <c r="I448" s="26" t="s">
        <v>30</v>
      </c>
      <c r="J448" s="26" t="s">
        <v>141</v>
      </c>
      <c r="K448" s="29">
        <v>0.96180555555555558</v>
      </c>
      <c r="L448" s="29"/>
      <c r="M448" s="30">
        <f t="shared" ca="1" si="95"/>
        <v>3.511099536990514E-2</v>
      </c>
      <c r="N448" s="46" t="s">
        <v>273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>IF(F451="","",IF(E451="PC 17",F451*4.2,IF(E451="PC 19",F451*5,IF(E451="CB",F451*35,""))))</f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274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275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276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152</v>
      </c>
      <c r="G459" s="36">
        <f>SUM(G447:G458)</f>
        <v>760</v>
      </c>
      <c r="H459" s="37"/>
      <c r="I459" s="37"/>
      <c r="J459" s="37"/>
      <c r="K459" s="37"/>
      <c r="L459" s="37"/>
      <c r="M459" s="38">
        <f ca="1">IFERROR(SUM(M447:M458),"")</f>
        <v>7.3305439814349671E-2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320</v>
      </c>
      <c r="G460" s="40">
        <f>G446+G459</f>
        <v>1600</v>
      </c>
      <c r="H460" s="41"/>
      <c r="I460" s="41"/>
      <c r="J460" s="41"/>
      <c r="K460" s="41"/>
      <c r="L460" s="41"/>
      <c r="M460" s="42">
        <f ca="1">IFERROR(M446+M459,"")</f>
        <v>0.20177766203657199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0.87538877314364072</v>
      </c>
      <c r="R53" s="46" t="s">
        <v>287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1.0142776620325296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1.0989998842547519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310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311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312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313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314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167</v>
      </c>
      <c r="N449" s="33" t="s">
        <v>34</v>
      </c>
      <c r="O449" s="29">
        <v>0.99652777777777779</v>
      </c>
      <c r="P449" s="29"/>
      <c r="Q449" s="35">
        <f t="shared" ca="1" si="112"/>
        <v>3.8877314364071935E-4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237.2</v>
      </c>
      <c r="L459" s="37"/>
      <c r="M459" s="37"/>
      <c r="N459" s="37"/>
      <c r="O459" s="37"/>
      <c r="P459" s="37"/>
      <c r="Q459" s="38">
        <f ca="1">IFERROR(SUM(Q447:Q458),"")</f>
        <v>7.3332175880851391E-3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166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707.6</v>
      </c>
      <c r="L460" s="41"/>
      <c r="M460" s="41"/>
      <c r="N460" s="41"/>
      <c r="O460" s="41"/>
      <c r="P460" s="41"/>
      <c r="Q460" s="42">
        <f ca="1">IFERROR(Q446+Q459,"")</f>
        <v>7.4694328699196344E-2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P449" sqref="P4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328</v>
      </c>
      <c r="Q222" s="30" t="str">
        <f t="shared" ca="1" si="49"/>
        <v/>
      </c>
      <c r="R222" s="27" t="s">
        <v>329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310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334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335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335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/>
      <c r="M448" s="26"/>
      <c r="N448" s="26"/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201.59999999999997</v>
      </c>
      <c r="L459" s="37"/>
      <c r="M459" s="37"/>
      <c r="N459" s="37"/>
      <c r="O459" s="37"/>
      <c r="P459" s="37"/>
      <c r="Q459" s="38">
        <f ca="1">IFERROR(SUM(Q447:Q458),"")</f>
        <v>1.388888888888884E-2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133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558.6</v>
      </c>
      <c r="L460" s="41"/>
      <c r="M460" s="41"/>
      <c r="N460" s="41"/>
      <c r="O460" s="41"/>
      <c r="P460" s="41"/>
      <c r="Q460" s="42">
        <f ca="1">IFERROR(Q446+Q459,"")</f>
        <v>5.9027777777777735E-2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P448" sqref="P44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310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170</v>
      </c>
      <c r="N447" s="33" t="s">
        <v>63</v>
      </c>
      <c r="O447" s="29">
        <v>0.96875</v>
      </c>
      <c r="P447" s="29">
        <v>0.98750000000000004</v>
      </c>
      <c r="Q447" s="35">
        <f t="shared" ref="Q447:Q458" ca="1" si="112">IFERROR(IF(O447="","",IF(P447="",MOD(NOW()-O447,1),IF(P447&gt;=O447,P447-O447,P447+1-O447))),"")</f>
        <v>1.8750000000000044E-2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117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491.4</v>
      </c>
      <c r="L459" s="37"/>
      <c r="M459" s="37"/>
      <c r="N459" s="37"/>
      <c r="O459" s="61"/>
      <c r="P459" s="61"/>
      <c r="Q459" s="38">
        <f ca="1">IFERROR(SUM(Q447:Q458),"")</f>
        <v>1.8750000000000044E-2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1260</v>
      </c>
      <c r="L460" s="41"/>
      <c r="M460" s="41"/>
      <c r="N460" s="41"/>
      <c r="O460" s="63"/>
      <c r="P460" s="63"/>
      <c r="Q460" s="42">
        <f ca="1">IFERROR(Q446+Q459,"")</f>
        <v>5.4861111111111138E-2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2026-08-18T03:55:54Z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