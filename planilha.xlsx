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58" documentId="8_{AF585B22-221D-4780-BB9C-493D365A6A02}" xr6:coauthVersionLast="47" xr6:coauthVersionMax="47" xr10:uidLastSave="{6755E49E-6516-4036-976C-F606D7CC5F0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<sst xmlns="http://schemas.openxmlformats.org/spreadsheetml/2006/main" count="5149" uniqueCount="300">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</sst>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308" sqref="F3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25</v>
      </c>
      <c r="G307" s="34">
        <f t="shared" si="66"/>
        <v>125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150.5</v>
      </c>
      <c r="G311" s="36">
        <f>SUM(G299:G310)</f>
        <v>752.5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150.5</v>
      </c>
      <c r="G325" s="40">
        <f>G311+G324</f>
        <v>752.5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7" sqref="F3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58</v>
      </c>
      <c r="G311" s="36">
        <f>SUM(G299:G310)</f>
        <v>243.60000000000002</v>
      </c>
      <c r="H311" s="37"/>
      <c r="I311" s="37"/>
      <c r="J311" s="37"/>
      <c r="K311" s="37"/>
      <c r="L311" s="37"/>
      <c r="M311" s="38">
        <f ca="1">IFERROR(SUM(M299:M310),"")</f>
        <v>0.12777777777777771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58</v>
      </c>
      <c r="G325" s="40">
        <f>G311+G324</f>
        <v>243.60000000000002</v>
      </c>
      <c r="H325" s="41"/>
      <c r="I325" s="41"/>
      <c r="J325" s="41"/>
      <c r="K325" s="41"/>
      <c r="L325" s="41"/>
      <c r="M325" s="42">
        <f ca="1">IFERROR(M311+M324,"")</f>
        <v>0.12777777777777771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F307" sqref="F3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266</v>
      </c>
      <c r="N166" s="27" t="s">
        <v>267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/>
      <c r="M302" s="30">
        <f t="shared" ca="1" si="67"/>
        <v>5.4201273145736195E-2</v>
      </c>
      <c r="N302" s="27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41</v>
      </c>
      <c r="G311" s="36">
        <f>SUM(G299:G310)</f>
        <v>172.20000000000002</v>
      </c>
      <c r="H311" s="37"/>
      <c r="I311" s="37"/>
      <c r="J311" s="37"/>
      <c r="K311" s="37"/>
      <c r="L311" s="37"/>
      <c r="M311" s="38">
        <f ca="1">IFERROR(SUM(M299:M310),"")</f>
        <v>9.3784606479069499E-2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41</v>
      </c>
      <c r="G325" s="40">
        <f>G311+G324</f>
        <v>172.20000000000002</v>
      </c>
      <c r="H325" s="41"/>
      <c r="I325" s="41"/>
      <c r="J325" s="41"/>
      <c r="K325" s="41"/>
      <c r="L325" s="41"/>
      <c r="M325" s="42">
        <f ca="1">IFERROR(M311+M324,"")</f>
        <v>9.3784606479069499E-2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07" sqref="F30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278</v>
      </c>
      <c r="L58" s="29">
        <v>0.54097222222222219</v>
      </c>
      <c r="M58" s="30" t="str">
        <f t="shared" ca="1" si="13"/>
        <v/>
      </c>
      <c r="N58" s="27" t="s">
        <v>279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0.41739571759535465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0.61670127315091028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0.98406238426202131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/>
      <c r="M301" s="35">
        <f t="shared" ca="1" si="67"/>
        <v>6.6006828703393694E-2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10</v>
      </c>
      <c r="G311" s="36">
        <f>SUM(G299:G310)</f>
        <v>42</v>
      </c>
      <c r="H311" s="37"/>
      <c r="I311" s="37"/>
      <c r="J311" s="37"/>
      <c r="K311" s="61"/>
      <c r="L311" s="61"/>
      <c r="M311" s="38">
        <f ca="1">IFERROR(SUM(M299:M310),"")</f>
        <v>0.30489571759228262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</v>
      </c>
      <c r="G325" s="40">
        <f>G311+G324</f>
        <v>42</v>
      </c>
      <c r="H325" s="41"/>
      <c r="I325" s="41"/>
      <c r="J325" s="41"/>
      <c r="K325" s="63"/>
      <c r="L325" s="63"/>
      <c r="M325" s="42">
        <f ca="1">IFERROR(M311+M324,"")</f>
        <v>0.30489571759228262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