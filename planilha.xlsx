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108" documentId="13_ncr:1_{A6DBCFB4-28D9-4249-9038-216934055CA6}" xr6:coauthVersionLast="47" xr6:coauthVersionMax="47" xr10:uidLastSave="{9FF3471A-9B4A-4A1D-BF5E-C03ACB6FD274}"/>
  <bookViews>
    <workbookView xWindow="-110" yWindow="-110" windowWidth="25820" windowHeight="15500" tabRatio="500" firstSheet="6" activeTab="6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515" i="5" l="1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Q824" i="6" s="1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Q810" i="6" s="1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Q729" i="6" s="1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Q716" i="6" s="1"/>
  <c r="Q730" i="6" s="1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S622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Q621" i="6" s="1"/>
  <c r="K609" i="6"/>
  <c r="K621" i="6" s="1"/>
  <c r="I609" i="6"/>
  <c r="H609" i="6"/>
  <c r="F609" i="6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Q608" i="6" s="1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J593" i="6" s="1"/>
  <c r="F593" i="6"/>
  <c r="Q592" i="6"/>
  <c r="K592" i="6"/>
  <c r="I592" i="6"/>
  <c r="H592" i="6"/>
  <c r="J592" i="6" s="1"/>
  <c r="F592" i="6"/>
  <c r="Q591" i="6"/>
  <c r="K591" i="6"/>
  <c r="I591" i="6"/>
  <c r="H591" i="6"/>
  <c r="J591" i="6" s="1"/>
  <c r="F591" i="6"/>
  <c r="Q590" i="6"/>
  <c r="K590" i="6"/>
  <c r="I590" i="6"/>
  <c r="H590" i="6"/>
  <c r="J590" i="6" s="1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H587" i="6"/>
  <c r="J587" i="6" s="1"/>
  <c r="F587" i="6"/>
  <c r="Q586" i="6"/>
  <c r="K586" i="6"/>
  <c r="I586" i="6"/>
  <c r="H586" i="6"/>
  <c r="J586" i="6" s="1"/>
  <c r="F586" i="6"/>
  <c r="Q585" i="6"/>
  <c r="K585" i="6"/>
  <c r="I585" i="6"/>
  <c r="H585" i="6"/>
  <c r="J585" i="6" s="1"/>
  <c r="F585" i="6"/>
  <c r="Q584" i="6"/>
  <c r="K584" i="6"/>
  <c r="I584" i="6"/>
  <c r="H584" i="6"/>
  <c r="J584" i="6" s="1"/>
  <c r="F584" i="6"/>
  <c r="Q583" i="6"/>
  <c r="K583" i="6"/>
  <c r="I583" i="6"/>
  <c r="H583" i="6"/>
  <c r="J583" i="6" s="1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J580" i="6" s="1"/>
  <c r="F580" i="6"/>
  <c r="Q579" i="6"/>
  <c r="K579" i="6"/>
  <c r="I579" i="6"/>
  <c r="H579" i="6"/>
  <c r="J579" i="6" s="1"/>
  <c r="F579" i="6"/>
  <c r="Q578" i="6"/>
  <c r="K578" i="6"/>
  <c r="I578" i="6"/>
  <c r="H578" i="6"/>
  <c r="J578" i="6" s="1"/>
  <c r="F578" i="6"/>
  <c r="Q577" i="6"/>
  <c r="K577" i="6"/>
  <c r="I577" i="6"/>
  <c r="H577" i="6"/>
  <c r="J577" i="6" s="1"/>
  <c r="F577" i="6"/>
  <c r="Q576" i="6"/>
  <c r="K576" i="6"/>
  <c r="I576" i="6"/>
  <c r="H576" i="6"/>
  <c r="J576" i="6" s="1"/>
  <c r="F576" i="6"/>
  <c r="K575" i="6"/>
  <c r="I575" i="6"/>
  <c r="H575" i="6"/>
  <c r="J575" i="6" s="1"/>
  <c r="F575" i="6"/>
  <c r="Q574" i="6"/>
  <c r="K574" i="6"/>
  <c r="I574" i="6"/>
  <c r="H574" i="6"/>
  <c r="J574" i="6" s="1"/>
  <c r="F574" i="6"/>
  <c r="Q573" i="6"/>
  <c r="K573" i="6"/>
  <c r="I573" i="6"/>
  <c r="H573" i="6"/>
  <c r="J573" i="6" s="1"/>
  <c r="F573" i="6"/>
  <c r="Q572" i="6"/>
  <c r="K572" i="6"/>
  <c r="I572" i="6"/>
  <c r="H572" i="6"/>
  <c r="J572" i="6" s="1"/>
  <c r="F572" i="6"/>
  <c r="Q571" i="6"/>
  <c r="K571" i="6"/>
  <c r="I571" i="6"/>
  <c r="H571" i="6"/>
  <c r="J571" i="6" s="1"/>
  <c r="F571" i="6"/>
  <c r="Q570" i="6"/>
  <c r="K570" i="6"/>
  <c r="I570" i="6"/>
  <c r="H570" i="6"/>
  <c r="J570" i="6" s="1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Q581" i="6" s="1"/>
  <c r="K569" i="6"/>
  <c r="K581" i="6" s="1"/>
  <c r="K595" i="6" s="1"/>
  <c r="I569" i="6"/>
  <c r="H569" i="6"/>
  <c r="F569" i="6"/>
  <c r="S568" i="6"/>
  <c r="G567" i="6"/>
  <c r="Q566" i="6"/>
  <c r="K566" i="6"/>
  <c r="I566" i="6"/>
  <c r="H566" i="6"/>
  <c r="J566" i="6" s="1"/>
  <c r="F566" i="6"/>
  <c r="Q565" i="6"/>
  <c r="K565" i="6"/>
  <c r="I565" i="6"/>
  <c r="H565" i="6"/>
  <c r="J565" i="6" s="1"/>
  <c r="F565" i="6"/>
  <c r="Q564" i="6"/>
  <c r="K564" i="6"/>
  <c r="I564" i="6"/>
  <c r="H564" i="6"/>
  <c r="J564" i="6" s="1"/>
  <c r="F564" i="6"/>
  <c r="Q563" i="6"/>
  <c r="K563" i="6"/>
  <c r="I563" i="6"/>
  <c r="H563" i="6"/>
  <c r="J563" i="6" s="1"/>
  <c r="F563" i="6"/>
  <c r="Q562" i="6"/>
  <c r="K562" i="6"/>
  <c r="I562" i="6"/>
  <c r="H562" i="6"/>
  <c r="J562" i="6" s="1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J559" i="6" s="1"/>
  <c r="F559" i="6"/>
  <c r="Q558" i="6"/>
  <c r="K558" i="6"/>
  <c r="I558" i="6"/>
  <c r="H558" i="6"/>
  <c r="J558" i="6" s="1"/>
  <c r="F558" i="6"/>
  <c r="Q557" i="6"/>
  <c r="K557" i="6"/>
  <c r="I557" i="6"/>
  <c r="H557" i="6"/>
  <c r="F557" i="6"/>
  <c r="Q556" i="6"/>
  <c r="Q567" i="6" s="1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Q527" i="6" s="1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Q513" i="6" s="1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Q500" i="6" s="1"/>
  <c r="Q514" i="6" s="1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Q486" i="6" s="1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Q473" i="6" s="1"/>
  <c r="Q487" i="6" s="1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Q459" i="6" s="1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Q446" i="6" s="1"/>
  <c r="Q460" i="6" s="1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Q432" i="6" s="1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Q405" i="6" s="1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Q324" i="6" s="1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Q284" i="6" s="1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Q257" i="6" s="1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Q230" i="6" s="1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Q203" i="6" s="1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Q189" i="6" s="1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Q162" i="6" s="1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Q149" i="6" s="1"/>
  <c r="Q163" i="6" s="1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Q135" i="6" s="1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Q122" i="6" s="1"/>
  <c r="Q136" i="6" s="1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Q108" i="6" s="1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Q81" i="6" s="1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Q68" i="6" s="1"/>
  <c r="Q82" i="6" s="1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Q41" i="6" s="1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Q27" i="6" s="1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Q14" i="6" s="1"/>
  <c r="Q28" i="6" s="1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Q837" i="5" s="1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Q797" i="5" s="1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Q783" i="5" s="1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Q770" i="5" s="1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Q716" i="5" s="1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Q702" i="5" s="1"/>
  <c r="K690" i="5"/>
  <c r="K702" i="5" s="1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Q689" i="5" s="1"/>
  <c r="Q703" i="5" s="1"/>
  <c r="K677" i="5"/>
  <c r="K689" i="5" s="1"/>
  <c r="K703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S622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H586" i="5"/>
  <c r="J586" i="5" s="1"/>
  <c r="F586" i="5"/>
  <c r="Q585" i="5"/>
  <c r="K585" i="5"/>
  <c r="I585" i="5"/>
  <c r="H585" i="5"/>
  <c r="J585" i="5" s="1"/>
  <c r="F585" i="5"/>
  <c r="Q584" i="5"/>
  <c r="K584" i="5"/>
  <c r="I584" i="5"/>
  <c r="H584" i="5"/>
  <c r="J584" i="5" s="1"/>
  <c r="F584" i="5"/>
  <c r="Q583" i="5"/>
  <c r="K583" i="5"/>
  <c r="I583" i="5"/>
  <c r="H583" i="5"/>
  <c r="J583" i="5" s="1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J580" i="5" s="1"/>
  <c r="F580" i="5"/>
  <c r="Q579" i="5"/>
  <c r="K579" i="5"/>
  <c r="I579" i="5"/>
  <c r="H579" i="5"/>
  <c r="J579" i="5" s="1"/>
  <c r="F579" i="5"/>
  <c r="Q578" i="5"/>
  <c r="K578" i="5"/>
  <c r="I578" i="5"/>
  <c r="H578" i="5"/>
  <c r="J578" i="5" s="1"/>
  <c r="F578" i="5"/>
  <c r="Q577" i="5"/>
  <c r="K577" i="5"/>
  <c r="I577" i="5"/>
  <c r="H577" i="5"/>
  <c r="J577" i="5" s="1"/>
  <c r="F577" i="5"/>
  <c r="Q576" i="5"/>
  <c r="K576" i="5"/>
  <c r="I576" i="5"/>
  <c r="H576" i="5"/>
  <c r="J576" i="5" s="1"/>
  <c r="F576" i="5"/>
  <c r="Q575" i="5"/>
  <c r="K575" i="5"/>
  <c r="I575" i="5"/>
  <c r="H575" i="5"/>
  <c r="J575" i="5" s="1"/>
  <c r="F575" i="5"/>
  <c r="Q574" i="5"/>
  <c r="K574" i="5"/>
  <c r="I574" i="5"/>
  <c r="H574" i="5"/>
  <c r="J574" i="5" s="1"/>
  <c r="F574" i="5"/>
  <c r="Q573" i="5"/>
  <c r="K573" i="5"/>
  <c r="I573" i="5"/>
  <c r="H573" i="5"/>
  <c r="J573" i="5" s="1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F566" i="5"/>
  <c r="Q565" i="5"/>
  <c r="K565" i="5"/>
  <c r="I565" i="5"/>
  <c r="H565" i="5"/>
  <c r="F565" i="5"/>
  <c r="Q564" i="5"/>
  <c r="K564" i="5"/>
  <c r="I564" i="5"/>
  <c r="H564" i="5"/>
  <c r="F564" i="5"/>
  <c r="Q563" i="5"/>
  <c r="K563" i="5"/>
  <c r="I563" i="5"/>
  <c r="H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H559" i="5"/>
  <c r="F559" i="5"/>
  <c r="Q558" i="5"/>
  <c r="K558" i="5"/>
  <c r="I558" i="5"/>
  <c r="H558" i="5"/>
  <c r="F558" i="5"/>
  <c r="Q557" i="5"/>
  <c r="K557" i="5"/>
  <c r="I557" i="5"/>
  <c r="H557" i="5"/>
  <c r="F557" i="5"/>
  <c r="Q556" i="5"/>
  <c r="K556" i="5"/>
  <c r="I556" i="5"/>
  <c r="H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Q567" i="5" s="1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Q527" i="5" s="1"/>
  <c r="K527" i="5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Q473" i="5" s="1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H450" i="5"/>
  <c r="F450" i="5"/>
  <c r="Q449" i="5"/>
  <c r="K449" i="5"/>
  <c r="I449" i="5"/>
  <c r="H449" i="5"/>
  <c r="F449" i="5"/>
  <c r="Q448" i="5"/>
  <c r="K448" i="5"/>
  <c r="I448" i="5"/>
  <c r="H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K459" i="5" s="1"/>
  <c r="I447" i="5"/>
  <c r="H447" i="5"/>
  <c r="F447" i="5"/>
  <c r="G446" i="5"/>
  <c r="G460" i="5" s="1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Q446" i="5" s="1"/>
  <c r="K434" i="5"/>
  <c r="K446" i="5" s="1"/>
  <c r="K460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Q432" i="5" s="1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Q419" i="5" s="1"/>
  <c r="Q433" i="5" s="1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Q378" i="5" s="1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Q365" i="5" s="1"/>
  <c r="Q379" i="5" s="1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Q351" i="5" s="1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K324" i="5"/>
  <c r="G324" i="5"/>
  <c r="Q323" i="5"/>
  <c r="I323" i="5"/>
  <c r="H323" i="5"/>
  <c r="F323" i="5"/>
  <c r="Q322" i="5"/>
  <c r="I322" i="5"/>
  <c r="H322" i="5"/>
  <c r="F322" i="5"/>
  <c r="Q321" i="5"/>
  <c r="I321" i="5"/>
  <c r="H321" i="5"/>
  <c r="F321" i="5"/>
  <c r="Q320" i="5"/>
  <c r="I320" i="5"/>
  <c r="H320" i="5"/>
  <c r="F320" i="5"/>
  <c r="Q319" i="5"/>
  <c r="I319" i="5"/>
  <c r="H319" i="5"/>
  <c r="F319" i="5"/>
  <c r="Q318" i="5"/>
  <c r="I318" i="5"/>
  <c r="H318" i="5"/>
  <c r="F318" i="5"/>
  <c r="Q317" i="5"/>
  <c r="I317" i="5"/>
  <c r="H317" i="5"/>
  <c r="F317" i="5"/>
  <c r="Q316" i="5"/>
  <c r="I316" i="5"/>
  <c r="H316" i="5"/>
  <c r="F316" i="5"/>
  <c r="Q315" i="5"/>
  <c r="I315" i="5"/>
  <c r="H315" i="5"/>
  <c r="F315" i="5"/>
  <c r="Q314" i="5"/>
  <c r="I314" i="5"/>
  <c r="H314" i="5"/>
  <c r="F314" i="5"/>
  <c r="Q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Q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Q297" i="5" s="1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Q284" i="5" s="1"/>
  <c r="Q298" i="5" s="1"/>
  <c r="K272" i="5"/>
  <c r="K284" i="5" s="1"/>
  <c r="K298" i="5" s="1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T230" i="5"/>
  <c r="G230" i="5"/>
  <c r="G244" i="5" s="1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G217" i="5" s="1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Q203" i="5" s="1"/>
  <c r="K191" i="5"/>
  <c r="K203" i="5" s="1"/>
  <c r="K217" i="5" s="1"/>
  <c r="T190" i="5"/>
  <c r="S190" i="5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Q189" i="5" s="1"/>
  <c r="K177" i="5"/>
  <c r="K189" i="5" s="1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T149" i="5"/>
  <c r="G149" i="5"/>
  <c r="G163" i="5" s="1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G136" i="5" s="1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T109" i="5"/>
  <c r="S109" i="5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Q108" i="5" s="1"/>
  <c r="K96" i="5"/>
  <c r="K108" i="5" s="1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T68" i="5"/>
  <c r="G68" i="5"/>
  <c r="G82" i="5" s="1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G55" i="5" s="1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T28" i="5"/>
  <c r="S28" i="5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M824" i="3" s="1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M756" i="3" s="1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G635" i="3" s="1"/>
  <c r="G649" i="3" s="1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G621" i="3" s="1"/>
  <c r="F608" i="3"/>
  <c r="F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G608" i="3" s="1"/>
  <c r="G622" i="3" s="1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G594" i="3" s="1"/>
  <c r="F581" i="3"/>
  <c r="F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M581" i="3" s="1"/>
  <c r="G569" i="3"/>
  <c r="G581" i="3" s="1"/>
  <c r="G595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M554" i="3" s="1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M500" i="3" s="1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M459" i="3" s="1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M446" i="3" s="1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M419" i="3" s="1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M405" i="3" s="1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M378" i="3" s="1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M351" i="3" s="1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M257" i="3" s="1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M203" i="3" s="1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M176" i="3" s="1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M108" i="3" s="1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M41" i="3" s="1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F26" i="1"/>
  <c r="E26" i="1"/>
  <c r="C26" i="1"/>
  <c r="F25" i="1"/>
  <c r="E25" i="1"/>
  <c r="C25" i="1"/>
  <c r="F24" i="1"/>
  <c r="E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E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E10" i="1"/>
  <c r="C10" i="1"/>
  <c r="J9" i="1"/>
  <c r="F9" i="1"/>
  <c r="E9" i="1"/>
  <c r="C9" i="1"/>
  <c r="J8" i="1"/>
  <c r="F8" i="1"/>
  <c r="E8" i="1"/>
  <c r="C8" i="1"/>
  <c r="J7" i="1"/>
  <c r="F7" i="1"/>
  <c r="E7" i="1"/>
  <c r="C7" i="1"/>
  <c r="J6" i="1"/>
  <c r="F6" i="1"/>
  <c r="E6" i="1"/>
  <c r="C6" i="1"/>
  <c r="J5" i="1"/>
  <c r="F5" i="1"/>
  <c r="E5" i="1"/>
  <c r="C5" i="1"/>
  <c r="J4" i="1"/>
  <c r="F4" i="1"/>
  <c r="F35" i="1" s="1"/>
  <c r="E4" i="1"/>
  <c r="E35" i="1" s="1"/>
  <c r="C4" i="1"/>
  <c r="C35" i="1" s="1"/>
  <c r="S838" i="4"/>
  <c r="D34" i="1" s="1"/>
  <c r="G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Q824" i="4" s="1"/>
  <c r="K812" i="4"/>
  <c r="K824" i="4" s="1"/>
  <c r="K838" i="4" s="1"/>
  <c r="I812" i="4"/>
  <c r="H812" i="4"/>
  <c r="F812" i="4"/>
  <c r="S811" i="4"/>
  <c r="D33" i="1" s="1"/>
  <c r="G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Q743" i="4" s="1"/>
  <c r="K731" i="4"/>
  <c r="K743" i="4" s="1"/>
  <c r="K757" i="4" s="1"/>
  <c r="I731" i="4"/>
  <c r="H731" i="4"/>
  <c r="F731" i="4"/>
  <c r="S730" i="4"/>
  <c r="D30" i="1" s="1"/>
  <c r="G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Q729" i="4" s="1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Q689" i="4" s="1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Q648" i="4" s="1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H632" i="4"/>
  <c r="J632" i="4" s="1"/>
  <c r="F632" i="4"/>
  <c r="Q631" i="4"/>
  <c r="K631" i="4"/>
  <c r="I631" i="4"/>
  <c r="H631" i="4"/>
  <c r="J631" i="4" s="1"/>
  <c r="F631" i="4"/>
  <c r="Q630" i="4"/>
  <c r="K630" i="4"/>
  <c r="I630" i="4"/>
  <c r="H630" i="4"/>
  <c r="J630" i="4" s="1"/>
  <c r="F630" i="4"/>
  <c r="Q629" i="4"/>
  <c r="K629" i="4"/>
  <c r="I629" i="4"/>
  <c r="H629" i="4"/>
  <c r="J629" i="4" s="1"/>
  <c r="F629" i="4"/>
  <c r="Q628" i="4"/>
  <c r="K628" i="4"/>
  <c r="I628" i="4"/>
  <c r="H628" i="4"/>
  <c r="J628" i="4" s="1"/>
  <c r="F628" i="4"/>
  <c r="Q627" i="4"/>
  <c r="K627" i="4"/>
  <c r="I627" i="4"/>
  <c r="H627" i="4"/>
  <c r="J627" i="4" s="1"/>
  <c r="F627" i="4"/>
  <c r="Q626" i="4"/>
  <c r="K626" i="4"/>
  <c r="I626" i="4"/>
  <c r="H626" i="4"/>
  <c r="J626" i="4" s="1"/>
  <c r="F626" i="4"/>
  <c r="Q625" i="4"/>
  <c r="K625" i="4"/>
  <c r="I625" i="4"/>
  <c r="H625" i="4"/>
  <c r="J625" i="4" s="1"/>
  <c r="F625" i="4"/>
  <c r="Q624" i="4"/>
  <c r="K624" i="4"/>
  <c r="I624" i="4"/>
  <c r="H624" i="4"/>
  <c r="J624" i="4" s="1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K635" i="4" s="1"/>
  <c r="K649" i="4" s="1"/>
  <c r="I623" i="4"/>
  <c r="H623" i="4"/>
  <c r="F623" i="4"/>
  <c r="S622" i="4"/>
  <c r="D26" i="1" s="1"/>
  <c r="G26" i="1" s="1"/>
  <c r="G621" i="4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H618" i="4"/>
  <c r="J618" i="4" s="1"/>
  <c r="F618" i="4"/>
  <c r="Q617" i="4"/>
  <c r="K617" i="4"/>
  <c r="I617" i="4"/>
  <c r="H617" i="4"/>
  <c r="J617" i="4" s="1"/>
  <c r="F617" i="4"/>
  <c r="Q616" i="4"/>
  <c r="K616" i="4"/>
  <c r="I616" i="4"/>
  <c r="H616" i="4"/>
  <c r="J616" i="4" s="1"/>
  <c r="F616" i="4"/>
  <c r="Q615" i="4"/>
  <c r="I615" i="4"/>
  <c r="H615" i="4"/>
  <c r="J615" i="4" s="1"/>
  <c r="F615" i="4"/>
  <c r="Q614" i="4"/>
  <c r="K614" i="4"/>
  <c r="I614" i="4"/>
  <c r="H614" i="4"/>
  <c r="J614" i="4" s="1"/>
  <c r="F614" i="4"/>
  <c r="Q613" i="4"/>
  <c r="K613" i="4"/>
  <c r="I613" i="4"/>
  <c r="H613" i="4"/>
  <c r="J613" i="4" s="1"/>
  <c r="F613" i="4"/>
  <c r="Q612" i="4"/>
  <c r="K612" i="4"/>
  <c r="I612" i="4"/>
  <c r="H612" i="4"/>
  <c r="J612" i="4" s="1"/>
  <c r="F612" i="4"/>
  <c r="Q611" i="4"/>
  <c r="K611" i="4"/>
  <c r="I611" i="4"/>
  <c r="H611" i="4"/>
  <c r="J611" i="4" s="1"/>
  <c r="F611" i="4"/>
  <c r="Q610" i="4"/>
  <c r="K610" i="4"/>
  <c r="I610" i="4"/>
  <c r="H610" i="4"/>
  <c r="J610" i="4" s="1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K621" i="4" s="1"/>
  <c r="I609" i="4"/>
  <c r="H609" i="4"/>
  <c r="F609" i="4"/>
  <c r="G608" i="4"/>
  <c r="G622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H600" i="4"/>
  <c r="J600" i="4" s="1"/>
  <c r="F600" i="4"/>
  <c r="Q599" i="4"/>
  <c r="K599" i="4"/>
  <c r="I599" i="4"/>
  <c r="H599" i="4"/>
  <c r="J599" i="4" s="1"/>
  <c r="F599" i="4"/>
  <c r="Q598" i="4"/>
  <c r="K598" i="4"/>
  <c r="I598" i="4"/>
  <c r="H598" i="4"/>
  <c r="J598" i="4" s="1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K608" i="4" s="1"/>
  <c r="K622" i="4" s="1"/>
  <c r="I596" i="4"/>
  <c r="H596" i="4"/>
  <c r="F596" i="4"/>
  <c r="S595" i="4"/>
  <c r="D25" i="1" s="1"/>
  <c r="G25" i="1" s="1"/>
  <c r="G594" i="4"/>
  <c r="Q593" i="4"/>
  <c r="K593" i="4"/>
  <c r="I593" i="4"/>
  <c r="H593" i="4"/>
  <c r="J593" i="4" s="1"/>
  <c r="F593" i="4"/>
  <c r="Q592" i="4"/>
  <c r="K592" i="4"/>
  <c r="I592" i="4"/>
  <c r="H592" i="4"/>
  <c r="J592" i="4" s="1"/>
  <c r="F592" i="4"/>
  <c r="Q591" i="4"/>
  <c r="K591" i="4"/>
  <c r="I591" i="4"/>
  <c r="H591" i="4"/>
  <c r="J591" i="4" s="1"/>
  <c r="F591" i="4"/>
  <c r="Q590" i="4"/>
  <c r="K590" i="4"/>
  <c r="I590" i="4"/>
  <c r="H590" i="4"/>
  <c r="J590" i="4" s="1"/>
  <c r="F590" i="4"/>
  <c r="Q589" i="4"/>
  <c r="K589" i="4"/>
  <c r="I589" i="4"/>
  <c r="H589" i="4"/>
  <c r="J589" i="4" s="1"/>
  <c r="F589" i="4"/>
  <c r="Q588" i="4"/>
  <c r="K588" i="4"/>
  <c r="I588" i="4"/>
  <c r="H588" i="4"/>
  <c r="J588" i="4" s="1"/>
  <c r="F588" i="4"/>
  <c r="Q587" i="4"/>
  <c r="K587" i="4"/>
  <c r="I587" i="4"/>
  <c r="H587" i="4"/>
  <c r="J587" i="4" s="1"/>
  <c r="F587" i="4"/>
  <c r="Q586" i="4"/>
  <c r="K586" i="4"/>
  <c r="I586" i="4"/>
  <c r="H586" i="4"/>
  <c r="J586" i="4" s="1"/>
  <c r="F586" i="4"/>
  <c r="Q585" i="4"/>
  <c r="K585" i="4"/>
  <c r="I585" i="4"/>
  <c r="H585" i="4"/>
  <c r="J585" i="4" s="1"/>
  <c r="F585" i="4"/>
  <c r="Q584" i="4"/>
  <c r="K584" i="4"/>
  <c r="I584" i="4"/>
  <c r="H584" i="4"/>
  <c r="J584" i="4" s="1"/>
  <c r="F584" i="4"/>
  <c r="Q583" i="4"/>
  <c r="K583" i="4"/>
  <c r="I583" i="4"/>
  <c r="H583" i="4"/>
  <c r="J583" i="4" s="1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K594" i="4" s="1"/>
  <c r="I582" i="4"/>
  <c r="H582" i="4"/>
  <c r="F582" i="4"/>
  <c r="G581" i="4"/>
  <c r="G595" i="4" s="1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J577" i="4" s="1"/>
  <c r="F577" i="4"/>
  <c r="Q576" i="4"/>
  <c r="K576" i="4"/>
  <c r="I576" i="4"/>
  <c r="H576" i="4"/>
  <c r="J576" i="4" s="1"/>
  <c r="F576" i="4"/>
  <c r="Q575" i="4"/>
  <c r="K575" i="4"/>
  <c r="I575" i="4"/>
  <c r="H575" i="4"/>
  <c r="J575" i="4" s="1"/>
  <c r="F575" i="4"/>
  <c r="Q574" i="4"/>
  <c r="K574" i="4"/>
  <c r="I574" i="4"/>
  <c r="H574" i="4"/>
  <c r="J574" i="4" s="1"/>
  <c r="F574" i="4"/>
  <c r="Q573" i="4"/>
  <c r="K573" i="4"/>
  <c r="I573" i="4"/>
  <c r="H573" i="4"/>
  <c r="J573" i="4" s="1"/>
  <c r="F573" i="4"/>
  <c r="Q572" i="4"/>
  <c r="K572" i="4"/>
  <c r="I572" i="4"/>
  <c r="H572" i="4"/>
  <c r="J572" i="4" s="1"/>
  <c r="F572" i="4"/>
  <c r="Q571" i="4"/>
  <c r="K571" i="4"/>
  <c r="I571" i="4"/>
  <c r="H571" i="4"/>
  <c r="J571" i="4" s="1"/>
  <c r="F571" i="4"/>
  <c r="Q570" i="4"/>
  <c r="K570" i="4"/>
  <c r="I570" i="4"/>
  <c r="H570" i="4"/>
  <c r="J570" i="4" s="1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K595" i="4" s="1"/>
  <c r="I569" i="4"/>
  <c r="H569" i="4"/>
  <c r="F569" i="4"/>
  <c r="S568" i="4"/>
  <c r="D24" i="1" s="1"/>
  <c r="G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F560" i="4"/>
  <c r="Q559" i="4"/>
  <c r="K559" i="4"/>
  <c r="I559" i="4"/>
  <c r="H559" i="4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J553" i="4" s="1"/>
  <c r="F553" i="4"/>
  <c r="Q552" i="4"/>
  <c r="K552" i="4"/>
  <c r="I552" i="4"/>
  <c r="H552" i="4"/>
  <c r="J552" i="4" s="1"/>
  <c r="F552" i="4"/>
  <c r="Q551" i="4"/>
  <c r="K551" i="4"/>
  <c r="I551" i="4"/>
  <c r="H551" i="4"/>
  <c r="J551" i="4" s="1"/>
  <c r="F551" i="4"/>
  <c r="Q550" i="4"/>
  <c r="K550" i="4"/>
  <c r="I550" i="4"/>
  <c r="H550" i="4"/>
  <c r="J550" i="4" s="1"/>
  <c r="F550" i="4"/>
  <c r="Q549" i="4"/>
  <c r="K549" i="4"/>
  <c r="I549" i="4"/>
  <c r="H549" i="4"/>
  <c r="J549" i="4" s="1"/>
  <c r="F549" i="4"/>
  <c r="Q548" i="4"/>
  <c r="K548" i="4"/>
  <c r="I548" i="4"/>
  <c r="H548" i="4"/>
  <c r="J548" i="4" s="1"/>
  <c r="F548" i="4"/>
  <c r="Q547" i="4"/>
  <c r="K547" i="4"/>
  <c r="I547" i="4"/>
  <c r="H547" i="4"/>
  <c r="J547" i="4" s="1"/>
  <c r="F547" i="4"/>
  <c r="Q546" i="4"/>
  <c r="K546" i="4"/>
  <c r="I546" i="4"/>
  <c r="H546" i="4"/>
  <c r="J546" i="4" s="1"/>
  <c r="F546" i="4"/>
  <c r="Q545" i="4"/>
  <c r="K545" i="4"/>
  <c r="I545" i="4"/>
  <c r="H545" i="4"/>
  <c r="J545" i="4" s="1"/>
  <c r="F545" i="4"/>
  <c r="Q544" i="4"/>
  <c r="K544" i="4"/>
  <c r="I544" i="4"/>
  <c r="H544" i="4"/>
  <c r="J544" i="4" s="1"/>
  <c r="F544" i="4"/>
  <c r="Q543" i="4"/>
  <c r="K543" i="4"/>
  <c r="I543" i="4"/>
  <c r="H543" i="4"/>
  <c r="J543" i="4" s="1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23" i="1" s="1"/>
  <c r="G540" i="4"/>
  <c r="Q539" i="4"/>
  <c r="K539" i="4"/>
  <c r="I539" i="4"/>
  <c r="H539" i="4"/>
  <c r="J539" i="4" s="1"/>
  <c r="F539" i="4"/>
  <c r="Q538" i="4"/>
  <c r="K538" i="4"/>
  <c r="I538" i="4"/>
  <c r="H538" i="4"/>
  <c r="J538" i="4" s="1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Q527" i="4" s="1"/>
  <c r="K515" i="4"/>
  <c r="K527" i="4" s="1"/>
  <c r="K541" i="4" s="1"/>
  <c r="I515" i="4"/>
  <c r="H515" i="4"/>
  <c r="F515" i="4"/>
  <c r="S514" i="4"/>
  <c r="D22" i="1" s="1"/>
  <c r="G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Q500" i="4" s="1"/>
  <c r="K488" i="4"/>
  <c r="K500" i="4" s="1"/>
  <c r="K514" i="4" s="1"/>
  <c r="I488" i="4"/>
  <c r="H488" i="4"/>
  <c r="F488" i="4"/>
  <c r="S487" i="4"/>
  <c r="D21" i="1" s="1"/>
  <c r="G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Q473" i="4" s="1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Q459" i="4" s="1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Q419" i="4" s="1"/>
  <c r="K407" i="4"/>
  <c r="K419" i="4" s="1"/>
  <c r="K433" i="4" s="1"/>
  <c r="I407" i="4"/>
  <c r="H407" i="4"/>
  <c r="F407" i="4"/>
  <c r="S406" i="4"/>
  <c r="D18" i="1" s="1"/>
  <c r="G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Q405" i="4" s="1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Q392" i="4" s="1"/>
  <c r="Q406" i="4" s="1"/>
  <c r="K380" i="4"/>
  <c r="K392" i="4" s="1"/>
  <c r="K406" i="4" s="1"/>
  <c r="I380" i="4"/>
  <c r="H380" i="4"/>
  <c r="F380" i="4"/>
  <c r="S379" i="4"/>
  <c r="D17" i="1" s="1"/>
  <c r="G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Q338" i="4" s="1"/>
  <c r="K326" i="4"/>
  <c r="K338" i="4" s="1"/>
  <c r="K352" i="4" s="1"/>
  <c r="I326" i="4"/>
  <c r="H326" i="4"/>
  <c r="F326" i="4"/>
  <c r="S325" i="4"/>
  <c r="D15" i="1" s="1"/>
  <c r="G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Q311" i="4" s="1"/>
  <c r="K299" i="4"/>
  <c r="K311" i="4" s="1"/>
  <c r="K325" i="4" s="1"/>
  <c r="I299" i="4"/>
  <c r="H299" i="4"/>
  <c r="F299" i="4"/>
  <c r="S298" i="4"/>
  <c r="D14" i="1" s="1"/>
  <c r="G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Q297" i="4" s="1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Q284" i="4" s="1"/>
  <c r="Q298" i="4" s="1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G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Q243" i="4" s="1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Q230" i="4" s="1"/>
  <c r="K218" i="4"/>
  <c r="K230" i="4" s="1"/>
  <c r="K244" i="4" s="1"/>
  <c r="S217" i="4"/>
  <c r="D11" i="1" s="1"/>
  <c r="G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Q216" i="4" s="1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Q203" i="4" s="1"/>
  <c r="Q217" i="4" s="1"/>
  <c r="K191" i="4"/>
  <c r="K203" i="4" s="1"/>
  <c r="K217" i="4" s="1"/>
  <c r="S190" i="4"/>
  <c r="D10" i="1" s="1"/>
  <c r="G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Q176" i="4" s="1"/>
  <c r="K164" i="4"/>
  <c r="K176" i="4" s="1"/>
  <c r="K190" i="4" s="1"/>
  <c r="S163" i="4"/>
  <c r="D9" i="1" s="1"/>
  <c r="G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Q162" i="4" s="1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G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G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Q108" i="4" s="1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G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Q81" i="4" s="1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Q68" i="4" s="1"/>
  <c r="Q82" i="4" s="1"/>
  <c r="K56" i="4"/>
  <c r="K68" i="4" s="1"/>
  <c r="K82" i="4" s="1"/>
  <c r="S55" i="4"/>
  <c r="D5" i="1" s="1"/>
  <c r="G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Q27" i="4" s="1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562" i="5" l="1"/>
  <c r="J563" i="5"/>
  <c r="J564" i="5"/>
  <c r="J565" i="5"/>
  <c r="J566" i="5"/>
  <c r="J570" i="5"/>
  <c r="J571" i="5"/>
  <c r="J572" i="5"/>
  <c r="J561" i="6"/>
  <c r="J561" i="5"/>
  <c r="J556" i="5"/>
  <c r="J557" i="5"/>
  <c r="J560" i="4"/>
  <c r="J559" i="4"/>
  <c r="J560" i="5"/>
  <c r="J560" i="6"/>
  <c r="J559" i="5"/>
  <c r="J558" i="5"/>
  <c r="J510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3" i="6"/>
  <c r="J534" i="6"/>
  <c r="J535" i="6"/>
  <c r="J536" i="6"/>
  <c r="J537" i="6"/>
  <c r="J538" i="6"/>
  <c r="J539" i="6"/>
  <c r="J542" i="6"/>
  <c r="J543" i="6"/>
  <c r="J544" i="6"/>
  <c r="J545" i="6"/>
  <c r="J547" i="6"/>
  <c r="J548" i="6"/>
  <c r="J549" i="6"/>
  <c r="J550" i="6"/>
  <c r="J551" i="6"/>
  <c r="J552" i="6"/>
  <c r="J553" i="6"/>
  <c r="J556" i="6"/>
  <c r="J557" i="6"/>
  <c r="J543" i="5"/>
  <c r="J544" i="5"/>
  <c r="J545" i="5"/>
  <c r="J546" i="5"/>
  <c r="J547" i="5"/>
  <c r="J548" i="5"/>
  <c r="J549" i="5"/>
  <c r="J550" i="5"/>
  <c r="J551" i="5"/>
  <c r="J552" i="5"/>
  <c r="J553" i="5"/>
  <c r="J510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6" i="5"/>
  <c r="J497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541" i="4" s="1"/>
  <c r="Q770" i="4"/>
  <c r="Q581" i="5"/>
  <c r="Q311" i="5"/>
  <c r="M149" i="3"/>
  <c r="Q567" i="4"/>
  <c r="Q95" i="4"/>
  <c r="Q14" i="4"/>
  <c r="Q28" i="4" s="1"/>
  <c r="Q635" i="5"/>
  <c r="Q257" i="5"/>
  <c r="Q176" i="5"/>
  <c r="Q190" i="5" s="1"/>
  <c r="M621" i="3"/>
  <c r="M81" i="3"/>
  <c r="Q622" i="6"/>
  <c r="Q784" i="5"/>
  <c r="Q325" i="5"/>
  <c r="M486" i="3"/>
  <c r="M716" i="3"/>
  <c r="M460" i="3"/>
  <c r="Q716" i="4"/>
  <c r="Q608" i="4"/>
  <c r="Q244" i="4"/>
  <c r="Q176" i="6"/>
  <c r="Q190" i="6" s="1"/>
  <c r="Q702" i="4"/>
  <c r="Q703" i="4" s="1"/>
  <c r="Q243" i="5"/>
  <c r="Q486" i="4"/>
  <c r="Q487" i="4" s="1"/>
  <c r="Q122" i="4"/>
  <c r="Q122" i="5"/>
  <c r="M608" i="3"/>
  <c r="M473" i="3"/>
  <c r="Q675" i="4"/>
  <c r="M54" i="3"/>
  <c r="M55" i="3" s="1"/>
  <c r="M527" i="3"/>
  <c r="Q675" i="6"/>
  <c r="Q540" i="5"/>
  <c r="Q541" i="5" s="1"/>
  <c r="M270" i="3"/>
  <c r="M271" i="3" s="1"/>
  <c r="K500" i="6"/>
  <c r="K514" i="6" s="1"/>
  <c r="Q149" i="4"/>
  <c r="Q163" i="4" s="1"/>
  <c r="Q797" i="4"/>
  <c r="Q581" i="4"/>
  <c r="Q324" i="4"/>
  <c r="Q325" i="4" s="1"/>
  <c r="Q810" i="4"/>
  <c r="M365" i="3"/>
  <c r="M379" i="3" s="1"/>
  <c r="M216" i="3"/>
  <c r="M217" i="3" s="1"/>
  <c r="M68" i="3"/>
  <c r="Q635" i="4"/>
  <c r="Q649" i="4" s="1"/>
  <c r="Q594" i="6"/>
  <c r="Q595" i="6" s="1"/>
  <c r="Q378" i="4"/>
  <c r="Q405" i="5"/>
  <c r="Q338" i="5"/>
  <c r="Q352" i="5" s="1"/>
  <c r="M135" i="3"/>
  <c r="Q756" i="6"/>
  <c r="Q243" i="6"/>
  <c r="Q244" i="6" s="1"/>
  <c r="M810" i="3"/>
  <c r="M14" i="3"/>
  <c r="Q594" i="4"/>
  <c r="Q595" i="4" s="1"/>
  <c r="M662" i="3"/>
  <c r="M162" i="3"/>
  <c r="M163" i="3" s="1"/>
  <c r="Q635" i="6"/>
  <c r="M311" i="3"/>
  <c r="Q689" i="6"/>
  <c r="Q703" i="6" s="1"/>
  <c r="Q594" i="5"/>
  <c r="Q595" i="5" s="1"/>
  <c r="Q365" i="4"/>
  <c r="Q379" i="4" s="1"/>
  <c r="M540" i="3"/>
  <c r="M541" i="3" s="1"/>
  <c r="Q783" i="6"/>
  <c r="Q797" i="6"/>
  <c r="Q811" i="6" s="1"/>
  <c r="Q95" i="5"/>
  <c r="Q109" i="5" s="1"/>
  <c r="M284" i="3"/>
  <c r="M298" i="3" s="1"/>
  <c r="Q41" i="5"/>
  <c r="Q392" i="5"/>
  <c r="Q406" i="5" s="1"/>
  <c r="Q648" i="6"/>
  <c r="Q649" i="6" s="1"/>
  <c r="Q729" i="5"/>
  <c r="Q730" i="5" s="1"/>
  <c r="Q486" i="5"/>
  <c r="Q487" i="5" s="1"/>
  <c r="Q459" i="5"/>
  <c r="Q460" i="5" s="1"/>
  <c r="Q27" i="5"/>
  <c r="M837" i="3"/>
  <c r="M838" i="3" s="1"/>
  <c r="M324" i="3"/>
  <c r="M325" i="3" s="1"/>
  <c r="Q662" i="4"/>
  <c r="Q676" i="4" s="1"/>
  <c r="Q513" i="5"/>
  <c r="Q149" i="5"/>
  <c r="Q135" i="5"/>
  <c r="Q136" i="5" s="1"/>
  <c r="M770" i="3"/>
  <c r="Q270" i="4"/>
  <c r="Q446" i="4"/>
  <c r="Q460" i="4" s="1"/>
  <c r="Q743" i="6"/>
  <c r="Q757" i="6" s="1"/>
  <c r="Q270" i="6"/>
  <c r="Q271" i="6" s="1"/>
  <c r="M729" i="3"/>
  <c r="M730" i="3" s="1"/>
  <c r="M513" i="3"/>
  <c r="M514" i="3" s="1"/>
  <c r="M95" i="3"/>
  <c r="M109" i="3" s="1"/>
  <c r="Q554" i="4"/>
  <c r="Q568" i="4" s="1"/>
  <c r="M392" i="3"/>
  <c r="M406" i="3" s="1"/>
  <c r="M122" i="3"/>
  <c r="M136" i="3" s="1"/>
  <c r="Q351" i="4"/>
  <c r="Q352" i="4" s="1"/>
  <c r="Q189" i="4"/>
  <c r="Q190" i="4" s="1"/>
  <c r="M797" i="3"/>
  <c r="M811" i="3" s="1"/>
  <c r="M594" i="3"/>
  <c r="M595" i="3" s="1"/>
  <c r="Q621" i="5"/>
  <c r="Q270" i="5"/>
  <c r="Q271" i="5" s="1"/>
  <c r="Q216" i="5"/>
  <c r="Q217" i="5" s="1"/>
  <c r="Q68" i="5"/>
  <c r="M783" i="3"/>
  <c r="M784" i="3" s="1"/>
  <c r="M338" i="3"/>
  <c r="M352" i="3" s="1"/>
  <c r="M243" i="3"/>
  <c r="M230" i="3"/>
  <c r="M244" i="3" s="1"/>
  <c r="M27" i="3"/>
  <c r="Q135" i="4"/>
  <c r="Q648" i="5"/>
  <c r="Q649" i="5" s="1"/>
  <c r="Q54" i="5"/>
  <c r="Q257" i="4"/>
  <c r="M648" i="3"/>
  <c r="Q756" i="4"/>
  <c r="Q757" i="4" s="1"/>
  <c r="Q730" i="4"/>
  <c r="Q432" i="4"/>
  <c r="Q433" i="4" s="1"/>
  <c r="Q81" i="5"/>
  <c r="M743" i="3"/>
  <c r="M757" i="3" s="1"/>
  <c r="M689" i="3"/>
  <c r="Q41" i="4"/>
  <c r="Q392" i="6"/>
  <c r="Q406" i="6" s="1"/>
  <c r="Q378" i="6"/>
  <c r="Q365" i="6"/>
  <c r="Q379" i="6" s="1"/>
  <c r="Q554" i="5"/>
  <c r="Q568" i="5" s="1"/>
  <c r="M675" i="3"/>
  <c r="M189" i="3"/>
  <c r="M190" i="3" s="1"/>
  <c r="Q783" i="4"/>
  <c r="Q784" i="4" s="1"/>
  <c r="Q54" i="6"/>
  <c r="Q55" i="6" s="1"/>
  <c r="Q824" i="5"/>
  <c r="Q838" i="5" s="1"/>
  <c r="Q513" i="4"/>
  <c r="Q514" i="4" s="1"/>
  <c r="Q621" i="4"/>
  <c r="Q622" i="4" s="1"/>
  <c r="Q297" i="6"/>
  <c r="Q298" i="6" s="1"/>
  <c r="Q608" i="5"/>
  <c r="Q837" i="6"/>
  <c r="Q838" i="6" s="1"/>
  <c r="Q837" i="4"/>
  <c r="Q838" i="4" s="1"/>
  <c r="Q230" i="5"/>
  <c r="Q162" i="5"/>
  <c r="Q109" i="4"/>
  <c r="Q54" i="4"/>
  <c r="Q770" i="6"/>
  <c r="Q662" i="6"/>
  <c r="Q554" i="6"/>
  <c r="Q568" i="6" s="1"/>
  <c r="Q540" i="6"/>
  <c r="Q541" i="6" s="1"/>
  <c r="Q419" i="6"/>
  <c r="Q433" i="6" s="1"/>
  <c r="Q351" i="6"/>
  <c r="Q338" i="6"/>
  <c r="Q311" i="6"/>
  <c r="Q325" i="6" s="1"/>
  <c r="Q216" i="6"/>
  <c r="Q217" i="6" s="1"/>
  <c r="Q95" i="6"/>
  <c r="Q109" i="6" s="1"/>
  <c r="Q810" i="5"/>
  <c r="Q811" i="5" s="1"/>
  <c r="Q756" i="5"/>
  <c r="Q743" i="5"/>
  <c r="Q757" i="5" s="1"/>
  <c r="Q675" i="5"/>
  <c r="Q662" i="5"/>
  <c r="Q500" i="5"/>
  <c r="Q14" i="5"/>
  <c r="M702" i="3"/>
  <c r="M635" i="3"/>
  <c r="M567" i="3"/>
  <c r="M568" i="3" s="1"/>
  <c r="M432" i="3"/>
  <c r="M433" i="3" s="1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H635" i="6"/>
  <c r="J623" i="6"/>
  <c r="J635" i="6" s="1"/>
  <c r="J609" i="6"/>
  <c r="J621" i="6" s="1"/>
  <c r="T621" i="6" s="1"/>
  <c r="H621" i="6"/>
  <c r="H608" i="6"/>
  <c r="H622" i="6" s="1"/>
  <c r="J596" i="6"/>
  <c r="J608" i="6" s="1"/>
  <c r="J582" i="6"/>
  <c r="J594" i="6" s="1"/>
  <c r="T594" i="6" s="1"/>
  <c r="H594" i="6"/>
  <c r="J569" i="6"/>
  <c r="J581" i="6" s="1"/>
  <c r="H581" i="6"/>
  <c r="H595" i="6" s="1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H784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H703" i="5" s="1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H635" i="5"/>
  <c r="H649" i="5" s="1"/>
  <c r="J623" i="5"/>
  <c r="J635" i="5" s="1"/>
  <c r="J609" i="5"/>
  <c r="J621" i="5" s="1"/>
  <c r="T621" i="5" s="1"/>
  <c r="H621" i="5"/>
  <c r="H608" i="5"/>
  <c r="H622" i="5" s="1"/>
  <c r="J596" i="5"/>
  <c r="J608" i="5" s="1"/>
  <c r="J582" i="5"/>
  <c r="J594" i="5" s="1"/>
  <c r="T594" i="5" s="1"/>
  <c r="H594" i="5"/>
  <c r="H581" i="5"/>
  <c r="H595" i="5" s="1"/>
  <c r="J569" i="5"/>
  <c r="J581" i="5" s="1"/>
  <c r="J555" i="5"/>
  <c r="J567" i="5" s="1"/>
  <c r="T567" i="5" s="1"/>
  <c r="H567" i="5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H500" i="5"/>
  <c r="H514" i="5" s="1"/>
  <c r="J488" i="5"/>
  <c r="J500" i="5" s="1"/>
  <c r="J474" i="5"/>
  <c r="J486" i="5" s="1"/>
  <c r="T486" i="5" s="1"/>
  <c r="H486" i="5"/>
  <c r="H473" i="5"/>
  <c r="H487" i="5" s="1"/>
  <c r="J461" i="5"/>
  <c r="J473" i="5" s="1"/>
  <c r="H459" i="5"/>
  <c r="J447" i="5"/>
  <c r="J459" i="5" s="1"/>
  <c r="T459" i="5" s="1"/>
  <c r="H446" i="5"/>
  <c r="H460" i="5" s="1"/>
  <c r="J434" i="5"/>
  <c r="J446" i="5" s="1"/>
  <c r="H432" i="5"/>
  <c r="J420" i="5"/>
  <c r="J432" i="5" s="1"/>
  <c r="T432" i="5" s="1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J339" i="5"/>
  <c r="J351" i="5" s="1"/>
  <c r="T351" i="5" s="1"/>
  <c r="H351" i="5"/>
  <c r="H338" i="5"/>
  <c r="H352" i="5" s="1"/>
  <c r="J326" i="5"/>
  <c r="J338" i="5" s="1"/>
  <c r="H324" i="5"/>
  <c r="J312" i="5"/>
  <c r="J324" i="5" s="1"/>
  <c r="T324" i="5" s="1"/>
  <c r="J299" i="5"/>
  <c r="J311" i="5" s="1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H635" i="4"/>
  <c r="H649" i="4" s="1"/>
  <c r="J623" i="4"/>
  <c r="J635" i="4" s="1"/>
  <c r="J609" i="4"/>
  <c r="J621" i="4" s="1"/>
  <c r="T621" i="4" s="1"/>
  <c r="H621" i="4"/>
  <c r="J596" i="4"/>
  <c r="J608" i="4" s="1"/>
  <c r="H608" i="4"/>
  <c r="H622" i="4" s="1"/>
  <c r="J582" i="4"/>
  <c r="J594" i="4" s="1"/>
  <c r="T594" i="4" s="1"/>
  <c r="H594" i="4"/>
  <c r="J569" i="4"/>
  <c r="J581" i="4" s="1"/>
  <c r="H581" i="4"/>
  <c r="H595" i="4" s="1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G35" i="1" s="1"/>
  <c r="K784" i="6"/>
  <c r="M622" i="3" l="1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T635" i="6"/>
  <c r="J649" i="6"/>
  <c r="T649" i="6" s="1"/>
  <c r="T608" i="6"/>
  <c r="J622" i="6"/>
  <c r="T622" i="6" s="1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49" i="5"/>
  <c r="T649" i="5" s="1"/>
  <c r="J622" i="5"/>
  <c r="T622" i="5" s="1"/>
  <c r="T608" i="5"/>
  <c r="J595" i="5"/>
  <c r="T595" i="5" s="1"/>
  <c r="T581" i="5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J406" i="5"/>
  <c r="T406" i="5" s="1"/>
  <c r="T365" i="5"/>
  <c r="J379" i="5"/>
  <c r="T379" i="5" s="1"/>
  <c r="T338" i="5"/>
  <c r="J352" i="5"/>
  <c r="T352" i="5" s="1"/>
  <c r="J325" i="5"/>
  <c r="T325" i="5" s="1"/>
  <c r="T311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T635" i="4"/>
  <c r="J649" i="4"/>
  <c r="T649" i="4" s="1"/>
  <c r="T608" i="4"/>
  <c r="J622" i="4"/>
  <c r="T622" i="4" s="1"/>
  <c r="J595" i="4"/>
  <c r="T595" i="4" s="1"/>
  <c r="T581" i="4"/>
  <c r="J568" i="4"/>
  <c r="T568" i="4" s="1"/>
  <c r="H24" i="1" s="1"/>
  <c r="J24" i="1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649" i="6"/>
  <c r="H352" i="4"/>
  <c r="H811" i="6"/>
  <c r="T783" i="6"/>
  <c r="J784" i="6"/>
  <c r="T784" i="6" s="1"/>
  <c r="H33" i="1" l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6" i="1"/>
  <c r="J26" i="1" s="1"/>
  <c r="H21" i="1"/>
  <c r="J21" i="1" s="1"/>
  <c r="H19" i="1"/>
  <c r="J19" i="1" s="1"/>
  <c r="H17" i="1"/>
  <c r="J17" i="1" s="1"/>
  <c r="H15" i="1"/>
  <c r="J15" i="1" l="1"/>
  <c r="H35" i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<sst xmlns="http://schemas.openxmlformats.org/spreadsheetml/2006/main" count="9702" uniqueCount="420">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</sst>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  <font>
      <sz val="9"/>
      <color rgb="FF000000"/>
      <name val="Arial"/>
      <charset val="1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6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24" fillId="0" borderId="0" xfId="0" applyFont="1"/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14" fontId="23" fillId="10" borderId="3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G4" sqref="G4:G24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4" width="8.5703125" customWidth="1"/>
  </cols>
  <sheetData>
    <row r="1" spans="1:12" ht="31.5" customHeight="1">
      <c r="A1" s="159" t="s">
        <v>0</v>
      </c>
      <c r="B1" s="159"/>
      <c r="C1" s="159"/>
      <c r="D1" s="159"/>
      <c r="E1" s="159"/>
      <c r="F1" s="159"/>
      <c r="G1" s="159"/>
      <c r="H1" s="159"/>
      <c r="I1" s="159"/>
      <c r="J1" s="159"/>
      <c r="K1" s="159"/>
      <c r="L1" s="159"/>
    </row>
    <row r="2" spans="1:12" ht="30" customHeight="1">
      <c r="A2" s="160"/>
      <c r="B2" s="16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0.61007189067459633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21"/>
      <c r="J23" s="22">
        <f t="shared" si="1"/>
        <v>0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21"/>
      <c r="J24" s="22">
        <f t="shared" si="1"/>
        <v>0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21"/>
      <c r="J25" s="22" t="str">
        <f t="shared" si="1"/>
        <v>-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21"/>
      <c r="J26" s="22" t="str">
        <f t="shared" si="1"/>
        <v>-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21"/>
      <c r="J27" s="22" t="str">
        <f t="shared" si="1"/>
        <v>-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>
      <c r="A35" s="161" t="s">
        <v>16</v>
      </c>
      <c r="B35" s="161"/>
      <c r="C35" s="30">
        <f t="shared" ref="C35:I35" si="2">IFERROR(SUM(C4:C34),"")</f>
        <v>75100940</v>
      </c>
      <c r="D35" s="30">
        <f t="shared" si="2"/>
        <v>24659450</v>
      </c>
      <c r="E35" s="30">
        <f t="shared" si="2"/>
        <v>13495620</v>
      </c>
      <c r="F35" s="30">
        <f t="shared" si="2"/>
        <v>32668850</v>
      </c>
      <c r="G35" s="30">
        <f t="shared" si="2"/>
        <v>70823920</v>
      </c>
      <c r="H35" s="31">
        <f t="shared" si="2"/>
        <v>6458.4576326915121</v>
      </c>
      <c r="I35" s="31">
        <f t="shared" si="2"/>
        <v>4967.05</v>
      </c>
      <c r="J35" s="32">
        <f>I35/H35</f>
        <v>0.76907681098002656</v>
      </c>
      <c r="K35" s="33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4Q2InTcYHlVyRxlOViGh9f3//ZOVrsrWM4aR/gIemFW833GtZ9nboTQnPIKpSdonHy63i+BMJFl1HlbgcAH+pg==" saltValue="/LE3g3rIKk9Vaiq6LMKdB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6" zoomScale="85" zoomScaleNormal="85" workbookViewId="0">
      <selection activeCell="P28" sqref="P28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2" t="s">
        <v>17</v>
      </c>
      <c r="B1" s="162"/>
      <c r="C1" s="162"/>
      <c r="D1" s="162"/>
      <c r="E1" s="162"/>
      <c r="F1" s="162"/>
      <c r="G1" s="162"/>
      <c r="H1" s="162"/>
      <c r="I1" s="162"/>
      <c r="J1" s="162"/>
      <c r="K1" s="162"/>
      <c r="L1" s="162"/>
      <c r="M1" s="163"/>
      <c r="N1" s="164" t="s">
        <v>18</v>
      </c>
      <c r="O1" s="164"/>
      <c r="P1" s="164"/>
      <c r="Q1" s="164"/>
      <c r="R1" s="164"/>
    </row>
    <row r="2" spans="1:18" ht="4.5" customHeight="1">
      <c r="M2" s="163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3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63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63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63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63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63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63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63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63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>
      <c r="A12" s="37"/>
      <c r="C12" s="37"/>
      <c r="J12" s="37"/>
      <c r="L12" s="37" t="s">
        <v>84</v>
      </c>
      <c r="M12" s="163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>
      <c r="A13" s="40"/>
      <c r="C13" s="40"/>
      <c r="J13" s="40"/>
      <c r="L13" s="40" t="s">
        <v>89</v>
      </c>
      <c r="M13" s="163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>
      <c r="A14" s="37"/>
      <c r="C14" s="37"/>
      <c r="J14" s="37"/>
      <c r="L14" s="37" t="s">
        <v>94</v>
      </c>
      <c r="M14" s="163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>
      <c r="A15" s="40"/>
      <c r="C15" s="40"/>
      <c r="J15" s="40"/>
      <c r="L15" s="40" t="s">
        <v>100</v>
      </c>
      <c r="M15" s="163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163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>
      <c r="A17" s="40"/>
      <c r="C17" s="40"/>
      <c r="J17" s="40"/>
      <c r="L17" s="40" t="s">
        <v>112</v>
      </c>
      <c r="M17" s="163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>
      <c r="A18" s="37"/>
      <c r="C18" s="37"/>
      <c r="J18" s="37"/>
      <c r="L18" s="37" t="s">
        <v>118</v>
      </c>
      <c r="M18" s="163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>
      <c r="A19" s="40"/>
      <c r="C19" s="40"/>
      <c r="J19" s="40"/>
      <c r="L19" s="40" t="s">
        <v>124</v>
      </c>
      <c r="M19" s="163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>
      <c r="A20" s="37"/>
      <c r="C20" s="37"/>
      <c r="J20" s="37"/>
      <c r="L20" s="37" t="s">
        <v>129</v>
      </c>
      <c r="M20" s="163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>
      <c r="A21" s="40"/>
      <c r="C21" s="40"/>
      <c r="J21" s="40"/>
      <c r="L21" s="40" t="s">
        <v>133</v>
      </c>
      <c r="M21" s="163"/>
      <c r="N21" s="40"/>
      <c r="O21" s="40"/>
      <c r="P21" s="40" t="s">
        <v>134</v>
      </c>
      <c r="Q21" s="40"/>
      <c r="R21" s="40" t="s">
        <v>135</v>
      </c>
    </row>
    <row r="22" spans="1:18" ht="15.75" customHeight="1">
      <c r="A22" s="37"/>
      <c r="C22" s="37"/>
      <c r="J22" s="37"/>
      <c r="L22" s="37" t="s">
        <v>136</v>
      </c>
      <c r="M22" s="163"/>
      <c r="N22" s="37"/>
      <c r="O22" s="37"/>
      <c r="P22" s="37" t="s">
        <v>137</v>
      </c>
      <c r="Q22" s="37"/>
      <c r="R22" s="37" t="s">
        <v>138</v>
      </c>
    </row>
    <row r="23" spans="1:18" ht="15.75" customHeight="1">
      <c r="A23" s="40"/>
      <c r="C23" s="40"/>
      <c r="J23" s="40"/>
      <c r="L23" s="40" t="s">
        <v>139</v>
      </c>
      <c r="M23" s="163"/>
      <c r="N23" s="40"/>
      <c r="O23" s="40"/>
      <c r="P23" s="40" t="s">
        <v>140</v>
      </c>
      <c r="Q23" s="40"/>
      <c r="R23" s="40" t="s">
        <v>141</v>
      </c>
    </row>
    <row r="24" spans="1:18" ht="15.75" customHeight="1">
      <c r="A24" s="37"/>
      <c r="C24" s="37"/>
      <c r="J24" s="37"/>
      <c r="L24" s="37" t="s">
        <v>142</v>
      </c>
      <c r="M24" s="163"/>
      <c r="N24" s="37"/>
      <c r="O24" s="37"/>
      <c r="P24" s="37" t="s">
        <v>143</v>
      </c>
      <c r="Q24" s="37"/>
      <c r="R24" s="37" t="s">
        <v>144</v>
      </c>
    </row>
    <row r="25" spans="1:18" ht="15.75" customHeight="1">
      <c r="A25" s="40"/>
      <c r="C25" s="40"/>
      <c r="J25" s="40"/>
      <c r="L25" s="40" t="s">
        <v>145</v>
      </c>
      <c r="M25" s="163"/>
      <c r="N25" s="40"/>
      <c r="O25" s="40"/>
      <c r="P25" s="40" t="s">
        <v>146</v>
      </c>
      <c r="Q25" s="40"/>
      <c r="R25" s="40" t="s">
        <v>147</v>
      </c>
    </row>
    <row r="26" spans="1:18" ht="15.75" customHeight="1">
      <c r="A26" s="37"/>
      <c r="C26" s="37"/>
      <c r="J26" s="37"/>
      <c r="L26" s="37" t="s">
        <v>148</v>
      </c>
      <c r="M26" s="163"/>
      <c r="N26" s="37"/>
      <c r="O26" s="37"/>
      <c r="P26" s="37" t="s">
        <v>149</v>
      </c>
      <c r="Q26" s="37"/>
      <c r="R26" s="37"/>
    </row>
    <row r="27" spans="1:18" ht="15.75" customHeight="1">
      <c r="A27" s="40"/>
      <c r="C27" s="40"/>
      <c r="J27" s="40"/>
      <c r="L27" s="40" t="s">
        <v>150</v>
      </c>
      <c r="M27" s="163"/>
      <c r="N27" s="40"/>
      <c r="O27" s="40"/>
      <c r="P27" s="40" t="s">
        <v>141</v>
      </c>
      <c r="Q27" s="40"/>
      <c r="R27" s="40" t="s">
        <v>71</v>
      </c>
    </row>
    <row r="28" spans="1:18" ht="15.75" customHeight="1">
      <c r="A28" s="37"/>
      <c r="C28" s="37"/>
      <c r="J28" s="37"/>
      <c r="L28" s="37" t="s">
        <v>151</v>
      </c>
      <c r="M28" s="163"/>
      <c r="N28" s="37"/>
      <c r="O28" s="37"/>
      <c r="P28" s="37" t="s">
        <v>121</v>
      </c>
      <c r="Q28" s="37"/>
      <c r="R28" s="37" t="s">
        <v>152</v>
      </c>
    </row>
    <row r="29" spans="1:18" ht="15.75" customHeight="1">
      <c r="A29" s="40"/>
      <c r="C29" s="40"/>
      <c r="J29" s="40"/>
      <c r="L29" s="40" t="s">
        <v>153</v>
      </c>
      <c r="M29" s="163"/>
      <c r="N29" s="40"/>
      <c r="O29" s="40"/>
      <c r="P29" s="40" t="s">
        <v>154</v>
      </c>
      <c r="Q29" s="40"/>
      <c r="R29" s="40" t="s">
        <v>155</v>
      </c>
    </row>
    <row r="30" spans="1:18" ht="15.75" customHeight="1">
      <c r="A30" s="37"/>
      <c r="C30" s="37"/>
      <c r="J30" s="37"/>
      <c r="L30" s="37" t="s">
        <v>156</v>
      </c>
      <c r="M30" s="163"/>
      <c r="N30" s="37"/>
      <c r="O30" s="37"/>
      <c r="P30" s="37" t="s">
        <v>157</v>
      </c>
      <c r="Q30" s="37"/>
      <c r="R30" s="37" t="s">
        <v>158</v>
      </c>
    </row>
    <row r="31" spans="1:18" ht="15.75" customHeight="1">
      <c r="A31" s="40"/>
      <c r="C31" s="40"/>
      <c r="J31" s="40"/>
      <c r="L31" s="40" t="s">
        <v>159</v>
      </c>
      <c r="M31" s="163"/>
      <c r="N31" s="40"/>
      <c r="O31" s="40"/>
      <c r="P31" s="40" t="s">
        <v>160</v>
      </c>
      <c r="Q31" s="40"/>
      <c r="R31" s="40" t="s">
        <v>161</v>
      </c>
    </row>
    <row r="32" spans="1:18" ht="15.75" customHeight="1">
      <c r="A32" s="37"/>
      <c r="C32" s="37"/>
      <c r="J32" s="37"/>
      <c r="L32" s="37" t="s">
        <v>162</v>
      </c>
      <c r="M32" s="163"/>
      <c r="N32" s="37"/>
      <c r="O32" s="37"/>
      <c r="P32" s="37" t="s">
        <v>163</v>
      </c>
      <c r="Q32" s="37"/>
      <c r="R32" t="s">
        <v>164</v>
      </c>
    </row>
    <row r="33" spans="1:18" ht="15.75" customHeight="1">
      <c r="A33" s="40"/>
      <c r="C33" s="50" t="s">
        <v>165</v>
      </c>
      <c r="E33" s="51">
        <v>1000</v>
      </c>
      <c r="J33" s="40"/>
      <c r="L33" s="40" t="s">
        <v>166</v>
      </c>
      <c r="M33" s="163"/>
      <c r="N33" s="40"/>
      <c r="O33" s="40"/>
      <c r="P33" s="40" t="s">
        <v>167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168</v>
      </c>
      <c r="M34" s="163"/>
      <c r="N34" s="37"/>
      <c r="O34" s="37"/>
      <c r="P34" s="37" t="s">
        <v>88</v>
      </c>
      <c r="Q34" s="37"/>
      <c r="R34" s="37" t="s">
        <v>169</v>
      </c>
    </row>
    <row r="35" spans="1:18" ht="15.75" customHeight="1">
      <c r="A35" s="40"/>
      <c r="C35" s="40"/>
      <c r="J35" s="40"/>
      <c r="L35" s="40" t="s">
        <v>170</v>
      </c>
      <c r="M35" s="163"/>
      <c r="N35" s="40"/>
      <c r="O35" s="40"/>
      <c r="P35" s="40" t="s">
        <v>171</v>
      </c>
      <c r="Q35" s="40"/>
      <c r="R35" s="40" t="s">
        <v>172</v>
      </c>
    </row>
    <row r="36" spans="1:18" ht="15.75" customHeight="1">
      <c r="A36" s="37"/>
      <c r="C36" s="37"/>
      <c r="J36" s="37"/>
      <c r="L36" s="37" t="s">
        <v>173</v>
      </c>
      <c r="M36" s="163"/>
      <c r="N36" s="37"/>
      <c r="O36" s="37"/>
      <c r="P36" s="37" t="s">
        <v>174</v>
      </c>
      <c r="Q36" s="37"/>
      <c r="R36" s="37" t="s">
        <v>175</v>
      </c>
    </row>
    <row r="37" spans="1:18" ht="15.75" customHeight="1">
      <c r="A37" s="40"/>
      <c r="C37" s="40"/>
      <c r="J37" s="40"/>
      <c r="L37" s="40" t="s">
        <v>176</v>
      </c>
      <c r="M37" s="163"/>
      <c r="N37" s="40"/>
      <c r="O37" s="40"/>
      <c r="P37" s="40" t="s">
        <v>177</v>
      </c>
      <c r="Q37" s="40"/>
      <c r="R37" s="40" t="s">
        <v>178</v>
      </c>
    </row>
    <row r="38" spans="1:18" ht="15.75" customHeight="1">
      <c r="A38" s="37"/>
      <c r="C38" s="37"/>
      <c r="J38" s="37"/>
      <c r="L38" s="37" t="s">
        <v>179</v>
      </c>
      <c r="M38" s="163"/>
      <c r="N38" s="37"/>
      <c r="O38" s="37"/>
      <c r="P38" s="37" t="s">
        <v>180</v>
      </c>
      <c r="Q38" s="37"/>
      <c r="R38" s="37" t="s">
        <v>181</v>
      </c>
    </row>
    <row r="39" spans="1:18" ht="15.75" customHeight="1">
      <c r="A39" s="40"/>
      <c r="C39" s="40"/>
      <c r="J39" s="40"/>
      <c r="L39" s="40"/>
      <c r="M39" s="163"/>
      <c r="N39" s="40"/>
      <c r="O39" s="40"/>
      <c r="P39" s="40" t="s">
        <v>182</v>
      </c>
      <c r="Q39" s="40"/>
      <c r="R39" s="40" t="s">
        <v>183</v>
      </c>
    </row>
    <row r="40" spans="1:18" ht="15.75" customHeight="1">
      <c r="A40" s="37"/>
      <c r="C40" s="37"/>
      <c r="J40" s="37"/>
      <c r="L40" s="37"/>
      <c r="M40" s="163"/>
      <c r="N40" s="37"/>
      <c r="O40" s="37"/>
      <c r="P40" s="37" t="s">
        <v>184</v>
      </c>
      <c r="Q40" s="37"/>
      <c r="R40" s="37" t="s">
        <v>185</v>
      </c>
    </row>
    <row r="41" spans="1:18" ht="15.75" customHeight="1">
      <c r="A41" s="40"/>
      <c r="C41" s="40"/>
      <c r="J41" s="40"/>
      <c r="L41" s="40"/>
      <c r="M41" s="163"/>
      <c r="N41" s="40"/>
      <c r="O41" s="40"/>
      <c r="P41" s="40" t="s">
        <v>186</v>
      </c>
      <c r="Q41" s="40"/>
      <c r="R41" s="40" t="s">
        <v>187</v>
      </c>
    </row>
    <row r="42" spans="1:18" ht="15.75" customHeight="1">
      <c r="A42" s="37"/>
      <c r="C42" s="37"/>
      <c r="J42" s="37"/>
      <c r="L42" s="37"/>
      <c r="M42" s="163"/>
      <c r="N42" s="37"/>
      <c r="O42" s="37"/>
      <c r="P42" s="37" t="s">
        <v>188</v>
      </c>
      <c r="Q42" s="37"/>
      <c r="R42" s="37" t="s">
        <v>189</v>
      </c>
    </row>
    <row r="43" spans="1:18" ht="15.75" customHeight="1">
      <c r="A43" s="40"/>
      <c r="C43" s="40"/>
      <c r="J43" s="40"/>
      <c r="L43" s="40"/>
      <c r="M43" s="163"/>
      <c r="N43" s="40"/>
      <c r="O43" s="40"/>
      <c r="P43" s="40" t="s">
        <v>190</v>
      </c>
      <c r="Q43" s="40"/>
      <c r="R43" s="40" t="s">
        <v>191</v>
      </c>
    </row>
    <row r="44" spans="1:18" ht="15.75" customHeight="1">
      <c r="A44" s="37"/>
      <c r="C44" s="37"/>
      <c r="J44" s="37"/>
      <c r="L44" s="37"/>
      <c r="M44" s="163"/>
      <c r="N44" s="37"/>
      <c r="O44" s="37"/>
      <c r="P44" s="37" t="s">
        <v>192</v>
      </c>
      <c r="Q44" s="37"/>
      <c r="R44" s="37" t="s">
        <v>193</v>
      </c>
    </row>
    <row r="45" spans="1:18" ht="15.75" customHeight="1">
      <c r="A45" s="40"/>
      <c r="C45" s="40"/>
      <c r="J45" s="40"/>
      <c r="L45" s="40"/>
      <c r="M45" s="163"/>
      <c r="N45" s="40"/>
      <c r="O45" s="40"/>
      <c r="P45" s="40" t="s">
        <v>194</v>
      </c>
      <c r="Q45" s="40"/>
      <c r="R45" s="40" t="s">
        <v>195</v>
      </c>
    </row>
    <row r="46" spans="1:18" ht="15.75" customHeight="1">
      <c r="A46" s="37"/>
      <c r="C46" s="37"/>
      <c r="J46" s="37"/>
      <c r="L46" s="37"/>
      <c r="M46" s="163"/>
      <c r="N46" s="37"/>
      <c r="O46" s="37"/>
      <c r="P46" s="37" t="s">
        <v>196</v>
      </c>
      <c r="Q46" s="37"/>
      <c r="R46" s="37" t="s">
        <v>197</v>
      </c>
    </row>
    <row r="47" spans="1:18" ht="15.75" customHeight="1">
      <c r="A47" s="40"/>
      <c r="C47" s="40"/>
      <c r="J47" s="40"/>
      <c r="L47" s="40"/>
      <c r="M47" s="163"/>
      <c r="N47" s="40"/>
      <c r="O47" s="40"/>
      <c r="P47" s="40" t="s">
        <v>198</v>
      </c>
      <c r="Q47" s="40"/>
      <c r="R47" s="40" t="s">
        <v>199</v>
      </c>
    </row>
    <row r="48" spans="1:18" ht="15.75" customHeight="1">
      <c r="A48" s="37"/>
      <c r="C48" s="37"/>
      <c r="J48" s="37"/>
      <c r="L48" s="37"/>
      <c r="M48" s="163"/>
      <c r="N48" s="37"/>
      <c r="O48" s="37"/>
      <c r="P48" s="37" t="s">
        <v>200</v>
      </c>
      <c r="Q48" s="37"/>
      <c r="R48" s="37" t="s">
        <v>201</v>
      </c>
    </row>
    <row r="49" spans="1:18" ht="18" customHeight="1">
      <c r="M49" s="163"/>
      <c r="N49" s="40"/>
      <c r="O49" s="40"/>
      <c r="P49" s="40" t="s">
        <v>202</v>
      </c>
      <c r="Q49" s="40"/>
      <c r="R49" s="40" t="s">
        <v>203</v>
      </c>
    </row>
    <row r="50" spans="1:18" ht="21" customHeight="1">
      <c r="A50" s="52" t="s">
        <v>204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63"/>
      <c r="N50" s="37"/>
      <c r="O50" s="37"/>
      <c r="P50" s="37" t="s">
        <v>205</v>
      </c>
      <c r="Q50" s="37"/>
      <c r="R50" s="37" t="s">
        <v>206</v>
      </c>
    </row>
    <row r="51" spans="1:18" ht="24" customHeight="1">
      <c r="M51" s="163"/>
      <c r="N51" s="40"/>
      <c r="O51" s="40"/>
      <c r="P51" s="40" t="s">
        <v>207</v>
      </c>
      <c r="Q51" s="40"/>
      <c r="R51" s="40" t="s">
        <v>208</v>
      </c>
    </row>
    <row r="52" spans="1:18" ht="24" customHeight="1">
      <c r="M52" s="163"/>
      <c r="N52" s="37"/>
      <c r="O52" s="37"/>
      <c r="P52" s="37" t="s">
        <v>209</v>
      </c>
      <c r="Q52" s="37"/>
      <c r="R52" s="37" t="s">
        <v>210</v>
      </c>
    </row>
    <row r="53" spans="1:18" ht="36" customHeight="1">
      <c r="M53" s="163"/>
      <c r="N53" s="40"/>
      <c r="O53" s="40"/>
      <c r="P53" s="40" t="s">
        <v>211</v>
      </c>
      <c r="Q53" s="40"/>
      <c r="R53" s="40" t="s">
        <v>212</v>
      </c>
    </row>
    <row r="54" spans="1:18" ht="15" customHeight="1">
      <c r="M54" s="163"/>
      <c r="N54" s="37"/>
      <c r="O54" s="37"/>
      <c r="P54" s="37" t="s">
        <v>213</v>
      </c>
      <c r="Q54" s="37"/>
      <c r="R54" s="37" t="s">
        <v>214</v>
      </c>
    </row>
    <row r="55" spans="1:18" ht="15" customHeight="1">
      <c r="M55" s="163"/>
      <c r="N55" s="40"/>
      <c r="O55" s="40"/>
      <c r="P55" s="40" t="s">
        <v>215</v>
      </c>
      <c r="Q55" s="40"/>
      <c r="R55" s="40" t="s">
        <v>216</v>
      </c>
    </row>
    <row r="56" spans="1:18" ht="15" customHeight="1">
      <c r="M56" s="163"/>
      <c r="N56" s="37"/>
      <c r="O56" s="37"/>
      <c r="P56" s="37" t="s">
        <v>217</v>
      </c>
      <c r="Q56" s="37"/>
      <c r="R56" s="37" t="s">
        <v>218</v>
      </c>
    </row>
    <row r="57" spans="1:18" ht="15" customHeight="1">
      <c r="M57" s="163"/>
      <c r="N57" s="40"/>
      <c r="O57" s="40"/>
      <c r="P57" s="40" t="s">
        <v>59</v>
      </c>
      <c r="Q57" s="40"/>
      <c r="R57" s="40" t="s">
        <v>219</v>
      </c>
    </row>
    <row r="58" spans="1:18" ht="15" customHeight="1">
      <c r="M58" s="163"/>
      <c r="N58" s="37"/>
      <c r="O58" s="37"/>
      <c r="P58" s="37" t="s">
        <v>220</v>
      </c>
      <c r="Q58" s="37"/>
      <c r="R58" s="37" t="s">
        <v>221</v>
      </c>
    </row>
    <row r="59" spans="1:18" ht="15" customHeight="1">
      <c r="M59" s="163"/>
      <c r="N59" s="40"/>
      <c r="O59" s="40"/>
      <c r="P59" s="40" t="s">
        <v>222</v>
      </c>
      <c r="Q59" s="40"/>
      <c r="R59" s="40" t="s">
        <v>223</v>
      </c>
    </row>
    <row r="60" spans="1:18" ht="15" customHeight="1">
      <c r="M60" s="163"/>
      <c r="N60" s="37"/>
      <c r="O60" s="37"/>
      <c r="P60" s="53" t="s">
        <v>114</v>
      </c>
      <c r="Q60" s="37"/>
      <c r="R60" s="37"/>
    </row>
    <row r="61" spans="1:18" ht="15" customHeight="1">
      <c r="M61" s="163"/>
      <c r="N61" s="40"/>
      <c r="O61" s="40"/>
      <c r="P61" s="40" t="s">
        <v>224</v>
      </c>
      <c r="Q61" s="40"/>
      <c r="R61" s="40"/>
    </row>
    <row r="62" spans="1:18" ht="15" customHeight="1">
      <c r="M62" s="163"/>
      <c r="N62" s="37"/>
      <c r="O62" s="37"/>
      <c r="P62" s="37" t="s">
        <v>225</v>
      </c>
      <c r="Q62" s="37"/>
      <c r="R62" s="37"/>
    </row>
    <row r="63" spans="1:18" ht="15" customHeight="1">
      <c r="M63" s="163"/>
      <c r="N63" s="40"/>
      <c r="O63" s="40"/>
      <c r="P63" s="40" t="s">
        <v>226</v>
      </c>
      <c r="Q63" s="40"/>
      <c r="R63" s="40"/>
    </row>
    <row r="64" spans="1:18" ht="15" customHeight="1">
      <c r="M64" s="163"/>
      <c r="N64" s="37"/>
      <c r="O64" s="37"/>
      <c r="P64" s="37" t="s">
        <v>227</v>
      </c>
      <c r="Q64" s="37"/>
      <c r="R64" s="37"/>
    </row>
    <row r="65" spans="13:18" ht="15" customHeight="1">
      <c r="M65" s="163"/>
      <c r="N65" s="40"/>
      <c r="O65" s="40"/>
      <c r="P65" s="40" t="s">
        <v>228</v>
      </c>
      <c r="Q65" s="40"/>
      <c r="R65" s="40"/>
    </row>
    <row r="66" spans="13:18" ht="15" customHeight="1">
      <c r="M66" s="163"/>
      <c r="N66" s="37"/>
      <c r="O66" s="37"/>
      <c r="P66" s="37" t="s">
        <v>229</v>
      </c>
      <c r="Q66" s="37"/>
      <c r="R66" s="37"/>
    </row>
    <row r="67" spans="13:18" ht="15" customHeight="1">
      <c r="M67" s="163"/>
      <c r="N67" s="40"/>
      <c r="O67" s="40"/>
      <c r="P67" s="40" t="s">
        <v>230</v>
      </c>
      <c r="Q67" s="40"/>
      <c r="R67" s="40"/>
    </row>
    <row r="68" spans="13:18" ht="15" customHeight="1">
      <c r="M68" s="163"/>
      <c r="N68" s="37"/>
      <c r="O68" s="37"/>
      <c r="P68" s="37" t="s">
        <v>231</v>
      </c>
      <c r="Q68" s="37"/>
      <c r="R68" s="37"/>
    </row>
    <row r="69" spans="13:18" ht="15" customHeight="1">
      <c r="M69" s="163"/>
      <c r="N69" s="40"/>
      <c r="O69" s="40"/>
      <c r="P69" s="40" t="s">
        <v>232</v>
      </c>
      <c r="Q69" s="40"/>
      <c r="R69" s="40"/>
    </row>
    <row r="70" spans="13:18" ht="15" customHeight="1">
      <c r="M70" s="163"/>
      <c r="N70" s="37"/>
      <c r="O70" s="37"/>
      <c r="P70" s="37" t="s">
        <v>233</v>
      </c>
      <c r="Q70" s="37"/>
      <c r="R70" s="37"/>
    </row>
    <row r="71" spans="13:18" ht="15" customHeight="1">
      <c r="M71" s="163"/>
      <c r="N71" s="40"/>
      <c r="O71" s="40"/>
      <c r="P71" s="40" t="s">
        <v>234</v>
      </c>
      <c r="Q71" s="40"/>
      <c r="R71" s="40"/>
    </row>
    <row r="72" spans="13:18" ht="15" customHeight="1">
      <c r="M72" s="163"/>
      <c r="N72" s="37"/>
      <c r="O72" s="37"/>
      <c r="P72" s="37" t="s">
        <v>235</v>
      </c>
      <c r="Q72" s="37"/>
      <c r="R72" s="37"/>
    </row>
    <row r="73" spans="13:18" ht="15" customHeight="1">
      <c r="M73" s="163"/>
      <c r="N73" s="40"/>
      <c r="O73" s="40"/>
      <c r="P73" s="40" t="s">
        <v>236</v>
      </c>
      <c r="Q73" s="40"/>
      <c r="R73" s="40"/>
    </row>
    <row r="74" spans="13:18" ht="15" customHeight="1">
      <c r="M74" s="163"/>
      <c r="N74" s="37"/>
      <c r="O74" s="37"/>
      <c r="P74" s="37" t="s">
        <v>237</v>
      </c>
      <c r="Q74" s="37"/>
      <c r="R74" s="37"/>
    </row>
    <row r="75" spans="13:18" ht="15" customHeight="1">
      <c r="M75" s="163"/>
      <c r="N75" s="40"/>
      <c r="O75" s="40"/>
      <c r="P75" s="40" t="s">
        <v>238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8" t="s">
        <v>12</v>
      </c>
      <c r="B1" s="138" t="s">
        <v>239</v>
      </c>
      <c r="C1" s="138" t="s">
        <v>240</v>
      </c>
      <c r="D1" s="138" t="s">
        <v>19</v>
      </c>
      <c r="E1" s="138" t="s">
        <v>241</v>
      </c>
      <c r="F1" s="138" t="s">
        <v>242</v>
      </c>
      <c r="G1" s="138" t="s">
        <v>243</v>
      </c>
      <c r="H1" s="138" t="s">
        <v>244</v>
      </c>
      <c r="I1" s="138" t="s">
        <v>245</v>
      </c>
      <c r="J1" s="138" t="s">
        <v>246</v>
      </c>
      <c r="K1" s="138" t="s">
        <v>247</v>
      </c>
    </row>
    <row r="2" spans="1:11" ht="15.75" customHeight="1">
      <c r="A2" s="139">
        <v>46235</v>
      </c>
      <c r="B2" s="140" t="s">
        <v>248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>
      <c r="A3" s="144">
        <v>46235</v>
      </c>
      <c r="B3" s="145" t="s">
        <v>249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>
      <c r="A4" s="165" t="s">
        <v>250</v>
      </c>
      <c r="B4" s="165"/>
      <c r="C4" s="165"/>
      <c r="D4" s="165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>
      <c r="A5" s="139">
        <v>46236</v>
      </c>
      <c r="B5" s="140" t="s">
        <v>248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>
      <c r="A6" s="144">
        <v>46236</v>
      </c>
      <c r="B6" s="145" t="s">
        <v>249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>
      <c r="A7" s="165" t="s">
        <v>250</v>
      </c>
      <c r="B7" s="165"/>
      <c r="C7" s="165"/>
      <c r="D7" s="165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>
      <c r="A8" s="139">
        <v>46237</v>
      </c>
      <c r="B8" s="140" t="s">
        <v>248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>
      <c r="A9" s="144">
        <v>46237</v>
      </c>
      <c r="B9" s="145" t="s">
        <v>249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>
      <c r="A10" s="165" t="s">
        <v>250</v>
      </c>
      <c r="B10" s="165"/>
      <c r="C10" s="165"/>
      <c r="D10" s="165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>
      <c r="A11" s="139">
        <v>46238</v>
      </c>
      <c r="B11" s="140" t="s">
        <v>248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>
      <c r="A12" s="144">
        <v>46238</v>
      </c>
      <c r="B12" s="145" t="s">
        <v>249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>
      <c r="A13" s="165" t="s">
        <v>250</v>
      </c>
      <c r="B13" s="165"/>
      <c r="C13" s="165"/>
      <c r="D13" s="165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>
      <c r="A14" s="139">
        <v>46239</v>
      </c>
      <c r="B14" s="140" t="s">
        <v>248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>
      <c r="A15" s="144">
        <v>46239</v>
      </c>
      <c r="B15" s="145" t="s">
        <v>249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>
      <c r="A16" s="165" t="s">
        <v>250</v>
      </c>
      <c r="B16" s="165"/>
      <c r="C16" s="165"/>
      <c r="D16" s="165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>
      <c r="A17" s="139">
        <v>46240</v>
      </c>
      <c r="B17" s="140" t="s">
        <v>248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>
      <c r="A18" s="144">
        <v>46240</v>
      </c>
      <c r="B18" s="145" t="s">
        <v>249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>
      <c r="A19" s="165" t="s">
        <v>250</v>
      </c>
      <c r="B19" s="165"/>
      <c r="C19" s="165"/>
      <c r="D19" s="165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>
      <c r="A20" s="139">
        <v>46241</v>
      </c>
      <c r="B20" s="140" t="s">
        <v>248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>
      <c r="A21" s="144">
        <v>46241</v>
      </c>
      <c r="B21" s="145" t="s">
        <v>249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>
      <c r="A22" s="165" t="s">
        <v>250</v>
      </c>
      <c r="B22" s="165"/>
      <c r="C22" s="165"/>
      <c r="D22" s="165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>
      <c r="A23" s="139">
        <v>46242</v>
      </c>
      <c r="B23" s="140" t="s">
        <v>248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>
      <c r="A24" s="144">
        <v>46242</v>
      </c>
      <c r="B24" s="145" t="s">
        <v>249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>
      <c r="A25" s="165" t="s">
        <v>250</v>
      </c>
      <c r="B25" s="165"/>
      <c r="C25" s="165"/>
      <c r="D25" s="165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>
      <c r="A26" s="139">
        <v>46243</v>
      </c>
      <c r="B26" s="140" t="s">
        <v>248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>
      <c r="A27" s="144">
        <v>46243</v>
      </c>
      <c r="B27" s="145" t="s">
        <v>249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>
      <c r="A28" s="165" t="s">
        <v>250</v>
      </c>
      <c r="B28" s="165"/>
      <c r="C28" s="165"/>
      <c r="D28" s="165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>
      <c r="A29" s="139">
        <v>46244</v>
      </c>
      <c r="B29" s="140" t="s">
        <v>248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>
      <c r="A30" s="144">
        <v>46244</v>
      </c>
      <c r="B30" s="145" t="s">
        <v>249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>
      <c r="A31" s="165" t="s">
        <v>250</v>
      </c>
      <c r="B31" s="165"/>
      <c r="C31" s="165"/>
      <c r="D31" s="165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>
      <c r="A32" s="139">
        <v>46245</v>
      </c>
      <c r="B32" s="140" t="s">
        <v>248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>
      <c r="A33" s="144">
        <v>46245</v>
      </c>
      <c r="B33" s="145" t="s">
        <v>249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>
      <c r="A34" s="165" t="s">
        <v>250</v>
      </c>
      <c r="B34" s="165"/>
      <c r="C34" s="165"/>
      <c r="D34" s="165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>
      <c r="A35" s="139">
        <v>46246</v>
      </c>
      <c r="B35" s="140" t="s">
        <v>248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>
      <c r="A36" s="144">
        <v>46246</v>
      </c>
      <c r="B36" s="145" t="s">
        <v>249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>
      <c r="A37" s="165" t="s">
        <v>250</v>
      </c>
      <c r="B37" s="165"/>
      <c r="C37" s="165"/>
      <c r="D37" s="165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>
      <c r="A38" s="139">
        <v>46247</v>
      </c>
      <c r="B38" s="140" t="s">
        <v>248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>
      <c r="A39" s="144">
        <v>46247</v>
      </c>
      <c r="B39" s="145" t="s">
        <v>249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>
      <c r="A40" s="165" t="s">
        <v>250</v>
      </c>
      <c r="B40" s="165"/>
      <c r="C40" s="165"/>
      <c r="D40" s="165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>
      <c r="A41" s="139">
        <v>46248</v>
      </c>
      <c r="B41" s="140" t="s">
        <v>248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>
      <c r="A42" s="144">
        <v>46248</v>
      </c>
      <c r="B42" s="145" t="s">
        <v>249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>
      <c r="A43" s="165" t="s">
        <v>250</v>
      </c>
      <c r="B43" s="165"/>
      <c r="C43" s="165"/>
      <c r="D43" s="165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>
      <c r="A44" s="139">
        <v>46249</v>
      </c>
      <c r="B44" s="140" t="s">
        <v>248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>
      <c r="A45" s="144">
        <v>46249</v>
      </c>
      <c r="B45" s="145" t="s">
        <v>249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>
      <c r="A46" s="165" t="s">
        <v>250</v>
      </c>
      <c r="B46" s="165"/>
      <c r="C46" s="165"/>
      <c r="D46" s="165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>
      <c r="A47" s="139">
        <v>46250</v>
      </c>
      <c r="B47" s="140" t="s">
        <v>248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>
      <c r="A48" s="144">
        <v>46250</v>
      </c>
      <c r="B48" s="145" t="s">
        <v>249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>
      <c r="A49" s="165" t="s">
        <v>250</v>
      </c>
      <c r="B49" s="165"/>
      <c r="C49" s="165"/>
      <c r="D49" s="165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>
      <c r="A50" s="139">
        <v>46251</v>
      </c>
      <c r="B50" s="140" t="s">
        <v>248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>
      <c r="A51" s="144">
        <v>46251</v>
      </c>
      <c r="B51" s="145" t="s">
        <v>249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>
      <c r="A52" s="165" t="s">
        <v>250</v>
      </c>
      <c r="B52" s="165"/>
      <c r="C52" s="165"/>
      <c r="D52" s="165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>
      <c r="A53" s="139">
        <v>46252</v>
      </c>
      <c r="B53" s="140" t="s">
        <v>248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>
      <c r="A54" s="144">
        <v>46252</v>
      </c>
      <c r="B54" s="145" t="s">
        <v>249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>
      <c r="A55" s="165" t="s">
        <v>250</v>
      </c>
      <c r="B55" s="165"/>
      <c r="C55" s="165"/>
      <c r="D55" s="165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>
      <c r="A56" s="139">
        <v>46253</v>
      </c>
      <c r="B56" s="140" t="s">
        <v>248</v>
      </c>
      <c r="C56" s="141">
        <v>0.79166666666666696</v>
      </c>
      <c r="D56" s="140"/>
      <c r="E56" s="140">
        <v>180</v>
      </c>
      <c r="F56" s="142">
        <f>IF(E56="","",E56*1.5*1.8)</f>
        <v>486</v>
      </c>
      <c r="G56" s="140">
        <v>5</v>
      </c>
      <c r="H56" s="140">
        <v>5</v>
      </c>
      <c r="I56" s="143">
        <f>IFERROR(IF(G56="","",F56/G56),"")</f>
        <v>97.2</v>
      </c>
      <c r="J56" s="140"/>
      <c r="K56" s="140"/>
    </row>
    <row r="57" spans="1:11" ht="15.75" customHeight="1">
      <c r="A57" s="144">
        <v>46253</v>
      </c>
      <c r="B57" s="145" t="s">
        <v>249</v>
      </c>
      <c r="C57" s="146">
        <v>0.29166666666666702</v>
      </c>
      <c r="D57" s="145"/>
      <c r="E57" s="145">
        <v>341</v>
      </c>
      <c r="F57" s="147">
        <f>IF(E57="","",E57*1.5*1.8)</f>
        <v>920.7</v>
      </c>
      <c r="G57" s="145">
        <v>5.5</v>
      </c>
      <c r="H57" s="145">
        <v>4.5</v>
      </c>
      <c r="I57" s="148">
        <f>IFERROR(IF(G57="","",F57/G57),"")</f>
        <v>167.4</v>
      </c>
      <c r="J57" s="145"/>
      <c r="K57" s="145"/>
    </row>
    <row r="58" spans="1:11" ht="18" customHeight="1">
      <c r="A58" s="165" t="s">
        <v>250</v>
      </c>
      <c r="B58" s="165"/>
      <c r="C58" s="165"/>
      <c r="D58" s="165"/>
      <c r="E58" s="149">
        <f>SUM(E56:E57)</f>
        <v>521</v>
      </c>
      <c r="F58" s="150">
        <f>IFERROR(SUM(F56:F57),"")</f>
        <v>1406.7</v>
      </c>
      <c r="G58" s="150">
        <f>SUM(G56:G57)</f>
        <v>10.5</v>
      </c>
      <c r="H58" s="150">
        <f>SUM(H56:H57)</f>
        <v>9.5</v>
      </c>
      <c r="I58" s="151">
        <f>IFERROR(IF(G58=0,"",F58/G58),"")</f>
        <v>133.97142857142859</v>
      </c>
      <c r="J58" s="152"/>
      <c r="K58" s="152"/>
    </row>
    <row r="59" spans="1:11" ht="15.75" customHeight="1">
      <c r="A59" s="139">
        <v>46254</v>
      </c>
      <c r="B59" s="140" t="s">
        <v>248</v>
      </c>
      <c r="C59" s="141">
        <v>0.79166666666666696</v>
      </c>
      <c r="D59" s="140"/>
      <c r="E59" s="140">
        <v>223</v>
      </c>
      <c r="F59" s="142">
        <f>IF(E59="","",E59*1.5*1.8)</f>
        <v>602.1</v>
      </c>
      <c r="G59" s="140">
        <v>7</v>
      </c>
      <c r="H59" s="140">
        <v>3</v>
      </c>
      <c r="I59" s="143">
        <f>IFERROR(IF(G59="","",F59/G59),"")</f>
        <v>86.01428571428572</v>
      </c>
      <c r="J59" s="140"/>
      <c r="K59" s="140"/>
    </row>
    <row r="60" spans="1:11" ht="15.75" customHeight="1">
      <c r="A60" s="144">
        <v>46254</v>
      </c>
      <c r="B60" s="145" t="s">
        <v>249</v>
      </c>
      <c r="C60" s="146">
        <v>0.29166666666666702</v>
      </c>
      <c r="D60" s="145"/>
      <c r="E60" s="145">
        <v>344</v>
      </c>
      <c r="F60" s="147">
        <f>IF(E60="","",E60*1.5*1.8)</f>
        <v>928.80000000000007</v>
      </c>
      <c r="G60" s="145">
        <v>8</v>
      </c>
      <c r="H60" s="145">
        <v>4</v>
      </c>
      <c r="I60" s="148">
        <f>IFERROR(IF(G60="","",F60/G60),"")</f>
        <v>116.10000000000001</v>
      </c>
      <c r="J60" s="145"/>
      <c r="K60" s="145"/>
    </row>
    <row r="61" spans="1:11" ht="18" customHeight="1">
      <c r="A61" s="165" t="s">
        <v>250</v>
      </c>
      <c r="B61" s="165"/>
      <c r="C61" s="165"/>
      <c r="D61" s="165"/>
      <c r="E61" s="149">
        <f>SUM(E59:E60)</f>
        <v>567</v>
      </c>
      <c r="F61" s="150">
        <f>IFERROR(SUM(F59:F60),"")</f>
        <v>1530.9</v>
      </c>
      <c r="G61" s="150">
        <f>SUM(G59:G60)</f>
        <v>15</v>
      </c>
      <c r="H61" s="150">
        <f>SUM(H59:H60)</f>
        <v>7</v>
      </c>
      <c r="I61" s="151">
        <f>IFERROR(IF(G61=0,"",F61/G61),"")</f>
        <v>102.06</v>
      </c>
      <c r="J61" s="152"/>
      <c r="K61" s="152"/>
    </row>
    <row r="62" spans="1:11" ht="15.75" customHeight="1">
      <c r="A62" s="139">
        <v>46255</v>
      </c>
      <c r="B62" s="140" t="s">
        <v>248</v>
      </c>
      <c r="C62" s="141">
        <v>0.79166666666666696</v>
      </c>
      <c r="D62" s="140"/>
      <c r="E62" s="140">
        <v>50</v>
      </c>
      <c r="F62" s="142">
        <f>IF(E62="","",E62*1.5*1.8)</f>
        <v>135</v>
      </c>
      <c r="G62" s="140">
        <v>1</v>
      </c>
      <c r="H62" s="140">
        <v>10</v>
      </c>
      <c r="I62" s="143">
        <f>IFERROR(IF(G62="","",F62/G62),"")</f>
        <v>135</v>
      </c>
      <c r="J62" s="140"/>
      <c r="K62" s="140"/>
    </row>
    <row r="63" spans="1:11" ht="15.75" customHeight="1">
      <c r="A63" s="144">
        <v>46255</v>
      </c>
      <c r="B63" s="145" t="s">
        <v>249</v>
      </c>
      <c r="C63" s="146">
        <v>0.29166666666666702</v>
      </c>
      <c r="D63" s="145"/>
      <c r="E63" s="145">
        <v>0</v>
      </c>
      <c r="F63" s="147">
        <f>IF(E63="","",E63*1.5*1.8)</f>
        <v>0</v>
      </c>
      <c r="G63" s="145">
        <v>0</v>
      </c>
      <c r="H63" s="145">
        <v>10</v>
      </c>
      <c r="I63" s="148" t="str">
        <f>IFERROR(IF(G63="","",F63/G63),"")</f>
        <v/>
      </c>
      <c r="J63" s="145"/>
      <c r="K63" s="145"/>
    </row>
    <row r="64" spans="1:11" ht="18" customHeight="1">
      <c r="A64" s="165" t="s">
        <v>250</v>
      </c>
      <c r="B64" s="165"/>
      <c r="C64" s="165"/>
      <c r="D64" s="165"/>
      <c r="E64" s="149">
        <f>SUM(E62:E63)</f>
        <v>50</v>
      </c>
      <c r="F64" s="150">
        <f>IFERROR(SUM(F62:F63),"")</f>
        <v>135</v>
      </c>
      <c r="G64" s="150">
        <f>SUM(G62:G63)</f>
        <v>1</v>
      </c>
      <c r="H64" s="150">
        <f>SUM(H62:H63)</f>
        <v>20</v>
      </c>
      <c r="I64" s="151">
        <f>IFERROR(IF(G64=0,"",F64/G64),"")</f>
        <v>135</v>
      </c>
      <c r="J64" s="152"/>
      <c r="K64" s="152"/>
    </row>
    <row r="65" spans="1:11" ht="15.75" customHeight="1">
      <c r="A65" s="139">
        <v>46256</v>
      </c>
      <c r="B65" s="140" t="s">
        <v>248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/>
      <c r="I65" s="143" t="str">
        <f>IFERROR(IF(G65="","",F65/G65),"")</f>
        <v/>
      </c>
      <c r="J65" s="140"/>
      <c r="K65" s="140"/>
    </row>
    <row r="66" spans="1:11" ht="15.75" customHeight="1">
      <c r="A66" s="144">
        <v>46256</v>
      </c>
      <c r="B66" s="145" t="s">
        <v>249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/>
      <c r="I66" s="148" t="str">
        <f>IFERROR(IF(G66="","",F66/G66),"")</f>
        <v/>
      </c>
      <c r="J66" s="145"/>
      <c r="K66" s="145"/>
    </row>
    <row r="67" spans="1:11" ht="18" customHeight="1">
      <c r="A67" s="165" t="s">
        <v>250</v>
      </c>
      <c r="B67" s="165"/>
      <c r="C67" s="165"/>
      <c r="D67" s="165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0</v>
      </c>
      <c r="I67" s="151" t="str">
        <f>IFERROR(IF(G67=0,"",F67/G67),"")</f>
        <v/>
      </c>
      <c r="J67" s="152"/>
      <c r="K67" s="152"/>
    </row>
    <row r="68" spans="1:11" ht="15.75" customHeight="1">
      <c r="A68" s="139">
        <v>46257</v>
      </c>
      <c r="B68" s="140" t="s">
        <v>248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/>
      <c r="I68" s="143" t="str">
        <f>IFERROR(IF(G68="","",F68/G68),"")</f>
        <v/>
      </c>
      <c r="J68" s="140"/>
      <c r="K68" s="140"/>
    </row>
    <row r="69" spans="1:11" ht="15.75" customHeight="1">
      <c r="A69" s="144">
        <v>46257</v>
      </c>
      <c r="B69" s="145" t="s">
        <v>249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/>
      <c r="I69" s="148" t="str">
        <f>IFERROR(IF(G69="","",F69/G69),"")</f>
        <v/>
      </c>
      <c r="J69" s="145"/>
      <c r="K69" s="145"/>
    </row>
    <row r="70" spans="1:11" ht="18" customHeight="1">
      <c r="A70" s="165" t="s">
        <v>250</v>
      </c>
      <c r="B70" s="165"/>
      <c r="C70" s="165"/>
      <c r="D70" s="165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0</v>
      </c>
      <c r="I70" s="151" t="str">
        <f>IFERROR(IF(G70=0,"",F70/G70),"")</f>
        <v/>
      </c>
      <c r="J70" s="152"/>
      <c r="K70" s="152"/>
    </row>
    <row r="71" spans="1:11" ht="15.75" customHeight="1">
      <c r="A71" s="139">
        <v>46258</v>
      </c>
      <c r="B71" s="140" t="s">
        <v>248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>
      <c r="A72" s="144">
        <v>46258</v>
      </c>
      <c r="B72" s="145" t="s">
        <v>249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>
      <c r="A73" s="165" t="s">
        <v>250</v>
      </c>
      <c r="B73" s="165"/>
      <c r="C73" s="165"/>
      <c r="D73" s="165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>
      <c r="A74" s="139">
        <v>46259</v>
      </c>
      <c r="B74" s="140" t="s">
        <v>248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>
      <c r="A75" s="144">
        <v>46259</v>
      </c>
      <c r="B75" s="145" t="s">
        <v>249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>
      <c r="A76" s="165" t="s">
        <v>250</v>
      </c>
      <c r="B76" s="165"/>
      <c r="C76" s="165"/>
      <c r="D76" s="165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>
      <c r="A77" s="139">
        <v>46260</v>
      </c>
      <c r="B77" s="140" t="s">
        <v>248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>
      <c r="A78" s="144">
        <v>46260</v>
      </c>
      <c r="B78" s="145" t="s">
        <v>249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>
      <c r="A79" s="165" t="s">
        <v>250</v>
      </c>
      <c r="B79" s="165"/>
      <c r="C79" s="165"/>
      <c r="D79" s="165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>
      <c r="A80" s="139">
        <v>46261</v>
      </c>
      <c r="B80" s="140" t="s">
        <v>248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>
      <c r="A81" s="144">
        <v>46261</v>
      </c>
      <c r="B81" s="145" t="s">
        <v>249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>
      <c r="A82" s="165" t="s">
        <v>250</v>
      </c>
      <c r="B82" s="165"/>
      <c r="C82" s="165"/>
      <c r="D82" s="165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>
      <c r="A83" s="139">
        <v>46262</v>
      </c>
      <c r="B83" s="140" t="s">
        <v>248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>
      <c r="A84" s="144">
        <v>46262</v>
      </c>
      <c r="B84" s="145" t="s">
        <v>249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>
      <c r="A85" s="165" t="s">
        <v>250</v>
      </c>
      <c r="B85" s="165"/>
      <c r="C85" s="165"/>
      <c r="D85" s="165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>
      <c r="A86" s="139">
        <v>46263</v>
      </c>
      <c r="B86" s="140" t="s">
        <v>248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>
      <c r="A87" s="144">
        <v>46263</v>
      </c>
      <c r="B87" s="145" t="s">
        <v>249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>
      <c r="A88" s="165" t="s">
        <v>250</v>
      </c>
      <c r="B88" s="165"/>
      <c r="C88" s="165"/>
      <c r="D88" s="165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>
      <c r="A89" s="139">
        <v>46264</v>
      </c>
      <c r="B89" s="140" t="s">
        <v>248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>
      <c r="A90" s="144">
        <v>46264</v>
      </c>
      <c r="B90" s="145" t="s">
        <v>249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>
      <c r="A91" s="165" t="s">
        <v>250</v>
      </c>
      <c r="B91" s="165"/>
      <c r="C91" s="165"/>
      <c r="D91" s="165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>
      <c r="A92" s="139">
        <v>46265</v>
      </c>
      <c r="B92" s="140" t="s">
        <v>248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>
      <c r="A93" s="144">
        <v>46265</v>
      </c>
      <c r="B93" s="145" t="s">
        <v>249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>
      <c r="A94" s="165" t="s">
        <v>250</v>
      </c>
      <c r="B94" s="165"/>
      <c r="C94" s="165"/>
      <c r="D94" s="165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553" activePane="bottomLeft" state="frozen"/>
      <selection pane="bottomLeft" activeCell="F575" sqref="F575"/>
    </sheetView>
  </sheetViews>
  <sheetFormatPr defaultColWidth="8.5703125" defaultRowHeight="14.4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57" t="s">
        <v>253</v>
      </c>
      <c r="G1" s="57" t="s">
        <v>254</v>
      </c>
      <c r="H1" s="57" t="s">
        <v>23</v>
      </c>
      <c r="I1" s="57" t="s">
        <v>24</v>
      </c>
      <c r="J1" s="57" t="s">
        <v>255</v>
      </c>
      <c r="K1" s="57" t="s">
        <v>256</v>
      </c>
      <c r="L1" s="57" t="s">
        <v>257</v>
      </c>
      <c r="M1" s="58" t="s">
        <v>258</v>
      </c>
      <c r="N1" s="57" t="s">
        <v>247</v>
      </c>
      <c r="O1" s="57" t="s">
        <v>259</v>
      </c>
    </row>
    <row r="2" spans="1:15" ht="15" customHeight="1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260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260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260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260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260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260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260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260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260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260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260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260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>
      <c r="A14" s="166" t="s">
        <v>261</v>
      </c>
      <c r="B14" s="166"/>
      <c r="C14" s="166"/>
      <c r="D14" s="166"/>
      <c r="E14" s="166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262</v>
      </c>
      <c r="O14" s="74">
        <v>797765</v>
      </c>
    </row>
    <row r="15" spans="1:15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260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141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260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260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263</v>
      </c>
      <c r="O17" s="67"/>
    </row>
    <row r="18" spans="1:15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260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260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260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260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260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260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260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260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260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>
      <c r="A27" s="166" t="s">
        <v>264</v>
      </c>
      <c r="B27" s="166"/>
      <c r="C27" s="166"/>
      <c r="D27" s="166"/>
      <c r="E27" s="166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262</v>
      </c>
      <c r="O27" s="74">
        <v>997910</v>
      </c>
    </row>
    <row r="28" spans="1:15" ht="18" customHeight="1">
      <c r="A28" s="167" t="s">
        <v>250</v>
      </c>
      <c r="B28" s="167"/>
      <c r="C28" s="167"/>
      <c r="D28" s="167"/>
      <c r="E28" s="167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265</v>
      </c>
      <c r="O28" s="30">
        <f>IFERROR(O14+O27,"")</f>
        <v>1795675</v>
      </c>
    </row>
    <row r="29" spans="1:15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260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167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260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140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266</v>
      </c>
      <c r="O30" s="67"/>
    </row>
    <row r="31" spans="1:15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260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263</v>
      </c>
      <c r="O31" s="67"/>
    </row>
    <row r="32" spans="1:15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260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260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260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260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260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260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260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260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260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>
      <c r="A41" s="166" t="s">
        <v>261</v>
      </c>
      <c r="B41" s="166"/>
      <c r="C41" s="166"/>
      <c r="D41" s="166"/>
      <c r="E41" s="166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262</v>
      </c>
      <c r="O41" s="74">
        <v>1351560</v>
      </c>
    </row>
    <row r="42" spans="1:15" ht="15" customHeight="1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260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267</v>
      </c>
      <c r="O42" s="67"/>
    </row>
    <row r="43" spans="1:15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260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260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260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260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260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260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260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260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260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260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>
      <c r="A54" s="166" t="s">
        <v>264</v>
      </c>
      <c r="B54" s="166"/>
      <c r="C54" s="166"/>
      <c r="D54" s="166"/>
      <c r="E54" s="166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262</v>
      </c>
      <c r="O54" s="74">
        <v>981310</v>
      </c>
    </row>
    <row r="55" spans="1:15" ht="18" customHeight="1">
      <c r="A55" s="167" t="s">
        <v>250</v>
      </c>
      <c r="B55" s="167"/>
      <c r="C55" s="167"/>
      <c r="D55" s="167"/>
      <c r="E55" s="167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265</v>
      </c>
      <c r="O55" s="30">
        <f>IFERROR(O41+O54,"")</f>
        <v>2332870</v>
      </c>
    </row>
    <row r="56" spans="1:15" ht="15" customHeight="1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260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167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260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144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260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260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260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260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260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260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260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260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260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260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>
      <c r="A68" s="166" t="s">
        <v>261</v>
      </c>
      <c r="B68" s="166"/>
      <c r="C68" s="166"/>
      <c r="D68" s="166"/>
      <c r="E68" s="166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262</v>
      </c>
      <c r="O68" s="74">
        <v>2102950</v>
      </c>
    </row>
    <row r="69" spans="1:15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260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260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268</v>
      </c>
      <c r="O70" s="67"/>
    </row>
    <row r="71" spans="1:15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260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260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260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260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260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260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260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260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260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260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>
      <c r="A81" s="166" t="s">
        <v>264</v>
      </c>
      <c r="B81" s="166"/>
      <c r="C81" s="166"/>
      <c r="D81" s="166"/>
      <c r="E81" s="166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262</v>
      </c>
      <c r="O81" s="74">
        <v>1547910</v>
      </c>
    </row>
    <row r="82" spans="1:15" ht="18" customHeight="1">
      <c r="A82" s="167" t="s">
        <v>250</v>
      </c>
      <c r="B82" s="167"/>
      <c r="C82" s="167"/>
      <c r="D82" s="167"/>
      <c r="E82" s="167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265</v>
      </c>
      <c r="O82" s="30">
        <f>IFERROR(O68+O81,"")</f>
        <v>3650860</v>
      </c>
    </row>
    <row r="83" spans="1:15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260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260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144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260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155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269</v>
      </c>
      <c r="O85" s="67"/>
    </row>
    <row r="86" spans="1:15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260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260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260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260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260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260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260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260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260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>
      <c r="A95" s="166" t="s">
        <v>261</v>
      </c>
      <c r="B95" s="166"/>
      <c r="C95" s="166"/>
      <c r="D95" s="166"/>
      <c r="E95" s="166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262</v>
      </c>
      <c r="O95" s="74">
        <v>2050000</v>
      </c>
    </row>
    <row r="96" spans="1:15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260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260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260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260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260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260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270</v>
      </c>
      <c r="O101" s="67"/>
    </row>
    <row r="102" spans="1:15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260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260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260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260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260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260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>
      <c r="A108" s="166" t="s">
        <v>264</v>
      </c>
      <c r="B108" s="166"/>
      <c r="C108" s="166"/>
      <c r="D108" s="166"/>
      <c r="E108" s="166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262</v>
      </c>
      <c r="O108" s="74">
        <v>3156240</v>
      </c>
    </row>
    <row r="109" spans="1:15" ht="18" customHeight="1">
      <c r="A109" s="167" t="s">
        <v>250</v>
      </c>
      <c r="B109" s="167"/>
      <c r="C109" s="167"/>
      <c r="D109" s="167"/>
      <c r="E109" s="167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265</v>
      </c>
      <c r="O109" s="30">
        <f>IFERROR(O95+O108,"")</f>
        <v>5206240</v>
      </c>
    </row>
    <row r="110" spans="1:15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260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260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260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260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260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260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260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260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260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260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260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260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>
      <c r="A122" s="166" t="s">
        <v>261</v>
      </c>
      <c r="B122" s="166"/>
      <c r="C122" s="166"/>
      <c r="D122" s="166"/>
      <c r="E122" s="166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262</v>
      </c>
      <c r="O122" s="74">
        <v>846660</v>
      </c>
    </row>
    <row r="123" spans="1:15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260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260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260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260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260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260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260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260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260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260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260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260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>
      <c r="A135" s="166" t="s">
        <v>264</v>
      </c>
      <c r="B135" s="166"/>
      <c r="C135" s="166"/>
      <c r="D135" s="166"/>
      <c r="E135" s="166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262</v>
      </c>
      <c r="O135" s="74">
        <v>2875180</v>
      </c>
    </row>
    <row r="136" spans="1:15" ht="18" customHeight="1">
      <c r="A136" s="167" t="s">
        <v>250</v>
      </c>
      <c r="B136" s="167"/>
      <c r="C136" s="167"/>
      <c r="D136" s="167"/>
      <c r="E136" s="167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265</v>
      </c>
      <c r="O136" s="30">
        <f>IFERROR(O122+O135,"")</f>
        <v>3721840</v>
      </c>
    </row>
    <row r="137" spans="1:15" ht="15" customHeight="1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260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271</v>
      </c>
      <c r="O137" s="67"/>
    </row>
    <row r="138" spans="1:15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260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260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260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260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260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260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260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260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260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260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260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>
      <c r="A149" s="166" t="s">
        <v>261</v>
      </c>
      <c r="B149" s="166"/>
      <c r="C149" s="166"/>
      <c r="D149" s="166"/>
      <c r="E149" s="166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262</v>
      </c>
      <c r="O149" s="78">
        <v>1650350</v>
      </c>
    </row>
    <row r="150" spans="1:15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260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144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260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272</v>
      </c>
      <c r="O151" s="67"/>
    </row>
    <row r="152" spans="1:15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260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144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260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260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155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260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260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260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260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260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260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260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>
      <c r="A162" s="166" t="s">
        <v>264</v>
      </c>
      <c r="B162" s="166"/>
      <c r="C162" s="166"/>
      <c r="D162" s="166"/>
      <c r="E162" s="166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262</v>
      </c>
      <c r="O162" s="79">
        <v>842000</v>
      </c>
    </row>
    <row r="163" spans="1:15" ht="18" customHeight="1">
      <c r="A163" s="167" t="s">
        <v>250</v>
      </c>
      <c r="B163" s="167"/>
      <c r="C163" s="167"/>
      <c r="D163" s="167"/>
      <c r="E163" s="167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265</v>
      </c>
      <c r="O163" s="30">
        <f>IFERROR(O149+O162,"")</f>
        <v>2492350</v>
      </c>
    </row>
    <row r="164" spans="1:15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260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237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273</v>
      </c>
      <c r="O164" s="67"/>
    </row>
    <row r="165" spans="1:15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260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260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260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260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260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260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260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260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260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260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260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>
      <c r="A176" s="166" t="s">
        <v>261</v>
      </c>
      <c r="B176" s="166"/>
      <c r="C176" s="166"/>
      <c r="D176" s="166"/>
      <c r="E176" s="166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262</v>
      </c>
      <c r="O176" s="74">
        <v>2934820</v>
      </c>
    </row>
    <row r="177" spans="1:15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260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274</v>
      </c>
      <c r="O177" s="67"/>
    </row>
    <row r="178" spans="1:15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260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260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260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260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260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260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260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275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260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260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260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>
      <c r="A189" s="166" t="s">
        <v>264</v>
      </c>
      <c r="B189" s="166"/>
      <c r="C189" s="166"/>
      <c r="D189" s="166"/>
      <c r="E189" s="166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262</v>
      </c>
      <c r="O189" s="74">
        <v>1901630</v>
      </c>
    </row>
    <row r="190" spans="1:15" ht="18" customHeight="1">
      <c r="A190" s="167" t="s">
        <v>250</v>
      </c>
      <c r="B190" s="167"/>
      <c r="C190" s="167"/>
      <c r="D190" s="167"/>
      <c r="E190" s="167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265</v>
      </c>
      <c r="O190" s="30">
        <f>IFERROR(O176+O189,"")</f>
        <v>4836450</v>
      </c>
    </row>
    <row r="191" spans="1:15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260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260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260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276</v>
      </c>
      <c r="O193" s="67"/>
    </row>
    <row r="194" spans="1:15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260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260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260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260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260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260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260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260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260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>
      <c r="A203" s="166" t="s">
        <v>261</v>
      </c>
      <c r="B203" s="166"/>
      <c r="C203" s="166"/>
      <c r="D203" s="166"/>
      <c r="E203" s="166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262</v>
      </c>
      <c r="O203" s="74">
        <v>1392300</v>
      </c>
    </row>
    <row r="204" spans="1:15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260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260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260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260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260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260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260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260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260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260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260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260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>
      <c r="A216" s="166" t="s">
        <v>264</v>
      </c>
      <c r="B216" s="166"/>
      <c r="C216" s="166"/>
      <c r="D216" s="166"/>
      <c r="E216" s="166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262</v>
      </c>
      <c r="O216" s="74">
        <v>1852295</v>
      </c>
    </row>
    <row r="217" spans="1:15" ht="18" customHeight="1">
      <c r="A217" s="167" t="s">
        <v>250</v>
      </c>
      <c r="B217" s="167"/>
      <c r="C217" s="167"/>
      <c r="D217" s="167"/>
      <c r="E217" s="167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265</v>
      </c>
      <c r="O217" s="82">
        <f>IFERROR(O203+O216,"")</f>
        <v>3244595</v>
      </c>
    </row>
    <row r="218" spans="1:15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260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177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260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260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214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277</v>
      </c>
      <c r="O220" s="81"/>
    </row>
    <row r="221" spans="1:15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260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260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260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260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260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260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260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260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260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>
      <c r="A230" s="166" t="s">
        <v>261</v>
      </c>
      <c r="B230" s="166"/>
      <c r="C230" s="166"/>
      <c r="D230" s="166"/>
      <c r="E230" s="166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262</v>
      </c>
      <c r="O230" s="74">
        <v>2165620</v>
      </c>
    </row>
    <row r="231" spans="1:21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260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214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260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155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260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155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278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278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278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278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278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278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278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278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278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>
      <c r="A243" s="166" t="s">
        <v>264</v>
      </c>
      <c r="B243" s="166"/>
      <c r="C243" s="166"/>
      <c r="D243" s="166"/>
      <c r="E243" s="166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262</v>
      </c>
      <c r="O243" s="74">
        <v>991010</v>
      </c>
    </row>
    <row r="244" spans="1:15" ht="18" customHeight="1">
      <c r="A244" s="167" t="s">
        <v>250</v>
      </c>
      <c r="B244" s="167"/>
      <c r="C244" s="167"/>
      <c r="D244" s="167"/>
      <c r="E244" s="167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265</v>
      </c>
      <c r="O244" s="82">
        <f>IFERROR(O230+O243,"")</f>
        <v>3156630</v>
      </c>
    </row>
    <row r="245" spans="1:15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260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219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260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260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260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260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279</v>
      </c>
      <c r="O249" s="81"/>
    </row>
    <row r="250" spans="1:15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260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260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260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260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260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260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260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>
      <c r="A257" s="166" t="s">
        <v>261</v>
      </c>
      <c r="B257" s="166"/>
      <c r="C257" s="166"/>
      <c r="D257" s="166"/>
      <c r="E257" s="166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262</v>
      </c>
      <c r="O257" s="74">
        <v>2149680</v>
      </c>
    </row>
    <row r="258" spans="1:15" ht="15" customHeight="1">
      <c r="A258" s="18">
        <v>46244</v>
      </c>
      <c r="B258" s="68">
        <v>0.83333333333333304</v>
      </c>
      <c r="C258" s="70" t="s">
        <v>54</v>
      </c>
      <c r="D258" s="75" t="s">
        <v>280</v>
      </c>
      <c r="E258" s="75" t="s">
        <v>260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280</v>
      </c>
      <c r="E259" s="75" t="s">
        <v>260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144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>
      <c r="A260" s="18">
        <v>46244</v>
      </c>
      <c r="B260" s="68">
        <f t="shared" si="58"/>
        <v>0.9166666666666663</v>
      </c>
      <c r="C260" s="70" t="s">
        <v>54</v>
      </c>
      <c r="D260" s="75" t="s">
        <v>280</v>
      </c>
      <c r="E260" s="75" t="s">
        <v>260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>
      <c r="A261" s="59">
        <v>46244</v>
      </c>
      <c r="B261" s="60">
        <f t="shared" si="58"/>
        <v>0.95833333333333293</v>
      </c>
      <c r="C261" s="70" t="s">
        <v>54</v>
      </c>
      <c r="D261" s="75" t="s">
        <v>280</v>
      </c>
      <c r="E261" s="75" t="s">
        <v>260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>
      <c r="A262" s="18">
        <v>46244</v>
      </c>
      <c r="B262" s="68">
        <f t="shared" si="58"/>
        <v>0.99999999999999956</v>
      </c>
      <c r="C262" s="70" t="s">
        <v>54</v>
      </c>
      <c r="D262" s="75" t="s">
        <v>280</v>
      </c>
      <c r="E262" s="75" t="s">
        <v>260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>
      <c r="A263" s="59">
        <v>46244</v>
      </c>
      <c r="B263" s="60">
        <f t="shared" si="58"/>
        <v>1.0416666666666663</v>
      </c>
      <c r="C263" s="70" t="s">
        <v>54</v>
      </c>
      <c r="D263" s="75" t="s">
        <v>280</v>
      </c>
      <c r="E263" s="75" t="s">
        <v>260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>
      <c r="A264" s="18">
        <v>46244</v>
      </c>
      <c r="B264" s="68">
        <f t="shared" si="58"/>
        <v>1.083333333333333</v>
      </c>
      <c r="C264" s="70" t="s">
        <v>54</v>
      </c>
      <c r="D264" s="75" t="s">
        <v>280</v>
      </c>
      <c r="E264" s="75" t="s">
        <v>260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>
      <c r="A265" s="59">
        <v>46244</v>
      </c>
      <c r="B265" s="60">
        <f t="shared" si="58"/>
        <v>1.1249999999999998</v>
      </c>
      <c r="C265" s="70" t="s">
        <v>54</v>
      </c>
      <c r="D265" s="75" t="s">
        <v>280</v>
      </c>
      <c r="E265" s="75" t="s">
        <v>260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>
      <c r="A266" s="18">
        <v>46244</v>
      </c>
      <c r="B266" s="68">
        <f t="shared" si="58"/>
        <v>1.1666666666666665</v>
      </c>
      <c r="C266" s="70" t="s">
        <v>54</v>
      </c>
      <c r="D266" s="75" t="s">
        <v>280</v>
      </c>
      <c r="E266" s="75" t="s">
        <v>260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>
      <c r="A267" s="59">
        <v>46244</v>
      </c>
      <c r="B267" s="60">
        <f t="shared" si="58"/>
        <v>1.2083333333333333</v>
      </c>
      <c r="C267" s="70" t="s">
        <v>54</v>
      </c>
      <c r="D267" s="75" t="s">
        <v>280</v>
      </c>
      <c r="E267" s="75" t="s">
        <v>260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>
      <c r="A268" s="18">
        <v>46244</v>
      </c>
      <c r="B268" s="68">
        <f t="shared" si="58"/>
        <v>1.25</v>
      </c>
      <c r="C268" s="70" t="s">
        <v>54</v>
      </c>
      <c r="D268" s="75" t="s">
        <v>280</v>
      </c>
      <c r="E268" s="75" t="s">
        <v>260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>
      <c r="A269" s="59">
        <v>46244</v>
      </c>
      <c r="B269" s="60">
        <f t="shared" si="58"/>
        <v>1.2916666666666667</v>
      </c>
      <c r="C269" s="70" t="s">
        <v>54</v>
      </c>
      <c r="D269" s="75" t="s">
        <v>280</v>
      </c>
      <c r="E269" s="75" t="s">
        <v>260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>
      <c r="A270" s="166" t="s">
        <v>264</v>
      </c>
      <c r="B270" s="166"/>
      <c r="C270" s="166"/>
      <c r="D270" s="166"/>
      <c r="E270" s="166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262</v>
      </c>
      <c r="O270" s="74">
        <v>1544700</v>
      </c>
    </row>
    <row r="271" spans="1:15" ht="18" customHeight="1">
      <c r="A271" s="167" t="s">
        <v>250</v>
      </c>
      <c r="B271" s="167"/>
      <c r="C271" s="167"/>
      <c r="D271" s="167"/>
      <c r="E271" s="167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265</v>
      </c>
      <c r="O271" s="82">
        <f>IFERROR(O257+O270,"")</f>
        <v>3694380</v>
      </c>
    </row>
    <row r="272" spans="1:15" ht="15" customHeight="1">
      <c r="A272" s="59">
        <v>46245</v>
      </c>
      <c r="B272" s="60">
        <v>0.33333333333333298</v>
      </c>
      <c r="C272" s="61" t="s">
        <v>38</v>
      </c>
      <c r="D272" s="62" t="s">
        <v>280</v>
      </c>
      <c r="E272" s="62" t="s">
        <v>260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177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280</v>
      </c>
      <c r="E273" s="62" t="s">
        <v>260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144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>
      <c r="A274" s="59">
        <v>46245</v>
      </c>
      <c r="B274" s="60">
        <f t="shared" si="60"/>
        <v>0.41666666666666635</v>
      </c>
      <c r="C274" s="61" t="s">
        <v>38</v>
      </c>
      <c r="D274" s="62" t="s">
        <v>280</v>
      </c>
      <c r="E274" s="62" t="s">
        <v>260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>
      <c r="A275" s="18">
        <v>46245</v>
      </c>
      <c r="B275" s="68">
        <f t="shared" si="60"/>
        <v>0.45833333333333304</v>
      </c>
      <c r="C275" s="61" t="s">
        <v>38</v>
      </c>
      <c r="D275" s="62" t="s">
        <v>280</v>
      </c>
      <c r="E275" s="62" t="s">
        <v>260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219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>
      <c r="A276" s="59">
        <v>46245</v>
      </c>
      <c r="B276" s="60">
        <f t="shared" si="60"/>
        <v>0.49999999999999972</v>
      </c>
      <c r="C276" s="61" t="s">
        <v>38</v>
      </c>
      <c r="D276" s="62" t="s">
        <v>280</v>
      </c>
      <c r="E276" s="62" t="s">
        <v>260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>
      <c r="A277" s="18">
        <v>46245</v>
      </c>
      <c r="B277" s="68">
        <f t="shared" si="60"/>
        <v>0.54166666666666641</v>
      </c>
      <c r="C277" s="61" t="s">
        <v>38</v>
      </c>
      <c r="D277" s="62" t="s">
        <v>280</v>
      </c>
      <c r="E277" s="62" t="s">
        <v>260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281</v>
      </c>
      <c r="O277" s="81"/>
    </row>
    <row r="278" spans="1:15" ht="15" customHeight="1">
      <c r="A278" s="59">
        <v>46245</v>
      </c>
      <c r="B278" s="60">
        <f t="shared" si="60"/>
        <v>0.58333333333333304</v>
      </c>
      <c r="C278" s="61" t="s">
        <v>38</v>
      </c>
      <c r="D278" s="62" t="s">
        <v>280</v>
      </c>
      <c r="E278" s="62" t="s">
        <v>260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>
      <c r="A279" s="18">
        <v>46245</v>
      </c>
      <c r="B279" s="68">
        <f t="shared" si="60"/>
        <v>0.62499999999999967</v>
      </c>
      <c r="C279" s="61" t="s">
        <v>38</v>
      </c>
      <c r="D279" s="62" t="s">
        <v>280</v>
      </c>
      <c r="E279" s="62" t="s">
        <v>260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>
      <c r="A280" s="59">
        <v>46245</v>
      </c>
      <c r="B280" s="60">
        <f t="shared" si="60"/>
        <v>0.6666666666666663</v>
      </c>
      <c r="C280" s="61" t="s">
        <v>38</v>
      </c>
      <c r="D280" s="62" t="s">
        <v>280</v>
      </c>
      <c r="E280" s="62" t="s">
        <v>260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>
      <c r="A281" s="18">
        <v>46245</v>
      </c>
      <c r="B281" s="68">
        <f t="shared" si="60"/>
        <v>0.70833333333333293</v>
      </c>
      <c r="C281" s="61" t="s">
        <v>38</v>
      </c>
      <c r="D281" s="62" t="s">
        <v>280</v>
      </c>
      <c r="E281" s="62" t="s">
        <v>260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>
      <c r="A282" s="59">
        <v>46245</v>
      </c>
      <c r="B282" s="60">
        <f t="shared" si="60"/>
        <v>0.74999999999999956</v>
      </c>
      <c r="C282" s="61" t="s">
        <v>38</v>
      </c>
      <c r="D282" s="62" t="s">
        <v>280</v>
      </c>
      <c r="E282" s="62" t="s">
        <v>260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>
      <c r="A283" s="18">
        <v>46245</v>
      </c>
      <c r="B283" s="68">
        <f t="shared" si="60"/>
        <v>0.79166666666666619</v>
      </c>
      <c r="C283" s="61" t="s">
        <v>38</v>
      </c>
      <c r="D283" s="62" t="s">
        <v>280</v>
      </c>
      <c r="E283" s="62" t="s">
        <v>260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>
      <c r="A284" s="166" t="s">
        <v>261</v>
      </c>
      <c r="B284" s="166"/>
      <c r="C284" s="166"/>
      <c r="D284" s="166"/>
      <c r="E284" s="166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262</v>
      </c>
      <c r="O284" s="74">
        <v>1583020</v>
      </c>
    </row>
    <row r="285" spans="1:15" ht="15" customHeight="1">
      <c r="A285" s="18">
        <v>46245</v>
      </c>
      <c r="B285" s="68">
        <v>0.83333333333333304</v>
      </c>
      <c r="C285" s="70" t="s">
        <v>54</v>
      </c>
      <c r="D285" s="75" t="s">
        <v>280</v>
      </c>
      <c r="E285" s="75" t="s">
        <v>275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280</v>
      </c>
      <c r="E286" s="75" t="s">
        <v>275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>
      <c r="A287" s="18">
        <v>46245</v>
      </c>
      <c r="B287" s="68">
        <f t="shared" si="62"/>
        <v>0.9166666666666663</v>
      </c>
      <c r="C287" s="70" t="s">
        <v>54</v>
      </c>
      <c r="D287" s="75" t="s">
        <v>280</v>
      </c>
      <c r="E287" s="75" t="s">
        <v>275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>
      <c r="A288" s="59">
        <v>46245</v>
      </c>
      <c r="B288" s="60">
        <f t="shared" si="62"/>
        <v>0.95833333333333293</v>
      </c>
      <c r="C288" s="70" t="s">
        <v>54</v>
      </c>
      <c r="D288" s="75" t="s">
        <v>280</v>
      </c>
      <c r="E288" s="75" t="s">
        <v>275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>
      <c r="A289" s="18">
        <v>46245</v>
      </c>
      <c r="B289" s="68">
        <f t="shared" si="62"/>
        <v>0.99999999999999956</v>
      </c>
      <c r="C289" s="70" t="s">
        <v>54</v>
      </c>
      <c r="D289" s="75" t="s">
        <v>280</v>
      </c>
      <c r="E289" s="75" t="s">
        <v>275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>
      <c r="A290" s="59">
        <v>46245</v>
      </c>
      <c r="B290" s="60">
        <f t="shared" si="62"/>
        <v>1.0416666666666663</v>
      </c>
      <c r="C290" s="70" t="s">
        <v>54</v>
      </c>
      <c r="D290" s="75" t="s">
        <v>280</v>
      </c>
      <c r="E290" s="75" t="s">
        <v>275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>
      <c r="A291" s="18">
        <v>46245</v>
      </c>
      <c r="B291" s="68">
        <f t="shared" si="62"/>
        <v>1.083333333333333</v>
      </c>
      <c r="C291" s="70" t="s">
        <v>54</v>
      </c>
      <c r="D291" s="75" t="s">
        <v>280</v>
      </c>
      <c r="E291" s="75" t="s">
        <v>275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>
      <c r="A292" s="59">
        <v>46245</v>
      </c>
      <c r="B292" s="60">
        <f t="shared" si="62"/>
        <v>1.1249999999999998</v>
      </c>
      <c r="C292" s="70" t="s">
        <v>54</v>
      </c>
      <c r="D292" s="75" t="s">
        <v>280</v>
      </c>
      <c r="E292" s="75" t="s">
        <v>275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>
      <c r="A293" s="18">
        <v>46245</v>
      </c>
      <c r="B293" s="68">
        <f t="shared" si="62"/>
        <v>1.1666666666666665</v>
      </c>
      <c r="C293" s="70" t="s">
        <v>54</v>
      </c>
      <c r="D293" s="75" t="s">
        <v>280</v>
      </c>
      <c r="E293" s="75" t="s">
        <v>275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>
      <c r="A294" s="59">
        <v>46245</v>
      </c>
      <c r="B294" s="60">
        <f t="shared" si="62"/>
        <v>1.2083333333333333</v>
      </c>
      <c r="C294" s="70" t="s">
        <v>54</v>
      </c>
      <c r="D294" s="75" t="s">
        <v>280</v>
      </c>
      <c r="E294" s="75" t="s">
        <v>275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>
      <c r="A295" s="18">
        <v>46245</v>
      </c>
      <c r="B295" s="68">
        <f t="shared" si="62"/>
        <v>1.25</v>
      </c>
      <c r="C295" s="70" t="s">
        <v>54</v>
      </c>
      <c r="D295" s="75" t="s">
        <v>280</v>
      </c>
      <c r="E295" s="75" t="s">
        <v>275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>
      <c r="A296" s="59">
        <v>46245</v>
      </c>
      <c r="B296" s="60">
        <f t="shared" si="62"/>
        <v>1.2916666666666667</v>
      </c>
      <c r="C296" s="70" t="s">
        <v>54</v>
      </c>
      <c r="D296" s="75" t="s">
        <v>280</v>
      </c>
      <c r="E296" s="75" t="s">
        <v>275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>
      <c r="A297" s="166" t="s">
        <v>264</v>
      </c>
      <c r="B297" s="166"/>
      <c r="C297" s="166"/>
      <c r="D297" s="166"/>
      <c r="E297" s="166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262</v>
      </c>
      <c r="O297" s="74">
        <v>1715230</v>
      </c>
    </row>
    <row r="298" spans="1:15" ht="18" customHeight="1">
      <c r="A298" s="167" t="s">
        <v>250</v>
      </c>
      <c r="B298" s="167"/>
      <c r="C298" s="167"/>
      <c r="D298" s="167"/>
      <c r="E298" s="167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265</v>
      </c>
      <c r="O298" s="82">
        <f>IFERROR(O284+O297,"")</f>
        <v>3298250</v>
      </c>
    </row>
    <row r="299" spans="1:15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260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237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260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144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260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260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282</v>
      </c>
      <c r="M302" s="66" t="str">
        <f t="shared" ca="1" si="63"/>
        <v/>
      </c>
      <c r="N302" s="80"/>
      <c r="O302" s="81"/>
    </row>
    <row r="303" spans="1:15" ht="15" customHeight="1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260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260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260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260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260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260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260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260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>
      <c r="A311" s="166" t="s">
        <v>261</v>
      </c>
      <c r="B311" s="166"/>
      <c r="C311" s="166"/>
      <c r="D311" s="166"/>
      <c r="E311" s="166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262</v>
      </c>
      <c r="O311" s="74">
        <v>2631530</v>
      </c>
    </row>
    <row r="312" spans="1:15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260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260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260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260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260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260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260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260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260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260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260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260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>
      <c r="A324" s="166" t="s">
        <v>264</v>
      </c>
      <c r="B324" s="166"/>
      <c r="C324" s="166"/>
      <c r="D324" s="166"/>
      <c r="E324" s="166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262</v>
      </c>
      <c r="O324" s="74">
        <v>2216340</v>
      </c>
    </row>
    <row r="325" spans="1:15" ht="18" customHeight="1">
      <c r="A325" s="167" t="s">
        <v>250</v>
      </c>
      <c r="B325" s="167"/>
      <c r="C325" s="167"/>
      <c r="D325" s="167"/>
      <c r="E325" s="167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265</v>
      </c>
      <c r="O325" s="82">
        <f>IFERROR(O311+O324,"")</f>
        <v>4847870</v>
      </c>
    </row>
    <row r="326" spans="1:15" ht="15" customHeight="1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144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214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283</v>
      </c>
      <c r="O328" s="81"/>
    </row>
    <row r="329" spans="1:15" ht="15" customHeight="1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260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260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260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284</v>
      </c>
      <c r="O333" s="81"/>
    </row>
    <row r="334" spans="1:15" ht="15" customHeight="1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260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260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260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260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>
      <c r="A338" s="166" t="s">
        <v>261</v>
      </c>
      <c r="B338" s="166"/>
      <c r="C338" s="166"/>
      <c r="D338" s="166"/>
      <c r="E338" s="166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262</v>
      </c>
      <c r="O338" s="74">
        <v>1925790</v>
      </c>
    </row>
    <row r="339" spans="1:15" ht="15" customHeight="1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260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260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260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260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260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260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260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260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260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260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260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260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>
      <c r="A351" s="166" t="s">
        <v>264</v>
      </c>
      <c r="B351" s="166"/>
      <c r="C351" s="166"/>
      <c r="D351" s="166"/>
      <c r="E351" s="166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262</v>
      </c>
      <c r="O351" s="74">
        <v>2154990</v>
      </c>
    </row>
    <row r="352" spans="1:15" ht="18" customHeight="1">
      <c r="A352" s="167" t="s">
        <v>250</v>
      </c>
      <c r="B352" s="167"/>
      <c r="C352" s="167"/>
      <c r="D352" s="167"/>
      <c r="E352" s="167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265</v>
      </c>
      <c r="O352" s="82">
        <f>IFERROR(O338+O351,"")</f>
        <v>4080780</v>
      </c>
    </row>
    <row r="353" spans="1:15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260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260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144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260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260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260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260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275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260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260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260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260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260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>
      <c r="A365" s="166" t="s">
        <v>261</v>
      </c>
      <c r="B365" s="166"/>
      <c r="C365" s="166"/>
      <c r="D365" s="166"/>
      <c r="E365" s="166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262</v>
      </c>
      <c r="O365" s="74">
        <v>2315280</v>
      </c>
    </row>
    <row r="366" spans="1:15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260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260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260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260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260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260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260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260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260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260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260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260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>
      <c r="A378" s="166" t="s">
        <v>264</v>
      </c>
      <c r="B378" s="166"/>
      <c r="C378" s="166"/>
      <c r="D378" s="166"/>
      <c r="E378" s="166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262</v>
      </c>
      <c r="O378" s="74">
        <v>2614830</v>
      </c>
    </row>
    <row r="379" spans="1:15" ht="18" customHeight="1">
      <c r="A379" s="167" t="s">
        <v>250</v>
      </c>
      <c r="B379" s="167"/>
      <c r="C379" s="167"/>
      <c r="D379" s="167"/>
      <c r="E379" s="167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265</v>
      </c>
      <c r="O379" s="82">
        <f>IFERROR(O365+O378,"")</f>
        <v>4930110</v>
      </c>
    </row>
    <row r="380" spans="1:15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260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260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260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260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260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260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260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260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260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260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260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260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>
      <c r="A392" s="166" t="s">
        <v>261</v>
      </c>
      <c r="B392" s="166"/>
      <c r="C392" s="166"/>
      <c r="D392" s="166"/>
      <c r="E392" s="166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262</v>
      </c>
      <c r="O392" s="74">
        <v>2491620</v>
      </c>
    </row>
    <row r="393" spans="1:15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260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167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285</v>
      </c>
    </row>
    <row r="394" spans="1:15" ht="15" customHeight="1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260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260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260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260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260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260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260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260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260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260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260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>
      <c r="A405" s="166" t="s">
        <v>264</v>
      </c>
      <c r="B405" s="166"/>
      <c r="C405" s="166"/>
      <c r="D405" s="166"/>
      <c r="E405" s="166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262</v>
      </c>
      <c r="O405" s="74">
        <v>2612000</v>
      </c>
    </row>
    <row r="406" spans="1:15" ht="18" customHeight="1">
      <c r="A406" s="167" t="s">
        <v>250</v>
      </c>
      <c r="B406" s="167"/>
      <c r="C406" s="167"/>
      <c r="D406" s="167"/>
      <c r="E406" s="167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265</v>
      </c>
      <c r="O406" s="82">
        <f>IFERROR(O392+O405,"")</f>
        <v>5103620</v>
      </c>
    </row>
    <row r="407" spans="1:15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260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260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260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260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260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260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260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260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260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260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260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260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>
      <c r="A419" s="166" t="s">
        <v>261</v>
      </c>
      <c r="B419" s="166"/>
      <c r="C419" s="166"/>
      <c r="D419" s="166"/>
      <c r="E419" s="166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262</v>
      </c>
      <c r="O419" s="74">
        <v>1195500</v>
      </c>
    </row>
    <row r="420" spans="1:15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260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231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260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144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286</v>
      </c>
      <c r="O421" s="81"/>
    </row>
    <row r="422" spans="1:15" ht="15" customHeight="1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260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144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286</v>
      </c>
      <c r="O422" s="81"/>
    </row>
    <row r="423" spans="1:15" ht="15" customHeight="1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260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260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260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260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260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260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260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260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260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>
      <c r="A432" s="166" t="s">
        <v>264</v>
      </c>
      <c r="B432" s="166"/>
      <c r="C432" s="166"/>
      <c r="D432" s="166"/>
      <c r="E432" s="166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262</v>
      </c>
      <c r="O432" s="74">
        <v>2266710</v>
      </c>
    </row>
    <row r="433" spans="1:15" ht="18" customHeight="1">
      <c r="A433" s="167" t="s">
        <v>250</v>
      </c>
      <c r="B433" s="167"/>
      <c r="C433" s="167"/>
      <c r="D433" s="167"/>
      <c r="E433" s="167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265</v>
      </c>
      <c r="O433" s="82">
        <f>IFERROR(O419+O432,"")</f>
        <v>3462210</v>
      </c>
    </row>
    <row r="434" spans="1:15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260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167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260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260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260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260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260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260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260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260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260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260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260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>
      <c r="A446" s="166" t="s">
        <v>261</v>
      </c>
      <c r="B446" s="166"/>
      <c r="C446" s="166"/>
      <c r="D446" s="166"/>
      <c r="E446" s="166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262</v>
      </c>
      <c r="O446" s="74">
        <v>1619380</v>
      </c>
    </row>
    <row r="447" spans="1:15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260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144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287</v>
      </c>
      <c r="O447" s="81"/>
    </row>
    <row r="448" spans="1:15" ht="15" customHeight="1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260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288</v>
      </c>
      <c r="O448" s="81"/>
    </row>
    <row r="449" spans="1:15" ht="15" customHeight="1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260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260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260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260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289</v>
      </c>
      <c r="O452" s="81"/>
    </row>
    <row r="453" spans="1:15" ht="15" customHeight="1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260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290</v>
      </c>
      <c r="O453" s="81"/>
    </row>
    <row r="454" spans="1:15" ht="15" customHeight="1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260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291</v>
      </c>
      <c r="O454" s="81"/>
    </row>
    <row r="455" spans="1:15" ht="15" customHeight="1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260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260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260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260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>
      <c r="A459" s="166" t="s">
        <v>264</v>
      </c>
      <c r="B459" s="166"/>
      <c r="C459" s="166"/>
      <c r="D459" s="166"/>
      <c r="E459" s="166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262</v>
      </c>
      <c r="O459" s="74">
        <v>2361680</v>
      </c>
    </row>
    <row r="460" spans="1:15" ht="18" customHeight="1">
      <c r="A460" s="167" t="s">
        <v>250</v>
      </c>
      <c r="B460" s="167"/>
      <c r="C460" s="167"/>
      <c r="D460" s="167"/>
      <c r="E460" s="167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265</v>
      </c>
      <c r="O460" s="82">
        <f>IFERROR(O446+O459,"")</f>
        <v>3981060</v>
      </c>
    </row>
    <row r="461" spans="1:15" ht="15" customHeight="1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260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292</v>
      </c>
      <c r="O461" s="81"/>
    </row>
    <row r="462" spans="1:15" ht="15" customHeight="1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260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260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260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260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260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260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260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260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260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260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260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>
      <c r="A473" s="166" t="s">
        <v>261</v>
      </c>
      <c r="B473" s="166"/>
      <c r="C473" s="166"/>
      <c r="D473" s="166"/>
      <c r="E473" s="166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262</v>
      </c>
      <c r="O473" s="74">
        <v>2284390</v>
      </c>
    </row>
    <row r="474" spans="1:15" ht="15" customHeight="1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260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260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260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144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293</v>
      </c>
      <c r="O476" s="81"/>
    </row>
    <row r="477" spans="1:15" ht="15" customHeight="1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260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260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260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260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260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260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260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260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260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>
      <c r="A486" s="166" t="s">
        <v>264</v>
      </c>
      <c r="B486" s="166"/>
      <c r="C486" s="166"/>
      <c r="D486" s="166"/>
      <c r="E486" s="166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262</v>
      </c>
      <c r="O486" s="74">
        <v>1798670</v>
      </c>
    </row>
    <row r="487" spans="1:15" ht="18" customHeight="1">
      <c r="A487" s="167" t="s">
        <v>250</v>
      </c>
      <c r="B487" s="167"/>
      <c r="C487" s="167"/>
      <c r="D487" s="167"/>
      <c r="E487" s="167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265</v>
      </c>
      <c r="O487" s="82">
        <f>IFERROR(O473+O486,"")</f>
        <v>4083060</v>
      </c>
    </row>
    <row r="488" spans="1:15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62" t="s">
        <v>260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140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39</v>
      </c>
      <c r="E489" s="62" t="s">
        <v>260</v>
      </c>
      <c r="F489" s="63">
        <v>0</v>
      </c>
      <c r="G489" s="69">
        <f t="shared" si="103"/>
        <v>0</v>
      </c>
      <c r="H489" s="153" t="s">
        <v>28</v>
      </c>
      <c r="I489" s="153" t="s">
        <v>32</v>
      </c>
      <c r="J489" s="70" t="s">
        <v>59</v>
      </c>
      <c r="K489" s="65">
        <v>0.71805555555555556</v>
      </c>
      <c r="L489" s="65">
        <v>0.72430555555555554</v>
      </c>
      <c r="M489" s="71">
        <f t="shared" ca="1" si="104"/>
        <v>6.2499999999999778E-3</v>
      </c>
      <c r="N489" s="80" t="s">
        <v>294</v>
      </c>
      <c r="O489" s="81"/>
    </row>
    <row r="490" spans="1:15" ht="15" customHeight="1">
      <c r="A490" s="59">
        <v>46253</v>
      </c>
      <c r="B490" s="60">
        <f t="shared" si="105"/>
        <v>0.41666666666666635</v>
      </c>
      <c r="C490" s="61" t="s">
        <v>54</v>
      </c>
      <c r="D490" s="62" t="s">
        <v>39</v>
      </c>
      <c r="E490" s="62" t="s">
        <v>260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>
      <c r="A491" s="18">
        <v>46253</v>
      </c>
      <c r="B491" s="68">
        <f t="shared" si="105"/>
        <v>0.45833333333333304</v>
      </c>
      <c r="C491" s="61" t="s">
        <v>54</v>
      </c>
      <c r="D491" s="62" t="s">
        <v>39</v>
      </c>
      <c r="E491" s="62" t="s">
        <v>260</v>
      </c>
      <c r="F491" s="63">
        <v>30</v>
      </c>
      <c r="G491" s="69">
        <f t="shared" si="103"/>
        <v>150</v>
      </c>
      <c r="H491" s="153"/>
      <c r="I491" s="153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>
      <c r="A492" s="59">
        <v>46253</v>
      </c>
      <c r="B492" s="60">
        <f t="shared" si="105"/>
        <v>0.49999999999999972</v>
      </c>
      <c r="C492" s="61" t="s">
        <v>54</v>
      </c>
      <c r="D492" s="62" t="s">
        <v>39</v>
      </c>
      <c r="E492" s="62" t="s">
        <v>260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>
      <c r="A493" s="18">
        <v>46253</v>
      </c>
      <c r="B493" s="68">
        <f t="shared" si="105"/>
        <v>0.54166666666666641</v>
      </c>
      <c r="C493" s="61" t="s">
        <v>54</v>
      </c>
      <c r="D493" s="62" t="s">
        <v>39</v>
      </c>
      <c r="E493" s="62" t="s">
        <v>260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>
      <c r="A494" s="59">
        <v>46253</v>
      </c>
      <c r="B494" s="60">
        <f t="shared" si="105"/>
        <v>0.58333333333333304</v>
      </c>
      <c r="C494" s="61" t="s">
        <v>54</v>
      </c>
      <c r="D494" s="62" t="s">
        <v>39</v>
      </c>
      <c r="E494" s="62" t="s">
        <v>260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>
      <c r="A495" s="18">
        <v>46253</v>
      </c>
      <c r="B495" s="68">
        <f t="shared" si="105"/>
        <v>0.62499999999999967</v>
      </c>
      <c r="C495" s="61" t="s">
        <v>54</v>
      </c>
      <c r="D495" s="62" t="s">
        <v>39</v>
      </c>
      <c r="E495" s="62" t="s">
        <v>260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>
      <c r="A496" s="59">
        <v>46253</v>
      </c>
      <c r="B496" s="60">
        <f t="shared" si="105"/>
        <v>0.6666666666666663</v>
      </c>
      <c r="C496" s="61" t="s">
        <v>54</v>
      </c>
      <c r="D496" s="62" t="s">
        <v>39</v>
      </c>
      <c r="E496" s="62" t="s">
        <v>260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>
      <c r="A497" s="18">
        <v>46253</v>
      </c>
      <c r="B497" s="68">
        <f t="shared" si="105"/>
        <v>0.70833333333333293</v>
      </c>
      <c r="C497" s="61" t="s">
        <v>54</v>
      </c>
      <c r="D497" s="62" t="s">
        <v>39</v>
      </c>
      <c r="E497" s="62" t="s">
        <v>260</v>
      </c>
      <c r="F497" s="63">
        <v>30</v>
      </c>
      <c r="G497" s="69">
        <f t="shared" si="106"/>
        <v>150</v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>
      <c r="A498" s="59">
        <v>46253</v>
      </c>
      <c r="B498" s="60">
        <f t="shared" si="105"/>
        <v>0.74999999999999956</v>
      </c>
      <c r="C498" s="61" t="s">
        <v>54</v>
      </c>
      <c r="D498" s="62" t="s">
        <v>39</v>
      </c>
      <c r="E498" s="62" t="s">
        <v>260</v>
      </c>
      <c r="F498" s="63">
        <v>25</v>
      </c>
      <c r="G498" s="64">
        <f t="shared" si="106"/>
        <v>125</v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>
      <c r="A499" s="18">
        <v>46253</v>
      </c>
      <c r="B499" s="68">
        <f t="shared" si="105"/>
        <v>0.79166666666666619</v>
      </c>
      <c r="C499" s="61" t="s">
        <v>54</v>
      </c>
      <c r="D499" s="62" t="s">
        <v>39</v>
      </c>
      <c r="E499" s="62" t="s">
        <v>260</v>
      </c>
      <c r="F499" s="63">
        <v>12</v>
      </c>
      <c r="G499" s="69">
        <f t="shared" si="106"/>
        <v>60</v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>
      <c r="A500" s="166" t="s">
        <v>261</v>
      </c>
      <c r="B500" s="166"/>
      <c r="C500" s="166"/>
      <c r="D500" s="166"/>
      <c r="E500" s="166"/>
      <c r="F500" s="2">
        <f>SUM(F488:F499)</f>
        <v>282</v>
      </c>
      <c r="G500" s="2">
        <f>SUM(G488:G499)</f>
        <v>1410</v>
      </c>
      <c r="H500" s="72"/>
      <c r="I500" s="72"/>
      <c r="J500" s="72"/>
      <c r="K500" s="72"/>
      <c r="L500" s="72"/>
      <c r="M500" s="73">
        <f ca="1">IFERROR(SUM(M488:M499),"")</f>
        <v>0.11180555555555566</v>
      </c>
      <c r="N500" s="2" t="s">
        <v>262</v>
      </c>
      <c r="O500" s="74">
        <v>1474930</v>
      </c>
    </row>
    <row r="501" spans="1:15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75" t="s">
        <v>260</v>
      </c>
      <c r="F501" s="63">
        <v>40</v>
      </c>
      <c r="G501" s="69">
        <f t="shared" ref="G501:G512" si="107">IF(F501="","",IF(E501="PC 17",F501*4.2,IF(E501="PC 19",F501*5,IF(E501="CB",F501*35,""))))</f>
        <v>200</v>
      </c>
      <c r="H501" s="70" t="s">
        <v>29</v>
      </c>
      <c r="I501" s="70" t="s">
        <v>32</v>
      </c>
      <c r="J501" s="70" t="s">
        <v>53</v>
      </c>
      <c r="K501" s="65">
        <v>9.4444444444444442E-2</v>
      </c>
      <c r="L501" s="65">
        <v>0.10069444444444445</v>
      </c>
      <c r="M501" s="71">
        <f t="shared" ref="M501:M512" ca="1" si="108">IFERROR(IF(K501="","",IF(L501="",MOD(NOW()-K501,1),IF(L501&gt;=K501,L501-K501,L501+1-K501))),"")</f>
        <v>6.2500000000000056E-3</v>
      </c>
      <c r="N501" s="80"/>
      <c r="O501" s="81"/>
    </row>
    <row r="502" spans="1:15" ht="15" customHeight="1">
      <c r="A502" s="59">
        <v>46253</v>
      </c>
      <c r="B502" s="60">
        <f t="shared" ref="B502:B512" si="109">B501+TIME(0,60,0)</f>
        <v>0.87499999999999967</v>
      </c>
      <c r="C502" s="70" t="s">
        <v>38</v>
      </c>
      <c r="D502" s="75" t="s">
        <v>31</v>
      </c>
      <c r="E502" s="75" t="s">
        <v>260</v>
      </c>
      <c r="F502" s="63">
        <v>43</v>
      </c>
      <c r="G502" s="64">
        <f t="shared" si="107"/>
        <v>215</v>
      </c>
      <c r="H502" s="61" t="s">
        <v>27</v>
      </c>
      <c r="I502" s="61" t="s">
        <v>32</v>
      </c>
      <c r="J502" s="61" t="s">
        <v>167</v>
      </c>
      <c r="K502" s="65">
        <v>0.25624999999999998</v>
      </c>
      <c r="L502" s="65">
        <v>0.29166666666666669</v>
      </c>
      <c r="M502" s="66">
        <f t="shared" ca="1" si="108"/>
        <v>3.5416666666666707E-2</v>
      </c>
      <c r="N502" s="80" t="s">
        <v>295</v>
      </c>
      <c r="O502" s="81"/>
    </row>
    <row r="503" spans="1:15" ht="15" customHeight="1">
      <c r="A503" s="18">
        <v>46253</v>
      </c>
      <c r="B503" s="68">
        <f t="shared" si="109"/>
        <v>0.9166666666666663</v>
      </c>
      <c r="C503" s="70" t="s">
        <v>38</v>
      </c>
      <c r="D503" s="75" t="s">
        <v>31</v>
      </c>
      <c r="E503" s="75" t="s">
        <v>260</v>
      </c>
      <c r="F503" s="63">
        <v>42</v>
      </c>
      <c r="G503" s="69">
        <f t="shared" si="107"/>
        <v>210</v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>
      <c r="A504" s="59">
        <v>46253</v>
      </c>
      <c r="B504" s="60">
        <f t="shared" si="109"/>
        <v>0.95833333333333293</v>
      </c>
      <c r="C504" s="70" t="s">
        <v>38</v>
      </c>
      <c r="D504" s="75" t="s">
        <v>31</v>
      </c>
      <c r="E504" s="75" t="s">
        <v>260</v>
      </c>
      <c r="F504" s="63">
        <v>20</v>
      </c>
      <c r="G504" s="64">
        <f t="shared" si="107"/>
        <v>100</v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>
      <c r="A505" s="18">
        <v>46253</v>
      </c>
      <c r="B505" s="68">
        <f t="shared" si="109"/>
        <v>0.99999999999999956</v>
      </c>
      <c r="C505" s="70" t="s">
        <v>38</v>
      </c>
      <c r="D505" s="75" t="s">
        <v>31</v>
      </c>
      <c r="E505" s="75" t="s">
        <v>260</v>
      </c>
      <c r="F505" s="63">
        <v>32</v>
      </c>
      <c r="G505" s="69">
        <f t="shared" si="107"/>
        <v>160</v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>
      <c r="A506" s="59">
        <v>46253</v>
      </c>
      <c r="B506" s="60">
        <f t="shared" si="109"/>
        <v>1.0416666666666663</v>
      </c>
      <c r="C506" s="70" t="s">
        <v>38</v>
      </c>
      <c r="D506" s="75" t="s">
        <v>31</v>
      </c>
      <c r="E506" s="75" t="s">
        <v>260</v>
      </c>
      <c r="F506" s="63">
        <v>30</v>
      </c>
      <c r="G506" s="64">
        <f t="shared" si="107"/>
        <v>150</v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>
      <c r="A507" s="18">
        <v>46253</v>
      </c>
      <c r="B507" s="68">
        <f t="shared" si="109"/>
        <v>1.083333333333333</v>
      </c>
      <c r="C507" s="70" t="s">
        <v>38</v>
      </c>
      <c r="D507" s="75" t="s">
        <v>31</v>
      </c>
      <c r="E507" s="75" t="s">
        <v>260</v>
      </c>
      <c r="F507" s="63">
        <v>30</v>
      </c>
      <c r="G507" s="69">
        <f t="shared" si="107"/>
        <v>150</v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>
      <c r="A508" s="59">
        <v>46253</v>
      </c>
      <c r="B508" s="60">
        <f t="shared" si="109"/>
        <v>1.1249999999999998</v>
      </c>
      <c r="C508" s="70" t="s">
        <v>38</v>
      </c>
      <c r="D508" s="75" t="s">
        <v>31</v>
      </c>
      <c r="E508" s="75" t="s">
        <v>260</v>
      </c>
      <c r="F508" s="63">
        <v>30</v>
      </c>
      <c r="G508" s="64">
        <f t="shared" si="107"/>
        <v>150</v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>
      <c r="A509" s="18">
        <v>46253</v>
      </c>
      <c r="B509" s="68">
        <f t="shared" si="109"/>
        <v>1.1666666666666665</v>
      </c>
      <c r="C509" s="70" t="s">
        <v>38</v>
      </c>
      <c r="D509" s="75" t="s">
        <v>31</v>
      </c>
      <c r="E509" s="75" t="s">
        <v>260</v>
      </c>
      <c r="F509" s="63">
        <v>44</v>
      </c>
      <c r="G509" s="69">
        <f t="shared" si="107"/>
        <v>220</v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>
      <c r="A510" s="59">
        <v>46253</v>
      </c>
      <c r="B510" s="60">
        <f t="shared" si="109"/>
        <v>1.2083333333333333</v>
      </c>
      <c r="C510" s="70" t="s">
        <v>38</v>
      </c>
      <c r="D510" s="75" t="s">
        <v>31</v>
      </c>
      <c r="E510" s="75" t="s">
        <v>260</v>
      </c>
      <c r="F510" s="63">
        <v>35</v>
      </c>
      <c r="G510" s="64">
        <f t="shared" si="107"/>
        <v>175</v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>
      <c r="A511" s="18">
        <v>46253</v>
      </c>
      <c r="B511" s="68">
        <f t="shared" si="109"/>
        <v>1.25</v>
      </c>
      <c r="C511" s="70" t="s">
        <v>38</v>
      </c>
      <c r="D511" s="75" t="s">
        <v>31</v>
      </c>
      <c r="E511" s="75" t="s">
        <v>260</v>
      </c>
      <c r="F511" s="63">
        <v>30</v>
      </c>
      <c r="G511" s="69">
        <f t="shared" si="107"/>
        <v>150</v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>
      <c r="A512" s="59">
        <v>46253</v>
      </c>
      <c r="B512" s="60">
        <f t="shared" si="109"/>
        <v>1.2916666666666667</v>
      </c>
      <c r="C512" s="70" t="s">
        <v>38</v>
      </c>
      <c r="D512" s="75" t="s">
        <v>31</v>
      </c>
      <c r="E512" s="75" t="s">
        <v>275</v>
      </c>
      <c r="F512" s="63">
        <v>0</v>
      </c>
      <c r="G512" s="64">
        <f t="shared" si="107"/>
        <v>0</v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>
      <c r="A513" s="166" t="s">
        <v>264</v>
      </c>
      <c r="B513" s="166"/>
      <c r="C513" s="166"/>
      <c r="D513" s="166"/>
      <c r="E513" s="166"/>
      <c r="F513" s="2">
        <f>SUM(F501:F512)</f>
        <v>376</v>
      </c>
      <c r="G513" s="2">
        <f>SUM(G501:G512)</f>
        <v>1880</v>
      </c>
      <c r="H513" s="72"/>
      <c r="I513" s="72"/>
      <c r="J513" s="72"/>
      <c r="K513" s="72"/>
      <c r="L513" s="72"/>
      <c r="M513" s="73">
        <f ca="1">IFERROR(SUM(M501:M512),"")</f>
        <v>4.1666666666666713E-2</v>
      </c>
      <c r="N513" s="2" t="s">
        <v>262</v>
      </c>
      <c r="O513" s="74">
        <v>2435830</v>
      </c>
    </row>
    <row r="514" spans="1:15" ht="18" customHeight="1">
      <c r="A514" s="167" t="s">
        <v>250</v>
      </c>
      <c r="B514" s="167"/>
      <c r="C514" s="167"/>
      <c r="D514" s="167"/>
      <c r="E514" s="167"/>
      <c r="F514" s="1">
        <f>F500+F513</f>
        <v>658</v>
      </c>
      <c r="G514" s="1">
        <f>G500+G513</f>
        <v>3290</v>
      </c>
      <c r="H514" s="76"/>
      <c r="I514" s="76"/>
      <c r="J514" s="76"/>
      <c r="K514" s="76"/>
      <c r="L514" s="76"/>
      <c r="M514" s="77">
        <f ca="1">IFERROR(M500+M513,"")</f>
        <v>0.15347222222222237</v>
      </c>
      <c r="N514" s="1" t="s">
        <v>265</v>
      </c>
      <c r="O514" s="82">
        <f>IFERROR(O500+O513,"")</f>
        <v>3910760</v>
      </c>
    </row>
    <row r="515" spans="1:15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75" t="s">
        <v>260</v>
      </c>
      <c r="F515" s="63">
        <v>22</v>
      </c>
      <c r="G515" s="69">
        <f t="shared" ref="G515:G526" si="110">IF(F515="","",IF(E515="PC 17",F515*4.2,IF(E515="PC 19",F515*5,IF(E515="CB",F515*35,""))))</f>
        <v>110</v>
      </c>
      <c r="H515" s="70" t="s">
        <v>28</v>
      </c>
      <c r="I515" s="70" t="s">
        <v>32</v>
      </c>
      <c r="J515" s="70" t="s">
        <v>98</v>
      </c>
      <c r="K515" s="65">
        <v>0.69236111111111109</v>
      </c>
      <c r="L515" s="65">
        <v>0.73750000000000004</v>
      </c>
      <c r="M515" s="71">
        <f t="shared" ref="M515:M526" ca="1" si="111">IFERROR(IF(K515="","",IF(L515="",MOD(NOW()-K515,1),IF(L515&gt;=K515,L515-K515,L515+1-K515))),"")</f>
        <v>4.5138888888888951E-2</v>
      </c>
      <c r="N515" s="80"/>
      <c r="O515" s="81"/>
    </row>
    <row r="516" spans="1:15" ht="15" customHeight="1">
      <c r="A516" s="59">
        <v>46254</v>
      </c>
      <c r="B516" s="60">
        <f t="shared" ref="B516:B526" si="112">B515+TIME(0,60,0)</f>
        <v>0.37499999999999967</v>
      </c>
      <c r="C516" s="70" t="s">
        <v>54</v>
      </c>
      <c r="D516" s="75" t="s">
        <v>31</v>
      </c>
      <c r="E516" s="75" t="s">
        <v>260</v>
      </c>
      <c r="F516" s="63">
        <v>31</v>
      </c>
      <c r="G516" s="64">
        <f t="shared" si="110"/>
        <v>155</v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>
      <c r="A517" s="18">
        <v>46254</v>
      </c>
      <c r="B517" s="68">
        <f t="shared" si="112"/>
        <v>0.41666666666666635</v>
      </c>
      <c r="C517" s="70" t="s">
        <v>54</v>
      </c>
      <c r="D517" s="75" t="s">
        <v>31</v>
      </c>
      <c r="E517" s="75" t="s">
        <v>260</v>
      </c>
      <c r="F517" s="63">
        <v>20</v>
      </c>
      <c r="G517" s="69">
        <f t="shared" si="110"/>
        <v>100</v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>
      <c r="A518" s="59">
        <v>46254</v>
      </c>
      <c r="B518" s="60">
        <f t="shared" si="112"/>
        <v>0.45833333333333304</v>
      </c>
      <c r="C518" s="70" t="s">
        <v>54</v>
      </c>
      <c r="D518" s="75" t="s">
        <v>31</v>
      </c>
      <c r="E518" s="75" t="s">
        <v>260</v>
      </c>
      <c r="F518" s="63">
        <v>12</v>
      </c>
      <c r="G518" s="64">
        <f t="shared" si="110"/>
        <v>60</v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>
      <c r="A519" s="18">
        <v>46254</v>
      </c>
      <c r="B519" s="68">
        <f t="shared" si="112"/>
        <v>0.49999999999999972</v>
      </c>
      <c r="C519" s="70" t="s">
        <v>54</v>
      </c>
      <c r="D519" s="75" t="s">
        <v>31</v>
      </c>
      <c r="E519" s="75" t="s">
        <v>260</v>
      </c>
      <c r="F519" s="63">
        <v>30</v>
      </c>
      <c r="G519" s="69">
        <f t="shared" si="110"/>
        <v>150</v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>
      <c r="A520" s="59">
        <v>46254</v>
      </c>
      <c r="B520" s="60">
        <f t="shared" si="112"/>
        <v>0.54166666666666641</v>
      </c>
      <c r="C520" s="70" t="s">
        <v>54</v>
      </c>
      <c r="D520" s="75" t="s">
        <v>31</v>
      </c>
      <c r="E520" s="75" t="s">
        <v>275</v>
      </c>
      <c r="F520" s="63">
        <v>29</v>
      </c>
      <c r="G520" s="64">
        <f t="shared" si="110"/>
        <v>121.80000000000001</v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>
      <c r="A521" s="18">
        <v>46254</v>
      </c>
      <c r="B521" s="68">
        <f t="shared" si="112"/>
        <v>0.58333333333333304</v>
      </c>
      <c r="C521" s="70" t="s">
        <v>54</v>
      </c>
      <c r="D521" s="75" t="s">
        <v>31</v>
      </c>
      <c r="E521" s="75" t="s">
        <v>275</v>
      </c>
      <c r="F521" s="63">
        <v>3</v>
      </c>
      <c r="G521" s="69">
        <f t="shared" si="110"/>
        <v>12.600000000000001</v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>
      <c r="A522" s="59">
        <v>46254</v>
      </c>
      <c r="B522" s="60">
        <f t="shared" si="112"/>
        <v>0.62499999999999967</v>
      </c>
      <c r="C522" s="70" t="s">
        <v>54</v>
      </c>
      <c r="D522" s="75" t="s">
        <v>31</v>
      </c>
      <c r="E522" s="75" t="s">
        <v>275</v>
      </c>
      <c r="F522" s="63">
        <v>0</v>
      </c>
      <c r="G522" s="64">
        <f t="shared" si="110"/>
        <v>0</v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>
      <c r="A523" s="18">
        <v>46254</v>
      </c>
      <c r="B523" s="68">
        <f t="shared" si="112"/>
        <v>0.6666666666666663</v>
      </c>
      <c r="C523" s="70" t="s">
        <v>54</v>
      </c>
      <c r="D523" s="75" t="s">
        <v>31</v>
      </c>
      <c r="E523" s="75" t="s">
        <v>275</v>
      </c>
      <c r="F523" s="63">
        <v>0</v>
      </c>
      <c r="G523" s="69">
        <f t="shared" si="110"/>
        <v>0</v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>
      <c r="A524" s="59">
        <v>46254</v>
      </c>
      <c r="B524" s="60">
        <f t="shared" si="112"/>
        <v>0.70833333333333293</v>
      </c>
      <c r="C524" s="70" t="s">
        <v>54</v>
      </c>
      <c r="D524" s="75" t="s">
        <v>31</v>
      </c>
      <c r="E524" s="75" t="s">
        <v>275</v>
      </c>
      <c r="F524" s="63">
        <v>0</v>
      </c>
      <c r="G524" s="64">
        <f t="shared" si="110"/>
        <v>0</v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>
      <c r="A525" s="18">
        <v>46254</v>
      </c>
      <c r="B525" s="68">
        <f t="shared" si="112"/>
        <v>0.74999999999999956</v>
      </c>
      <c r="C525" s="70" t="s">
        <v>54</v>
      </c>
      <c r="D525" s="75" t="s">
        <v>31</v>
      </c>
      <c r="E525" s="75" t="s">
        <v>275</v>
      </c>
      <c r="F525" s="63">
        <v>26</v>
      </c>
      <c r="G525" s="69">
        <f t="shared" si="110"/>
        <v>109.2</v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>
      <c r="A526" s="59">
        <v>46254</v>
      </c>
      <c r="B526" s="60">
        <f t="shared" si="112"/>
        <v>0.79166666666666619</v>
      </c>
      <c r="C526" s="70" t="s">
        <v>54</v>
      </c>
      <c r="D526" s="75" t="s">
        <v>31</v>
      </c>
      <c r="E526" s="75" t="s">
        <v>275</v>
      </c>
      <c r="F526" s="63">
        <v>15</v>
      </c>
      <c r="G526" s="64">
        <f t="shared" si="110"/>
        <v>63</v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>
      <c r="A527" s="166" t="s">
        <v>261</v>
      </c>
      <c r="B527" s="166"/>
      <c r="C527" s="166"/>
      <c r="D527" s="166"/>
      <c r="E527" s="166"/>
      <c r="F527" s="2">
        <f>SUM(F515:F526)</f>
        <v>188</v>
      </c>
      <c r="G527" s="2">
        <f>SUM(G515:G526)</f>
        <v>881.6</v>
      </c>
      <c r="H527" s="72"/>
      <c r="I527" s="72"/>
      <c r="J527" s="72"/>
      <c r="K527" s="72"/>
      <c r="L527" s="72"/>
      <c r="M527" s="73">
        <f ca="1">IFERROR(SUM(M515:M526),"")</f>
        <v>4.5138888888888951E-2</v>
      </c>
      <c r="N527" s="2" t="s">
        <v>262</v>
      </c>
      <c r="O527" s="74">
        <v>1573200</v>
      </c>
    </row>
    <row r="528" spans="1:15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62" t="s">
        <v>260</v>
      </c>
      <c r="F528" s="63">
        <v>17</v>
      </c>
      <c r="G528" s="64">
        <f t="shared" ref="G528:G539" si="113">IF(F528="","",IF(E528="PC 17",F528*4.2,IF(E528="PC 19",F528*5,IF(E528="CB",F528*35,""))))</f>
        <v>85</v>
      </c>
      <c r="H528" s="61" t="s">
        <v>29</v>
      </c>
      <c r="I528" s="61" t="s">
        <v>32</v>
      </c>
      <c r="J528" s="61" t="s">
        <v>53</v>
      </c>
      <c r="K528" s="65">
        <v>0.80833333333333335</v>
      </c>
      <c r="L528" s="65">
        <v>0.8833333333333333</v>
      </c>
      <c r="M528" s="66"/>
      <c r="N528" s="80" t="s">
        <v>296</v>
      </c>
      <c r="O528" s="81"/>
    </row>
    <row r="529" spans="1:15" ht="15" customHeight="1">
      <c r="A529" s="18">
        <v>46254</v>
      </c>
      <c r="B529" s="68">
        <f t="shared" ref="B529:B539" si="114">B528+TIME(0,60,0)</f>
        <v>0.87499999999999967</v>
      </c>
      <c r="C529" s="61" t="s">
        <v>38</v>
      </c>
      <c r="D529" s="62" t="s">
        <v>31</v>
      </c>
      <c r="E529" s="62" t="s">
        <v>260</v>
      </c>
      <c r="F529" s="63">
        <v>0</v>
      </c>
      <c r="G529" s="69">
        <f t="shared" si="113"/>
        <v>0</v>
      </c>
      <c r="H529" s="70" t="s">
        <v>29</v>
      </c>
      <c r="I529" s="70" t="s">
        <v>32</v>
      </c>
      <c r="J529" s="70" t="s">
        <v>53</v>
      </c>
      <c r="K529" s="65">
        <v>0.9375</v>
      </c>
      <c r="L529" s="65">
        <v>0.94444444444444442</v>
      </c>
      <c r="M529" s="71">
        <f t="shared" ref="M529:M539" ca="1" si="115">IFERROR(IF(K529="","",IF(L529="",MOD(NOW()-K529,1),IF(L529&gt;=K529,L529-K529,L529+1-K529))),"")</f>
        <v>6.9444444444444198E-3</v>
      </c>
      <c r="N529" s="80"/>
      <c r="O529" s="81"/>
    </row>
    <row r="530" spans="1:15" ht="15" customHeight="1">
      <c r="A530" s="59">
        <v>46254</v>
      </c>
      <c r="B530" s="60">
        <f t="shared" si="114"/>
        <v>0.9166666666666663</v>
      </c>
      <c r="C530" s="61" t="s">
        <v>38</v>
      </c>
      <c r="D530" s="62" t="s">
        <v>31</v>
      </c>
      <c r="E530" s="62" t="s">
        <v>260</v>
      </c>
      <c r="F530" s="63">
        <v>30</v>
      </c>
      <c r="G530" s="64">
        <f t="shared" si="113"/>
        <v>150</v>
      </c>
      <c r="H530" s="61" t="s">
        <v>27</v>
      </c>
      <c r="I530" s="61" t="s">
        <v>32</v>
      </c>
      <c r="J530" s="61" t="s">
        <v>177</v>
      </c>
      <c r="K530" s="65">
        <v>0.98958333333333337</v>
      </c>
      <c r="L530" s="65">
        <v>1.3194444444444444E-2</v>
      </c>
      <c r="M530" s="66">
        <f t="shared" ca="1" si="115"/>
        <v>2.3611111111111138E-2</v>
      </c>
      <c r="N530" s="80"/>
      <c r="O530" s="81"/>
    </row>
    <row r="531" spans="1:15" ht="15" customHeight="1">
      <c r="A531" s="18">
        <v>46254</v>
      </c>
      <c r="B531" s="68">
        <f t="shared" si="114"/>
        <v>0.95833333333333293</v>
      </c>
      <c r="C531" s="61" t="s">
        <v>38</v>
      </c>
      <c r="D531" s="62" t="s">
        <v>31</v>
      </c>
      <c r="E531" s="62" t="s">
        <v>260</v>
      </c>
      <c r="F531" s="63">
        <v>13</v>
      </c>
      <c r="G531" s="69">
        <f t="shared" si="113"/>
        <v>65</v>
      </c>
      <c r="H531" s="70" t="s">
        <v>27</v>
      </c>
      <c r="I531" s="70" t="s">
        <v>32</v>
      </c>
      <c r="J531" s="70" t="s">
        <v>43</v>
      </c>
      <c r="K531" s="65">
        <v>5.8333333333333334E-2</v>
      </c>
      <c r="L531" s="65">
        <v>0.29166666666666669</v>
      </c>
      <c r="M531" s="71">
        <f t="shared" ca="1" si="115"/>
        <v>0.23333333333333334</v>
      </c>
      <c r="N531" s="80"/>
      <c r="O531" s="81"/>
    </row>
    <row r="532" spans="1:15" ht="15" customHeight="1">
      <c r="A532" s="59">
        <v>46254</v>
      </c>
      <c r="B532" s="60">
        <f t="shared" si="114"/>
        <v>0.99999999999999956</v>
      </c>
      <c r="C532" s="61" t="s">
        <v>38</v>
      </c>
      <c r="D532" s="62" t="s">
        <v>31</v>
      </c>
      <c r="E532" s="62" t="s">
        <v>260</v>
      </c>
      <c r="F532" s="63">
        <v>27</v>
      </c>
      <c r="G532" s="64">
        <f t="shared" si="113"/>
        <v>135</v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>
      <c r="A533" s="18">
        <v>46254</v>
      </c>
      <c r="B533" s="68">
        <f t="shared" si="114"/>
        <v>1.0416666666666663</v>
      </c>
      <c r="C533" s="61" t="s">
        <v>38</v>
      </c>
      <c r="D533" s="62" t="s">
        <v>31</v>
      </c>
      <c r="E533" s="62" t="s">
        <v>260</v>
      </c>
      <c r="F533" s="63">
        <v>27</v>
      </c>
      <c r="G533" s="69">
        <f t="shared" si="113"/>
        <v>135</v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>
      <c r="A534" s="59">
        <v>46254</v>
      </c>
      <c r="B534" s="60">
        <f t="shared" si="114"/>
        <v>1.083333333333333</v>
      </c>
      <c r="C534" s="61" t="s">
        <v>38</v>
      </c>
      <c r="D534" s="62" t="s">
        <v>31</v>
      </c>
      <c r="E534" s="62" t="s">
        <v>260</v>
      </c>
      <c r="F534" s="63">
        <v>0</v>
      </c>
      <c r="G534" s="64">
        <f t="shared" si="113"/>
        <v>0</v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>
      <c r="A535" s="18">
        <v>46254</v>
      </c>
      <c r="B535" s="68">
        <f t="shared" si="114"/>
        <v>1.1249999999999998</v>
      </c>
      <c r="C535" s="61" t="s">
        <v>38</v>
      </c>
      <c r="D535" s="62" t="s">
        <v>31</v>
      </c>
      <c r="E535" s="62" t="s">
        <v>260</v>
      </c>
      <c r="F535" s="63">
        <v>0</v>
      </c>
      <c r="G535" s="69">
        <f t="shared" si="113"/>
        <v>0</v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>
      <c r="A536" s="59">
        <v>46254</v>
      </c>
      <c r="B536" s="60">
        <f t="shared" si="114"/>
        <v>1.1666666666666665</v>
      </c>
      <c r="C536" s="61" t="s">
        <v>38</v>
      </c>
      <c r="D536" s="62" t="s">
        <v>31</v>
      </c>
      <c r="E536" s="62" t="s">
        <v>260</v>
      </c>
      <c r="F536" s="63">
        <v>0</v>
      </c>
      <c r="G536" s="64">
        <f t="shared" si="113"/>
        <v>0</v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>
      <c r="A537" s="18">
        <v>46254</v>
      </c>
      <c r="B537" s="68">
        <f t="shared" si="114"/>
        <v>1.2083333333333333</v>
      </c>
      <c r="C537" s="61" t="s">
        <v>38</v>
      </c>
      <c r="D537" s="62" t="s">
        <v>31</v>
      </c>
      <c r="E537" s="62" t="s">
        <v>260</v>
      </c>
      <c r="F537" s="63">
        <v>0</v>
      </c>
      <c r="G537" s="69">
        <f t="shared" si="113"/>
        <v>0</v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>
      <c r="A538" s="59">
        <v>46254</v>
      </c>
      <c r="B538" s="60">
        <f t="shared" si="114"/>
        <v>1.25</v>
      </c>
      <c r="C538" s="61" t="s">
        <v>38</v>
      </c>
      <c r="D538" s="62" t="s">
        <v>31</v>
      </c>
      <c r="E538" s="62" t="s">
        <v>260</v>
      </c>
      <c r="F538" s="63">
        <v>0</v>
      </c>
      <c r="G538" s="64">
        <f t="shared" si="113"/>
        <v>0</v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>
      <c r="A539" s="18">
        <v>46254</v>
      </c>
      <c r="B539" s="68">
        <f t="shared" si="114"/>
        <v>1.2916666666666667</v>
      </c>
      <c r="C539" s="61" t="s">
        <v>38</v>
      </c>
      <c r="D539" s="62" t="s">
        <v>31</v>
      </c>
      <c r="E539" s="62" t="s">
        <v>260</v>
      </c>
      <c r="F539" s="63">
        <v>0</v>
      </c>
      <c r="G539" s="69">
        <f t="shared" si="113"/>
        <v>0</v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>
      <c r="A540" s="166" t="s">
        <v>264</v>
      </c>
      <c r="B540" s="166"/>
      <c r="C540" s="166"/>
      <c r="D540" s="166"/>
      <c r="E540" s="166"/>
      <c r="F540" s="2">
        <f>SUM(F528:F539)</f>
        <v>114</v>
      </c>
      <c r="G540" s="2">
        <f>SUM(G528:G539)</f>
        <v>570</v>
      </c>
      <c r="H540" s="72"/>
      <c r="I540" s="72"/>
      <c r="J540" s="72"/>
      <c r="K540" s="72"/>
      <c r="L540" s="72"/>
      <c r="M540" s="73">
        <f ca="1">IFERROR(SUM(M528:M539),"")</f>
        <v>0.2638888888888889</v>
      </c>
      <c r="N540" s="2" t="s">
        <v>262</v>
      </c>
      <c r="O540" s="74">
        <v>667100</v>
      </c>
    </row>
    <row r="541" spans="1:15" ht="18" customHeight="1">
      <c r="A541" s="167" t="s">
        <v>250</v>
      </c>
      <c r="B541" s="167"/>
      <c r="C541" s="167"/>
      <c r="D541" s="167"/>
      <c r="E541" s="167"/>
      <c r="F541" s="1">
        <f>F527+F540</f>
        <v>302</v>
      </c>
      <c r="G541" s="1">
        <f>G527+G540</f>
        <v>1451.6</v>
      </c>
      <c r="H541" s="76"/>
      <c r="I541" s="76"/>
      <c r="J541" s="76"/>
      <c r="K541" s="76"/>
      <c r="L541" s="76"/>
      <c r="M541" s="77">
        <f ca="1">IFERROR(M527+M540,"")</f>
        <v>0.30902777777777785</v>
      </c>
      <c r="N541" s="1" t="s">
        <v>265</v>
      </c>
      <c r="O541" s="82">
        <f>IFERROR(O527+O540,"")</f>
        <v>2240300</v>
      </c>
    </row>
    <row r="542" spans="1:15" ht="15" customHeight="1">
      <c r="A542" s="59">
        <v>46255</v>
      </c>
      <c r="B542" s="60">
        <v>0.33333333333333298</v>
      </c>
      <c r="C542" s="61" t="s">
        <v>30</v>
      </c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 t="s">
        <v>27</v>
      </c>
      <c r="I542" s="61" t="s">
        <v>32</v>
      </c>
      <c r="J542" s="61" t="s">
        <v>51</v>
      </c>
      <c r="K542" s="65">
        <v>0.29166666666666669</v>
      </c>
      <c r="L542" s="65">
        <v>0.79166666666666663</v>
      </c>
      <c r="M542" s="66">
        <f t="shared" ref="M542:M553" ca="1" si="117">IFERROR(IF(K542="","",IF(L542="",MOD(NOW()-K542,1),IF(L542&gt;=K542,L542-K542,L542+1-K542))),"")</f>
        <v>0.49999999999999994</v>
      </c>
      <c r="N542" s="80" t="s">
        <v>297</v>
      </c>
      <c r="O542" s="81"/>
    </row>
    <row r="543" spans="1:15" ht="15" customHeight="1">
      <c r="A543" s="18">
        <v>46255</v>
      </c>
      <c r="B543" s="68">
        <f t="shared" ref="B543:B553" si="118">B542+TIME(0,60,0)</f>
        <v>0.37499999999999967</v>
      </c>
      <c r="C543" s="61" t="s">
        <v>30</v>
      </c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>
      <c r="A544" s="59">
        <v>46255</v>
      </c>
      <c r="B544" s="60">
        <f t="shared" si="118"/>
        <v>0.41666666666666635</v>
      </c>
      <c r="C544" s="61" t="s">
        <v>30</v>
      </c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>
      <c r="A545" s="18">
        <v>46255</v>
      </c>
      <c r="B545" s="68">
        <f t="shared" si="118"/>
        <v>0.45833333333333304</v>
      </c>
      <c r="C545" s="61" t="s">
        <v>30</v>
      </c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>
      <c r="A546" s="59">
        <v>46255</v>
      </c>
      <c r="B546" s="60">
        <f t="shared" si="118"/>
        <v>0.49999999999999972</v>
      </c>
      <c r="C546" s="61" t="s">
        <v>30</v>
      </c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>
      <c r="A547" s="18">
        <v>46255</v>
      </c>
      <c r="B547" s="68">
        <f t="shared" si="118"/>
        <v>0.54166666666666641</v>
      </c>
      <c r="C547" s="61" t="s">
        <v>30</v>
      </c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>
      <c r="A548" s="59">
        <v>46255</v>
      </c>
      <c r="B548" s="60">
        <f t="shared" si="118"/>
        <v>0.58333333333333304</v>
      </c>
      <c r="C548" s="61" t="s">
        <v>30</v>
      </c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>
      <c r="A549" s="18">
        <v>46255</v>
      </c>
      <c r="B549" s="68">
        <f t="shared" si="118"/>
        <v>0.62499999999999967</v>
      </c>
      <c r="C549" s="61" t="s">
        <v>30</v>
      </c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>
      <c r="A550" s="59">
        <v>46255</v>
      </c>
      <c r="B550" s="60">
        <f t="shared" si="118"/>
        <v>0.6666666666666663</v>
      </c>
      <c r="C550" s="61" t="s">
        <v>30</v>
      </c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>
      <c r="A551" s="18">
        <v>46255</v>
      </c>
      <c r="B551" s="68">
        <f t="shared" si="118"/>
        <v>0.70833333333333293</v>
      </c>
      <c r="C551" s="61" t="s">
        <v>30</v>
      </c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>
      <c r="A552" s="59">
        <v>46255</v>
      </c>
      <c r="B552" s="60">
        <f t="shared" si="118"/>
        <v>0.74999999999999956</v>
      </c>
      <c r="C552" s="61" t="s">
        <v>30</v>
      </c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>
      <c r="A553" s="18">
        <v>46255</v>
      </c>
      <c r="B553" s="68">
        <f t="shared" si="118"/>
        <v>0.79166666666666619</v>
      </c>
      <c r="C553" s="61" t="s">
        <v>30</v>
      </c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>
      <c r="A554" s="166" t="s">
        <v>261</v>
      </c>
      <c r="B554" s="166"/>
      <c r="C554" s="166"/>
      <c r="D554" s="166"/>
      <c r="E554" s="166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0.49999999999999994</v>
      </c>
      <c r="N554" s="2" t="s">
        <v>262</v>
      </c>
      <c r="O554" s="74">
        <v>0</v>
      </c>
    </row>
    <row r="555" spans="1:15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75" t="s">
        <v>260</v>
      </c>
      <c r="F555" s="63">
        <v>0</v>
      </c>
      <c r="G555" s="69">
        <f t="shared" ref="G555:G566" si="119">IF(F555="","",IF(E555="PC 17",F555*4.2,IF(E555="PC 19",F555*5,IF(E555="CB",F555*35,""))))</f>
        <v>0</v>
      </c>
      <c r="H555" s="70" t="s">
        <v>28</v>
      </c>
      <c r="I555" s="70" t="s">
        <v>32</v>
      </c>
      <c r="J555" s="70" t="s">
        <v>76</v>
      </c>
      <c r="K555" s="65">
        <v>0.79166666666666663</v>
      </c>
      <c r="L555" s="65">
        <v>0.91249999999999998</v>
      </c>
      <c r="M555" s="71">
        <f t="shared" ref="M555:M566" ca="1" si="120">IFERROR(IF(K555="","",IF(L555="",MOD(NOW()-K555,1),IF(L555&gt;=K555,L555-K555,L555+1-K555))),"")</f>
        <v>0.12083333333333335</v>
      </c>
      <c r="N555" s="156" t="s">
        <v>297</v>
      </c>
      <c r="O555" s="81"/>
    </row>
    <row r="556" spans="1:15" ht="15" customHeight="1">
      <c r="A556" s="59">
        <v>46255</v>
      </c>
      <c r="B556" s="60">
        <f t="shared" ref="B556:B566" si="121">B555+TIME(0,60,0)</f>
        <v>0.87499999999999967</v>
      </c>
      <c r="C556" s="70" t="s">
        <v>38</v>
      </c>
      <c r="D556" s="75" t="s">
        <v>39</v>
      </c>
      <c r="E556" s="75" t="s">
        <v>260</v>
      </c>
      <c r="F556" s="63">
        <v>0</v>
      </c>
      <c r="G556" s="64">
        <f t="shared" si="119"/>
        <v>0</v>
      </c>
      <c r="H556" s="61" t="s">
        <v>27</v>
      </c>
      <c r="I556" s="61" t="s">
        <v>32</v>
      </c>
      <c r="J556" s="61" t="s">
        <v>167</v>
      </c>
      <c r="K556" s="65">
        <v>0.94513888888888886</v>
      </c>
      <c r="L556" s="65">
        <v>0.98472222222222228</v>
      </c>
      <c r="M556" s="66">
        <f t="shared" ca="1" si="120"/>
        <v>3.9583333333333415E-2</v>
      </c>
      <c r="N556" s="80" t="s">
        <v>263</v>
      </c>
      <c r="O556" s="81"/>
    </row>
    <row r="557" spans="1:15" ht="15" customHeight="1">
      <c r="A557" s="18">
        <v>46255</v>
      </c>
      <c r="B557" s="68">
        <f t="shared" si="121"/>
        <v>0.9166666666666663</v>
      </c>
      <c r="C557" s="70" t="s">
        <v>38</v>
      </c>
      <c r="D557" s="75" t="s">
        <v>39</v>
      </c>
      <c r="E557" s="75" t="s">
        <v>260</v>
      </c>
      <c r="F557" s="63">
        <v>16</v>
      </c>
      <c r="G557" s="69">
        <f t="shared" si="119"/>
        <v>80</v>
      </c>
      <c r="H557" s="70" t="s">
        <v>28</v>
      </c>
      <c r="I557" s="70" t="s">
        <v>32</v>
      </c>
      <c r="J557" s="70" t="s">
        <v>52</v>
      </c>
      <c r="K557" s="65">
        <v>2.5694444444444443E-2</v>
      </c>
      <c r="L557" s="65">
        <v>5.6250000000000001E-2</v>
      </c>
      <c r="M557" s="71">
        <f t="shared" ca="1" si="120"/>
        <v>3.0555555555555558E-2</v>
      </c>
      <c r="N557" s="80" t="s">
        <v>298</v>
      </c>
      <c r="O557" s="81"/>
    </row>
    <row r="558" spans="1:15" ht="15" customHeight="1">
      <c r="A558" s="59">
        <v>46255</v>
      </c>
      <c r="B558" s="60">
        <f t="shared" si="121"/>
        <v>0.95833333333333293</v>
      </c>
      <c r="C558" s="70" t="s">
        <v>38</v>
      </c>
      <c r="D558" s="75" t="s">
        <v>39</v>
      </c>
      <c r="E558" s="75" t="s">
        <v>260</v>
      </c>
      <c r="F558" s="63">
        <v>12</v>
      </c>
      <c r="G558" s="64">
        <f t="shared" si="119"/>
        <v>60</v>
      </c>
      <c r="H558" s="61" t="s">
        <v>27</v>
      </c>
      <c r="I558" s="61" t="s">
        <v>32</v>
      </c>
      <c r="J558" s="61" t="s">
        <v>177</v>
      </c>
      <c r="K558" s="65">
        <v>5.9722222222222225E-2</v>
      </c>
      <c r="L558" s="65">
        <v>8.2638888888888887E-2</v>
      </c>
      <c r="M558" s="66">
        <f t="shared" ca="1" si="120"/>
        <v>2.2916666666666662E-2</v>
      </c>
      <c r="N558" s="80"/>
      <c r="O558" s="81"/>
    </row>
    <row r="559" spans="1:15" ht="15" customHeight="1">
      <c r="A559" s="18">
        <v>46255</v>
      </c>
      <c r="B559" s="68">
        <f t="shared" si="121"/>
        <v>0.99999999999999956</v>
      </c>
      <c r="C559" s="70" t="s">
        <v>38</v>
      </c>
      <c r="D559" s="75" t="s">
        <v>39</v>
      </c>
      <c r="E559" s="75" t="s">
        <v>260</v>
      </c>
      <c r="F559" s="63">
        <v>0</v>
      </c>
      <c r="G559" s="69">
        <f t="shared" si="119"/>
        <v>0</v>
      </c>
      <c r="H559" s="70" t="s">
        <v>27</v>
      </c>
      <c r="I559" s="70" t="s">
        <v>32</v>
      </c>
      <c r="J559" s="70"/>
      <c r="K559" s="65">
        <v>8.3333333333333329E-2</v>
      </c>
      <c r="L559" s="65">
        <v>9.3055555555555558E-2</v>
      </c>
      <c r="M559" s="71">
        <f t="shared" ca="1" si="120"/>
        <v>9.7222222222222293E-3</v>
      </c>
      <c r="N559" s="80" t="s">
        <v>299</v>
      </c>
      <c r="O559" s="81"/>
    </row>
    <row r="560" spans="1:15" ht="15" customHeight="1">
      <c r="A560" s="59">
        <v>46255</v>
      </c>
      <c r="B560" s="60">
        <f t="shared" si="121"/>
        <v>1.0416666666666663</v>
      </c>
      <c r="C560" s="70" t="s">
        <v>38</v>
      </c>
      <c r="D560" s="75" t="s">
        <v>39</v>
      </c>
      <c r="E560" s="75" t="s">
        <v>260</v>
      </c>
      <c r="F560" s="63">
        <v>13</v>
      </c>
      <c r="G560" s="64">
        <f t="shared" si="119"/>
        <v>65</v>
      </c>
      <c r="H560" s="61" t="s">
        <v>29</v>
      </c>
      <c r="I560" s="61" t="s">
        <v>32</v>
      </c>
      <c r="J560" s="61" t="s">
        <v>53</v>
      </c>
      <c r="K560" s="65">
        <v>0.2013888888888889</v>
      </c>
      <c r="L560" s="65">
        <v>0.22083333333333333</v>
      </c>
      <c r="M560" s="66">
        <f t="shared" ca="1" si="120"/>
        <v>1.9444444444444431E-2</v>
      </c>
      <c r="N560" s="80"/>
      <c r="O560" s="81"/>
    </row>
    <row r="561" spans="1:15" ht="15" customHeight="1">
      <c r="A561" s="18">
        <v>46255</v>
      </c>
      <c r="B561" s="68">
        <f t="shared" si="121"/>
        <v>1.083333333333333</v>
      </c>
      <c r="C561" s="70" t="s">
        <v>38</v>
      </c>
      <c r="D561" s="75" t="s">
        <v>39</v>
      </c>
      <c r="E561" s="75" t="s">
        <v>260</v>
      </c>
      <c r="F561" s="63">
        <v>0</v>
      </c>
      <c r="G561" s="69">
        <f t="shared" si="119"/>
        <v>0</v>
      </c>
      <c r="H561" s="70" t="s">
        <v>29</v>
      </c>
      <c r="I561" s="70" t="s">
        <v>32</v>
      </c>
      <c r="J561" s="70"/>
      <c r="K561" s="65">
        <v>0.23194444444444445</v>
      </c>
      <c r="L561" s="65">
        <v>0.24374999999999999</v>
      </c>
      <c r="M561" s="71">
        <f t="shared" ca="1" si="120"/>
        <v>1.1805555555555541E-2</v>
      </c>
      <c r="N561" s="80" t="s">
        <v>300</v>
      </c>
      <c r="O561" s="81"/>
    </row>
    <row r="562" spans="1:15" ht="15" customHeight="1">
      <c r="A562" s="59">
        <v>46255</v>
      </c>
      <c r="B562" s="60">
        <f t="shared" si="121"/>
        <v>1.1249999999999998</v>
      </c>
      <c r="C562" s="70" t="s">
        <v>38</v>
      </c>
      <c r="D562" s="75" t="s">
        <v>39</v>
      </c>
      <c r="E562" s="75" t="s">
        <v>260</v>
      </c>
      <c r="F562" s="63">
        <v>24</v>
      </c>
      <c r="G562" s="64">
        <f t="shared" si="119"/>
        <v>120</v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>
      <c r="A563" s="18">
        <v>46255</v>
      </c>
      <c r="B563" s="68">
        <f t="shared" si="121"/>
        <v>1.1666666666666665</v>
      </c>
      <c r="C563" s="70" t="s">
        <v>38</v>
      </c>
      <c r="D563" s="75" t="s">
        <v>39</v>
      </c>
      <c r="E563" s="75" t="s">
        <v>260</v>
      </c>
      <c r="F563" s="63">
        <v>38</v>
      </c>
      <c r="G563" s="69">
        <f t="shared" si="119"/>
        <v>190</v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>
      <c r="A564" s="59">
        <v>46255</v>
      </c>
      <c r="B564" s="60">
        <f t="shared" si="121"/>
        <v>1.2083333333333333</v>
      </c>
      <c r="C564" s="70" t="s">
        <v>38</v>
      </c>
      <c r="D564" s="75" t="s">
        <v>39</v>
      </c>
      <c r="E564" s="75" t="s">
        <v>260</v>
      </c>
      <c r="F564" s="63">
        <v>15</v>
      </c>
      <c r="G564" s="64">
        <f t="shared" si="119"/>
        <v>75</v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>
      <c r="A565" s="18">
        <v>46255</v>
      </c>
      <c r="B565" s="68">
        <f t="shared" si="121"/>
        <v>1.25</v>
      </c>
      <c r="C565" s="70" t="s">
        <v>38</v>
      </c>
      <c r="D565" s="75" t="s">
        <v>39</v>
      </c>
      <c r="E565" s="75" t="s">
        <v>260</v>
      </c>
      <c r="F565" s="63">
        <v>20</v>
      </c>
      <c r="G565" s="69">
        <f t="shared" si="119"/>
        <v>100</v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>
      <c r="A566" s="59">
        <v>46255</v>
      </c>
      <c r="B566" s="60">
        <f t="shared" si="121"/>
        <v>1.2916666666666667</v>
      </c>
      <c r="C566" s="70" t="s">
        <v>38</v>
      </c>
      <c r="D566" s="75" t="s">
        <v>39</v>
      </c>
      <c r="E566" s="75" t="s">
        <v>260</v>
      </c>
      <c r="F566" s="63">
        <v>35</v>
      </c>
      <c r="G566" s="64">
        <f t="shared" si="119"/>
        <v>175</v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>
      <c r="A567" s="166" t="s">
        <v>264</v>
      </c>
      <c r="B567" s="166"/>
      <c r="C567" s="166"/>
      <c r="D567" s="166"/>
      <c r="E567" s="166"/>
      <c r="F567" s="2">
        <f>SUM(F555:F566)</f>
        <v>173</v>
      </c>
      <c r="G567" s="2">
        <f>SUM(G555:G566)</f>
        <v>865</v>
      </c>
      <c r="H567" s="72"/>
      <c r="I567" s="72"/>
      <c r="J567" s="72"/>
      <c r="K567" s="72"/>
      <c r="L567" s="72"/>
      <c r="M567" s="73">
        <f ca="1">IFERROR(SUM(M555:M566),"")</f>
        <v>0.2548611111111112</v>
      </c>
      <c r="N567" s="2" t="s">
        <v>262</v>
      </c>
      <c r="O567" s="74">
        <v>1031030</v>
      </c>
    </row>
    <row r="568" spans="1:15" ht="18" customHeight="1">
      <c r="A568" s="167" t="s">
        <v>250</v>
      </c>
      <c r="B568" s="167"/>
      <c r="C568" s="167"/>
      <c r="D568" s="167"/>
      <c r="E568" s="167"/>
      <c r="F568" s="1">
        <f>F554+F567</f>
        <v>173</v>
      </c>
      <c r="G568" s="1">
        <f>G554+G567</f>
        <v>865</v>
      </c>
      <c r="H568" s="76"/>
      <c r="I568" s="76"/>
      <c r="J568" s="76"/>
      <c r="K568" s="76"/>
      <c r="L568" s="76"/>
      <c r="M568" s="77">
        <f ca="1">IFERROR(M554+M567,"")</f>
        <v>0.7548611111111112</v>
      </c>
      <c r="N568" s="1" t="s">
        <v>265</v>
      </c>
      <c r="O568" s="82">
        <f>IFERROR(O554+O567,"")</f>
        <v>1031030</v>
      </c>
    </row>
    <row r="569" spans="1:15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75" t="s">
        <v>260</v>
      </c>
      <c r="F569" s="63">
        <v>40</v>
      </c>
      <c r="G569" s="69">
        <f t="shared" ref="G569:G580" si="122">IF(F569="","",IF(E569="PC 17",F569*4.2,IF(E569="PC 19",F569*5,IF(E569="CB",F569*35,""))))</f>
        <v>200</v>
      </c>
      <c r="H569" s="70" t="s">
        <v>27</v>
      </c>
      <c r="I569" s="70" t="s">
        <v>32</v>
      </c>
      <c r="J569" s="70" t="s">
        <v>177</v>
      </c>
      <c r="K569" s="65">
        <v>0.30555555555555558</v>
      </c>
      <c r="L569" s="65">
        <v>0.31597222222222221</v>
      </c>
      <c r="M569" s="71">
        <f t="shared" ref="M569:M580" ca="1" si="123">IFERROR(IF(K569="","",IF(L569="",MOD(NOW()-K569,1),IF(L569&gt;=K569,L569-K569,L569+1-K569))),"")</f>
        <v>1.041666666666663E-2</v>
      </c>
      <c r="N569" s="80"/>
      <c r="O569" s="81"/>
    </row>
    <row r="570" spans="1:15" ht="15" customHeight="1">
      <c r="A570" s="59">
        <v>46256</v>
      </c>
      <c r="B570" s="60">
        <f t="shared" ref="B570:B580" si="124">B569+TIME(0,60,0)</f>
        <v>0.37499999999999967</v>
      </c>
      <c r="C570" s="70" t="s">
        <v>30</v>
      </c>
      <c r="D570" s="75" t="s">
        <v>31</v>
      </c>
      <c r="E570" s="75" t="s">
        <v>260</v>
      </c>
      <c r="F570" s="63">
        <v>55</v>
      </c>
      <c r="G570" s="69">
        <f t="shared" si="122"/>
        <v>275</v>
      </c>
      <c r="H570" s="61"/>
      <c r="I570" s="61"/>
      <c r="J570" s="61"/>
      <c r="K570" s="65"/>
      <c r="L570" s="65"/>
      <c r="M570" s="66" t="str">
        <f t="shared" ca="1" si="123"/>
        <v/>
      </c>
      <c r="N570" s="80"/>
      <c r="O570" s="81"/>
    </row>
    <row r="571" spans="1:15" ht="15" customHeight="1">
      <c r="A571" s="18">
        <v>46256</v>
      </c>
      <c r="B571" s="68">
        <f t="shared" si="124"/>
        <v>0.41666666666666635</v>
      </c>
      <c r="C571" s="70" t="s">
        <v>30</v>
      </c>
      <c r="D571" s="75" t="s">
        <v>31</v>
      </c>
      <c r="E571" s="75" t="s">
        <v>260</v>
      </c>
      <c r="F571" s="63">
        <v>40</v>
      </c>
      <c r="G571" s="69">
        <f t="shared" si="122"/>
        <v>200</v>
      </c>
      <c r="H571" s="70"/>
      <c r="I571" s="70"/>
      <c r="J571" s="70"/>
      <c r="K571" s="65"/>
      <c r="L571" s="65"/>
      <c r="M571" s="71" t="str">
        <f t="shared" ca="1" si="123"/>
        <v/>
      </c>
      <c r="N571" s="80"/>
      <c r="O571" s="81"/>
    </row>
    <row r="572" spans="1:15" ht="15" customHeight="1">
      <c r="A572" s="59">
        <v>46256</v>
      </c>
      <c r="B572" s="60">
        <f t="shared" si="124"/>
        <v>0.45833333333333304</v>
      </c>
      <c r="C572" s="70" t="s">
        <v>30</v>
      </c>
      <c r="D572" s="75" t="s">
        <v>31</v>
      </c>
      <c r="E572" s="75" t="s">
        <v>260</v>
      </c>
      <c r="F572" s="63">
        <v>31</v>
      </c>
      <c r="G572" s="69">
        <f t="shared" si="122"/>
        <v>155</v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>
      <c r="A573" s="18">
        <v>46256</v>
      </c>
      <c r="B573" s="68">
        <f t="shared" si="124"/>
        <v>0.49999999999999972</v>
      </c>
      <c r="C573" s="70" t="s">
        <v>30</v>
      </c>
      <c r="D573" s="75" t="s">
        <v>31</v>
      </c>
      <c r="E573" s="75" t="s">
        <v>260</v>
      </c>
      <c r="F573" s="63">
        <v>18</v>
      </c>
      <c r="G573" s="69">
        <f t="shared" si="122"/>
        <v>90</v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>
      <c r="A574" s="59">
        <v>46256</v>
      </c>
      <c r="B574" s="60">
        <f t="shared" si="124"/>
        <v>0.54166666666666641</v>
      </c>
      <c r="C574" s="70" t="s">
        <v>30</v>
      </c>
      <c r="D574" s="75" t="s">
        <v>31</v>
      </c>
      <c r="E574" s="75" t="s">
        <v>260</v>
      </c>
      <c r="F574" s="63">
        <v>43</v>
      </c>
      <c r="G574" s="69">
        <f t="shared" si="122"/>
        <v>215</v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>
      <c r="A575" s="18">
        <v>46256</v>
      </c>
      <c r="B575" s="68">
        <f t="shared" si="124"/>
        <v>0.58333333333333304</v>
      </c>
      <c r="C575" s="70" t="s">
        <v>30</v>
      </c>
      <c r="D575" s="75" t="s">
        <v>31</v>
      </c>
      <c r="E575" s="75" t="s">
        <v>260</v>
      </c>
      <c r="F575" s="63"/>
      <c r="G575" s="69" t="str">
        <f t="shared" si="122"/>
        <v/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>
      <c r="A576" s="59">
        <v>46256</v>
      </c>
      <c r="B576" s="60">
        <f t="shared" si="124"/>
        <v>0.62499999999999967</v>
      </c>
      <c r="C576" s="70" t="s">
        <v>30</v>
      </c>
      <c r="D576" s="75" t="s">
        <v>31</v>
      </c>
      <c r="E576" s="75" t="s">
        <v>260</v>
      </c>
      <c r="F576" s="63"/>
      <c r="G576" s="69" t="str">
        <f t="shared" si="122"/>
        <v/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>
      <c r="A577" s="18">
        <v>46256</v>
      </c>
      <c r="B577" s="68">
        <f t="shared" si="124"/>
        <v>0.6666666666666663</v>
      </c>
      <c r="C577" s="70" t="s">
        <v>30</v>
      </c>
      <c r="D577" s="75" t="s">
        <v>31</v>
      </c>
      <c r="E577" s="75" t="s">
        <v>260</v>
      </c>
      <c r="F577" s="63"/>
      <c r="G577" s="69" t="str">
        <f t="shared" si="122"/>
        <v/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>
      <c r="A578" s="59">
        <v>46256</v>
      </c>
      <c r="B578" s="60">
        <f t="shared" si="124"/>
        <v>0.70833333333333293</v>
      </c>
      <c r="C578" s="70" t="s">
        <v>30</v>
      </c>
      <c r="D578" s="75" t="s">
        <v>31</v>
      </c>
      <c r="E578" s="75" t="s">
        <v>260</v>
      </c>
      <c r="F578" s="63"/>
      <c r="G578" s="69" t="str">
        <f t="shared" si="122"/>
        <v/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>
      <c r="A579" s="18">
        <v>46256</v>
      </c>
      <c r="B579" s="68">
        <f t="shared" si="124"/>
        <v>0.74999999999999956</v>
      </c>
      <c r="C579" s="70" t="s">
        <v>30</v>
      </c>
      <c r="D579" s="75" t="s">
        <v>31</v>
      </c>
      <c r="E579" s="75" t="s">
        <v>260</v>
      </c>
      <c r="F579" s="63"/>
      <c r="G579" s="69" t="str">
        <f t="shared" si="122"/>
        <v/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>
      <c r="A580" s="59">
        <v>46256</v>
      </c>
      <c r="B580" s="60">
        <f t="shared" si="124"/>
        <v>0.79166666666666619</v>
      </c>
      <c r="C580" s="70" t="s">
        <v>30</v>
      </c>
      <c r="D580" s="75" t="s">
        <v>31</v>
      </c>
      <c r="E580" s="75" t="s">
        <v>260</v>
      </c>
      <c r="F580" s="63"/>
      <c r="G580" s="69" t="str">
        <f t="shared" si="122"/>
        <v/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>
      <c r="A581" s="166" t="s">
        <v>261</v>
      </c>
      <c r="B581" s="166"/>
      <c r="C581" s="166"/>
      <c r="D581" s="166"/>
      <c r="E581" s="166"/>
      <c r="F581" s="2">
        <f>SUM(F569:F580)</f>
        <v>227</v>
      </c>
      <c r="G581" s="2">
        <f>SUM(G569:G580)</f>
        <v>1135</v>
      </c>
      <c r="H581" s="72"/>
      <c r="I581" s="72"/>
      <c r="J581" s="72"/>
      <c r="K581" s="72"/>
      <c r="L581" s="72"/>
      <c r="M581" s="73">
        <f ca="1">IFERROR(SUM(M569:M580),"")</f>
        <v>1.041666666666663E-2</v>
      </c>
      <c r="N581" s="2" t="s">
        <v>262</v>
      </c>
      <c r="O581" s="74"/>
    </row>
    <row r="582" spans="1:15" ht="15" customHeight="1">
      <c r="A582" s="59">
        <v>46256</v>
      </c>
      <c r="B582" s="60">
        <v>0.83333333333333304</v>
      </c>
      <c r="C582" s="61"/>
      <c r="D582" s="62"/>
      <c r="E582" s="62"/>
      <c r="F582" s="63"/>
      <c r="G582" s="64" t="str">
        <f t="shared" ref="G582:G593" si="125">IF(F582="","",IF(E582="PC 17",F582*4.2,IF(E582="PC 19",F582*5,IF(E582="CB",F582*35,""))))</f>
        <v/>
      </c>
      <c r="H582" s="61"/>
      <c r="I582" s="61"/>
      <c r="J582" s="61"/>
      <c r="K582" s="65"/>
      <c r="L582" s="65"/>
      <c r="M582" s="66" t="str">
        <f t="shared" ref="M582:M593" ca="1" si="126">IFERROR(IF(K582="","",IF(L582="",MOD(NOW()-K582,1),IF(L582&gt;=K582,L582-K582,L582+1-K582))),"")</f>
        <v/>
      </c>
      <c r="N582" s="80"/>
      <c r="O582" s="81"/>
    </row>
    <row r="583" spans="1:15" ht="15" customHeight="1">
      <c r="A583" s="18">
        <v>46256</v>
      </c>
      <c r="B583" s="68">
        <f t="shared" ref="B583:B593" si="127">B582+TIME(0,60,0)</f>
        <v>0.87499999999999967</v>
      </c>
      <c r="C583" s="61"/>
      <c r="D583" s="62"/>
      <c r="E583" s="62"/>
      <c r="F583" s="63"/>
      <c r="G583" s="69" t="str">
        <f t="shared" si="125"/>
        <v/>
      </c>
      <c r="H583" s="70"/>
      <c r="I583" s="70"/>
      <c r="J583" s="70"/>
      <c r="K583" s="65"/>
      <c r="L583" s="65"/>
      <c r="M583" s="71" t="str">
        <f t="shared" ca="1" si="126"/>
        <v/>
      </c>
      <c r="N583" s="80"/>
      <c r="O583" s="81"/>
    </row>
    <row r="584" spans="1:15" ht="15" customHeight="1">
      <c r="A584" s="59">
        <v>46256</v>
      </c>
      <c r="B584" s="60">
        <f t="shared" si="127"/>
        <v>0.9166666666666663</v>
      </c>
      <c r="C584" s="61"/>
      <c r="D584" s="62"/>
      <c r="E584" s="62"/>
      <c r="F584" s="63"/>
      <c r="G584" s="64" t="str">
        <f t="shared" si="125"/>
        <v/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>
      <c r="A585" s="18">
        <v>46256</v>
      </c>
      <c r="B585" s="68">
        <f t="shared" si="127"/>
        <v>0.95833333333333293</v>
      </c>
      <c r="C585" s="61"/>
      <c r="D585" s="62"/>
      <c r="E585" s="62"/>
      <c r="F585" s="63"/>
      <c r="G585" s="69" t="str">
        <f t="shared" si="125"/>
        <v/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>
      <c r="A586" s="59">
        <v>46256</v>
      </c>
      <c r="B586" s="60">
        <f t="shared" si="127"/>
        <v>0.99999999999999956</v>
      </c>
      <c r="C586" s="61"/>
      <c r="D586" s="62"/>
      <c r="E586" s="62"/>
      <c r="F586" s="63"/>
      <c r="G586" s="64" t="str">
        <f t="shared" si="125"/>
        <v/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>
      <c r="A587" s="18">
        <v>46256</v>
      </c>
      <c r="B587" s="68">
        <f t="shared" si="127"/>
        <v>1.0416666666666663</v>
      </c>
      <c r="C587" s="61"/>
      <c r="D587" s="62"/>
      <c r="E587" s="62"/>
      <c r="F587" s="63"/>
      <c r="G587" s="69" t="str">
        <f t="shared" si="125"/>
        <v/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>
      <c r="A588" s="59">
        <v>46256</v>
      </c>
      <c r="B588" s="60">
        <f t="shared" si="127"/>
        <v>1.083333333333333</v>
      </c>
      <c r="C588" s="61"/>
      <c r="D588" s="62"/>
      <c r="E588" s="62"/>
      <c r="F588" s="63"/>
      <c r="G588" s="64" t="str">
        <f t="shared" si="125"/>
        <v/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>
      <c r="A589" s="18">
        <v>46256</v>
      </c>
      <c r="B589" s="68">
        <f t="shared" si="127"/>
        <v>1.1249999999999998</v>
      </c>
      <c r="C589" s="61"/>
      <c r="D589" s="62"/>
      <c r="E589" s="62"/>
      <c r="F589" s="63"/>
      <c r="G589" s="69" t="str">
        <f t="shared" si="125"/>
        <v/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>
      <c r="A590" s="59">
        <v>46256</v>
      </c>
      <c r="B590" s="60">
        <f t="shared" si="127"/>
        <v>1.1666666666666665</v>
      </c>
      <c r="C590" s="61"/>
      <c r="D590" s="62"/>
      <c r="E590" s="62"/>
      <c r="F590" s="63"/>
      <c r="G590" s="64" t="str">
        <f t="shared" si="125"/>
        <v/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>
      <c r="A591" s="18">
        <v>46256</v>
      </c>
      <c r="B591" s="68">
        <f t="shared" si="127"/>
        <v>1.2083333333333333</v>
      </c>
      <c r="C591" s="61"/>
      <c r="D591" s="62"/>
      <c r="E591" s="62"/>
      <c r="F591" s="63"/>
      <c r="G591" s="69" t="str">
        <f t="shared" si="125"/>
        <v/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>
      <c r="A592" s="59">
        <v>46256</v>
      </c>
      <c r="B592" s="60">
        <f t="shared" si="127"/>
        <v>1.25</v>
      </c>
      <c r="C592" s="61"/>
      <c r="D592" s="62"/>
      <c r="E592" s="62"/>
      <c r="F592" s="63"/>
      <c r="G592" s="64" t="str">
        <f t="shared" si="125"/>
        <v/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>
      <c r="A593" s="18">
        <v>46256</v>
      </c>
      <c r="B593" s="68">
        <f t="shared" si="127"/>
        <v>1.2916666666666667</v>
      </c>
      <c r="C593" s="61"/>
      <c r="D593" s="62"/>
      <c r="E593" s="62"/>
      <c r="F593" s="63"/>
      <c r="G593" s="69" t="str">
        <f t="shared" si="125"/>
        <v/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>
      <c r="A594" s="166" t="s">
        <v>264</v>
      </c>
      <c r="B594" s="166"/>
      <c r="C594" s="166"/>
      <c r="D594" s="166"/>
      <c r="E594" s="166"/>
      <c r="F594" s="2">
        <f>SUM(F582:F593)</f>
        <v>0</v>
      </c>
      <c r="G594" s="2">
        <f>SUM(G582:G593)</f>
        <v>0</v>
      </c>
      <c r="H594" s="72"/>
      <c r="I594" s="72"/>
      <c r="J594" s="72"/>
      <c r="K594" s="72"/>
      <c r="L594" s="72"/>
      <c r="M594" s="73">
        <f ca="1">IFERROR(SUM(M582:M593),"")</f>
        <v>0</v>
      </c>
      <c r="N594" s="2" t="s">
        <v>262</v>
      </c>
      <c r="O594" s="74"/>
    </row>
    <row r="595" spans="1:15" ht="18" customHeight="1">
      <c r="A595" s="167" t="s">
        <v>250</v>
      </c>
      <c r="B595" s="167"/>
      <c r="C595" s="167"/>
      <c r="D595" s="167"/>
      <c r="E595" s="167"/>
      <c r="F595" s="1">
        <f>F581+F594</f>
        <v>227</v>
      </c>
      <c r="G595" s="1">
        <f>G581+G594</f>
        <v>1135</v>
      </c>
      <c r="H595" s="76"/>
      <c r="I595" s="76"/>
      <c r="J595" s="76"/>
      <c r="K595" s="76"/>
      <c r="L595" s="76"/>
      <c r="M595" s="77">
        <f ca="1">IFERROR(M581+M594,"")</f>
        <v>1.041666666666663E-2</v>
      </c>
      <c r="N595" s="1" t="s">
        <v>265</v>
      </c>
      <c r="O595" s="82">
        <f>IFERROR(O581+O594,"")</f>
        <v>0</v>
      </c>
    </row>
    <row r="596" spans="1:15" ht="15" customHeight="1">
      <c r="A596" s="59">
        <v>46257</v>
      </c>
      <c r="B596" s="60">
        <v>0.33333333333333298</v>
      </c>
      <c r="C596" s="61"/>
      <c r="D596" s="62"/>
      <c r="E596" s="62"/>
      <c r="F596" s="63"/>
      <c r="G596" s="64" t="str">
        <f t="shared" ref="G596:G607" si="128">IF(F596="","",IF(E596="PC 17",F596*4.2,IF(E596="PC 19",F596*5,IF(E596="CB",F596*35,""))))</f>
        <v/>
      </c>
      <c r="H596" s="61"/>
      <c r="I596" s="61"/>
      <c r="J596" s="61"/>
      <c r="K596" s="65"/>
      <c r="L596" s="65"/>
      <c r="M596" s="66" t="str">
        <f t="shared" ref="M596:M607" ca="1" si="129">IFERROR(IF(K596="","",IF(L596="",MOD(NOW()-K596,1),IF(L596&gt;=K596,L596-K596,L596+1-K596))),"")</f>
        <v/>
      </c>
      <c r="N596" s="80"/>
      <c r="O596" s="81"/>
    </row>
    <row r="597" spans="1:15" ht="15" customHeight="1">
      <c r="A597" s="18">
        <v>46257</v>
      </c>
      <c r="B597" s="68">
        <f t="shared" ref="B597:B607" si="130">B596+TIME(0,60,0)</f>
        <v>0.37499999999999967</v>
      </c>
      <c r="C597" s="61"/>
      <c r="D597" s="62"/>
      <c r="E597" s="62"/>
      <c r="F597" s="63"/>
      <c r="G597" s="69" t="str">
        <f t="shared" si="128"/>
        <v/>
      </c>
      <c r="H597" s="70"/>
      <c r="I597" s="70"/>
      <c r="J597" s="70"/>
      <c r="K597" s="65"/>
      <c r="L597" s="65"/>
      <c r="M597" s="71" t="str">
        <f t="shared" ca="1" si="129"/>
        <v/>
      </c>
      <c r="N597" s="80"/>
      <c r="O597" s="81"/>
    </row>
    <row r="598" spans="1:15" ht="15" customHeight="1">
      <c r="A598" s="59">
        <v>46257</v>
      </c>
      <c r="B598" s="60">
        <f t="shared" si="130"/>
        <v>0.41666666666666635</v>
      </c>
      <c r="C598" s="61"/>
      <c r="D598" s="62"/>
      <c r="E598" s="62"/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>
      <c r="A599" s="18">
        <v>46257</v>
      </c>
      <c r="B599" s="68">
        <f t="shared" si="130"/>
        <v>0.45833333333333304</v>
      </c>
      <c r="C599" s="61"/>
      <c r="D599" s="62"/>
      <c r="E599" s="62"/>
      <c r="F599" s="63"/>
      <c r="G599" s="69" t="str">
        <f t="shared" si="128"/>
        <v/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>
      <c r="A600" s="59">
        <v>46257</v>
      </c>
      <c r="B600" s="60">
        <f t="shared" si="130"/>
        <v>0.49999999999999972</v>
      </c>
      <c r="C600" s="61"/>
      <c r="D600" s="62"/>
      <c r="E600" s="62"/>
      <c r="F600" s="63"/>
      <c r="G600" s="64" t="str">
        <f t="shared" si="128"/>
        <v/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>
      <c r="A601" s="18">
        <v>46257</v>
      </c>
      <c r="B601" s="68">
        <f t="shared" si="130"/>
        <v>0.54166666666666641</v>
      </c>
      <c r="C601" s="61"/>
      <c r="D601" s="62"/>
      <c r="E601" s="62"/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>
      <c r="A602" s="59">
        <v>46257</v>
      </c>
      <c r="B602" s="60">
        <f t="shared" si="130"/>
        <v>0.58333333333333304</v>
      </c>
      <c r="C602" s="61"/>
      <c r="D602" s="62"/>
      <c r="E602" s="62"/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>
      <c r="A603" s="18">
        <v>46257</v>
      </c>
      <c r="B603" s="68">
        <f t="shared" si="130"/>
        <v>0.62499999999999967</v>
      </c>
      <c r="C603" s="61"/>
      <c r="D603" s="62"/>
      <c r="E603" s="62"/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>
      <c r="A604" s="59">
        <v>46257</v>
      </c>
      <c r="B604" s="60">
        <f t="shared" si="130"/>
        <v>0.6666666666666663</v>
      </c>
      <c r="C604" s="61"/>
      <c r="D604" s="62"/>
      <c r="E604" s="62"/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>
      <c r="A605" s="18">
        <v>46257</v>
      </c>
      <c r="B605" s="68">
        <f t="shared" si="130"/>
        <v>0.70833333333333293</v>
      </c>
      <c r="C605" s="61"/>
      <c r="D605" s="62"/>
      <c r="E605" s="62"/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>
      <c r="A606" s="59">
        <v>46257</v>
      </c>
      <c r="B606" s="60">
        <f t="shared" si="130"/>
        <v>0.74999999999999956</v>
      </c>
      <c r="C606" s="61"/>
      <c r="D606" s="62"/>
      <c r="E606" s="62"/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>
      <c r="A607" s="18">
        <v>46257</v>
      </c>
      <c r="B607" s="68">
        <f t="shared" si="130"/>
        <v>0.79166666666666619</v>
      </c>
      <c r="C607" s="61"/>
      <c r="D607" s="62"/>
      <c r="E607" s="62"/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>
      <c r="A608" s="166" t="s">
        <v>261</v>
      </c>
      <c r="B608" s="166"/>
      <c r="C608" s="166"/>
      <c r="D608" s="166"/>
      <c r="E608" s="166"/>
      <c r="F608" s="2">
        <f>SUM(F596:F607)</f>
        <v>0</v>
      </c>
      <c r="G608" s="2">
        <f>SUM(G596:G607)</f>
        <v>0</v>
      </c>
      <c r="H608" s="72"/>
      <c r="I608" s="72"/>
      <c r="J608" s="72"/>
      <c r="K608" s="72"/>
      <c r="L608" s="72"/>
      <c r="M608" s="73">
        <f ca="1">IFERROR(SUM(M596:M607),"")</f>
        <v>0</v>
      </c>
      <c r="N608" s="2" t="s">
        <v>262</v>
      </c>
      <c r="O608" s="74"/>
    </row>
    <row r="609" spans="1:15" ht="15" customHeight="1">
      <c r="A609" s="18">
        <v>46257</v>
      </c>
      <c r="B609" s="68">
        <v>0.83333333333333304</v>
      </c>
      <c r="C609" s="70"/>
      <c r="D609" s="75"/>
      <c r="E609" s="75"/>
      <c r="F609" s="63"/>
      <c r="G609" s="69" t="str">
        <f t="shared" ref="G609:G614" si="131">IF(F609="","",IF(E609="PC 17",F609*4.2,IF(E609="PC 19",F609*5,IF(E609="CB",F609*35,""))))</f>
        <v/>
      </c>
      <c r="H609" s="70"/>
      <c r="I609" s="70"/>
      <c r="J609" s="70"/>
      <c r="K609" s="65"/>
      <c r="L609" s="65"/>
      <c r="M609" s="71" t="str">
        <f t="shared" ref="M609:M620" ca="1" si="132">IFERROR(IF(K609="","",IF(L609="",MOD(NOW()-K609,1),IF(L609&gt;=K609,L609-K609,L609+1-K609))),"")</f>
        <v/>
      </c>
      <c r="N609" s="80"/>
      <c r="O609" s="81"/>
    </row>
    <row r="610" spans="1:15" ht="15" customHeight="1">
      <c r="A610" s="59">
        <v>46257</v>
      </c>
      <c r="B610" s="60">
        <f t="shared" ref="B610:B620" si="133">B609+TIME(0,60,0)</f>
        <v>0.87499999999999967</v>
      </c>
      <c r="C610" s="70"/>
      <c r="D610" s="75"/>
      <c r="E610" s="75"/>
      <c r="F610" s="63"/>
      <c r="G610" s="64" t="str">
        <f t="shared" si="131"/>
        <v/>
      </c>
      <c r="H610" s="61"/>
      <c r="I610" s="61"/>
      <c r="J610" s="61"/>
      <c r="K610" s="65"/>
      <c r="L610" s="65"/>
      <c r="M610" s="66" t="str">
        <f t="shared" ca="1" si="132"/>
        <v/>
      </c>
      <c r="N610" s="80"/>
      <c r="O610" s="81"/>
    </row>
    <row r="611" spans="1:15" ht="15" customHeight="1">
      <c r="A611" s="18">
        <v>46257</v>
      </c>
      <c r="B611" s="68">
        <f t="shared" si="133"/>
        <v>0.9166666666666663</v>
      </c>
      <c r="C611" s="70"/>
      <c r="D611" s="75"/>
      <c r="E611" s="75"/>
      <c r="F611" s="63"/>
      <c r="G611" s="69" t="str">
        <f t="shared" si="131"/>
        <v/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>
      <c r="A612" s="59">
        <v>46257</v>
      </c>
      <c r="B612" s="60">
        <f t="shared" si="133"/>
        <v>0.95833333333333293</v>
      </c>
      <c r="C612" s="70"/>
      <c r="D612" s="75"/>
      <c r="E612" s="75"/>
      <c r="F612" s="63"/>
      <c r="G612" s="64" t="str">
        <f t="shared" si="131"/>
        <v/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>
      <c r="A613" s="18">
        <v>46257</v>
      </c>
      <c r="B613" s="68">
        <f t="shared" si="133"/>
        <v>0.99999999999999956</v>
      </c>
      <c r="C613" s="70"/>
      <c r="D613" s="75"/>
      <c r="E613" s="75"/>
      <c r="F613" s="63"/>
      <c r="G613" s="69" t="str">
        <f t="shared" si="131"/>
        <v/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>
      <c r="A614" s="59">
        <v>46257</v>
      </c>
      <c r="B614" s="60">
        <f t="shared" si="133"/>
        <v>1.0416666666666663</v>
      </c>
      <c r="C614" s="70"/>
      <c r="D614" s="75"/>
      <c r="E614" s="75"/>
      <c r="F614" s="63"/>
      <c r="G614" s="64" t="str">
        <f t="shared" si="131"/>
        <v/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>
      <c r="A615" s="18">
        <v>46257</v>
      </c>
      <c r="B615" s="68">
        <f t="shared" si="133"/>
        <v>1.083333333333333</v>
      </c>
      <c r="C615" s="70"/>
      <c r="D615" s="75"/>
      <c r="E615" s="75"/>
      <c r="F615" s="63"/>
      <c r="G615" s="69"/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>
      <c r="A616" s="59">
        <v>46257</v>
      </c>
      <c r="B616" s="60">
        <f t="shared" si="133"/>
        <v>1.1249999999999998</v>
      </c>
      <c r="C616" s="70"/>
      <c r="D616" s="75"/>
      <c r="E616" s="75"/>
      <c r="F616" s="63"/>
      <c r="G616" s="64" t="str">
        <f>IF(F616="","",IF(E616="PC 17",F616*4.2,IF(E616="PC 19",F616*5,IF(E616="CB",F616*35,""))))</f>
        <v/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>
      <c r="A617" s="18">
        <v>46257</v>
      </c>
      <c r="B617" s="68">
        <f t="shared" si="133"/>
        <v>1.1666666666666665</v>
      </c>
      <c r="C617" s="70"/>
      <c r="D617" s="75"/>
      <c r="E617" s="75"/>
      <c r="F617" s="63"/>
      <c r="G617" s="69" t="str">
        <f>IF(F617="","",IF(E617="PC 17",F617*4.2,IF(E617="PC 19",F617*5,IF(E617="CB",F617*35,""))))</f>
        <v/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>
      <c r="A618" s="59">
        <v>46257</v>
      </c>
      <c r="B618" s="60">
        <f t="shared" si="133"/>
        <v>1.2083333333333333</v>
      </c>
      <c r="C618" s="70"/>
      <c r="D618" s="75"/>
      <c r="E618" s="75"/>
      <c r="F618" s="63"/>
      <c r="G618" s="64" t="str">
        <f>IF(F618="","",IF(E618="PC 17",F618*4.2,IF(E618="PC 19",F618*5,IF(E618="CB",F618*35,""))))</f>
        <v/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>
      <c r="A619" s="18">
        <v>46257</v>
      </c>
      <c r="B619" s="68">
        <f t="shared" si="133"/>
        <v>1.25</v>
      </c>
      <c r="C619" s="70"/>
      <c r="D619" s="75"/>
      <c r="E619" s="75"/>
      <c r="F619" s="63"/>
      <c r="G619" s="69" t="str">
        <f>IF(F619="","",IF(E619="PC 17",F619*4.2,IF(E619="PC 19",F619*5,IF(E619="CB",F619*35,""))))</f>
        <v/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>
      <c r="A620" s="59">
        <v>46257</v>
      </c>
      <c r="B620" s="60">
        <f t="shared" si="133"/>
        <v>1.2916666666666667</v>
      </c>
      <c r="C620" s="70"/>
      <c r="D620" s="75"/>
      <c r="E620" s="75"/>
      <c r="F620" s="63"/>
      <c r="G620" s="64" t="str">
        <f>IF(F620="","",IF(E620="PC 17",F620*4.2,IF(E620="PC 19",F620*5,IF(E620="CB",F620*35,""))))</f>
        <v/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>
      <c r="A621" s="166" t="s">
        <v>264</v>
      </c>
      <c r="B621" s="166"/>
      <c r="C621" s="166"/>
      <c r="D621" s="166"/>
      <c r="E621" s="166"/>
      <c r="F621" s="2">
        <f>SUM(F609:F620)</f>
        <v>0</v>
      </c>
      <c r="G621" s="2">
        <f>SUM(G609:G620)</f>
        <v>0</v>
      </c>
      <c r="H621" s="72"/>
      <c r="I621" s="72"/>
      <c r="J621" s="72"/>
      <c r="K621" s="72"/>
      <c r="L621" s="72"/>
      <c r="M621" s="73">
        <f ca="1">IFERROR(SUM(M609:M620),"")</f>
        <v>0</v>
      </c>
      <c r="N621" s="2" t="s">
        <v>262</v>
      </c>
      <c r="O621" s="74"/>
    </row>
    <row r="622" spans="1:15" ht="18" customHeight="1">
      <c r="A622" s="167" t="s">
        <v>250</v>
      </c>
      <c r="B622" s="167"/>
      <c r="C622" s="167"/>
      <c r="D622" s="167"/>
      <c r="E622" s="167"/>
      <c r="F622" s="1">
        <f>F608+F621</f>
        <v>0</v>
      </c>
      <c r="G622" s="1">
        <f>G608+G621</f>
        <v>0</v>
      </c>
      <c r="H622" s="76"/>
      <c r="I622" s="76"/>
      <c r="J622" s="76"/>
      <c r="K622" s="76"/>
      <c r="L622" s="76"/>
      <c r="M622" s="77">
        <f ca="1">IFERROR(M608+M621,"")</f>
        <v>0</v>
      </c>
      <c r="N622" s="1" t="s">
        <v>265</v>
      </c>
      <c r="O622" s="82">
        <f>IFERROR(O608+O621,"")</f>
        <v>0</v>
      </c>
    </row>
    <row r="623" spans="1:15" ht="15" customHeight="1">
      <c r="A623" s="18">
        <v>46258</v>
      </c>
      <c r="B623" s="68">
        <v>0.33333333333333298</v>
      </c>
      <c r="C623" s="70"/>
      <c r="D623" s="75"/>
      <c r="E623" s="75"/>
      <c r="F623" s="63"/>
      <c r="G623" s="69" t="str">
        <f t="shared" ref="G623:G634" si="134">IF(F623="","",IF(E623="PC 17",F623*4.2,IF(E623="PC 19",F623*5,IF(E623="CB",F623*35,""))))</f>
        <v/>
      </c>
      <c r="H623" s="70"/>
      <c r="I623" s="70"/>
      <c r="J623" s="70"/>
      <c r="K623" s="65"/>
      <c r="L623" s="65"/>
      <c r="M623" s="71" t="str">
        <f t="shared" ref="M623:M634" ca="1" si="135">IFERROR(IF(K623="","",IF(L623="",MOD(NOW()-K623,1),IF(L623&gt;=K623,L623-K623,L623+1-K623))),"")</f>
        <v/>
      </c>
      <c r="N623" s="80"/>
      <c r="O623" s="81"/>
    </row>
    <row r="624" spans="1:15" ht="15" customHeight="1">
      <c r="A624" s="59">
        <v>46258</v>
      </c>
      <c r="B624" s="60">
        <f t="shared" ref="B624:B634" si="136">B623+TIME(0,60,0)</f>
        <v>0.37499999999999967</v>
      </c>
      <c r="C624" s="70"/>
      <c r="D624" s="75"/>
      <c r="E624" s="75"/>
      <c r="F624" s="63"/>
      <c r="G624" s="64" t="str">
        <f t="shared" si="134"/>
        <v/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>
      <c r="A625" s="18">
        <v>46258</v>
      </c>
      <c r="B625" s="68">
        <f t="shared" si="136"/>
        <v>0.41666666666666635</v>
      </c>
      <c r="C625" s="70"/>
      <c r="D625" s="75"/>
      <c r="E625" s="75"/>
      <c r="F625" s="63"/>
      <c r="G625" s="69" t="str">
        <f t="shared" si="134"/>
        <v/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>
      <c r="A626" s="59">
        <v>46258</v>
      </c>
      <c r="B626" s="60">
        <f t="shared" si="136"/>
        <v>0.45833333333333304</v>
      </c>
      <c r="C626" s="70"/>
      <c r="D626" s="75"/>
      <c r="E626" s="75"/>
      <c r="F626" s="63"/>
      <c r="G626" s="64" t="str">
        <f t="shared" si="134"/>
        <v/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>
      <c r="A627" s="18">
        <v>46258</v>
      </c>
      <c r="B627" s="68">
        <f t="shared" si="136"/>
        <v>0.49999999999999972</v>
      </c>
      <c r="C627" s="70"/>
      <c r="D627" s="75"/>
      <c r="E627" s="75"/>
      <c r="F627" s="63"/>
      <c r="G627" s="69" t="str">
        <f t="shared" si="134"/>
        <v/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>
      <c r="A628" s="59">
        <v>46258</v>
      </c>
      <c r="B628" s="60">
        <f t="shared" si="136"/>
        <v>0.54166666666666641</v>
      </c>
      <c r="C628" s="70"/>
      <c r="D628" s="75"/>
      <c r="E628" s="75"/>
      <c r="F628" s="63"/>
      <c r="G628" s="64" t="str">
        <f t="shared" si="134"/>
        <v/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>
      <c r="A629" s="18">
        <v>46258</v>
      </c>
      <c r="B629" s="68">
        <f t="shared" si="136"/>
        <v>0.58333333333333304</v>
      </c>
      <c r="C629" s="70"/>
      <c r="D629" s="75"/>
      <c r="E629" s="75"/>
      <c r="F629" s="63"/>
      <c r="G629" s="69" t="str">
        <f t="shared" si="134"/>
        <v/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>
      <c r="A630" s="59">
        <v>46258</v>
      </c>
      <c r="B630" s="60">
        <f t="shared" si="136"/>
        <v>0.62499999999999967</v>
      </c>
      <c r="C630" s="70"/>
      <c r="D630" s="75"/>
      <c r="E630" s="75"/>
      <c r="F630" s="63"/>
      <c r="G630" s="64" t="str">
        <f t="shared" si="134"/>
        <v/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>
      <c r="A631" s="18">
        <v>46258</v>
      </c>
      <c r="B631" s="68">
        <f t="shared" si="136"/>
        <v>0.6666666666666663</v>
      </c>
      <c r="C631" s="70"/>
      <c r="D631" s="75"/>
      <c r="E631" s="75"/>
      <c r="F631" s="63"/>
      <c r="G631" s="69" t="str">
        <f t="shared" si="134"/>
        <v/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>
      <c r="A632" s="59">
        <v>46258</v>
      </c>
      <c r="B632" s="60">
        <f t="shared" si="136"/>
        <v>0.70833333333333293</v>
      </c>
      <c r="C632" s="70"/>
      <c r="D632" s="75"/>
      <c r="E632" s="75"/>
      <c r="F632" s="63"/>
      <c r="G632" s="64" t="str">
        <f t="shared" si="134"/>
        <v/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>
      <c r="A633" s="18">
        <v>46258</v>
      </c>
      <c r="B633" s="68">
        <f t="shared" si="136"/>
        <v>0.74999999999999956</v>
      </c>
      <c r="C633" s="70"/>
      <c r="D633" s="75"/>
      <c r="E633" s="75"/>
      <c r="F633" s="63"/>
      <c r="G633" s="69" t="str">
        <f t="shared" si="134"/>
        <v/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>
      <c r="A634" s="59">
        <v>46258</v>
      </c>
      <c r="B634" s="60">
        <f t="shared" si="136"/>
        <v>0.79166666666666619</v>
      </c>
      <c r="C634" s="70"/>
      <c r="D634" s="75"/>
      <c r="E634" s="75"/>
      <c r="F634" s="63"/>
      <c r="G634" s="64" t="str">
        <f t="shared" si="134"/>
        <v/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>
      <c r="A635" s="166" t="s">
        <v>261</v>
      </c>
      <c r="B635" s="166"/>
      <c r="C635" s="166"/>
      <c r="D635" s="166"/>
      <c r="E635" s="166"/>
      <c r="F635" s="2">
        <f>SUM(F623:F634)</f>
        <v>0</v>
      </c>
      <c r="G635" s="2">
        <f>SUM(G623:G634)</f>
        <v>0</v>
      </c>
      <c r="H635" s="72"/>
      <c r="I635" s="72"/>
      <c r="J635" s="72"/>
      <c r="K635" s="72"/>
      <c r="L635" s="72"/>
      <c r="M635" s="73">
        <f ca="1">IFERROR(SUM(M623:M634),"")</f>
        <v>0</v>
      </c>
      <c r="N635" s="2" t="s">
        <v>262</v>
      </c>
      <c r="O635" s="74"/>
    </row>
    <row r="636" spans="1:15" ht="15" customHeight="1">
      <c r="A636" s="59">
        <v>46258</v>
      </c>
      <c r="B636" s="60">
        <v>0.83333333333333304</v>
      </c>
      <c r="C636" s="61"/>
      <c r="D636" s="62"/>
      <c r="E636" s="62"/>
      <c r="F636" s="63"/>
      <c r="G636" s="64" t="str">
        <f t="shared" ref="G636:G647" si="137">IF(F636="","",IF(E636="PC 17",F636*4.2,IF(E636="PC 19",F636*5,IF(E636="CB",F636*35,""))))</f>
        <v/>
      </c>
      <c r="H636" s="61"/>
      <c r="I636" s="61"/>
      <c r="J636" s="61"/>
      <c r="K636" s="65"/>
      <c r="L636" s="65"/>
      <c r="M636" s="66" t="str">
        <f t="shared" ref="M636:M647" ca="1" si="138">IFERROR(IF(K636="","",IF(L636="",MOD(NOW()-K636,1),IF(L636&gt;=K636,L636-K636,L636+1-K636))),"")</f>
        <v/>
      </c>
      <c r="N636" s="80"/>
      <c r="O636" s="81"/>
    </row>
    <row r="637" spans="1:15" ht="15" customHeight="1">
      <c r="A637" s="18">
        <v>46258</v>
      </c>
      <c r="B637" s="68">
        <f t="shared" ref="B637:B647" si="139">B636+TIME(0,60,0)</f>
        <v>0.87499999999999967</v>
      </c>
      <c r="C637" s="61"/>
      <c r="D637" s="62"/>
      <c r="E637" s="62"/>
      <c r="F637" s="63"/>
      <c r="G637" s="69" t="str">
        <f t="shared" si="137"/>
        <v/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>
      <c r="A638" s="59">
        <v>46258</v>
      </c>
      <c r="B638" s="60">
        <f t="shared" si="139"/>
        <v>0.9166666666666663</v>
      </c>
      <c r="C638" s="61"/>
      <c r="D638" s="62"/>
      <c r="E638" s="62"/>
      <c r="F638" s="63"/>
      <c r="G638" s="64" t="str">
        <f t="shared" si="137"/>
        <v/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>
      <c r="A639" s="18">
        <v>46258</v>
      </c>
      <c r="B639" s="68">
        <f t="shared" si="139"/>
        <v>0.95833333333333293</v>
      </c>
      <c r="C639" s="61"/>
      <c r="D639" s="62"/>
      <c r="E639" s="62"/>
      <c r="F639" s="63"/>
      <c r="G639" s="69" t="str">
        <f t="shared" si="137"/>
        <v/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>
      <c r="A640" s="59">
        <v>46258</v>
      </c>
      <c r="B640" s="60">
        <f t="shared" si="139"/>
        <v>0.99999999999999956</v>
      </c>
      <c r="C640" s="61"/>
      <c r="D640" s="62"/>
      <c r="E640" s="62"/>
      <c r="F640" s="63"/>
      <c r="G640" s="64" t="str">
        <f t="shared" si="137"/>
        <v/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>
      <c r="A641" s="18">
        <v>46258</v>
      </c>
      <c r="B641" s="68">
        <f t="shared" si="139"/>
        <v>1.0416666666666663</v>
      </c>
      <c r="C641" s="61"/>
      <c r="D641" s="62"/>
      <c r="E641" s="62"/>
      <c r="F641" s="63"/>
      <c r="G641" s="69" t="str">
        <f t="shared" si="137"/>
        <v/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>
      <c r="A642" s="59">
        <v>46258</v>
      </c>
      <c r="B642" s="60">
        <f t="shared" si="139"/>
        <v>1.083333333333333</v>
      </c>
      <c r="C642" s="61"/>
      <c r="D642" s="62"/>
      <c r="E642" s="62"/>
      <c r="F642" s="63"/>
      <c r="G642" s="64" t="str">
        <f t="shared" si="137"/>
        <v/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>
      <c r="A643" s="18">
        <v>46258</v>
      </c>
      <c r="B643" s="68">
        <f t="shared" si="139"/>
        <v>1.1249999999999998</v>
      </c>
      <c r="C643" s="61"/>
      <c r="D643" s="62"/>
      <c r="E643" s="62"/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>
      <c r="A644" s="59">
        <v>46258</v>
      </c>
      <c r="B644" s="60">
        <f t="shared" si="139"/>
        <v>1.1666666666666665</v>
      </c>
      <c r="C644" s="61"/>
      <c r="D644" s="62"/>
      <c r="E644" s="62"/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>
      <c r="A645" s="18">
        <v>46258</v>
      </c>
      <c r="B645" s="68">
        <f t="shared" si="139"/>
        <v>1.2083333333333333</v>
      </c>
      <c r="C645" s="61"/>
      <c r="D645" s="62"/>
      <c r="E645" s="62"/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>
      <c r="A646" s="59">
        <v>46258</v>
      </c>
      <c r="B646" s="60">
        <f t="shared" si="139"/>
        <v>1.25</v>
      </c>
      <c r="C646" s="61"/>
      <c r="D646" s="62"/>
      <c r="E646" s="62"/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>
      <c r="A647" s="18">
        <v>46258</v>
      </c>
      <c r="B647" s="68">
        <f t="shared" si="139"/>
        <v>1.2916666666666667</v>
      </c>
      <c r="C647" s="61"/>
      <c r="D647" s="62"/>
      <c r="E647" s="62"/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>
      <c r="A648" s="166" t="s">
        <v>264</v>
      </c>
      <c r="B648" s="166"/>
      <c r="C648" s="166"/>
      <c r="D648" s="166"/>
      <c r="E648" s="166"/>
      <c r="F648" s="2">
        <f>SUM(F636:F647)</f>
        <v>0</v>
      </c>
      <c r="G648" s="2">
        <f>SUM(G636:G647)</f>
        <v>0</v>
      </c>
      <c r="H648" s="72"/>
      <c r="I648" s="72"/>
      <c r="J648" s="72"/>
      <c r="K648" s="72"/>
      <c r="L648" s="72"/>
      <c r="M648" s="73">
        <f ca="1">IFERROR(SUM(M636:M647),"")</f>
        <v>0</v>
      </c>
      <c r="N648" s="2" t="s">
        <v>262</v>
      </c>
      <c r="O648" s="74"/>
    </row>
    <row r="649" spans="1:15" ht="18" customHeight="1">
      <c r="A649" s="167" t="s">
        <v>250</v>
      </c>
      <c r="B649" s="167"/>
      <c r="C649" s="167"/>
      <c r="D649" s="167"/>
      <c r="E649" s="167"/>
      <c r="F649" s="1">
        <f>F635+F648</f>
        <v>0</v>
      </c>
      <c r="G649" s="1">
        <f>G635+G648</f>
        <v>0</v>
      </c>
      <c r="H649" s="76"/>
      <c r="I649" s="76"/>
      <c r="J649" s="76"/>
      <c r="K649" s="76"/>
      <c r="L649" s="76"/>
      <c r="M649" s="77">
        <f ca="1">IFERROR(M635+M648,"")</f>
        <v>0</v>
      </c>
      <c r="N649" s="1" t="s">
        <v>265</v>
      </c>
      <c r="O649" s="82">
        <f>IFERROR(O635+O648,"")</f>
        <v>0</v>
      </c>
    </row>
    <row r="650" spans="1:15" ht="15" customHeight="1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>
      <c r="A662" s="166" t="s">
        <v>261</v>
      </c>
      <c r="B662" s="166"/>
      <c r="C662" s="166"/>
      <c r="D662" s="166"/>
      <c r="E662" s="166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262</v>
      </c>
      <c r="O662" s="74"/>
    </row>
    <row r="663" spans="1:15" ht="15" customHeight="1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>
      <c r="A675" s="166" t="s">
        <v>264</v>
      </c>
      <c r="B675" s="166"/>
      <c r="C675" s="166"/>
      <c r="D675" s="166"/>
      <c r="E675" s="166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262</v>
      </c>
      <c r="O675" s="74"/>
    </row>
    <row r="676" spans="1:15" ht="18" customHeight="1">
      <c r="A676" s="167" t="s">
        <v>250</v>
      </c>
      <c r="B676" s="167"/>
      <c r="C676" s="167"/>
      <c r="D676" s="167"/>
      <c r="E676" s="167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265</v>
      </c>
      <c r="O676" s="82">
        <f>IFERROR(O662+O675,"")</f>
        <v>0</v>
      </c>
    </row>
    <row r="677" spans="1:15" ht="15" customHeight="1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>
      <c r="A689" s="166" t="s">
        <v>261</v>
      </c>
      <c r="B689" s="166"/>
      <c r="C689" s="166"/>
      <c r="D689" s="166"/>
      <c r="E689" s="166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262</v>
      </c>
      <c r="O689" s="74"/>
    </row>
    <row r="690" spans="1:15" ht="15" customHeight="1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>
      <c r="A702" s="166" t="s">
        <v>264</v>
      </c>
      <c r="B702" s="166"/>
      <c r="C702" s="166"/>
      <c r="D702" s="166"/>
      <c r="E702" s="166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262</v>
      </c>
      <c r="O702" s="74"/>
    </row>
    <row r="703" spans="1:15" ht="18" customHeight="1">
      <c r="A703" s="167" t="s">
        <v>250</v>
      </c>
      <c r="B703" s="167"/>
      <c r="C703" s="167"/>
      <c r="D703" s="167"/>
      <c r="E703" s="167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265</v>
      </c>
      <c r="O703" s="82">
        <f>IFERROR(O689+O702,"")</f>
        <v>0</v>
      </c>
    </row>
    <row r="704" spans="1:15" ht="15" customHeight="1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>
      <c r="A716" s="166" t="s">
        <v>261</v>
      </c>
      <c r="B716" s="166"/>
      <c r="C716" s="166"/>
      <c r="D716" s="166"/>
      <c r="E716" s="166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262</v>
      </c>
      <c r="O716" s="74"/>
    </row>
    <row r="717" spans="1:15" ht="15" customHeight="1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>
      <c r="A729" s="166" t="s">
        <v>264</v>
      </c>
      <c r="B729" s="166"/>
      <c r="C729" s="166"/>
      <c r="D729" s="166"/>
      <c r="E729" s="166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262</v>
      </c>
      <c r="O729" s="74"/>
    </row>
    <row r="730" spans="1:15" ht="18" customHeight="1">
      <c r="A730" s="167" t="s">
        <v>250</v>
      </c>
      <c r="B730" s="167"/>
      <c r="C730" s="167"/>
      <c r="D730" s="167"/>
      <c r="E730" s="167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265</v>
      </c>
      <c r="O730" s="82">
        <f>IFERROR(O716+O729,"")</f>
        <v>0</v>
      </c>
    </row>
    <row r="731" spans="1:15" ht="15" customHeight="1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>
      <c r="A743" s="166" t="s">
        <v>261</v>
      </c>
      <c r="B743" s="166"/>
      <c r="C743" s="166"/>
      <c r="D743" s="166"/>
      <c r="E743" s="166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262</v>
      </c>
      <c r="O743" s="74"/>
    </row>
    <row r="744" spans="1:15" ht="15" customHeight="1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>
      <c r="A756" s="166" t="s">
        <v>264</v>
      </c>
      <c r="B756" s="166"/>
      <c r="C756" s="166"/>
      <c r="D756" s="166"/>
      <c r="E756" s="166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262</v>
      </c>
      <c r="O756" s="74"/>
    </row>
    <row r="757" spans="1:15" ht="18" customHeight="1">
      <c r="A757" s="167" t="s">
        <v>250</v>
      </c>
      <c r="B757" s="167"/>
      <c r="C757" s="167"/>
      <c r="D757" s="167"/>
      <c r="E757" s="167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265</v>
      </c>
      <c r="O757" s="82">
        <f>IFERROR(O743+O756,"")</f>
        <v>0</v>
      </c>
    </row>
    <row r="758" spans="1:15" ht="15" customHeight="1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>
      <c r="A770" s="166" t="s">
        <v>261</v>
      </c>
      <c r="B770" s="166"/>
      <c r="C770" s="166"/>
      <c r="D770" s="166"/>
      <c r="E770" s="166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262</v>
      </c>
      <c r="O770" s="74"/>
    </row>
    <row r="771" spans="1:15" ht="15" customHeight="1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>
      <c r="A783" s="166" t="s">
        <v>264</v>
      </c>
      <c r="B783" s="166"/>
      <c r="C783" s="166"/>
      <c r="D783" s="166"/>
      <c r="E783" s="166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262</v>
      </c>
      <c r="O783" s="74"/>
    </row>
    <row r="784" spans="1:15" ht="18" customHeight="1">
      <c r="A784" s="167" t="s">
        <v>250</v>
      </c>
      <c r="B784" s="167"/>
      <c r="C784" s="167"/>
      <c r="D784" s="167"/>
      <c r="E784" s="167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265</v>
      </c>
      <c r="O784" s="82">
        <f>IFERROR(O770+O783,"")</f>
        <v>0</v>
      </c>
    </row>
    <row r="785" spans="1:15" ht="15" customHeight="1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>
      <c r="A797" s="166" t="s">
        <v>261</v>
      </c>
      <c r="B797" s="166"/>
      <c r="C797" s="166"/>
      <c r="D797" s="166"/>
      <c r="E797" s="166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262</v>
      </c>
      <c r="O797" s="74"/>
    </row>
    <row r="798" spans="1:15" ht="15" customHeight="1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>
      <c r="A810" s="166" t="s">
        <v>264</v>
      </c>
      <c r="B810" s="166"/>
      <c r="C810" s="166"/>
      <c r="D810" s="166"/>
      <c r="E810" s="166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262</v>
      </c>
      <c r="O810" s="74"/>
    </row>
    <row r="811" spans="1:15" ht="18" customHeight="1">
      <c r="A811" s="167" t="s">
        <v>250</v>
      </c>
      <c r="B811" s="167"/>
      <c r="C811" s="167"/>
      <c r="D811" s="167"/>
      <c r="E811" s="167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265</v>
      </c>
      <c r="O811" s="30">
        <f>IFERROR(O797+O810,"")</f>
        <v>0</v>
      </c>
    </row>
    <row r="812" spans="1:15" ht="15" customHeight="1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>
      <c r="A824" s="166" t="s">
        <v>261</v>
      </c>
      <c r="B824" s="166"/>
      <c r="C824" s="166"/>
      <c r="D824" s="166"/>
      <c r="E824" s="166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262</v>
      </c>
      <c r="O824" s="74"/>
    </row>
    <row r="825" spans="1:15" ht="15" customHeight="1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>
      <c r="A837" s="166" t="s">
        <v>264</v>
      </c>
      <c r="B837" s="166"/>
      <c r="C837" s="166"/>
      <c r="D837" s="166"/>
      <c r="E837" s="166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262</v>
      </c>
      <c r="O837" s="74"/>
    </row>
    <row r="838" spans="1:15" ht="18" customHeight="1">
      <c r="A838" s="167" t="s">
        <v>250</v>
      </c>
      <c r="B838" s="167"/>
      <c r="C838" s="167"/>
      <c r="D838" s="167"/>
      <c r="E838" s="167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265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547" activePane="bottomLeft" state="frozen"/>
      <selection pane="bottomLeft" activeCell="N569" sqref="N569"/>
    </sheetView>
  </sheetViews>
  <sheetFormatPr defaultColWidth="8.5703125" defaultRowHeight="14.4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301</v>
      </c>
      <c r="I1" s="86" t="s">
        <v>22</v>
      </c>
      <c r="J1" s="86" t="s">
        <v>302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302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170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303</v>
      </c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140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304</v>
      </c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305</v>
      </c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141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141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>
      <c r="A14" s="157" t="s">
        <v>261</v>
      </c>
      <c r="B14" s="157"/>
      <c r="C14" s="157"/>
      <c r="D14" s="157"/>
      <c r="E14" s="157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262</v>
      </c>
      <c r="S14" s="74">
        <v>481280</v>
      </c>
      <c r="T14" s="99"/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275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275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275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145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275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168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275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145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306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275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307</v>
      </c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275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275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275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275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275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275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>
      <c r="A27" s="157" t="s">
        <v>264</v>
      </c>
      <c r="B27" s="157"/>
      <c r="C27" s="157"/>
      <c r="D27" s="157"/>
      <c r="E27" s="157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262</v>
      </c>
      <c r="S27" s="74">
        <v>549860</v>
      </c>
      <c r="T27" s="99"/>
    </row>
    <row r="28" spans="1:20" ht="18" customHeight="1">
      <c r="A28" s="158" t="s">
        <v>250</v>
      </c>
      <c r="B28" s="158"/>
      <c r="C28" s="158"/>
      <c r="D28" s="158"/>
      <c r="E28" s="158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265</v>
      </c>
      <c r="S28" s="30">
        <f>S14+S27</f>
        <v>1031140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275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168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275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275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275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275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275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275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275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275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275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275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275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>
      <c r="A41" s="157" t="s">
        <v>261</v>
      </c>
      <c r="B41" s="157"/>
      <c r="C41" s="157"/>
      <c r="D41" s="157"/>
      <c r="E41" s="157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262</v>
      </c>
      <c r="S41" s="113">
        <v>311070</v>
      </c>
      <c r="T41" s="114"/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170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170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308</v>
      </c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309</v>
      </c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140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310</v>
      </c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140</v>
      </c>
      <c r="O53" s="65">
        <v>0.121527777777778</v>
      </c>
      <c r="P53" s="65"/>
      <c r="Q53" s="66">
        <f t="shared" ca="1" si="10"/>
        <v>0.45440023147966713</v>
      </c>
      <c r="R53" s="80" t="s">
        <v>311</v>
      </c>
      <c r="S53" s="67"/>
    </row>
    <row r="54" spans="1:20" ht="15.75" customHeight="1">
      <c r="A54" s="157" t="s">
        <v>264</v>
      </c>
      <c r="B54" s="157"/>
      <c r="C54" s="157"/>
      <c r="D54" s="157"/>
      <c r="E54" s="157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0.59328912036855486</v>
      </c>
      <c r="R54" s="2" t="s">
        <v>262</v>
      </c>
      <c r="S54" s="113">
        <v>352430</v>
      </c>
      <c r="T54" s="114"/>
    </row>
    <row r="55" spans="1:20" ht="18" customHeight="1">
      <c r="A55" s="158" t="s">
        <v>250</v>
      </c>
      <c r="B55" s="158"/>
      <c r="C55" s="158"/>
      <c r="D55" s="158"/>
      <c r="E55" s="158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0.67801134259077767</v>
      </c>
      <c r="R55" s="1" t="s">
        <v>265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275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275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275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275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275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275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303</v>
      </c>
      <c r="S63" s="67"/>
    </row>
    <row r="64" spans="1:20" ht="15" customHeight="1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275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275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275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275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>
      <c r="A68" s="157" t="s">
        <v>261</v>
      </c>
      <c r="B68" s="157"/>
      <c r="C68" s="157"/>
      <c r="D68" s="157"/>
      <c r="E68" s="157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262</v>
      </c>
      <c r="S68" s="115">
        <v>565230</v>
      </c>
      <c r="T68" s="116"/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159</v>
      </c>
      <c r="N69" s="61" t="s">
        <v>197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145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168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168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212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312</v>
      </c>
      <c r="S76" s="67"/>
    </row>
    <row r="77" spans="1:20" ht="15" customHeight="1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275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275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>
      <c r="A81" s="157" t="s">
        <v>264</v>
      </c>
      <c r="B81" s="157"/>
      <c r="C81" s="157"/>
      <c r="D81" s="157"/>
      <c r="E81" s="157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262</v>
      </c>
      <c r="S81" s="115">
        <v>634210</v>
      </c>
      <c r="T81" s="116"/>
    </row>
    <row r="82" spans="1:20" ht="18" customHeight="1">
      <c r="A82" s="158" t="s">
        <v>250</v>
      </c>
      <c r="B82" s="158"/>
      <c r="C82" s="158"/>
      <c r="D82" s="158"/>
      <c r="E82" s="158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265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275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148</v>
      </c>
      <c r="N83" s="70" t="s">
        <v>224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148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>
      <c r="A95" s="157" t="s">
        <v>261</v>
      </c>
      <c r="B95" s="157"/>
      <c r="C95" s="157"/>
      <c r="D95" s="157"/>
      <c r="E95" s="157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262</v>
      </c>
      <c r="S95" s="115">
        <v>449600</v>
      </c>
      <c r="T95" s="116"/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151</v>
      </c>
      <c r="N96" s="61" t="s">
        <v>127</v>
      </c>
      <c r="O96" s="65">
        <v>0.79166666666666696</v>
      </c>
      <c r="P96" s="65" t="s">
        <v>313</v>
      </c>
      <c r="Q96" s="66" t="str">
        <f t="shared" ref="Q96:Q107" ca="1" si="22">IFERROR(IF(O96="","",IF(P96="",MOD(NOW()-O96,1),IF(P96&gt;=O96,P96-O96,P96+1-O96))),"")</f>
        <v/>
      </c>
      <c r="R96" s="80" t="s">
        <v>314</v>
      </c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263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315</v>
      </c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195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316</v>
      </c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263</v>
      </c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>
      <c r="A108" s="157" t="s">
        <v>264</v>
      </c>
      <c r="B108" s="157"/>
      <c r="C108" s="157"/>
      <c r="D108" s="157"/>
      <c r="E108" s="157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262</v>
      </c>
      <c r="S108" s="115">
        <v>456830</v>
      </c>
      <c r="T108" s="116"/>
    </row>
    <row r="109" spans="1:20" ht="18" customHeight="1">
      <c r="A109" s="158" t="s">
        <v>250</v>
      </c>
      <c r="B109" s="158"/>
      <c r="C109" s="158"/>
      <c r="D109" s="158"/>
      <c r="E109" s="158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265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167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317</v>
      </c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167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>
      <c r="A122" s="157" t="s">
        <v>261</v>
      </c>
      <c r="B122" s="157"/>
      <c r="C122" s="157"/>
      <c r="D122" s="157"/>
      <c r="E122" s="157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262</v>
      </c>
      <c r="S122" s="115">
        <v>791070</v>
      </c>
      <c r="T122" s="116"/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170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167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145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145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>
      <c r="A135" s="157" t="s">
        <v>264</v>
      </c>
      <c r="B135" s="157"/>
      <c r="C135" s="157"/>
      <c r="D135" s="157"/>
      <c r="E135" s="157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262</v>
      </c>
      <c r="S135" s="115">
        <v>756720</v>
      </c>
      <c r="T135" s="116"/>
    </row>
    <row r="136" spans="1:20" ht="18" customHeight="1">
      <c r="A136" s="158" t="s">
        <v>250</v>
      </c>
      <c r="B136" s="158"/>
      <c r="C136" s="158"/>
      <c r="D136" s="158"/>
      <c r="E136" s="158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265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318</v>
      </c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319</v>
      </c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170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320</v>
      </c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>
      <c r="A149" s="157" t="s">
        <v>261</v>
      </c>
      <c r="B149" s="157"/>
      <c r="C149" s="157"/>
      <c r="D149" s="157"/>
      <c r="E149" s="157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262</v>
      </c>
      <c r="S149" s="115">
        <v>533860</v>
      </c>
      <c r="T149" s="116"/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321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>
      <c r="A162" s="157" t="s">
        <v>264</v>
      </c>
      <c r="B162" s="157"/>
      <c r="C162" s="157"/>
      <c r="D162" s="157"/>
      <c r="E162" s="157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262</v>
      </c>
      <c r="S162" s="115">
        <v>501750</v>
      </c>
      <c r="T162" s="116"/>
    </row>
    <row r="163" spans="1:20" ht="18" customHeight="1">
      <c r="A163" s="158" t="s">
        <v>250</v>
      </c>
      <c r="B163" s="158"/>
      <c r="C163" s="158"/>
      <c r="D163" s="158"/>
      <c r="E163" s="158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265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275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275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275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168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275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168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275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275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275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275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275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275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275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>
      <c r="A176" s="157" t="s">
        <v>261</v>
      </c>
      <c r="B176" s="157"/>
      <c r="C176" s="157"/>
      <c r="D176" s="157"/>
      <c r="E176" s="157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262</v>
      </c>
      <c r="S176" s="74">
        <v>366290</v>
      </c>
      <c r="T176" s="99"/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275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275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159</v>
      </c>
      <c r="N180" s="61" t="s">
        <v>144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322</v>
      </c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275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319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323</v>
      </c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275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275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275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>
      <c r="A189" s="157" t="s">
        <v>264</v>
      </c>
      <c r="B189" s="157"/>
      <c r="C189" s="157"/>
      <c r="D189" s="157"/>
      <c r="E189" s="157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262</v>
      </c>
      <c r="S189" s="74">
        <v>362530</v>
      </c>
      <c r="T189" s="99"/>
    </row>
    <row r="190" spans="1:20" ht="18" customHeight="1">
      <c r="A190" s="158" t="s">
        <v>250</v>
      </c>
      <c r="B190" s="158"/>
      <c r="C190" s="158"/>
      <c r="D190" s="158"/>
      <c r="E190" s="158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265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324</v>
      </c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159</v>
      </c>
      <c r="N192" s="61" t="s">
        <v>193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159</v>
      </c>
      <c r="N193" s="61" t="s">
        <v>193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317</v>
      </c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177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>
      <c r="A203" s="157" t="s">
        <v>261</v>
      </c>
      <c r="B203" s="157"/>
      <c r="C203" s="157"/>
      <c r="D203" s="157"/>
      <c r="E203" s="157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262</v>
      </c>
      <c r="S203" s="74">
        <v>601390</v>
      </c>
      <c r="T203" s="99"/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170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170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>
      <c r="A216" s="157" t="s">
        <v>264</v>
      </c>
      <c r="B216" s="157"/>
      <c r="C216" s="157"/>
      <c r="D216" s="157"/>
      <c r="E216" s="157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262</v>
      </c>
      <c r="S216" s="74">
        <v>609740</v>
      </c>
      <c r="T216" s="99"/>
    </row>
    <row r="217" spans="1:20" ht="18" customHeight="1">
      <c r="A217" s="158" t="s">
        <v>250</v>
      </c>
      <c r="B217" s="158"/>
      <c r="C217" s="158"/>
      <c r="D217" s="158"/>
      <c r="E217" s="158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265</v>
      </c>
      <c r="S217" s="82">
        <f>IFERROR(S203+S216,"")</f>
        <v>1211130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182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312</v>
      </c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263</v>
      </c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325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145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326</v>
      </c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145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327</v>
      </c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>
      <c r="A230" s="157" t="s">
        <v>261</v>
      </c>
      <c r="B230" s="157"/>
      <c r="C230" s="157"/>
      <c r="D230" s="157"/>
      <c r="E230" s="157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262</v>
      </c>
      <c r="S230" s="74">
        <v>503310</v>
      </c>
      <c r="T230" s="99"/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263</v>
      </c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170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170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>
      <c r="A243" s="157" t="s">
        <v>264</v>
      </c>
      <c r="B243" s="157"/>
      <c r="C243" s="157"/>
      <c r="D243" s="157"/>
      <c r="E243" s="157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262</v>
      </c>
      <c r="S243" s="74">
        <v>825930</v>
      </c>
      <c r="T243" s="99"/>
    </row>
    <row r="244" spans="1:20" ht="18" customHeight="1">
      <c r="A244" s="158" t="s">
        <v>250</v>
      </c>
      <c r="B244" s="158"/>
      <c r="C244" s="158"/>
      <c r="D244" s="158"/>
      <c r="E244" s="158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265</v>
      </c>
      <c r="S244" s="82">
        <f>IFERROR(S230+S243,"")</f>
        <v>1329240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177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275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275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>
      <c r="A257" s="157" t="s">
        <v>261</v>
      </c>
      <c r="B257" s="157"/>
      <c r="C257" s="157"/>
      <c r="D257" s="157"/>
      <c r="E257" s="157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262</v>
      </c>
      <c r="S257" s="74">
        <v>898190</v>
      </c>
      <c r="T257" s="99"/>
    </row>
    <row r="258" spans="1:20" ht="15" customHeight="1">
      <c r="A258" s="18">
        <v>46244</v>
      </c>
      <c r="B258" s="68">
        <v>0.83333333333333304</v>
      </c>
      <c r="C258" s="70"/>
      <c r="D258" s="75" t="s">
        <v>39</v>
      </c>
      <c r="E258" s="75" t="s">
        <v>275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275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275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275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275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275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275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275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275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275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275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275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>
      <c r="A270" s="157" t="s">
        <v>264</v>
      </c>
      <c r="B270" s="157"/>
      <c r="C270" s="157"/>
      <c r="D270" s="157"/>
      <c r="E270" s="157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262</v>
      </c>
      <c r="S270" s="74">
        <v>732130</v>
      </c>
      <c r="T270" s="99"/>
    </row>
    <row r="271" spans="1:20" ht="18" customHeight="1">
      <c r="A271" s="158" t="s">
        <v>250</v>
      </c>
      <c r="B271" s="158"/>
      <c r="C271" s="158"/>
      <c r="D271" s="158"/>
      <c r="E271" s="158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265</v>
      </c>
      <c r="S271" s="82">
        <f>IFERROR(S257+S270,"")</f>
        <v>1630320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275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275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275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275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260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275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>
      <c r="A284" s="157" t="s">
        <v>261</v>
      </c>
      <c r="B284" s="157"/>
      <c r="C284" s="157"/>
      <c r="D284" s="157"/>
      <c r="E284" s="157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262</v>
      </c>
      <c r="S284" s="74">
        <v>571950</v>
      </c>
      <c r="T284" s="99"/>
    </row>
    <row r="285" spans="1:20" ht="15" customHeight="1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260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260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275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275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260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260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260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260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260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260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260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260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>
      <c r="A297" s="157" t="s">
        <v>264</v>
      </c>
      <c r="B297" s="157"/>
      <c r="C297" s="157"/>
      <c r="D297" s="157"/>
      <c r="E297" s="157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262</v>
      </c>
      <c r="S297" s="74">
        <v>990260</v>
      </c>
      <c r="T297" s="99"/>
    </row>
    <row r="298" spans="1:20" ht="18" customHeight="1">
      <c r="A298" s="158" t="s">
        <v>250</v>
      </c>
      <c r="B298" s="158"/>
      <c r="C298" s="158"/>
      <c r="D298" s="158"/>
      <c r="E298" s="158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265</v>
      </c>
      <c r="S298" s="82">
        <f>IFERROR(S284+S297,"")</f>
        <v>1562210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275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145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275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275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275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275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275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275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275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275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275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275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275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>
      <c r="A311" s="157" t="s">
        <v>261</v>
      </c>
      <c r="B311" s="157"/>
      <c r="C311" s="157"/>
      <c r="D311" s="157"/>
      <c r="E311" s="157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262</v>
      </c>
      <c r="S311" s="74">
        <v>754870</v>
      </c>
      <c r="T311" s="99">
        <f>IFERROR(J311,"")</f>
        <v>129.92697372781066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275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170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275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275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167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275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275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170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275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148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275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275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275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145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275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275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275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>
      <c r="A324" s="157" t="s">
        <v>264</v>
      </c>
      <c r="B324" s="157"/>
      <c r="C324" s="157"/>
      <c r="D324" s="157"/>
      <c r="E324" s="157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262</v>
      </c>
      <c r="S324" s="74">
        <v>725030</v>
      </c>
      <c r="T324" s="99">
        <f>IFERROR(J324,"")</f>
        <v>104.40432</v>
      </c>
    </row>
    <row r="325" spans="1:20" ht="18" customHeight="1">
      <c r="A325" s="158" t="s">
        <v>250</v>
      </c>
      <c r="B325" s="158"/>
      <c r="C325" s="158"/>
      <c r="D325" s="158"/>
      <c r="E325" s="158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265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140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328</v>
      </c>
      <c r="S326" s="81"/>
    </row>
    <row r="327" spans="1:20" ht="15" customHeight="1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148</v>
      </c>
      <c r="N328" s="61" t="s">
        <v>140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329</v>
      </c>
      <c r="S328" s="81"/>
    </row>
    <row r="329" spans="1:20" ht="15" customHeight="1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148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330</v>
      </c>
      <c r="S329" s="81"/>
    </row>
    <row r="330" spans="1:20" ht="15" customHeight="1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260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136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260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148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331</v>
      </c>
      <c r="S331" s="81"/>
    </row>
    <row r="332" spans="1:20" ht="15" customHeight="1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182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332</v>
      </c>
      <c r="S332" s="81"/>
    </row>
    <row r="333" spans="1:20" ht="15" customHeight="1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>
      <c r="A338" s="157" t="s">
        <v>261</v>
      </c>
      <c r="B338" s="157"/>
      <c r="C338" s="157"/>
      <c r="D338" s="157"/>
      <c r="E338" s="157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262</v>
      </c>
      <c r="S338" s="74">
        <v>186890</v>
      </c>
      <c r="T338" s="99">
        <f>IFERROR(J338,"")</f>
        <v>39.246899999999989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324</v>
      </c>
      <c r="S341" s="81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177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208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319</v>
      </c>
      <c r="S343" s="81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167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167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145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145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>
      <c r="A351" s="157" t="s">
        <v>264</v>
      </c>
      <c r="B351" s="157"/>
      <c r="C351" s="157"/>
      <c r="D351" s="157"/>
      <c r="E351" s="157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262</v>
      </c>
      <c r="S351" s="74">
        <v>712170</v>
      </c>
      <c r="T351" s="99">
        <f>IFERROR(J351,"")</f>
        <v>149.5557</v>
      </c>
    </row>
    <row r="352" spans="1:20" ht="18" customHeight="1">
      <c r="A352" s="158" t="s">
        <v>250</v>
      </c>
      <c r="B352" s="158"/>
      <c r="C352" s="158"/>
      <c r="D352" s="158"/>
      <c r="E352" s="158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265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312</v>
      </c>
      <c r="S353" s="81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170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>
      <c r="A365" s="157" t="s">
        <v>261</v>
      </c>
      <c r="B365" s="157"/>
      <c r="C365" s="157"/>
      <c r="D365" s="157"/>
      <c r="E365" s="157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262</v>
      </c>
      <c r="S365" s="74">
        <v>622270</v>
      </c>
      <c r="T365" s="99">
        <f>IFERROR(J365,"")</f>
        <v>130.67669999999998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148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333</v>
      </c>
      <c r="S367" s="81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170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170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>
      <c r="A378" s="157" t="s">
        <v>264</v>
      </c>
      <c r="B378" s="157"/>
      <c r="C378" s="157"/>
      <c r="D378" s="157"/>
      <c r="E378" s="157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262</v>
      </c>
      <c r="S378" s="74">
        <v>806300</v>
      </c>
      <c r="T378" s="99">
        <f>IFERROR(J378,"")</f>
        <v>169.32299999999998</v>
      </c>
    </row>
    <row r="379" spans="1:20" ht="18" customHeight="1">
      <c r="A379" s="158" t="s">
        <v>250</v>
      </c>
      <c r="B379" s="158"/>
      <c r="C379" s="158"/>
      <c r="D379" s="158"/>
      <c r="E379" s="158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265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275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275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170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153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334</v>
      </c>
      <c r="S385" s="81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>
      <c r="A392" s="157" t="s">
        <v>261</v>
      </c>
      <c r="B392" s="157"/>
      <c r="C392" s="157"/>
      <c r="D392" s="157"/>
      <c r="E392" s="157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262</v>
      </c>
      <c r="S392" s="74">
        <v>820320</v>
      </c>
      <c r="T392" s="99">
        <f>IFERROR(J392,"")</f>
        <v>162.80881156626504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167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170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170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335</v>
      </c>
      <c r="S396" s="81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168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178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168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>
      <c r="A405" s="157" t="s">
        <v>264</v>
      </c>
      <c r="B405" s="157"/>
      <c r="C405" s="157"/>
      <c r="D405" s="157"/>
      <c r="E405" s="157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262</v>
      </c>
      <c r="S405" s="74">
        <v>774540</v>
      </c>
      <c r="T405" s="99">
        <f>IFERROR(J405,"")</f>
        <v>156.22852721311477</v>
      </c>
    </row>
    <row r="406" spans="1:20" ht="18" customHeight="1">
      <c r="A406" s="158" t="s">
        <v>250</v>
      </c>
      <c r="B406" s="158"/>
      <c r="C406" s="158"/>
      <c r="D406" s="158"/>
      <c r="E406" s="158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265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>
      <c r="A419" s="157" t="s">
        <v>261</v>
      </c>
      <c r="B419" s="157"/>
      <c r="C419" s="157"/>
      <c r="D419" s="157"/>
      <c r="E419" s="157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262</v>
      </c>
      <c r="S419" s="74">
        <v>590830</v>
      </c>
      <c r="T419" s="99">
        <f>IFERROR(J419,"")</f>
        <v>85.079520000000002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336</v>
      </c>
      <c r="S420" s="81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167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170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>
      <c r="A432" s="120" t="s">
        <v>264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262</v>
      </c>
      <c r="S432" s="74">
        <v>698420</v>
      </c>
      <c r="T432" s="99">
        <f>IFERROR(J432,"")</f>
        <v>100.57248</v>
      </c>
    </row>
    <row r="433" spans="1:20" ht="18" customHeight="1">
      <c r="A433" s="122" t="s">
        <v>250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265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275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337</v>
      </c>
      <c r="S434" s="81"/>
    </row>
    <row r="435" spans="1:20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148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275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>
      <c r="A446" s="157" t="s">
        <v>261</v>
      </c>
      <c r="B446" s="157"/>
      <c r="C446" s="157"/>
      <c r="D446" s="157"/>
      <c r="E446" s="157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262</v>
      </c>
      <c r="S446" s="74">
        <v>449020</v>
      </c>
      <c r="T446" s="99">
        <f>IFERROR(J446,"")</f>
        <v>91.118987142857137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221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260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170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338</v>
      </c>
      <c r="S452" s="81"/>
    </row>
    <row r="453" spans="1:20" ht="15" customHeight="1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339</v>
      </c>
      <c r="S453" s="81"/>
    </row>
    <row r="454" spans="1:20" ht="15" customHeight="1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>
      <c r="A459" s="157" t="s">
        <v>264</v>
      </c>
      <c r="B459" s="157"/>
      <c r="C459" s="157"/>
      <c r="D459" s="157"/>
      <c r="E459" s="157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262</v>
      </c>
      <c r="S459" s="74">
        <v>738730</v>
      </c>
      <c r="T459" s="99">
        <f>IFERROR(J459,"")</f>
        <v>144.10511642857142</v>
      </c>
    </row>
    <row r="460" spans="1:20" ht="18" customHeight="1">
      <c r="A460" s="158" t="s">
        <v>250</v>
      </c>
      <c r="B460" s="158"/>
      <c r="C460" s="158"/>
      <c r="D460" s="158"/>
      <c r="E460" s="158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265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340</v>
      </c>
      <c r="S465" s="81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>
      <c r="A473" s="157" t="s">
        <v>261</v>
      </c>
      <c r="B473" s="157"/>
      <c r="C473" s="157"/>
      <c r="D473" s="157"/>
      <c r="E473" s="157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262</v>
      </c>
      <c r="S473" s="74">
        <v>824760</v>
      </c>
      <c r="T473" s="99">
        <f>IFERROR(J473,"")</f>
        <v>118.76543999999998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341</v>
      </c>
      <c r="S476" s="81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136</v>
      </c>
      <c r="N478" s="61" t="s">
        <v>194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342</v>
      </c>
      <c r="S479" s="81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218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>
      <c r="A486" s="157" t="s">
        <v>264</v>
      </c>
      <c r="B486" s="157"/>
      <c r="C486" s="157"/>
      <c r="D486" s="157"/>
      <c r="E486" s="157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262</v>
      </c>
      <c r="S486" s="74">
        <v>617620</v>
      </c>
      <c r="T486" s="99">
        <f>IFERROR(J486,"")</f>
        <v>88.937280000000001</v>
      </c>
    </row>
    <row r="487" spans="1:20" ht="18" customHeight="1">
      <c r="A487" s="158" t="s">
        <v>250</v>
      </c>
      <c r="B487" s="158"/>
      <c r="C487" s="158"/>
      <c r="D487" s="158"/>
      <c r="E487" s="158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265</v>
      </c>
      <c r="S487" s="82">
        <f>IFERROR(S473+S486,"")</f>
        <v>1442380</v>
      </c>
      <c r="T487" s="118">
        <f>IFERROR(J487,"")</f>
        <v>207.70272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58.991267605633801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8.4947425352112678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183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319</v>
      </c>
      <c r="S488" s="81"/>
    </row>
    <row r="489" spans="1:20" ht="15" customHeight="1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54.777605633802814</v>
      </c>
      <c r="I489" s="90">
        <f>IFERROR(IF($D489="","",VLOOKUP($D489,Cadastro!$C$4:$G$7,5,FALSE())),"")</f>
        <v>0.6</v>
      </c>
      <c r="J489" s="91">
        <f t="shared" si="122"/>
        <v>7.8879752112676051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42.136619718309859</v>
      </c>
      <c r="I490" s="90">
        <f>IFERROR(IF($D490="","",VLOOKUP($D490,Cadastro!$C$4:$G$7,5,FALSE())),"")</f>
        <v>0.6</v>
      </c>
      <c r="J490" s="91">
        <f t="shared" si="122"/>
        <v>6.0676732394366191</v>
      </c>
      <c r="K490" s="64">
        <f t="shared" si="123"/>
        <v>42</v>
      </c>
      <c r="L490" s="61" t="s">
        <v>28</v>
      </c>
      <c r="M490" s="61" t="s">
        <v>170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16.854647887323942</v>
      </c>
      <c r="I491" s="90">
        <f>IFERROR(IF($D491="","",VLOOKUP($D491,Cadastro!$C$4:$G$7,5,FALSE())),"")</f>
        <v>0.6</v>
      </c>
      <c r="J491" s="91">
        <f t="shared" si="122"/>
        <v>2.4270692957746474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46.350281690140847</v>
      </c>
      <c r="I492" s="90">
        <f>IFERROR(IF($D492="","",VLOOKUP($D492,Cadastro!$C$4:$G$7,5,FALSE())),"")</f>
        <v>0.6</v>
      </c>
      <c r="J492" s="91">
        <f t="shared" si="122"/>
        <v>6.6744405633802817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>
        <v>0.73750000000000004</v>
      </c>
      <c r="Q492" s="66">
        <f t="shared" ca="1" si="124"/>
        <v>2.6388888888888906E-2</v>
      </c>
      <c r="R492" s="80" t="s">
        <v>292</v>
      </c>
      <c r="S492" s="81"/>
    </row>
    <row r="493" spans="1:20" ht="15" customHeight="1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275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54.777605633802814</v>
      </c>
      <c r="I493" s="90">
        <f>IFERROR(IF($D493="","",VLOOKUP($D493,Cadastro!$C$4:$G$7,5,FALSE())),"")</f>
        <v>0.6</v>
      </c>
      <c r="J493" s="91">
        <f t="shared" si="122"/>
        <v>7.8879752112676051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63.204929577464789</v>
      </c>
      <c r="I494" s="90">
        <f>IFERROR(IF($D494="","",VLOOKUP($D494,Cadastro!$C$4:$G$7,5,FALSE())),"")</f>
        <v>0.6</v>
      </c>
      <c r="J494" s="91">
        <f t="shared" si="122"/>
        <v>9.1015098591549286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71.632253521126771</v>
      </c>
      <c r="I495" s="90">
        <f>IFERROR(IF($D495="","",VLOOKUP($D495,Cadastro!$C$4:$G$7,5,FALSE())),"")</f>
        <v>0.6</v>
      </c>
      <c r="J495" s="91">
        <f t="shared" si="122"/>
        <v>10.315044507042254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54.777605633802814</v>
      </c>
      <c r="I496" s="90">
        <f>IFERROR(IF($D496="","",VLOOKUP($D496,Cadastro!$C$4:$G$7,5,FALSE())),"")</f>
        <v>0.6</v>
      </c>
      <c r="J496" s="91">
        <f t="shared" si="122"/>
        <v>7.8879752112676051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37.922957746478872</v>
      </c>
      <c r="I497" s="90">
        <f>IFERROR(IF($D497="","",VLOOKUP($D497,Cadastro!$C$4:$G$7,5,FALSE())),"")</f>
        <v>0.6</v>
      </c>
      <c r="J497" s="91">
        <f t="shared" si="122"/>
        <v>5.4609059154929573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8</v>
      </c>
      <c r="H498" s="88">
        <f>IFERROR(IF($G498="","",$G498*$S$500/$G$500/Cadastro!$E$33),"")</f>
        <v>33.709295774647885</v>
      </c>
      <c r="I498" s="90">
        <f>IFERROR(IF($D498="","",VLOOKUP($D498,Cadastro!$C$4:$G$7,5,FALSE())),"")</f>
        <v>0.6</v>
      </c>
      <c r="J498" s="91">
        <f t="shared" si="122"/>
        <v>4.8541385915492947</v>
      </c>
      <c r="K498" s="64">
        <f t="shared" si="123"/>
        <v>33.6</v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15</v>
      </c>
      <c r="H499" s="92">
        <f>IFERROR(IF($G499="","",$G499*$S$500/$G$500/Cadastro!$E$33),"")</f>
        <v>63.204929577464789</v>
      </c>
      <c r="I499" s="93">
        <f>IFERROR(IF($D499="","",VLOOKUP($D499,Cadastro!$C$4:$G$7,5,FALSE())),"")</f>
        <v>0.6</v>
      </c>
      <c r="J499" s="94">
        <f t="shared" si="122"/>
        <v>9.1015098591549286</v>
      </c>
      <c r="K499" s="69">
        <f t="shared" si="123"/>
        <v>63</v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>
      <c r="A500" s="157" t="s">
        <v>261</v>
      </c>
      <c r="B500" s="157"/>
      <c r="C500" s="157"/>
      <c r="D500" s="157"/>
      <c r="E500" s="157"/>
      <c r="F500" s="95"/>
      <c r="G500" s="96">
        <f>SUM(G488:G499)</f>
        <v>142</v>
      </c>
      <c r="H500" s="95">
        <f>IFERROR(SUM(H488:H499),"")</f>
        <v>598.33999999999992</v>
      </c>
      <c r="I500" s="97"/>
      <c r="J500" s="98">
        <f>IFERROR(SUM(J488:J499),"")</f>
        <v>86.160960000000003</v>
      </c>
      <c r="K500" s="83">
        <f>SUM(K488:K499)</f>
        <v>605.20000000000005</v>
      </c>
      <c r="L500" s="72"/>
      <c r="M500" s="72"/>
      <c r="N500" s="72"/>
      <c r="O500" s="72"/>
      <c r="P500" s="72"/>
      <c r="Q500" s="73">
        <f ca="1">IFERROR(SUM(Q488:Q499),"")</f>
        <v>9.1666666666666619E-2</v>
      </c>
      <c r="R500" s="2" t="s">
        <v>262</v>
      </c>
      <c r="S500" s="74">
        <v>598340</v>
      </c>
      <c r="T500" s="99">
        <f>IFERROR(J500,"")</f>
        <v>86.160960000000003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12</v>
      </c>
      <c r="H501" s="101">
        <f>IFERROR(IF($G501="","",$G501*$S$513/$G$513/Cadastro!$E$33),"")</f>
        <v>52.602295081967213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7.5747304918032778</v>
      </c>
      <c r="K501" s="69">
        <f t="shared" ref="K501:K512" si="127">IF(G501="","",IF(E501="PC 17",G501*4.2,IF(E501="PC 19",G501*5,IF(E501="CB",G501*24,""))))</f>
        <v>50.400000000000006</v>
      </c>
      <c r="L501" s="70" t="s">
        <v>28</v>
      </c>
      <c r="M501" s="70" t="s">
        <v>170</v>
      </c>
      <c r="N501" s="70" t="s">
        <v>36</v>
      </c>
      <c r="O501" s="65">
        <v>0.875</v>
      </c>
      <c r="P501" s="65">
        <v>0.88888888888888884</v>
      </c>
      <c r="Q501" s="71">
        <f t="shared" ref="Q501:Q512" ca="1" si="128">IFERROR(IF(O501="","",IF(P501="",MOD(NOW()-O501,1),IF(P501&gt;=O501,P501-O501,P501+1-O501))),"")</f>
        <v>1.388888888888884E-2</v>
      </c>
      <c r="R501" s="80"/>
      <c r="S501" s="81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7</v>
      </c>
      <c r="H502" s="88">
        <f>IFERROR(IF($G502="","",$G502*$S$513/$G$513/Cadastro!$E$33),"")</f>
        <v>30.68467213114754</v>
      </c>
      <c r="I502" s="90">
        <f>IFERROR(IF($D502="","",VLOOKUP($D502,Cadastro!$C$4:$G$7,5,FALSE())),"")</f>
        <v>0.6</v>
      </c>
      <c r="J502" s="91">
        <f t="shared" si="126"/>
        <v>4.4185927868852453</v>
      </c>
      <c r="K502" s="64">
        <f t="shared" si="127"/>
        <v>29.400000000000002</v>
      </c>
      <c r="L502" s="61" t="s">
        <v>29</v>
      </c>
      <c r="M502" s="61" t="s">
        <v>136</v>
      </c>
      <c r="N502" s="61" t="s">
        <v>123</v>
      </c>
      <c r="O502" s="65">
        <v>0.96111111111111114</v>
      </c>
      <c r="P502" s="65">
        <v>0.98263888888888884</v>
      </c>
      <c r="Q502" s="66">
        <f t="shared" ca="1" si="128"/>
        <v>2.1527777777777701E-2</v>
      </c>
      <c r="R502" s="80"/>
      <c r="S502" s="81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5</v>
      </c>
      <c r="H503" s="88">
        <f>IFERROR(IF($G503="","",$G503*$S$513/$G$513/Cadastro!$E$33),"")</f>
        <v>21.917622950819673</v>
      </c>
      <c r="I503" s="90">
        <f>IFERROR(IF($D503="","",VLOOKUP($D503,Cadastro!$C$4:$G$7,5,FALSE())),"")</f>
        <v>0.6</v>
      </c>
      <c r="J503" s="91">
        <f t="shared" si="126"/>
        <v>3.156137704918033</v>
      </c>
      <c r="K503" s="69">
        <f t="shared" si="127"/>
        <v>21</v>
      </c>
      <c r="L503" s="70" t="s">
        <v>29</v>
      </c>
      <c r="M503" s="70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8"/>
        <v>2.7083333333333331E-2</v>
      </c>
      <c r="R503" s="80"/>
      <c r="S503" s="81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10</v>
      </c>
      <c r="H504" s="88">
        <f>IFERROR(IF($G504="","",$G504*$S$513/$G$513/Cadastro!$E$33),"")</f>
        <v>43.835245901639347</v>
      </c>
      <c r="I504" s="90">
        <f>IFERROR(IF($D504="","",VLOOKUP($D504,Cadastro!$C$4:$G$7,5,FALSE())),"")</f>
        <v>0.6</v>
      </c>
      <c r="J504" s="91">
        <f t="shared" si="126"/>
        <v>6.3122754098360661</v>
      </c>
      <c r="K504" s="64">
        <f t="shared" si="127"/>
        <v>42</v>
      </c>
      <c r="L504" s="61" t="s">
        <v>29</v>
      </c>
      <c r="M504" s="61"/>
      <c r="N504" s="61" t="s">
        <v>71</v>
      </c>
      <c r="O504" s="65">
        <v>0.13055555555555556</v>
      </c>
      <c r="P504" s="65">
        <v>0.13333333333333333</v>
      </c>
      <c r="Q504" s="66">
        <f t="shared" ca="1" si="128"/>
        <v>2.7777777777777679E-3</v>
      </c>
      <c r="R504" s="80"/>
      <c r="S504" s="81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8</v>
      </c>
      <c r="H505" s="88">
        <f>IFERROR(IF($G505="","",$G505*$S$513/$G$513/Cadastro!$E$33),"")</f>
        <v>35.06819672131148</v>
      </c>
      <c r="I505" s="90">
        <f>IFERROR(IF($D505="","",VLOOKUP($D505,Cadastro!$C$4:$G$7,5,FALSE())),"")</f>
        <v>0.6</v>
      </c>
      <c r="J505" s="91">
        <f t="shared" si="126"/>
        <v>5.0498203278688534</v>
      </c>
      <c r="K505" s="69">
        <f t="shared" si="127"/>
        <v>33.6</v>
      </c>
      <c r="L505" s="70" t="s">
        <v>29</v>
      </c>
      <c r="M505" s="70" t="s">
        <v>48</v>
      </c>
      <c r="N505" s="70" t="s">
        <v>218</v>
      </c>
      <c r="O505" s="65">
        <v>0.21666666666666667</v>
      </c>
      <c r="P505" s="65">
        <v>0.22083333333333333</v>
      </c>
      <c r="Q505" s="71">
        <f t="shared" ca="1" si="128"/>
        <v>4.1666666666666519E-3</v>
      </c>
      <c r="R505" s="80"/>
      <c r="S505" s="81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12</v>
      </c>
      <c r="H506" s="88">
        <f>IFERROR(IF($G506="","",$G506*$S$513/$G$513/Cadastro!$E$33),"")</f>
        <v>52.602295081967213</v>
      </c>
      <c r="I506" s="90">
        <f>IFERROR(IF($D506="","",VLOOKUP($D506,Cadastro!$C$4:$G$7,5,FALSE())),"")</f>
        <v>0.6</v>
      </c>
      <c r="J506" s="91">
        <f t="shared" si="126"/>
        <v>7.5747304918032778</v>
      </c>
      <c r="K506" s="64">
        <f t="shared" si="127"/>
        <v>50.400000000000006</v>
      </c>
      <c r="L506" s="61" t="s">
        <v>28</v>
      </c>
      <c r="M506" s="70" t="s">
        <v>48</v>
      </c>
      <c r="N506" s="61" t="s">
        <v>36</v>
      </c>
      <c r="O506" s="65">
        <v>0.22708333333333333</v>
      </c>
      <c r="P506" s="65">
        <v>0.23958333333333334</v>
      </c>
      <c r="Q506" s="66">
        <f t="shared" ca="1" si="128"/>
        <v>1.2500000000000011E-2</v>
      </c>
      <c r="R506" s="80"/>
      <c r="S506" s="81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00" t="s">
        <v>275</v>
      </c>
      <c r="F507" s="88">
        <f>IFERROR(IF($D507="","",VLOOKUP($D507,Cadastro!$C$4:$E$7,3,FALSE())),"")</f>
        <v>0.24</v>
      </c>
      <c r="G507" s="89">
        <v>17</v>
      </c>
      <c r="H507" s="88">
        <f>IFERROR(IF($G507="","",$G507*$S$513/$G$513/Cadastro!$E$33),"")</f>
        <v>74.519918032786876</v>
      </c>
      <c r="I507" s="90">
        <f>IFERROR(IF($D507="","",VLOOKUP($D507,Cadastro!$C$4:$G$7,5,FALSE())),"")</f>
        <v>0.6</v>
      </c>
      <c r="J507" s="91">
        <f t="shared" si="126"/>
        <v>10.730868196721309</v>
      </c>
      <c r="K507" s="69">
        <f t="shared" si="127"/>
        <v>71.400000000000006</v>
      </c>
      <c r="L507" s="70" t="s">
        <v>26</v>
      </c>
      <c r="M507" s="124"/>
      <c r="N507" s="70" t="s">
        <v>34</v>
      </c>
      <c r="O507" s="65">
        <v>0.25069444444444444</v>
      </c>
      <c r="P507" s="65">
        <v>0.26597222222222222</v>
      </c>
      <c r="Q507" s="71">
        <f t="shared" ca="1" si="128"/>
        <v>1.5277777777777779E-2</v>
      </c>
      <c r="R507" s="80"/>
      <c r="S507" s="81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6</v>
      </c>
      <c r="H508" s="88">
        <f>IFERROR(IF($G508="","",$G508*$S$513/$G$513/Cadastro!$E$33),"")</f>
        <v>26.301147540983607</v>
      </c>
      <c r="I508" s="90">
        <f>IFERROR(IF($D508="","",VLOOKUP($D508,Cadastro!$C$4:$G$7,5,FALSE())),"")</f>
        <v>0.6</v>
      </c>
      <c r="J508" s="91">
        <f t="shared" si="126"/>
        <v>5.5232409836065566</v>
      </c>
      <c r="K508" s="64">
        <f t="shared" si="127"/>
        <v>25.200000000000003</v>
      </c>
      <c r="L508" s="61" t="s">
        <v>29</v>
      </c>
      <c r="M508" s="61" t="s">
        <v>40</v>
      </c>
      <c r="N508" s="61" t="s">
        <v>65</v>
      </c>
      <c r="O508" s="65">
        <v>0.27569444444444446</v>
      </c>
      <c r="P508" s="65">
        <v>0.29166666666666669</v>
      </c>
      <c r="Q508" s="66">
        <f t="shared" ca="1" si="128"/>
        <v>1.5972222222222221E-2</v>
      </c>
      <c r="R508" s="80"/>
      <c r="S508" s="81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87.670491803278694</v>
      </c>
      <c r="I509" s="90">
        <f>IFERROR(IF($D509="","",VLOOKUP($D509,Cadastro!$C$4:$G$7,5,FALSE())),"")</f>
        <v>0.6</v>
      </c>
      <c r="J509" s="91">
        <f t="shared" si="126"/>
        <v>18.410803278688523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11</v>
      </c>
      <c r="H510" s="88">
        <f>IFERROR(IF($G510="","",$G510*$S$513/$G$513/Cadastro!$E$33),"")</f>
        <v>48.218770491803276</v>
      </c>
      <c r="I510" s="90">
        <f>IFERROR(IF($D510="","",VLOOKUP($D510,Cadastro!$C$4:$G$7,5,FALSE())),"")</f>
        <v>0.6</v>
      </c>
      <c r="J510" s="91">
        <f t="shared" si="126"/>
        <v>10.125941803278687</v>
      </c>
      <c r="K510" s="64">
        <f t="shared" si="127"/>
        <v>46.2</v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14</v>
      </c>
      <c r="H511" s="88">
        <f>IFERROR(IF($G511="","",$G511*$S$513/$G$513/Cadastro!$E$33),"")</f>
        <v>61.36934426229508</v>
      </c>
      <c r="I511" s="90">
        <f>IFERROR(IF($D511="","",VLOOKUP($D511,Cadastro!$C$4:$G$7,5,FALSE())),"")</f>
        <v>0.6</v>
      </c>
      <c r="J511" s="91">
        <f t="shared" si="126"/>
        <v>12.887562295081965</v>
      </c>
      <c r="K511" s="69">
        <f t="shared" si="127"/>
        <v>58.800000000000004</v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>
      <c r="A513" s="120" t="s">
        <v>264</v>
      </c>
      <c r="B513" s="121"/>
      <c r="C513" s="121"/>
      <c r="D513" s="121"/>
      <c r="E513" s="121"/>
      <c r="F513" s="105"/>
      <c r="G513" s="96">
        <f>SUM(G501:G512)</f>
        <v>122</v>
      </c>
      <c r="H513" s="105">
        <f>IFERROR(SUM(H501:H512),"")</f>
        <v>534.79000000000008</v>
      </c>
      <c r="I513" s="106"/>
      <c r="J513" s="107">
        <f>IFERROR(SUM(J501:J512),"")</f>
        <v>91.764703770491792</v>
      </c>
      <c r="K513" s="83">
        <f>SUM(K501:K512)</f>
        <v>512.4</v>
      </c>
      <c r="L513" s="72"/>
      <c r="M513" s="72"/>
      <c r="N513" s="72"/>
      <c r="O513" s="72"/>
      <c r="P513" s="72"/>
      <c r="Q513" s="73">
        <f ca="1">IFERROR(SUM(Q501:Q512),"")</f>
        <v>0.11319444444444431</v>
      </c>
      <c r="R513" s="2" t="s">
        <v>262</v>
      </c>
      <c r="S513" s="74">
        <v>534790</v>
      </c>
      <c r="T513" s="99">
        <f>IFERROR(J513,"")</f>
        <v>91.764703770491792</v>
      </c>
    </row>
    <row r="514" spans="1:20" ht="18" customHeight="1">
      <c r="A514" s="122" t="s">
        <v>250</v>
      </c>
      <c r="B514" s="123"/>
      <c r="C514" s="123"/>
      <c r="D514" s="123"/>
      <c r="E514" s="123"/>
      <c r="F514" s="108"/>
      <c r="G514" s="109">
        <f>G500+G513</f>
        <v>264</v>
      </c>
      <c r="H514" s="108">
        <f>IFERROR(H500+H513,"")</f>
        <v>1133.1300000000001</v>
      </c>
      <c r="I514" s="110"/>
      <c r="J514" s="111">
        <f>IFERROR(J500+J513,"")</f>
        <v>177.92566377049178</v>
      </c>
      <c r="K514" s="125">
        <f>K500+K513</f>
        <v>1117.5999999999999</v>
      </c>
      <c r="L514" s="76"/>
      <c r="M514" s="76"/>
      <c r="N514" s="76"/>
      <c r="O514" s="76"/>
      <c r="P514" s="76"/>
      <c r="Q514" s="77">
        <f ca="1">IFERROR(Q500+Q513,"")</f>
        <v>0.20486111111111094</v>
      </c>
      <c r="R514" s="1" t="s">
        <v>265</v>
      </c>
      <c r="S514" s="82">
        <f>IFERROR(S500+S513,"")</f>
        <v>1133130</v>
      </c>
      <c r="T514" s="118">
        <f>IFERROR(J514,"")</f>
        <v>177.92566377049178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12</v>
      </c>
      <c r="H515" s="101">
        <f>IFERROR(IF($G515="","",$G515*$S$527/$G$527/Cadastro!$E$33),"")</f>
        <v>49.769162011173179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10.451524022346366</v>
      </c>
      <c r="K515" s="69">
        <f t="shared" ref="K515:K526" si="131">IF(G515="","",IF(E515="PC 17",G515*4.2,IF(E515="PC 19",G515*5,IF(E515="CB",G515*24,""))))</f>
        <v>50.400000000000006</v>
      </c>
      <c r="L515" s="70" t="s">
        <v>29</v>
      </c>
      <c r="M515" s="70"/>
      <c r="N515" s="70" t="s">
        <v>83</v>
      </c>
      <c r="O515" s="65">
        <v>0.31597222222222221</v>
      </c>
      <c r="P515" s="65">
        <v>0.32916666666666666</v>
      </c>
      <c r="Q515" s="71">
        <f t="shared" ref="Q515:Q526" ca="1" si="132">IFERROR(IF(O515="","",IF(P515="",MOD(NOW()-O515,1),IF(P515&gt;=O515,P515-O515,P515+1-O515))),"")</f>
        <v>1.3194444444444453E-2</v>
      </c>
      <c r="R515" s="80"/>
      <c r="S515" s="81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14</v>
      </c>
      <c r="H516" s="88">
        <f>IFERROR(IF($G516="","",$G516*$S$527/$G$527/Cadastro!$E$33),"")</f>
        <v>58.064022346368716</v>
      </c>
      <c r="I516" s="90">
        <f>IFERROR(IF($D516="","",VLOOKUP($D516,Cadastro!$C$4:$G$7,5,FALSE())),"")</f>
        <v>0.6</v>
      </c>
      <c r="J516" s="91">
        <f t="shared" si="130"/>
        <v>12.19344469273743</v>
      </c>
      <c r="K516" s="64">
        <f t="shared" si="131"/>
        <v>58.800000000000004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32"/>
        <v>4.8611111111110938E-3</v>
      </c>
      <c r="R516" s="80"/>
      <c r="S516" s="81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17</v>
      </c>
      <c r="H517" s="88">
        <f>IFERROR(IF($G517="","",$G517*$S$527/$G$527/Cadastro!$E$33),"")</f>
        <v>70.506312849162015</v>
      </c>
      <c r="I517" s="90">
        <f>IFERROR(IF($D517="","",VLOOKUP($D517,Cadastro!$C$4:$G$7,5,FALSE())),"")</f>
        <v>0.6</v>
      </c>
      <c r="J517" s="91">
        <f t="shared" si="130"/>
        <v>14.806325698324022</v>
      </c>
      <c r="K517" s="69">
        <f t="shared" si="131"/>
        <v>71.400000000000006</v>
      </c>
      <c r="L517" s="70" t="s">
        <v>28</v>
      </c>
      <c r="M517" s="70" t="s">
        <v>170</v>
      </c>
      <c r="N517" s="70" t="s">
        <v>36</v>
      </c>
      <c r="O517" s="65">
        <v>0.49583333333333335</v>
      </c>
      <c r="P517" s="65">
        <v>0.52777777777777779</v>
      </c>
      <c r="Q517" s="71">
        <f t="shared" ca="1" si="132"/>
        <v>3.1944444444444442E-2</v>
      </c>
      <c r="R517" s="80"/>
      <c r="S517" s="81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16</v>
      </c>
      <c r="H518" s="88">
        <f>IFERROR(IF($G518="","",$G518*$S$527/$G$527/Cadastro!$E$33),"")</f>
        <v>66.358882681564239</v>
      </c>
      <c r="I518" s="90">
        <f>IFERROR(IF($D518="","",VLOOKUP($D518,Cadastro!$C$4:$G$7,5,FALSE())),"")</f>
        <v>0.6</v>
      </c>
      <c r="J518" s="91">
        <f t="shared" si="130"/>
        <v>13.935365363128488</v>
      </c>
      <c r="K518" s="64">
        <f t="shared" si="131"/>
        <v>67.2</v>
      </c>
      <c r="L518" s="70" t="s">
        <v>29</v>
      </c>
      <c r="M518" s="61"/>
      <c r="N518" s="61" t="s">
        <v>71</v>
      </c>
      <c r="O518" s="65">
        <v>0.62152777777777779</v>
      </c>
      <c r="P518" s="65">
        <v>0.62638888888888888</v>
      </c>
      <c r="Q518" s="66">
        <f t="shared" ca="1" si="132"/>
        <v>4.8611111111110938E-3</v>
      </c>
      <c r="R518" s="80"/>
      <c r="S518" s="81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53.916592178770955</v>
      </c>
      <c r="I519" s="90">
        <f>IFERROR(IF($D519="","",VLOOKUP($D519,Cadastro!$C$4:$G$7,5,FALSE())),"")</f>
        <v>0.6</v>
      </c>
      <c r="J519" s="91">
        <f t="shared" si="130"/>
        <v>11.322484357541899</v>
      </c>
      <c r="K519" s="69">
        <f t="shared" si="131"/>
        <v>54.6</v>
      </c>
      <c r="L519" s="70" t="s">
        <v>29</v>
      </c>
      <c r="M519" s="70"/>
      <c r="N519" s="70" t="s">
        <v>83</v>
      </c>
      <c r="O519" s="65">
        <v>0.65138888888888891</v>
      </c>
      <c r="P519" s="65">
        <v>0.66111111111111109</v>
      </c>
      <c r="Q519" s="71">
        <f t="shared" ca="1" si="132"/>
        <v>9.7222222222221877E-3</v>
      </c>
      <c r="R519" s="80"/>
      <c r="S519" s="81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15</v>
      </c>
      <c r="H520" s="88">
        <f>IFERROR(IF($G520="","",$G520*$S$527/$G$527/Cadastro!$E$33),"")</f>
        <v>62.211452513966485</v>
      </c>
      <c r="I520" s="90">
        <f>IFERROR(IF($D520="","",VLOOKUP($D520,Cadastro!$C$4:$G$7,5,FALSE())),"")</f>
        <v>0.6</v>
      </c>
      <c r="J520" s="91">
        <f t="shared" si="130"/>
        <v>13.064405027932962</v>
      </c>
      <c r="K520" s="64">
        <f t="shared" si="131"/>
        <v>63</v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21</v>
      </c>
      <c r="H521" s="88">
        <f>IFERROR(IF($G521="","",$G521*$S$527/$G$527/Cadastro!$E$33),"")</f>
        <v>87.096033519553075</v>
      </c>
      <c r="I521" s="90">
        <f>IFERROR(IF($D521="","",VLOOKUP($D521,Cadastro!$C$4:$G$7,5,FALSE())),"")</f>
        <v>0.6</v>
      </c>
      <c r="J521" s="91">
        <f t="shared" si="130"/>
        <v>18.290167039106144</v>
      </c>
      <c r="K521" s="69">
        <f t="shared" si="131"/>
        <v>105</v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17</v>
      </c>
      <c r="H522" s="88">
        <f>IFERROR(IF($G522="","",$G522*$S$527/$G$527/Cadastro!$E$33),"")</f>
        <v>70.506312849162015</v>
      </c>
      <c r="I522" s="90">
        <f>IFERROR(IF($D522="","",VLOOKUP($D522,Cadastro!$C$4:$G$7,5,FALSE())),"")</f>
        <v>0.6</v>
      </c>
      <c r="J522" s="91">
        <f t="shared" si="130"/>
        <v>14.806325698324022</v>
      </c>
      <c r="K522" s="64">
        <f t="shared" si="131"/>
        <v>85</v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8</v>
      </c>
      <c r="H523" s="88">
        <f>IFERROR(IF($G523="","",$G523*$S$527/$G$527/Cadastro!$E$33),"")</f>
        <v>33.17944134078212</v>
      </c>
      <c r="I523" s="90">
        <f>IFERROR(IF($D523="","",VLOOKUP($D523,Cadastro!$C$4:$G$7,5,FALSE())),"")</f>
        <v>0.6</v>
      </c>
      <c r="J523" s="91">
        <f t="shared" si="130"/>
        <v>6.9676826815642441</v>
      </c>
      <c r="K523" s="69">
        <f t="shared" si="131"/>
        <v>40</v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20</v>
      </c>
      <c r="H524" s="88">
        <f>IFERROR(IF($G524="","",$G524*$S$527/$G$527/Cadastro!$E$33),"")</f>
        <v>82.948603351955299</v>
      </c>
      <c r="I524" s="90">
        <f>IFERROR(IF($D524="","",VLOOKUP($D524,Cadastro!$C$4:$G$7,5,FALSE())),"")</f>
        <v>0.6</v>
      </c>
      <c r="J524" s="91">
        <f t="shared" si="130"/>
        <v>17.419206703910611</v>
      </c>
      <c r="K524" s="64">
        <f t="shared" si="131"/>
        <v>100</v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13</v>
      </c>
      <c r="H525" s="88">
        <f>IFERROR(IF($G525="","",$G525*$S$527/$G$527/Cadastro!$E$33),"")</f>
        <v>53.916592178770955</v>
      </c>
      <c r="I525" s="90">
        <f>IFERROR(IF($D525="","",VLOOKUP($D525,Cadastro!$C$4:$G$7,5,FALSE())),"")</f>
        <v>0.6</v>
      </c>
      <c r="J525" s="91">
        <f t="shared" si="130"/>
        <v>11.322484357541899</v>
      </c>
      <c r="K525" s="69">
        <f t="shared" si="131"/>
        <v>65</v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13</v>
      </c>
      <c r="H526" s="92">
        <f>IFERROR(IF($G526="","",$G526*$S$527/$G$527/Cadastro!$E$33),"")</f>
        <v>53.916592178770955</v>
      </c>
      <c r="I526" s="93">
        <f>IFERROR(IF($D526="","",VLOOKUP($D526,Cadastro!$C$4:$G$7,5,FALSE())),"")</f>
        <v>0.6</v>
      </c>
      <c r="J526" s="94">
        <f t="shared" si="130"/>
        <v>11.322484357541899</v>
      </c>
      <c r="K526" s="64">
        <f t="shared" si="131"/>
        <v>65</v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>
      <c r="A527" s="157" t="s">
        <v>261</v>
      </c>
      <c r="B527" s="157"/>
      <c r="C527" s="157"/>
      <c r="D527" s="157"/>
      <c r="E527" s="157"/>
      <c r="F527" s="95"/>
      <c r="G527" s="96">
        <f>SUM(G515:G526)</f>
        <v>179</v>
      </c>
      <c r="H527" s="95">
        <f>IFERROR(SUM(H515:H526),"")</f>
        <v>742.3900000000001</v>
      </c>
      <c r="I527" s="97"/>
      <c r="J527" s="98">
        <f>IFERROR(SUM(J515:J526),"")</f>
        <v>155.90189999999996</v>
      </c>
      <c r="K527" s="83">
        <f>SUM(K515:K526)</f>
        <v>825.40000000000009</v>
      </c>
      <c r="L527" s="72"/>
      <c r="M527" s="72"/>
      <c r="N527" s="72"/>
      <c r="O527" s="72"/>
      <c r="P527" s="72"/>
      <c r="Q527" s="73">
        <f ca="1">IFERROR(SUM(Q515:Q526),"")</f>
        <v>6.458333333333327E-2</v>
      </c>
      <c r="R527" s="2" t="s">
        <v>262</v>
      </c>
      <c r="S527" s="74">
        <v>742390</v>
      </c>
      <c r="T527" s="99">
        <f>IFERROR(J527,"")</f>
        <v>155.90189999999996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7</v>
      </c>
      <c r="H528" s="101">
        <f>IFERROR(IF($G528="","",$G528*$S$540/$G$540/Cadastro!$E$33),"")</f>
        <v>33.701204819277109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7.0772530120481925</v>
      </c>
      <c r="K528" s="64">
        <f t="shared" ref="K528:K539" si="135">IF(G528="","",IF(E528="PC 17",G528*4.2,IF(E528="PC 19",G528*5,IF(E528="CB",G528*24,""))))</f>
        <v>29.400000000000002</v>
      </c>
      <c r="L528" s="61" t="s">
        <v>28</v>
      </c>
      <c r="M528" s="61" t="s">
        <v>170</v>
      </c>
      <c r="N528" s="61" t="s">
        <v>36</v>
      </c>
      <c r="O528" s="65">
        <v>0.79166666666666663</v>
      </c>
      <c r="P528" s="65">
        <v>0.80347222222222225</v>
      </c>
      <c r="Q528" s="66">
        <f t="shared" ref="Q528:Q539" ca="1" si="136">IFERROR(IF(O528="","",IF(P528="",MOD(NOW()-O528,1),IF(P528&gt;=O528,P528-O528,P528+1-O528))),"")</f>
        <v>1.1805555555555625E-2</v>
      </c>
      <c r="R528" s="80"/>
      <c r="S528" s="81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275</v>
      </c>
      <c r="F529" s="88">
        <f>IFERROR(IF($D529="","",VLOOKUP($D529,Cadastro!$C$4:$E$7,3,FALSE())),"")</f>
        <v>0.24</v>
      </c>
      <c r="G529" s="89">
        <v>16</v>
      </c>
      <c r="H529" s="88">
        <f>IFERROR(IF($G529="","",$G529*$S$540/$G$540/Cadastro!$E$33),"")</f>
        <v>77.031325301204816</v>
      </c>
      <c r="I529" s="90">
        <f>IFERROR(IF($D529="","",VLOOKUP($D529,Cadastro!$C$4:$G$7,5,FALSE())),"")</f>
        <v>0.6</v>
      </c>
      <c r="J529" s="91">
        <f t="shared" si="134"/>
        <v>11.092510843373493</v>
      </c>
      <c r="K529" s="69">
        <f t="shared" si="135"/>
        <v>67.2</v>
      </c>
      <c r="L529" s="70" t="s">
        <v>29</v>
      </c>
      <c r="M529" s="70" t="s">
        <v>168</v>
      </c>
      <c r="N529" s="70" t="s">
        <v>83</v>
      </c>
      <c r="O529" s="65">
        <v>0.93333333333333335</v>
      </c>
      <c r="P529" s="65">
        <v>0.93611111111111112</v>
      </c>
      <c r="Q529" s="71">
        <f t="shared" ca="1" si="136"/>
        <v>2.7777777777777679E-3</v>
      </c>
      <c r="R529" s="80"/>
      <c r="S529" s="81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260</v>
      </c>
      <c r="F530" s="88">
        <f>IFERROR(IF($D530="","",VLOOKUP($D530,Cadastro!$C$4:$E$7,3,FALSE())),"")</f>
        <v>0.24</v>
      </c>
      <c r="G530" s="89">
        <v>15</v>
      </c>
      <c r="H530" s="88">
        <f>IFERROR(IF($G530="","",$G530*$S$540/$G$540/Cadastro!$E$33),"")</f>
        <v>72.216867469879517</v>
      </c>
      <c r="I530" s="90">
        <f>IFERROR(IF($D530="","",VLOOKUP($D530,Cadastro!$C$4:$G$7,5,FALSE())),"")</f>
        <v>0.6</v>
      </c>
      <c r="J530" s="91">
        <f t="shared" si="134"/>
        <v>10.399228915662649</v>
      </c>
      <c r="K530" s="64">
        <f t="shared" si="135"/>
        <v>75</v>
      </c>
      <c r="L530" s="61" t="s">
        <v>29</v>
      </c>
      <c r="M530" s="61" t="s">
        <v>40</v>
      </c>
      <c r="N530" s="61" t="s">
        <v>60</v>
      </c>
      <c r="O530" s="65">
        <v>0.93958333333333333</v>
      </c>
      <c r="P530" s="65">
        <v>0.94305555555555554</v>
      </c>
      <c r="Q530" s="66">
        <f t="shared" ca="1" si="136"/>
        <v>3.4722222222222099E-3</v>
      </c>
      <c r="R530" s="80"/>
      <c r="S530" s="81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6</v>
      </c>
      <c r="H531" s="88">
        <f>IFERROR(IF($G531="","",$G531*$S$540/$G$540/Cadastro!$E$33),"")</f>
        <v>28.886746987951806</v>
      </c>
      <c r="I531" s="90">
        <f>IFERROR(IF($D531="","",VLOOKUP($D531,Cadastro!$C$4:$G$7,5,FALSE())),"")</f>
        <v>0.6</v>
      </c>
      <c r="J531" s="91">
        <f t="shared" si="134"/>
        <v>4.1596915662650602</v>
      </c>
      <c r="K531" s="69">
        <f t="shared" si="135"/>
        <v>25.200000000000003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6"/>
        <v>1.4583333333333393E-2</v>
      </c>
      <c r="R531" s="80"/>
      <c r="S531" s="81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14</v>
      </c>
      <c r="H532" s="88">
        <f>IFERROR(IF($G532="","",$G532*$S$540/$G$540/Cadastro!$E$33),"")</f>
        <v>67.402409638554218</v>
      </c>
      <c r="I532" s="90">
        <f>IFERROR(IF($D532="","",VLOOKUP($D532,Cadastro!$C$4:$G$7,5,FALSE())),"")</f>
        <v>0.6</v>
      </c>
      <c r="J532" s="91">
        <f t="shared" si="134"/>
        <v>9.7059469879518065</v>
      </c>
      <c r="K532" s="64">
        <f t="shared" si="135"/>
        <v>58.800000000000004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6"/>
        <v>6.9444444444444441E-3</v>
      </c>
      <c r="R532" s="80"/>
      <c r="S532" s="81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0</v>
      </c>
      <c r="H533" s="88">
        <f>IFERROR(IF($G533="","",$G533*$S$540/$G$540/Cadastro!$E$33),"")</f>
        <v>0</v>
      </c>
      <c r="I533" s="90">
        <f>IFERROR(IF($D533="","",VLOOKUP($D533,Cadastro!$C$4:$G$7,5,FALSE())),"")</f>
        <v>0.6</v>
      </c>
      <c r="J533" s="91">
        <f t="shared" si="134"/>
        <v>0</v>
      </c>
      <c r="K533" s="69">
        <f t="shared" si="135"/>
        <v>0</v>
      </c>
      <c r="L533" s="70" t="s">
        <v>28</v>
      </c>
      <c r="M533" s="70" t="s">
        <v>48</v>
      </c>
      <c r="N533" s="70" t="s">
        <v>36</v>
      </c>
      <c r="O533" s="65">
        <v>0.13125000000000001</v>
      </c>
      <c r="P533" s="65">
        <v>0.15625</v>
      </c>
      <c r="Q533" s="71">
        <f t="shared" ca="1" si="136"/>
        <v>2.4999999999999994E-2</v>
      </c>
      <c r="R533" s="80"/>
      <c r="S533" s="81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10</v>
      </c>
      <c r="H534" s="88">
        <f>IFERROR(IF($G534="","",$G534*$S$540/$G$540/Cadastro!$E$33),"")</f>
        <v>48.144578313253014</v>
      </c>
      <c r="I534" s="90">
        <f>IFERROR(IF($D534="","",VLOOKUP($D534,Cadastro!$C$4:$G$7,5,FALSE())),"")</f>
        <v>0.6</v>
      </c>
      <c r="J534" s="91">
        <f t="shared" si="134"/>
        <v>6.9328192771084334</v>
      </c>
      <c r="K534" s="64">
        <f t="shared" si="135"/>
        <v>42</v>
      </c>
      <c r="L534" s="61" t="s">
        <v>27</v>
      </c>
      <c r="M534" s="61" t="s">
        <v>48</v>
      </c>
      <c r="N534" s="61" t="s">
        <v>140</v>
      </c>
      <c r="O534" s="65">
        <v>0.15625</v>
      </c>
      <c r="P534" s="65">
        <v>0.17083333333333334</v>
      </c>
      <c r="Q534" s="66">
        <f t="shared" ca="1" si="136"/>
        <v>1.4583333333333337E-2</v>
      </c>
      <c r="R534" s="80" t="s">
        <v>343</v>
      </c>
      <c r="S534" s="81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4"/>
        <v>0</v>
      </c>
      <c r="K535" s="69">
        <f t="shared" si="135"/>
        <v>0</v>
      </c>
      <c r="L535" s="70" t="s">
        <v>29</v>
      </c>
      <c r="M535" s="70" t="s">
        <v>40</v>
      </c>
      <c r="N535" s="70" t="s">
        <v>60</v>
      </c>
      <c r="O535" s="65">
        <v>0.21458333333333332</v>
      </c>
      <c r="P535" s="65">
        <v>0.23402777777777778</v>
      </c>
      <c r="Q535" s="71">
        <f t="shared" ca="1" si="136"/>
        <v>1.9444444444444459E-2</v>
      </c>
      <c r="R535" s="80" t="s">
        <v>344</v>
      </c>
      <c r="S535" s="81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0</v>
      </c>
      <c r="H536" s="88">
        <f>IFERROR(IF($G536="","",$G536*$S$540/$G$540/Cadastro!$E$33),"")</f>
        <v>0</v>
      </c>
      <c r="I536" s="90">
        <f>IFERROR(IF($D536="","",VLOOKUP($D536,Cadastro!$C$4:$G$7,5,FALSE())),"")</f>
        <v>0.6</v>
      </c>
      <c r="J536" s="91">
        <f t="shared" si="134"/>
        <v>0</v>
      </c>
      <c r="K536" s="64">
        <f t="shared" si="135"/>
        <v>0</v>
      </c>
      <c r="L536" s="61" t="s">
        <v>29</v>
      </c>
      <c r="M536" s="61" t="s">
        <v>40</v>
      </c>
      <c r="N536" s="61" t="s">
        <v>45</v>
      </c>
      <c r="O536" s="65">
        <v>0.2388888888888889</v>
      </c>
      <c r="P536" s="65">
        <v>0.24513888888888888</v>
      </c>
      <c r="Q536" s="66">
        <f t="shared" ca="1" si="136"/>
        <v>6.2499999999999778E-3</v>
      </c>
      <c r="R536" s="80"/>
      <c r="S536" s="81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10</v>
      </c>
      <c r="H537" s="88">
        <f>IFERROR(IF($G537="","",$G537*$S$540/$G$540/Cadastro!$E$33),"")</f>
        <v>48.144578313253014</v>
      </c>
      <c r="I537" s="90">
        <f>IFERROR(IF($D537="","",VLOOKUP($D537,Cadastro!$C$4:$G$7,5,FALSE())),"")</f>
        <v>0.6</v>
      </c>
      <c r="J537" s="91">
        <f t="shared" si="134"/>
        <v>10.110361445783132</v>
      </c>
      <c r="K537" s="69">
        <f t="shared" si="135"/>
        <v>42</v>
      </c>
      <c r="L537" s="70" t="s">
        <v>29</v>
      </c>
      <c r="M537" s="70" t="s">
        <v>40</v>
      </c>
      <c r="N537" s="70" t="s">
        <v>71</v>
      </c>
      <c r="O537" s="65">
        <v>0.2638888888888889</v>
      </c>
      <c r="P537" s="65">
        <v>0.29166666666666669</v>
      </c>
      <c r="Q537" s="71">
        <f t="shared" ca="1" si="136"/>
        <v>2.777777777777779E-2</v>
      </c>
      <c r="R537" s="80"/>
      <c r="S537" s="81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4"/>
        <v>0</v>
      </c>
      <c r="K538" s="64">
        <f t="shared" si="135"/>
        <v>0</v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5</v>
      </c>
      <c r="H539" s="92">
        <f>IFERROR(IF($G539="","",$G539*$S$540/$G$540/Cadastro!$E$33),"")</f>
        <v>24.072289156626507</v>
      </c>
      <c r="I539" s="93">
        <f>IFERROR(IF($D539="","",VLOOKUP($D539,Cadastro!$C$4:$G$7,5,FALSE())),"")</f>
        <v>0.6</v>
      </c>
      <c r="J539" s="94">
        <f t="shared" si="134"/>
        <v>5.0551807228915662</v>
      </c>
      <c r="K539" s="69">
        <f t="shared" si="135"/>
        <v>21</v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>
      <c r="A540" s="157" t="s">
        <v>264</v>
      </c>
      <c r="B540" s="157"/>
      <c r="C540" s="157"/>
      <c r="D540" s="157"/>
      <c r="E540" s="157"/>
      <c r="F540" s="105"/>
      <c r="G540" s="96">
        <f>SUM(G528:G539)</f>
        <v>83</v>
      </c>
      <c r="H540" s="105">
        <f>IFERROR(SUM(H528:H539),"")</f>
        <v>399.59999999999997</v>
      </c>
      <c r="I540" s="106"/>
      <c r="J540" s="107">
        <f>IFERROR(SUM(J528:J539),"")</f>
        <v>64.532992771084338</v>
      </c>
      <c r="K540" s="2">
        <f>SUM(K528:K539)</f>
        <v>360.6</v>
      </c>
      <c r="L540" s="72"/>
      <c r="M540" s="72"/>
      <c r="N540" s="72"/>
      <c r="O540" s="72"/>
      <c r="P540" s="72"/>
      <c r="Q540" s="73">
        <f ca="1">IFERROR(SUM(Q528:Q539),"")</f>
        <v>0.132638888888889</v>
      </c>
      <c r="R540" s="2" t="s">
        <v>262</v>
      </c>
      <c r="S540" s="74">
        <v>399600</v>
      </c>
      <c r="T540" s="99">
        <f>IFERROR(J540,"")</f>
        <v>64.532992771084338</v>
      </c>
    </row>
    <row r="541" spans="1:20" ht="18" customHeight="1">
      <c r="A541" s="158" t="s">
        <v>250</v>
      </c>
      <c r="B541" s="158"/>
      <c r="C541" s="158"/>
      <c r="D541" s="158"/>
      <c r="E541" s="158"/>
      <c r="F541" s="108"/>
      <c r="G541" s="109">
        <f>G527+G540</f>
        <v>262</v>
      </c>
      <c r="H541" s="108">
        <f>IFERROR(H527+H540,"")</f>
        <v>1141.99</v>
      </c>
      <c r="I541" s="110"/>
      <c r="J541" s="111">
        <f>IFERROR(J527+J540,"")</f>
        <v>220.43489277108429</v>
      </c>
      <c r="K541" s="1">
        <f>K527+K540</f>
        <v>1186</v>
      </c>
      <c r="L541" s="76"/>
      <c r="M541" s="76"/>
      <c r="N541" s="76"/>
      <c r="O541" s="76"/>
      <c r="P541" s="76"/>
      <c r="Q541" s="77">
        <f ca="1">IFERROR(Q527+Q540,"")</f>
        <v>0.19722222222222227</v>
      </c>
      <c r="R541" s="1" t="s">
        <v>265</v>
      </c>
      <c r="S541" s="82">
        <f>IFERROR(S527+S540,"")</f>
        <v>1141990</v>
      </c>
      <c r="T541" s="118">
        <f>IFERROR(J541,"")</f>
        <v>220.43489277108429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5</v>
      </c>
      <c r="H542" s="101">
        <f>IFERROR(IF($G542="","",$G542*$S$554/$G$554/Cadastro!$E$33),"")</f>
        <v>24.103333333333332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3.4708799999999997</v>
      </c>
      <c r="K542" s="64">
        <f t="shared" ref="K542:K553" si="139">IF(G542="","",IF(E542="PC 17",G542*4.2,IF(E542="PC 19",G542*5,IF(E542="CB",G542*24,""))))</f>
        <v>21</v>
      </c>
      <c r="L542" s="61" t="s">
        <v>26</v>
      </c>
      <c r="M542" s="61" t="s">
        <v>48</v>
      </c>
      <c r="N542" s="61" t="s">
        <v>58</v>
      </c>
      <c r="O542" s="65">
        <v>0.30208333333333331</v>
      </c>
      <c r="P542" s="65">
        <v>0.31597222222222221</v>
      </c>
      <c r="Q542" s="66">
        <f t="shared" ref="Q542:Q553" ca="1" si="140">IFERROR(IF(O542="","",IF(P542="",MOD(NOW()-O542,1),IF(P542&gt;=O542,P542-O542,P542+1-O542))),"")</f>
        <v>1.3888888888888895E-2</v>
      </c>
      <c r="R542" s="80"/>
      <c r="S542" s="81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10</v>
      </c>
      <c r="H543" s="88">
        <f>IFERROR(IF($G543="","",$G543*$S$554/$G$554/Cadastro!$E$33),"")</f>
        <v>48.206666666666663</v>
      </c>
      <c r="I543" s="90">
        <f>IFERROR(IF($D543="","",VLOOKUP($D543,Cadastro!$C$4:$G$7,5,FALSE())),"")</f>
        <v>0.6</v>
      </c>
      <c r="J543" s="91">
        <f t="shared" si="138"/>
        <v>6.9417599999999995</v>
      </c>
      <c r="K543" s="69">
        <f t="shared" si="139"/>
        <v>42</v>
      </c>
      <c r="L543" s="70" t="s">
        <v>27</v>
      </c>
      <c r="M543" s="70" t="s">
        <v>40</v>
      </c>
      <c r="N543" s="70" t="s">
        <v>51</v>
      </c>
      <c r="O543" s="65">
        <v>0.4465277777777778</v>
      </c>
      <c r="P543" s="65">
        <v>0.66666666666666663</v>
      </c>
      <c r="Q543" s="71">
        <f t="shared" ca="1" si="140"/>
        <v>0.22013888888888883</v>
      </c>
      <c r="R543" s="80"/>
      <c r="S543" s="81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7</v>
      </c>
      <c r="H544" s="88">
        <f>IFERROR(IF($G544="","",$G544*$S$554/$G$554/Cadastro!$E$33),"")</f>
        <v>33.744666666666667</v>
      </c>
      <c r="I544" s="90">
        <f>IFERROR(IF($D544="","",VLOOKUP($D544,Cadastro!$C$4:$G$7,5,FALSE())),"")</f>
        <v>0.6</v>
      </c>
      <c r="J544" s="91">
        <f t="shared" si="138"/>
        <v>4.8592319999999996</v>
      </c>
      <c r="K544" s="64">
        <f t="shared" si="139"/>
        <v>29.400000000000002</v>
      </c>
      <c r="L544" s="61" t="s">
        <v>27</v>
      </c>
      <c r="M544" s="61" t="s">
        <v>48</v>
      </c>
      <c r="N544" s="61" t="s">
        <v>177</v>
      </c>
      <c r="O544" s="65">
        <v>0.69305555555555554</v>
      </c>
      <c r="P544" s="65">
        <v>0.70277777777777772</v>
      </c>
      <c r="Q544" s="66">
        <f t="shared" ca="1" si="140"/>
        <v>9.7222222222221877E-3</v>
      </c>
      <c r="R544" s="80"/>
      <c r="S544" s="81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6</v>
      </c>
      <c r="H545" s="88">
        <f>IFERROR(IF($G545="","",$G545*$S$554/$G$554/Cadastro!$E$33),"")</f>
        <v>28.923999999999999</v>
      </c>
      <c r="I545" s="90">
        <f>IFERROR(IF($D545="","",VLOOKUP($D545,Cadastro!$C$4:$G$7,5,FALSE())),"")</f>
        <v>0.6</v>
      </c>
      <c r="J545" s="91">
        <f t="shared" si="138"/>
        <v>4.1650559999999999</v>
      </c>
      <c r="K545" s="69">
        <f t="shared" si="139"/>
        <v>25.200000000000003</v>
      </c>
      <c r="L545" s="70" t="s">
        <v>26</v>
      </c>
      <c r="M545" s="70" t="s">
        <v>40</v>
      </c>
      <c r="N545" s="70" t="s">
        <v>58</v>
      </c>
      <c r="O545" s="65">
        <v>0.71388888888888891</v>
      </c>
      <c r="P545" s="65">
        <v>0.79166666666666663</v>
      </c>
      <c r="Q545" s="71">
        <f t="shared" ca="1" si="140"/>
        <v>7.7777777777777724E-2</v>
      </c>
      <c r="R545" s="80"/>
      <c r="S545" s="81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8"/>
        <v>0</v>
      </c>
      <c r="K546" s="64">
        <f t="shared" si="139"/>
        <v>0</v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8"/>
        <v>0</v>
      </c>
      <c r="K548" s="64">
        <f t="shared" si="139"/>
        <v>0</v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8"/>
        <v>0</v>
      </c>
      <c r="K549" s="69">
        <f t="shared" si="139"/>
        <v>0</v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8"/>
        <v>0</v>
      </c>
      <c r="K550" s="64">
        <f t="shared" si="139"/>
        <v>0</v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14</v>
      </c>
      <c r="H551" s="88">
        <f>IFERROR(IF($G551="","",$G551*$S$554/$G$554/Cadastro!$E$33),"")</f>
        <v>67.489333333333335</v>
      </c>
      <c r="I551" s="90">
        <f>IFERROR(IF($D551="","",VLOOKUP($D551,Cadastro!$C$4:$G$7,5,FALSE())),"")</f>
        <v>0.6</v>
      </c>
      <c r="J551" s="91">
        <f t="shared" si="138"/>
        <v>9.7184639999999991</v>
      </c>
      <c r="K551" s="69">
        <f t="shared" si="139"/>
        <v>58.800000000000004</v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3</v>
      </c>
      <c r="H552" s="88">
        <f>IFERROR(IF($G552="","",$G552*$S$554/$G$554/Cadastro!$E$33),"")</f>
        <v>14.462</v>
      </c>
      <c r="I552" s="90">
        <f>IFERROR(IF($D552="","",VLOOKUP($D552,Cadastro!$C$4:$G$7,5,FALSE())),"")</f>
        <v>0.6</v>
      </c>
      <c r="J552" s="91">
        <f t="shared" si="138"/>
        <v>2.0825279999999999</v>
      </c>
      <c r="K552" s="64">
        <f t="shared" si="139"/>
        <v>12.600000000000001</v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0</v>
      </c>
      <c r="H553" s="92">
        <f>IFERROR(IF($G553="","",$G553*$S$554/$G$554/Cadastro!$E$33),"")</f>
        <v>0</v>
      </c>
      <c r="I553" s="93">
        <f>IFERROR(IF($D553="","",VLOOKUP($D553,Cadastro!$C$4:$G$7,5,FALSE())),"")</f>
        <v>0.6</v>
      </c>
      <c r="J553" s="94">
        <f t="shared" si="138"/>
        <v>0</v>
      </c>
      <c r="K553" s="69">
        <f t="shared" si="139"/>
        <v>0</v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>
      <c r="A554" s="157" t="s">
        <v>261</v>
      </c>
      <c r="B554" s="157"/>
      <c r="C554" s="157"/>
      <c r="D554" s="157"/>
      <c r="E554" s="157"/>
      <c r="F554" s="95"/>
      <c r="G554" s="96">
        <f>SUM(G542:G553)</f>
        <v>45</v>
      </c>
      <c r="H554" s="95">
        <f>IFERROR(SUM(H542:H553),"")</f>
        <v>216.93</v>
      </c>
      <c r="I554" s="97"/>
      <c r="J554" s="98">
        <f>IFERROR(SUM(J542:J553),"")</f>
        <v>31.237919999999999</v>
      </c>
      <c r="K554" s="2">
        <f>SUM(K542:K553)</f>
        <v>189</v>
      </c>
      <c r="L554" s="72"/>
      <c r="M554" s="72"/>
      <c r="N554" s="72"/>
      <c r="O554" s="72"/>
      <c r="P554" s="72"/>
      <c r="Q554" s="73">
        <f ca="1">IFERROR(SUM(Q542:Q553),"")</f>
        <v>0.32152777777777763</v>
      </c>
      <c r="R554" s="2" t="s">
        <v>262</v>
      </c>
      <c r="S554" s="74">
        <v>216930</v>
      </c>
      <c r="T554" s="99">
        <f>IFERROR(J554,"")</f>
        <v>31.237919999999999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0</v>
      </c>
      <c r="H555" s="101" t="str">
        <f>IFERROR(IF($G555="","",$G555*$S$567/$G$567/Cadastro!$E$33),"")</f>
        <v/>
      </c>
      <c r="I555" s="102">
        <f>IFERROR(IF($D555="","",VLOOKUP($D555,Cadastro!$C$4:$G$7,5,FALSE())),"")</f>
        <v>0.6</v>
      </c>
      <c r="J555" s="103" t="str">
        <f t="shared" ref="J555:J566" si="142">IFERROR(IF($H555="","",$H555*$F555*$I555),"")</f>
        <v/>
      </c>
      <c r="K555" s="69">
        <f t="shared" ref="K555:K566" si="143">IF(G555="","",IF(E555="PC 17",G555*4.2,IF(E555="PC 19",G555*5,IF(E555="CB",G555*24,""))))</f>
        <v>0</v>
      </c>
      <c r="L555" s="70" t="s">
        <v>26</v>
      </c>
      <c r="M555" s="70"/>
      <c r="N555" s="70" t="s">
        <v>58</v>
      </c>
      <c r="O555" s="65">
        <v>0.79166666666666663</v>
      </c>
      <c r="P555" s="65">
        <v>0.29166666666666669</v>
      </c>
      <c r="Q555" s="71">
        <f t="shared" ref="Q555:Q566" ca="1" si="144">IFERROR(IF(O555="","",IF(P555="",MOD(NOW()-O555,1),IF(P555&gt;=O555,P555-O555,P555+1-O555))),"")</f>
        <v>0.50000000000000011</v>
      </c>
      <c r="R555" s="80" t="s">
        <v>345</v>
      </c>
      <c r="S555" s="81"/>
    </row>
    <row r="556" spans="1:20" ht="15" customHeight="1">
      <c r="A556" s="59">
        <v>46255</v>
      </c>
      <c r="B556" s="60">
        <f t="shared" ref="B556:B566" si="145">B555+TIME(0,60,0)</f>
        <v>0.87499999999999967</v>
      </c>
      <c r="C556" s="70" t="s">
        <v>38</v>
      </c>
      <c r="D556" s="75" t="s">
        <v>39</v>
      </c>
      <c r="E556" s="100" t="s">
        <v>275</v>
      </c>
      <c r="F556" s="88">
        <f>IFERROR(IF($D556="","",VLOOKUP($D556,Cadastro!$C$4:$E$7,3,FALSE())),"")</f>
        <v>0.24</v>
      </c>
      <c r="G556" s="89">
        <v>0</v>
      </c>
      <c r="H556" s="88" t="str">
        <f>IFERROR(IF($G556="","",$G556*$S$567/$G$567/Cadastro!$E$33),"")</f>
        <v/>
      </c>
      <c r="I556" s="90">
        <f>IFERROR(IF($D556="","",VLOOKUP($D556,Cadastro!$C$4:$G$7,5,FALSE())),"")</f>
        <v>0.6</v>
      </c>
      <c r="J556" s="91" t="str">
        <f t="shared" si="142"/>
        <v/>
      </c>
      <c r="K556" s="64">
        <f t="shared" si="143"/>
        <v>0</v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>
      <c r="A557" s="18">
        <v>46255</v>
      </c>
      <c r="B557" s="68">
        <f t="shared" si="145"/>
        <v>0.9166666666666663</v>
      </c>
      <c r="C557" s="70" t="s">
        <v>38</v>
      </c>
      <c r="D557" s="75" t="s">
        <v>39</v>
      </c>
      <c r="E557" s="100" t="s">
        <v>275</v>
      </c>
      <c r="F557" s="88">
        <f>IFERROR(IF($D557="","",VLOOKUP($D557,Cadastro!$C$4:$E$7,3,FALSE())),"")</f>
        <v>0.24</v>
      </c>
      <c r="G557" s="89">
        <v>0</v>
      </c>
      <c r="H557" s="88" t="str">
        <f>IFERROR(IF($G557="","",$G557*$S$567/$G$567/Cadastro!$E$33),"")</f>
        <v/>
      </c>
      <c r="I557" s="90">
        <f>IFERROR(IF($D557="","",VLOOKUP($D557,Cadastro!$C$4:$G$7,5,FALSE())),"")</f>
        <v>0.6</v>
      </c>
      <c r="J557" s="91" t="str">
        <f t="shared" si="142"/>
        <v/>
      </c>
      <c r="K557" s="69">
        <f t="shared" si="143"/>
        <v>0</v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>
      <c r="A558" s="59">
        <v>46255</v>
      </c>
      <c r="B558" s="60">
        <f t="shared" si="145"/>
        <v>0.95833333333333293</v>
      </c>
      <c r="C558" s="70" t="s">
        <v>38</v>
      </c>
      <c r="D558" s="75" t="s">
        <v>39</v>
      </c>
      <c r="E558" s="100" t="s">
        <v>275</v>
      </c>
      <c r="F558" s="88">
        <f>IFERROR(IF($D558="","",VLOOKUP($D558,Cadastro!$C$4:$E$7,3,FALSE())),"")</f>
        <v>0.24</v>
      </c>
      <c r="G558" s="89">
        <v>0</v>
      </c>
      <c r="H558" s="88" t="str">
        <f>IFERROR(IF($G558="","",$G558*$S$567/$G$567/Cadastro!$E$33),"")</f>
        <v/>
      </c>
      <c r="I558" s="90">
        <f>IFERROR(IF($D558="","",VLOOKUP($D558,Cadastro!$C$4:$G$7,5,FALSE())),"")</f>
        <v>0.6</v>
      </c>
      <c r="J558" s="91" t="str">
        <f t="shared" si="142"/>
        <v/>
      </c>
      <c r="K558" s="64">
        <f t="shared" si="143"/>
        <v>0</v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>
      <c r="A559" s="18">
        <v>46255</v>
      </c>
      <c r="B559" s="68">
        <f t="shared" si="145"/>
        <v>0.99999999999999956</v>
      </c>
      <c r="C559" s="70" t="s">
        <v>38</v>
      </c>
      <c r="D559" s="75" t="s">
        <v>39</v>
      </c>
      <c r="E559" s="100" t="s">
        <v>275</v>
      </c>
      <c r="F559" s="88">
        <f>IFERROR(IF($D559="","",VLOOKUP($D559,Cadastro!$C$4:$E$7,3,FALSE())),"")</f>
        <v>0.24</v>
      </c>
      <c r="G559" s="89">
        <v>0</v>
      </c>
      <c r="H559" s="88" t="str">
        <f>IFERROR(IF($G559="","",$G559*$S$567/$G$567/Cadastro!$E$33),"")</f>
        <v/>
      </c>
      <c r="I559" s="90">
        <f>IFERROR(IF($D559="","",VLOOKUP($D559,Cadastro!$C$4:$G$7,5,FALSE())),"")</f>
        <v>0.6</v>
      </c>
      <c r="J559" s="91" t="str">
        <f t="shared" si="142"/>
        <v/>
      </c>
      <c r="K559" s="69">
        <f t="shared" si="143"/>
        <v>0</v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>
      <c r="A560" s="59">
        <v>46255</v>
      </c>
      <c r="B560" s="60">
        <f t="shared" si="145"/>
        <v>1.0416666666666663</v>
      </c>
      <c r="C560" s="70" t="s">
        <v>38</v>
      </c>
      <c r="D560" s="75" t="s">
        <v>39</v>
      </c>
      <c r="E560" s="100" t="s">
        <v>275</v>
      </c>
      <c r="F560" s="88">
        <f>IFERROR(IF($D560="","",VLOOKUP($D560,Cadastro!$C$4:$E$7,3,FALSE())),"")</f>
        <v>0.24</v>
      </c>
      <c r="G560" s="89">
        <v>0</v>
      </c>
      <c r="H560" s="88" t="str">
        <f>IFERROR(IF($G560="","",$G560*$S$567/$G$567/Cadastro!$E$33),"")</f>
        <v/>
      </c>
      <c r="I560" s="90">
        <f>IFERROR(IF($D560="","",VLOOKUP($D560,Cadastro!$C$4:$G$7,5,FALSE())),"")</f>
        <v>0.6</v>
      </c>
      <c r="J560" s="91" t="str">
        <f t="shared" si="142"/>
        <v/>
      </c>
      <c r="K560" s="64">
        <f t="shared" si="143"/>
        <v>0</v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>
      <c r="A561" s="18">
        <v>46255</v>
      </c>
      <c r="B561" s="68">
        <f t="shared" si="145"/>
        <v>1.083333333333333</v>
      </c>
      <c r="C561" s="70" t="s">
        <v>38</v>
      </c>
      <c r="D561" s="75" t="s">
        <v>39</v>
      </c>
      <c r="E561" s="100" t="s">
        <v>275</v>
      </c>
      <c r="F561" s="88">
        <f>IFERROR(IF($D561="","",VLOOKUP($D561,Cadastro!$C$4:$E$7,3,FALSE())),"")</f>
        <v>0.24</v>
      </c>
      <c r="G561" s="89">
        <v>0</v>
      </c>
      <c r="H561" s="88" t="str">
        <f>IFERROR(IF($G561="","",$G561*$S$567/$G$567/Cadastro!$E$33),"")</f>
        <v/>
      </c>
      <c r="I561" s="90">
        <f>IFERROR(IF($D561="","",VLOOKUP($D561,Cadastro!$C$4:$G$7,5,FALSE())),"")</f>
        <v>0.6</v>
      </c>
      <c r="J561" s="91" t="str">
        <f t="shared" si="142"/>
        <v/>
      </c>
      <c r="K561" s="69">
        <f t="shared" si="143"/>
        <v>0</v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>
      <c r="A562" s="59">
        <v>46255</v>
      </c>
      <c r="B562" s="60">
        <f t="shared" si="145"/>
        <v>1.1249999999999998</v>
      </c>
      <c r="C562" s="70" t="s">
        <v>38</v>
      </c>
      <c r="D562" s="75" t="s">
        <v>39</v>
      </c>
      <c r="E562" s="100" t="s">
        <v>275</v>
      </c>
      <c r="F562" s="88">
        <f>IFERROR(IF($D562="","",VLOOKUP($D562,Cadastro!$C$4:$E$7,3,FALSE())),"")</f>
        <v>0.24</v>
      </c>
      <c r="G562" s="89">
        <v>0</v>
      </c>
      <c r="H562" s="88" t="str">
        <f>IFERROR(IF($G562="","",$G562*$S$567/$G$567/Cadastro!$E$33),"")</f>
        <v/>
      </c>
      <c r="I562" s="90">
        <f>IFERROR(IF($D562="","",VLOOKUP($D562,Cadastro!$C$4:$G$7,5,FALSE())),"")</f>
        <v>0.6</v>
      </c>
      <c r="J562" s="91" t="str">
        <f t="shared" si="142"/>
        <v/>
      </c>
      <c r="K562" s="64">
        <f t="shared" si="143"/>
        <v>0</v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>
      <c r="A563" s="18">
        <v>46255</v>
      </c>
      <c r="B563" s="68">
        <f t="shared" si="145"/>
        <v>1.1666666666666665</v>
      </c>
      <c r="C563" s="70" t="s">
        <v>38</v>
      </c>
      <c r="D563" s="75" t="s">
        <v>39</v>
      </c>
      <c r="E563" s="100" t="s">
        <v>275</v>
      </c>
      <c r="F563" s="88">
        <f>IFERROR(IF($D563="","",VLOOKUP($D563,Cadastro!$C$4:$E$7,3,FALSE())),"")</f>
        <v>0.24</v>
      </c>
      <c r="G563" s="89">
        <v>0</v>
      </c>
      <c r="H563" s="88" t="str">
        <f>IFERROR(IF($G563="","",$G563*$S$567/$G$567/Cadastro!$E$33),"")</f>
        <v/>
      </c>
      <c r="I563" s="90">
        <f>IFERROR(IF($D563="","",VLOOKUP($D563,Cadastro!$C$4:$G$7,5,FALSE())),"")</f>
        <v>0.6</v>
      </c>
      <c r="J563" s="91" t="str">
        <f t="shared" si="142"/>
        <v/>
      </c>
      <c r="K563" s="69">
        <f t="shared" si="143"/>
        <v>0</v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>
      <c r="A564" s="59">
        <v>46255</v>
      </c>
      <c r="B564" s="60">
        <f t="shared" si="145"/>
        <v>1.2083333333333333</v>
      </c>
      <c r="C564" s="70" t="s">
        <v>38</v>
      </c>
      <c r="D564" s="75" t="s">
        <v>39</v>
      </c>
      <c r="E564" s="100" t="s">
        <v>275</v>
      </c>
      <c r="F564" s="88">
        <f>IFERROR(IF($D564="","",VLOOKUP($D564,Cadastro!$C$4:$E$7,3,FALSE())),"")</f>
        <v>0.24</v>
      </c>
      <c r="G564" s="89">
        <v>0</v>
      </c>
      <c r="H564" s="88" t="str">
        <f>IFERROR(IF($G564="","",$G564*$S$567/$G$567/Cadastro!$E$33),"")</f>
        <v/>
      </c>
      <c r="I564" s="90">
        <f>IFERROR(IF($D564="","",VLOOKUP($D564,Cadastro!$C$4:$G$7,5,FALSE())),"")</f>
        <v>0.6</v>
      </c>
      <c r="J564" s="91" t="str">
        <f t="shared" si="142"/>
        <v/>
      </c>
      <c r="K564" s="64">
        <f t="shared" si="143"/>
        <v>0</v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>
      <c r="A565" s="18">
        <v>46255</v>
      </c>
      <c r="B565" s="68">
        <f t="shared" si="145"/>
        <v>1.25</v>
      </c>
      <c r="C565" s="70" t="s">
        <v>38</v>
      </c>
      <c r="D565" s="75" t="s">
        <v>39</v>
      </c>
      <c r="E565" s="100" t="s">
        <v>275</v>
      </c>
      <c r="F565" s="88">
        <f>IFERROR(IF($D565="","",VLOOKUP($D565,Cadastro!$C$4:$E$7,3,FALSE())),"")</f>
        <v>0.24</v>
      </c>
      <c r="G565" s="89">
        <v>0</v>
      </c>
      <c r="H565" s="88" t="str">
        <f>IFERROR(IF($G565="","",$G565*$S$567/$G$567/Cadastro!$E$33),"")</f>
        <v/>
      </c>
      <c r="I565" s="90">
        <f>IFERROR(IF($D565="","",VLOOKUP($D565,Cadastro!$C$4:$G$7,5,FALSE())),"")</f>
        <v>0.6</v>
      </c>
      <c r="J565" s="91" t="str">
        <f t="shared" si="142"/>
        <v/>
      </c>
      <c r="K565" s="69">
        <f t="shared" si="143"/>
        <v>0</v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>
      <c r="A566" s="59">
        <v>46255</v>
      </c>
      <c r="B566" s="60">
        <f t="shared" si="145"/>
        <v>1.2916666666666667</v>
      </c>
      <c r="C566" s="70" t="s">
        <v>38</v>
      </c>
      <c r="D566" s="75" t="s">
        <v>39</v>
      </c>
      <c r="E566" s="100" t="s">
        <v>275</v>
      </c>
      <c r="F566" s="92">
        <f>IFERROR(IF($D566="","",VLOOKUP($D566,Cadastro!$C$4:$E$7,3,FALSE())),"")</f>
        <v>0.24</v>
      </c>
      <c r="G566" s="89">
        <v>0</v>
      </c>
      <c r="H566" s="92" t="str">
        <f>IFERROR(IF($G566="","",$G566*$S$567/$G$567/Cadastro!$E$33),"")</f>
        <v/>
      </c>
      <c r="I566" s="93">
        <f>IFERROR(IF($D566="","",VLOOKUP($D566,Cadastro!$C$4:$G$7,5,FALSE())),"")</f>
        <v>0.6</v>
      </c>
      <c r="J566" s="94" t="str">
        <f t="shared" si="142"/>
        <v/>
      </c>
      <c r="K566" s="64">
        <f t="shared" si="143"/>
        <v>0</v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>
      <c r="A567" s="157" t="s">
        <v>264</v>
      </c>
      <c r="B567" s="157"/>
      <c r="C567" s="157"/>
      <c r="D567" s="157"/>
      <c r="E567" s="157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0.50000000000000011</v>
      </c>
      <c r="R567" s="2" t="s">
        <v>262</v>
      </c>
      <c r="S567" s="74">
        <v>0</v>
      </c>
      <c r="T567" s="99">
        <f>IFERROR(J567,"")</f>
        <v>0</v>
      </c>
    </row>
    <row r="568" spans="1:20" ht="18" customHeight="1">
      <c r="A568" s="158" t="s">
        <v>250</v>
      </c>
      <c r="B568" s="158"/>
      <c r="C568" s="158"/>
      <c r="D568" s="158"/>
      <c r="E568" s="158"/>
      <c r="F568" s="108"/>
      <c r="G568" s="109">
        <f>G554+G567</f>
        <v>45</v>
      </c>
      <c r="H568" s="108">
        <f>IFERROR(H554+H567,"")</f>
        <v>216.93</v>
      </c>
      <c r="I568" s="110"/>
      <c r="J568" s="111">
        <f>IFERROR(J554+J567,"")</f>
        <v>31.237919999999999</v>
      </c>
      <c r="K568" s="1">
        <f>K554+K567</f>
        <v>189</v>
      </c>
      <c r="L568" s="76"/>
      <c r="M568" s="76"/>
      <c r="N568" s="76"/>
      <c r="O568" s="76"/>
      <c r="P568" s="76"/>
      <c r="Q568" s="77">
        <f ca="1">IFERROR(Q554+Q567,"")</f>
        <v>0.82152777777777775</v>
      </c>
      <c r="R568" s="1" t="s">
        <v>265</v>
      </c>
      <c r="S568" s="82">
        <f>IFERROR(S554+S567,"")</f>
        <v>216930</v>
      </c>
      <c r="T568" s="118">
        <f>IFERROR(J568,"")</f>
        <v>31.237919999999999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275</v>
      </c>
      <c r="F569" s="101">
        <f>IFERROR(IF($D569="","",VLOOKUP($D569,Cadastro!$C$4:$E$7,3,FALSE())),"")</f>
        <v>0.35</v>
      </c>
      <c r="G569" s="89"/>
      <c r="H569" s="101" t="str">
        <f>IFERROR(IF($G569="","",$G569*$S$581/$G$581/Cadastro!$E$33),"")</f>
        <v/>
      </c>
      <c r="I569" s="102">
        <f>IFERROR(IF($D569="","",VLOOKUP($D569,Cadastro!$C$4:$G$7,5,FALSE())),"")</f>
        <v>0.6</v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 t="s">
        <v>27</v>
      </c>
      <c r="M569" s="70" t="s">
        <v>72</v>
      </c>
      <c r="N569" s="70" t="s">
        <v>121</v>
      </c>
      <c r="O569" s="65">
        <v>0.29166666666666669</v>
      </c>
      <c r="P569" s="65"/>
      <c r="Q569" s="71">
        <f t="shared" ref="Q569:Q580" ca="1" si="148">IFERROR(IF(O569="","",IF(P569="",MOD(NOW()-O569,1),IF(P569&gt;=O569,P569-O569,P569+1-O569))),"")</f>
        <v>0.28426134259643732</v>
      </c>
      <c r="R569" s="80"/>
      <c r="S569" s="81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 t="s">
        <v>30</v>
      </c>
      <c r="D570" s="75" t="s">
        <v>31</v>
      </c>
      <c r="E570" s="100" t="s">
        <v>275</v>
      </c>
      <c r="F570" s="88">
        <f>IFERROR(IF($D570="","",VLOOKUP($D570,Cadastro!$C$4:$E$7,3,FALSE())),"")</f>
        <v>0.35</v>
      </c>
      <c r="G570" s="89"/>
      <c r="H570" s="88" t="str">
        <f>IFERROR(IF($G570="","",$G570*$S$581/$G$581/Cadastro!$E$33),"")</f>
        <v/>
      </c>
      <c r="I570" s="90">
        <f>IFERROR(IF($D570="","",VLOOKUP($D570,Cadastro!$C$4:$G$7,5,FALSE())),"")</f>
        <v>0.6</v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80"/>
      <c r="S570" s="81"/>
    </row>
    <row r="571" spans="1:20" ht="15" customHeight="1">
      <c r="A571" s="18">
        <v>46256</v>
      </c>
      <c r="B571" s="68">
        <f t="shared" si="149"/>
        <v>0.41666666666666635</v>
      </c>
      <c r="C571" s="70" t="s">
        <v>30</v>
      </c>
      <c r="D571" s="75" t="s">
        <v>31</v>
      </c>
      <c r="E571" s="100" t="s">
        <v>275</v>
      </c>
      <c r="F571" s="88">
        <f>IFERROR(IF($D571="","",VLOOKUP($D571,Cadastro!$C$4:$E$7,3,FALSE())),"")</f>
        <v>0.35</v>
      </c>
      <c r="G571" s="89"/>
      <c r="H571" s="88" t="str">
        <f>IFERROR(IF($G571="","",$G571*$S$581/$G$581/Cadastro!$E$33),"")</f>
        <v/>
      </c>
      <c r="I571" s="90">
        <f>IFERROR(IF($D571="","",VLOOKUP($D571,Cadastro!$C$4:$G$7,5,FALSE())),"")</f>
        <v>0.6</v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>
      <c r="A572" s="59">
        <v>46256</v>
      </c>
      <c r="B572" s="60">
        <f t="shared" si="149"/>
        <v>0.45833333333333304</v>
      </c>
      <c r="C572" s="70" t="s">
        <v>30</v>
      </c>
      <c r="D572" s="75" t="s">
        <v>31</v>
      </c>
      <c r="E572" s="100" t="s">
        <v>275</v>
      </c>
      <c r="F572" s="88">
        <f>IFERROR(IF($D572="","",VLOOKUP($D572,Cadastro!$C$4:$E$7,3,FALSE())),"")</f>
        <v>0.35</v>
      </c>
      <c r="G572" s="89"/>
      <c r="H572" s="88" t="str">
        <f>IFERROR(IF($G572="","",$G572*$S$581/$G$581/Cadastro!$E$33),"")</f>
        <v/>
      </c>
      <c r="I572" s="90">
        <f>IFERROR(IF($D572="","",VLOOKUP($D572,Cadastro!$C$4:$G$7,5,FALSE())),"")</f>
        <v>0.6</v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>
      <c r="A573" s="18">
        <v>46256</v>
      </c>
      <c r="B573" s="68">
        <f t="shared" si="149"/>
        <v>0.49999999999999972</v>
      </c>
      <c r="C573" s="70" t="s">
        <v>30</v>
      </c>
      <c r="D573" s="75" t="s">
        <v>31</v>
      </c>
      <c r="E573" s="100" t="s">
        <v>275</v>
      </c>
      <c r="F573" s="88">
        <f>IFERROR(IF($D573="","",VLOOKUP($D573,Cadastro!$C$4:$E$7,3,FALSE())),"")</f>
        <v>0.35</v>
      </c>
      <c r="G573" s="89"/>
      <c r="H573" s="88" t="str">
        <f>IFERROR(IF($G573="","",$G573*$S$581/$G$581/Cadastro!$E$33),"")</f>
        <v/>
      </c>
      <c r="I573" s="90">
        <f>IFERROR(IF($D573="","",VLOOKUP($D573,Cadastro!$C$4:$G$7,5,FALSE())),"")</f>
        <v>0.6</v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>
      <c r="A574" s="59">
        <v>46256</v>
      </c>
      <c r="B574" s="60">
        <f t="shared" si="149"/>
        <v>0.54166666666666641</v>
      </c>
      <c r="C574" s="70" t="s">
        <v>30</v>
      </c>
      <c r="D574" s="75" t="s">
        <v>31</v>
      </c>
      <c r="E574" s="100" t="s">
        <v>275</v>
      </c>
      <c r="F574" s="88">
        <f>IFERROR(IF($D574="","",VLOOKUP($D574,Cadastro!$C$4:$E$7,3,FALSE())),"")</f>
        <v>0.35</v>
      </c>
      <c r="G574" s="89"/>
      <c r="H574" s="88" t="str">
        <f>IFERROR(IF($G574="","",$G574*$S$581/$G$581/Cadastro!$E$33),"")</f>
        <v/>
      </c>
      <c r="I574" s="90">
        <f>IFERROR(IF($D574="","",VLOOKUP($D574,Cadastro!$C$4:$G$7,5,FALSE())),"")</f>
        <v>0.6</v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>
      <c r="A575" s="18">
        <v>46256</v>
      </c>
      <c r="B575" s="68">
        <f t="shared" si="149"/>
        <v>0.58333333333333304</v>
      </c>
      <c r="C575" s="70" t="s">
        <v>30</v>
      </c>
      <c r="D575" s="75" t="s">
        <v>31</v>
      </c>
      <c r="E575" s="100" t="s">
        <v>275</v>
      </c>
      <c r="F575" s="88">
        <f>IFERROR(IF($D575="","",VLOOKUP($D575,Cadastro!$C$4:$E$7,3,FALSE())),"")</f>
        <v>0.35</v>
      </c>
      <c r="G575" s="89"/>
      <c r="H575" s="88" t="str">
        <f>IFERROR(IF($G575="","",$G575*$S$581/$G$581/Cadastro!$E$33),"")</f>
        <v/>
      </c>
      <c r="I575" s="90">
        <f>IFERROR(IF($D575="","",VLOOKUP($D575,Cadastro!$C$4:$G$7,5,FALSE())),"")</f>
        <v>0.6</v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>
      <c r="A576" s="59">
        <v>46256</v>
      </c>
      <c r="B576" s="60">
        <f t="shared" si="149"/>
        <v>0.62499999999999967</v>
      </c>
      <c r="C576" s="70" t="s">
        <v>30</v>
      </c>
      <c r="D576" s="75" t="s">
        <v>31</v>
      </c>
      <c r="E576" s="100" t="s">
        <v>275</v>
      </c>
      <c r="F576" s="88">
        <f>IFERROR(IF($D576="","",VLOOKUP($D576,Cadastro!$C$4:$E$7,3,FALSE())),"")</f>
        <v>0.35</v>
      </c>
      <c r="G576" s="89"/>
      <c r="H576" s="88" t="str">
        <f>IFERROR(IF($G576="","",$G576*$S$581/$G$581/Cadastro!$E$33),"")</f>
        <v/>
      </c>
      <c r="I576" s="90">
        <f>IFERROR(IF($D576="","",VLOOKUP($D576,Cadastro!$C$4:$G$7,5,FALSE())),"")</f>
        <v>0.6</v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>
      <c r="A577" s="18">
        <v>46256</v>
      </c>
      <c r="B577" s="68">
        <f t="shared" si="149"/>
        <v>0.6666666666666663</v>
      </c>
      <c r="C577" s="70" t="s">
        <v>30</v>
      </c>
      <c r="D577" s="75" t="s">
        <v>31</v>
      </c>
      <c r="E577" s="100" t="s">
        <v>275</v>
      </c>
      <c r="F577" s="88">
        <f>IFERROR(IF($D577="","",VLOOKUP($D577,Cadastro!$C$4:$E$7,3,FALSE())),"")</f>
        <v>0.35</v>
      </c>
      <c r="G577" s="89"/>
      <c r="H577" s="88" t="str">
        <f>IFERROR(IF($G577="","",$G577*$S$581/$G$581/Cadastro!$E$33),"")</f>
        <v/>
      </c>
      <c r="I577" s="90">
        <f>IFERROR(IF($D577="","",VLOOKUP($D577,Cadastro!$C$4:$G$7,5,FALSE())),"")</f>
        <v>0.6</v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>
      <c r="A578" s="59">
        <v>46256</v>
      </c>
      <c r="B578" s="60">
        <f t="shared" si="149"/>
        <v>0.70833333333333293</v>
      </c>
      <c r="C578" s="70" t="s">
        <v>30</v>
      </c>
      <c r="D578" s="75" t="s">
        <v>31</v>
      </c>
      <c r="E578" s="100" t="s">
        <v>275</v>
      </c>
      <c r="F578" s="88">
        <f>IFERROR(IF($D578="","",VLOOKUP($D578,Cadastro!$C$4:$E$7,3,FALSE())),"")</f>
        <v>0.35</v>
      </c>
      <c r="G578" s="89"/>
      <c r="H578" s="88" t="str">
        <f>IFERROR(IF($G578="","",$G578*$S$581/$G$581/Cadastro!$E$33),"")</f>
        <v/>
      </c>
      <c r="I578" s="90">
        <f>IFERROR(IF($D578="","",VLOOKUP($D578,Cadastro!$C$4:$G$7,5,FALSE())),"")</f>
        <v>0.6</v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>
      <c r="A579" s="18">
        <v>46256</v>
      </c>
      <c r="B579" s="68">
        <f t="shared" si="149"/>
        <v>0.74999999999999956</v>
      </c>
      <c r="C579" s="70" t="s">
        <v>30</v>
      </c>
      <c r="D579" s="75" t="s">
        <v>31</v>
      </c>
      <c r="E579" s="100" t="s">
        <v>275</v>
      </c>
      <c r="F579" s="88">
        <f>IFERROR(IF($D579="","",VLOOKUP($D579,Cadastro!$C$4:$E$7,3,FALSE())),"")</f>
        <v>0.35</v>
      </c>
      <c r="G579" s="89"/>
      <c r="H579" s="88" t="str">
        <f>IFERROR(IF($G579="","",$G579*$S$581/$G$581/Cadastro!$E$33),"")</f>
        <v/>
      </c>
      <c r="I579" s="90">
        <f>IFERROR(IF($D579="","",VLOOKUP($D579,Cadastro!$C$4:$G$7,5,FALSE())),"")</f>
        <v>0.6</v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>
      <c r="A580" s="59">
        <v>46256</v>
      </c>
      <c r="B580" s="60">
        <f t="shared" si="149"/>
        <v>0.79166666666666619</v>
      </c>
      <c r="C580" s="70" t="s">
        <v>30</v>
      </c>
      <c r="D580" s="75" t="s">
        <v>31</v>
      </c>
      <c r="E580" s="100" t="s">
        <v>275</v>
      </c>
      <c r="F580" s="92">
        <f>IFERROR(IF($D580="","",VLOOKUP($D580,Cadastro!$C$4:$E$7,3,FALSE())),"")</f>
        <v>0.35</v>
      </c>
      <c r="G580" s="89"/>
      <c r="H580" s="92" t="str">
        <f>IFERROR(IF($G580="","",$G580*$S$581/$G$581/Cadastro!$E$33),"")</f>
        <v/>
      </c>
      <c r="I580" s="93">
        <f>IFERROR(IF($D580="","",VLOOKUP($D580,Cadastro!$C$4:$G$7,5,FALSE())),"")</f>
        <v>0.6</v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>
      <c r="A581" s="157" t="s">
        <v>261</v>
      </c>
      <c r="B581" s="157"/>
      <c r="C581" s="157"/>
      <c r="D581" s="157"/>
      <c r="E581" s="157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0.28426134259643732</v>
      </c>
      <c r="R581" s="2" t="s">
        <v>262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80"/>
      <c r="S582" s="81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80"/>
      <c r="S583" s="81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80"/>
      <c r="S584" s="81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80"/>
      <c r="S585" s="81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80"/>
      <c r="S586" s="81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80"/>
      <c r="S587" s="81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>
      <c r="A594" s="157" t="s">
        <v>264</v>
      </c>
      <c r="B594" s="157"/>
      <c r="C594" s="157"/>
      <c r="D594" s="157"/>
      <c r="E594" s="157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8" t="s">
        <v>250</v>
      </c>
      <c r="B595" s="158"/>
      <c r="C595" s="158"/>
      <c r="D595" s="158"/>
      <c r="E595" s="158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0.28426134259643732</v>
      </c>
      <c r="R595" s="1" t="s">
        <v>265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80"/>
      <c r="S596" s="81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80"/>
      <c r="S597" s="81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>
      <c r="A608" s="157" t="s">
        <v>261</v>
      </c>
      <c r="B608" s="157"/>
      <c r="C608" s="157"/>
      <c r="D608" s="157"/>
      <c r="E608" s="157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80"/>
      <c r="S609" s="81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80"/>
      <c r="S610" s="81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80"/>
      <c r="S611" s="81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80"/>
      <c r="S612" s="81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>
      <c r="A621" s="157" t="s">
        <v>264</v>
      </c>
      <c r="B621" s="157"/>
      <c r="C621" s="157"/>
      <c r="D621" s="157"/>
      <c r="E621" s="157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8" t="s">
        <v>250</v>
      </c>
      <c r="B622" s="158"/>
      <c r="C622" s="158"/>
      <c r="D622" s="158"/>
      <c r="E622" s="158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265</v>
      </c>
      <c r="S622" s="82">
        <f>S608+S621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80"/>
      <c r="S623" s="81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80"/>
      <c r="S624" s="81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80"/>
      <c r="S625" s="81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80"/>
      <c r="S626" s="81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>
      <c r="A635" s="157" t="s">
        <v>261</v>
      </c>
      <c r="B635" s="157"/>
      <c r="C635" s="157"/>
      <c r="D635" s="157"/>
      <c r="E635" s="157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80"/>
      <c r="S636" s="81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80"/>
      <c r="S637" s="81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80"/>
      <c r="S638" s="81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>
      <c r="A648" s="157" t="s">
        <v>264</v>
      </c>
      <c r="B648" s="157"/>
      <c r="C648" s="157"/>
      <c r="D648" s="157"/>
      <c r="E648" s="157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8" t="s">
        <v>250</v>
      </c>
      <c r="B649" s="158"/>
      <c r="C649" s="158"/>
      <c r="D649" s="158"/>
      <c r="E649" s="158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265</v>
      </c>
      <c r="S649" s="82">
        <f>S635+S648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>
      <c r="A662" s="157" t="s">
        <v>261</v>
      </c>
      <c r="B662" s="157"/>
      <c r="C662" s="157"/>
      <c r="D662" s="157"/>
      <c r="E662" s="157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>
      <c r="A675" s="157" t="s">
        <v>264</v>
      </c>
      <c r="B675" s="157"/>
      <c r="C675" s="157"/>
      <c r="D675" s="157"/>
      <c r="E675" s="157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8" t="s">
        <v>250</v>
      </c>
      <c r="B676" s="158"/>
      <c r="C676" s="158"/>
      <c r="D676" s="158"/>
      <c r="E676" s="158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>
      <c r="A689" s="157" t="s">
        <v>261</v>
      </c>
      <c r="B689" s="157"/>
      <c r="C689" s="157"/>
      <c r="D689" s="157"/>
      <c r="E689" s="157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>
      <c r="A702" s="157" t="s">
        <v>264</v>
      </c>
      <c r="B702" s="157"/>
      <c r="C702" s="157"/>
      <c r="D702" s="157"/>
      <c r="E702" s="157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8" t="s">
        <v>250</v>
      </c>
      <c r="B703" s="158"/>
      <c r="C703" s="158"/>
      <c r="D703" s="158"/>
      <c r="E703" s="158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>
      <c r="A716" s="157" t="s">
        <v>261</v>
      </c>
      <c r="B716" s="157"/>
      <c r="C716" s="157"/>
      <c r="D716" s="157"/>
      <c r="E716" s="157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>
      <c r="A729" s="157" t="s">
        <v>264</v>
      </c>
      <c r="B729" s="157"/>
      <c r="C729" s="157"/>
      <c r="D729" s="157"/>
      <c r="E729" s="157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8" t="s">
        <v>250</v>
      </c>
      <c r="B730" s="158"/>
      <c r="C730" s="158"/>
      <c r="D730" s="158"/>
      <c r="E730" s="158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>
      <c r="A743" s="157" t="s">
        <v>261</v>
      </c>
      <c r="B743" s="157"/>
      <c r="C743" s="157"/>
      <c r="D743" s="157"/>
      <c r="E743" s="157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>
      <c r="A756" s="157" t="s">
        <v>264</v>
      </c>
      <c r="B756" s="157"/>
      <c r="C756" s="157"/>
      <c r="D756" s="157"/>
      <c r="E756" s="157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8" t="s">
        <v>250</v>
      </c>
      <c r="B757" s="158"/>
      <c r="C757" s="158"/>
      <c r="D757" s="158"/>
      <c r="E757" s="158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>
      <c r="A770" s="157" t="s">
        <v>261</v>
      </c>
      <c r="B770" s="157"/>
      <c r="C770" s="157"/>
      <c r="D770" s="157"/>
      <c r="E770" s="157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>
      <c r="A783" s="157" t="s">
        <v>264</v>
      </c>
      <c r="B783" s="157"/>
      <c r="C783" s="157"/>
      <c r="D783" s="157"/>
      <c r="E783" s="157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8" t="s">
        <v>250</v>
      </c>
      <c r="B784" s="158"/>
      <c r="C784" s="158"/>
      <c r="D784" s="158"/>
      <c r="E784" s="158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>
      <c r="A797" s="157" t="s">
        <v>261</v>
      </c>
      <c r="B797" s="157"/>
      <c r="C797" s="157"/>
      <c r="D797" s="157"/>
      <c r="E797" s="157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>
      <c r="A810" s="157" t="s">
        <v>264</v>
      </c>
      <c r="B810" s="157"/>
      <c r="C810" s="157"/>
      <c r="D810" s="157"/>
      <c r="E810" s="157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8" t="s">
        <v>250</v>
      </c>
      <c r="B811" s="158"/>
      <c r="C811" s="158"/>
      <c r="D811" s="158"/>
      <c r="E811" s="158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>
      <c r="A824" s="157" t="s">
        <v>261</v>
      </c>
      <c r="B824" s="157"/>
      <c r="C824" s="157"/>
      <c r="D824" s="157"/>
      <c r="E824" s="157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262</v>
      </c>
      <c r="S824" s="113"/>
      <c r="T824" s="114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>
      <c r="A837" s="157" t="s">
        <v>264</v>
      </c>
      <c r="B837" s="157"/>
      <c r="C837" s="157"/>
      <c r="D837" s="157"/>
      <c r="E837" s="157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262</v>
      </c>
      <c r="S837" s="113"/>
      <c r="T837" s="114">
        <f>IFERROR(J837,"")</f>
        <v>0</v>
      </c>
    </row>
    <row r="838" spans="1:20" ht="18" customHeight="1">
      <c r="A838" s="158" t="s">
        <v>250</v>
      </c>
      <c r="B838" s="158"/>
      <c r="C838" s="158"/>
      <c r="D838" s="158"/>
      <c r="E838" s="158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265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zoomScale="80" zoomScaleNormal="80" workbookViewId="0">
      <pane ySplit="1" topLeftCell="A548" activePane="bottomLeft" state="frozen"/>
      <selection pane="bottomLeft" activeCell="N572" sqref="N572"/>
    </sheetView>
  </sheetViews>
  <sheetFormatPr defaultColWidth="8.5703125" defaultRowHeight="14.4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301</v>
      </c>
      <c r="I1" s="86" t="s">
        <v>22</v>
      </c>
      <c r="J1" s="86" t="s">
        <v>302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302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>
      <c r="A14" s="157" t="s">
        <v>261</v>
      </c>
      <c r="B14" s="157"/>
      <c r="C14" s="157"/>
      <c r="D14" s="157"/>
      <c r="E14" s="157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262</v>
      </c>
      <c r="S14" s="74">
        <v>326520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275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346</v>
      </c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275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145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275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168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275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145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306</v>
      </c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275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172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347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275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275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275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275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275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275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275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>
      <c r="A27" s="157" t="s">
        <v>264</v>
      </c>
      <c r="B27" s="157"/>
      <c r="C27" s="157"/>
      <c r="D27" s="157"/>
      <c r="E27" s="157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262</v>
      </c>
      <c r="S27" s="74">
        <v>358000</v>
      </c>
      <c r="T27" s="99">
        <f>IFERROR(J27,"")</f>
        <v>0</v>
      </c>
    </row>
    <row r="28" spans="1:20" ht="18" customHeight="1">
      <c r="A28" s="158" t="s">
        <v>250</v>
      </c>
      <c r="B28" s="158"/>
      <c r="C28" s="158"/>
      <c r="D28" s="158"/>
      <c r="E28" s="158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265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275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275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275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275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275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275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275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275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275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275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275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275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>
      <c r="A41" s="157" t="s">
        <v>261</v>
      </c>
      <c r="B41" s="157"/>
      <c r="C41" s="157"/>
      <c r="D41" s="157"/>
      <c r="E41" s="157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262</v>
      </c>
      <c r="S41" s="74">
        <v>237080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178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312</v>
      </c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346</v>
      </c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346</v>
      </c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168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144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>
      <c r="A54" s="157" t="s">
        <v>264</v>
      </c>
      <c r="B54" s="157"/>
      <c r="C54" s="157"/>
      <c r="D54" s="157"/>
      <c r="E54" s="157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262</v>
      </c>
      <c r="S54" s="74">
        <v>279980</v>
      </c>
      <c r="T54" s="99">
        <f>IFERROR(J54,"")</f>
        <v>0</v>
      </c>
    </row>
    <row r="55" spans="1:20" ht="18" customHeight="1">
      <c r="A55" s="158" t="s">
        <v>250</v>
      </c>
      <c r="B55" s="158"/>
      <c r="C55" s="158"/>
      <c r="D55" s="158"/>
      <c r="E55" s="158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265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275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275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275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275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275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140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348</v>
      </c>
      <c r="S62" s="67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275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275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275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275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275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>
      <c r="A68" s="157" t="s">
        <v>261</v>
      </c>
      <c r="B68" s="157"/>
      <c r="C68" s="157"/>
      <c r="D68" s="157"/>
      <c r="E68" s="157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262</v>
      </c>
      <c r="S68" s="74">
        <v>221380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349</v>
      </c>
      <c r="S69" s="67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159</v>
      </c>
      <c r="N70" s="61" t="s">
        <v>197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168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168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>
      <c r="A81" s="157" t="s">
        <v>264</v>
      </c>
      <c r="B81" s="157"/>
      <c r="C81" s="157"/>
      <c r="D81" s="157"/>
      <c r="E81" s="157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262</v>
      </c>
      <c r="S81" s="74">
        <v>185920</v>
      </c>
      <c r="T81" s="99">
        <f>IFERROR(J81,"")</f>
        <v>0</v>
      </c>
    </row>
    <row r="82" spans="1:20" ht="18" customHeight="1">
      <c r="A82" s="158" t="s">
        <v>250</v>
      </c>
      <c r="B82" s="158"/>
      <c r="C82" s="158"/>
      <c r="D82" s="158"/>
      <c r="E82" s="158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265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275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350</v>
      </c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148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351</v>
      </c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>
      <c r="A95" s="157" t="s">
        <v>261</v>
      </c>
      <c r="B95" s="157"/>
      <c r="C95" s="157"/>
      <c r="D95" s="157"/>
      <c r="E95" s="157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262</v>
      </c>
      <c r="S95" s="74">
        <v>204160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148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148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352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168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>
      <c r="A108" s="157" t="s">
        <v>264</v>
      </c>
      <c r="B108" s="157"/>
      <c r="C108" s="157"/>
      <c r="D108" s="157"/>
      <c r="E108" s="157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262</v>
      </c>
      <c r="S108" s="74">
        <v>434370</v>
      </c>
      <c r="T108" s="99">
        <f>IFERROR(J108,"")</f>
        <v>0</v>
      </c>
    </row>
    <row r="109" spans="1:20" ht="18" customHeight="1">
      <c r="A109" s="158" t="s">
        <v>250</v>
      </c>
      <c r="B109" s="158"/>
      <c r="C109" s="158"/>
      <c r="D109" s="158"/>
      <c r="E109" s="158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265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>
      <c r="A122" s="157" t="s">
        <v>261</v>
      </c>
      <c r="B122" s="157"/>
      <c r="C122" s="157"/>
      <c r="D122" s="157"/>
      <c r="E122" s="157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262</v>
      </c>
      <c r="S122" s="74">
        <v>320370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168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168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353</v>
      </c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145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141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210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>
      <c r="A135" s="157" t="s">
        <v>264</v>
      </c>
      <c r="B135" s="157"/>
      <c r="C135" s="157"/>
      <c r="D135" s="157"/>
      <c r="E135" s="157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262</v>
      </c>
      <c r="S135" s="74">
        <v>416350</v>
      </c>
      <c r="T135" s="99">
        <f>IFERROR(J135,"")</f>
        <v>0</v>
      </c>
    </row>
    <row r="136" spans="1:20" ht="18" customHeight="1">
      <c r="A136" s="158" t="s">
        <v>250</v>
      </c>
      <c r="B136" s="158"/>
      <c r="C136" s="158"/>
      <c r="D136" s="158"/>
      <c r="E136" s="158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265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354</v>
      </c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216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148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320</v>
      </c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57" t="s">
        <v>261</v>
      </c>
      <c r="B149" s="157"/>
      <c r="C149" s="157"/>
      <c r="D149" s="157"/>
      <c r="E149" s="157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262</v>
      </c>
      <c r="S149" s="74">
        <v>138890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312</v>
      </c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7" t="s">
        <v>264</v>
      </c>
      <c r="B162" s="157"/>
      <c r="C162" s="157"/>
      <c r="D162" s="157"/>
      <c r="E162" s="157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262</v>
      </c>
      <c r="S162" s="74">
        <v>169760</v>
      </c>
      <c r="T162" s="99">
        <f>IFERROR(J162,"")</f>
        <v>0</v>
      </c>
    </row>
    <row r="163" spans="1:20" ht="18" customHeight="1">
      <c r="A163" s="158" t="s">
        <v>250</v>
      </c>
      <c r="B163" s="158"/>
      <c r="C163" s="158"/>
      <c r="D163" s="158"/>
      <c r="E163" s="158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265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275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275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355</v>
      </c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275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275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275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275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275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275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168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275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168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275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275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7" t="s">
        <v>261</v>
      </c>
      <c r="B176" s="157"/>
      <c r="C176" s="157"/>
      <c r="D176" s="157"/>
      <c r="E176" s="157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262</v>
      </c>
      <c r="S176" s="74">
        <v>271350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275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356</v>
      </c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275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159</v>
      </c>
      <c r="N181" s="70" t="s">
        <v>144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275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323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275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323</v>
      </c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275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275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7" t="s">
        <v>264</v>
      </c>
      <c r="B189" s="157"/>
      <c r="C189" s="157"/>
      <c r="D189" s="157"/>
      <c r="E189" s="157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262</v>
      </c>
      <c r="S189" s="74">
        <v>72220</v>
      </c>
      <c r="T189" s="99">
        <f>IFERROR(J189,"")</f>
        <v>0</v>
      </c>
    </row>
    <row r="190" spans="1:20" ht="18" customHeight="1">
      <c r="A190" s="158" t="s">
        <v>250</v>
      </c>
      <c r="B190" s="158"/>
      <c r="C190" s="158"/>
      <c r="D190" s="158"/>
      <c r="E190" s="158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265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159</v>
      </c>
      <c r="N194" s="61" t="s">
        <v>193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159</v>
      </c>
      <c r="N195" s="61" t="s">
        <v>193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7" t="s">
        <v>261</v>
      </c>
      <c r="B203" s="157"/>
      <c r="C203" s="157"/>
      <c r="D203" s="157"/>
      <c r="E203" s="157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262</v>
      </c>
      <c r="S203" s="74">
        <v>92510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357</v>
      </c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>
      <c r="A216" s="157" t="s">
        <v>264</v>
      </c>
      <c r="B216" s="157"/>
      <c r="C216" s="157"/>
      <c r="D216" s="157"/>
      <c r="E216" s="157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262</v>
      </c>
      <c r="S216" s="74">
        <v>148720</v>
      </c>
      <c r="T216" s="99">
        <f>IFERROR(J216,"")</f>
        <v>0</v>
      </c>
    </row>
    <row r="217" spans="1:20" ht="18" customHeight="1">
      <c r="A217" s="158" t="s">
        <v>250</v>
      </c>
      <c r="B217" s="158"/>
      <c r="C217" s="158"/>
      <c r="D217" s="158"/>
      <c r="E217" s="158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265</v>
      </c>
      <c r="S217" s="82">
        <f>IFERROR(S203+S216,"")</f>
        <v>241230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145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168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145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358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145</v>
      </c>
      <c r="N222" s="61" t="s">
        <v>70</v>
      </c>
      <c r="O222" s="65">
        <v>0.69930555555555596</v>
      </c>
      <c r="P222" s="65" t="s">
        <v>359</v>
      </c>
      <c r="Q222" s="66" t="str">
        <f t="shared" ca="1" si="49"/>
        <v/>
      </c>
      <c r="R222" s="63" t="s">
        <v>360</v>
      </c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>
      <c r="A230" s="157" t="s">
        <v>261</v>
      </c>
      <c r="B230" s="157"/>
      <c r="C230" s="157"/>
      <c r="D230" s="157"/>
      <c r="E230" s="157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262</v>
      </c>
      <c r="S230" s="74">
        <v>329640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>
      <c r="A243" s="157" t="s">
        <v>264</v>
      </c>
      <c r="B243" s="157"/>
      <c r="C243" s="157"/>
      <c r="D243" s="157"/>
      <c r="E243" s="157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262</v>
      </c>
      <c r="S243" s="74">
        <v>352720</v>
      </c>
      <c r="T243" s="99">
        <f>IFERROR(J243,"")</f>
        <v>0</v>
      </c>
    </row>
    <row r="244" spans="1:20" ht="18" customHeight="1">
      <c r="A244" s="158" t="s">
        <v>250</v>
      </c>
      <c r="B244" s="158"/>
      <c r="C244" s="158"/>
      <c r="D244" s="158"/>
      <c r="E244" s="158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265</v>
      </c>
      <c r="S244" s="82">
        <f>IFERROR(S230+S243,"")</f>
        <v>682360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361</v>
      </c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260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260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>
      <c r="A257" s="157" t="s">
        <v>261</v>
      </c>
      <c r="B257" s="157"/>
      <c r="C257" s="157"/>
      <c r="D257" s="157"/>
      <c r="E257" s="157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262</v>
      </c>
      <c r="S257" s="74">
        <v>549440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54" t="s">
        <v>275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275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275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275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275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275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275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275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275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275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275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275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>
      <c r="A270" s="157" t="s">
        <v>264</v>
      </c>
      <c r="B270" s="157"/>
      <c r="C270" s="157"/>
      <c r="D270" s="157"/>
      <c r="E270" s="157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262</v>
      </c>
      <c r="S270" s="74">
        <v>327900</v>
      </c>
      <c r="T270" s="99">
        <f>IFERROR(J270,"")</f>
        <v>0</v>
      </c>
    </row>
    <row r="271" spans="1:20" ht="18" customHeight="1">
      <c r="A271" s="158" t="s">
        <v>250</v>
      </c>
      <c r="B271" s="158"/>
      <c r="C271" s="158"/>
      <c r="D271" s="158"/>
      <c r="E271" s="158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265</v>
      </c>
      <c r="S271" s="82">
        <f>IFERROR(S257+S270,"")</f>
        <v>877340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275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275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275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275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260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275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>
      <c r="A284" s="157" t="s">
        <v>261</v>
      </c>
      <c r="B284" s="157"/>
      <c r="C284" s="157"/>
      <c r="D284" s="157"/>
      <c r="E284" s="157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262</v>
      </c>
      <c r="S284" s="74">
        <v>373120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260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260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275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260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260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260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260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260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260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260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260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260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>
      <c r="A297" s="157" t="s">
        <v>264</v>
      </c>
      <c r="B297" s="157"/>
      <c r="C297" s="157"/>
      <c r="D297" s="157"/>
      <c r="E297" s="157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262</v>
      </c>
      <c r="S297" s="74">
        <v>462190</v>
      </c>
      <c r="T297" s="99">
        <f>IFERROR(J297,"")</f>
        <v>0</v>
      </c>
    </row>
    <row r="298" spans="1:20" ht="18" customHeight="1">
      <c r="A298" s="158" t="s">
        <v>250</v>
      </c>
      <c r="B298" s="158"/>
      <c r="C298" s="158"/>
      <c r="D298" s="158"/>
      <c r="E298" s="158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265</v>
      </c>
      <c r="S298" s="82">
        <f>IFERROR(S284+S297,"")</f>
        <v>835310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275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210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275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210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275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195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275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275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275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275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275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275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275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275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275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>
      <c r="A311" s="157" t="s">
        <v>261</v>
      </c>
      <c r="B311" s="157"/>
      <c r="C311" s="157"/>
      <c r="D311" s="157"/>
      <c r="E311" s="157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262</v>
      </c>
      <c r="S311" s="74">
        <v>567440</v>
      </c>
      <c r="T311" s="99">
        <f>IFERROR(J311,"")</f>
        <v>96.630879999999991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275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275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148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275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275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145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275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145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275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275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275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275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275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275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275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>
      <c r="A324" s="157" t="s">
        <v>264</v>
      </c>
      <c r="B324" s="157"/>
      <c r="C324" s="157"/>
      <c r="D324" s="157"/>
      <c r="E324" s="157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262</v>
      </c>
      <c r="S324" s="74">
        <v>289490</v>
      </c>
      <c r="T324" s="99">
        <f>IFERROR(J324,"")</f>
        <v>41.68656</v>
      </c>
    </row>
    <row r="325" spans="1:20" ht="18" customHeight="1">
      <c r="A325" s="158" t="s">
        <v>250</v>
      </c>
      <c r="B325" s="158"/>
      <c r="C325" s="158"/>
      <c r="D325" s="158"/>
      <c r="E325" s="158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265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148</v>
      </c>
      <c r="N326" s="61" t="s">
        <v>140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330</v>
      </c>
      <c r="S326" s="81"/>
    </row>
    <row r="327" spans="1:20" ht="15" customHeight="1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148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362</v>
      </c>
      <c r="S327" s="81"/>
    </row>
    <row r="328" spans="1:20" ht="15" customHeight="1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136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148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331</v>
      </c>
      <c r="S329" s="81"/>
    </row>
    <row r="330" spans="1:20" ht="15" customHeight="1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260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275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>
      <c r="A338" s="157" t="s">
        <v>261</v>
      </c>
      <c r="B338" s="157"/>
      <c r="C338" s="157"/>
      <c r="D338" s="157"/>
      <c r="E338" s="157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262</v>
      </c>
      <c r="S338" s="74">
        <v>387310</v>
      </c>
      <c r="T338" s="99">
        <f>IFERROR(J338,"")</f>
        <v>81.335099999999983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145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145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>
      <c r="A351" s="157" t="s">
        <v>264</v>
      </c>
      <c r="B351" s="157"/>
      <c r="C351" s="157"/>
      <c r="D351" s="157"/>
      <c r="E351" s="157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262</v>
      </c>
      <c r="S351" s="74">
        <v>256170</v>
      </c>
      <c r="T351" s="99">
        <f>IFERROR(J351,"")</f>
        <v>53.795699999999997</v>
      </c>
    </row>
    <row r="352" spans="1:20" ht="18" customHeight="1">
      <c r="A352" s="158" t="s">
        <v>250</v>
      </c>
      <c r="B352" s="158"/>
      <c r="C352" s="158"/>
      <c r="D352" s="158"/>
      <c r="E352" s="158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265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312</v>
      </c>
      <c r="S354" s="81"/>
    </row>
    <row r="355" spans="1:20" ht="15" customHeight="1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168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145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>
      <c r="A365" s="157" t="s">
        <v>261</v>
      </c>
      <c r="B365" s="157"/>
      <c r="C365" s="157"/>
      <c r="D365" s="157"/>
      <c r="E365" s="157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262</v>
      </c>
      <c r="S365" s="74">
        <v>332130</v>
      </c>
      <c r="T365" s="99">
        <f>IFERROR(J365,"")</f>
        <v>69.747299999999981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145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216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>
      <c r="A378" s="157" t="s">
        <v>264</v>
      </c>
      <c r="B378" s="157"/>
      <c r="C378" s="157"/>
      <c r="D378" s="157"/>
      <c r="E378" s="157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262</v>
      </c>
      <c r="S378" s="74">
        <v>360560</v>
      </c>
      <c r="T378" s="99">
        <f>IFERROR(J378,"")</f>
        <v>75.71759999999999</v>
      </c>
    </row>
    <row r="379" spans="1:20" ht="18" customHeight="1">
      <c r="A379" s="158" t="s">
        <v>250</v>
      </c>
      <c r="B379" s="158"/>
      <c r="C379" s="158"/>
      <c r="D379" s="158"/>
      <c r="E379" s="158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265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275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363</v>
      </c>
      <c r="S383" s="81"/>
    </row>
    <row r="384" spans="1:20" ht="15" customHeight="1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334</v>
      </c>
      <c r="S384" s="81"/>
    </row>
    <row r="385" spans="1:20" ht="15" customHeight="1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>
      <c r="A392" s="157" t="s">
        <v>261</v>
      </c>
      <c r="B392" s="157"/>
      <c r="C392" s="157"/>
      <c r="D392" s="157"/>
      <c r="E392" s="157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262</v>
      </c>
      <c r="S392" s="74">
        <v>479620</v>
      </c>
      <c r="T392" s="99">
        <f>IFERROR(J392,"")</f>
        <v>100.72019999999998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168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168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>
      <c r="A405" s="157" t="s">
        <v>264</v>
      </c>
      <c r="B405" s="157"/>
      <c r="C405" s="157"/>
      <c r="D405" s="157"/>
      <c r="E405" s="157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262</v>
      </c>
      <c r="S405" s="74">
        <v>489360</v>
      </c>
      <c r="T405" s="99">
        <f>IFERROR(J405,"")</f>
        <v>99.305125714285708</v>
      </c>
    </row>
    <row r="406" spans="1:20" ht="18" customHeight="1">
      <c r="A406" s="158" t="s">
        <v>250</v>
      </c>
      <c r="B406" s="158"/>
      <c r="C406" s="158"/>
      <c r="D406" s="158"/>
      <c r="E406" s="158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265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364</v>
      </c>
      <c r="S408" s="81"/>
    </row>
    <row r="409" spans="1:20" ht="15" customHeight="1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>
      <c r="A419" s="157" t="s">
        <v>261</v>
      </c>
      <c r="B419" s="157"/>
      <c r="C419" s="157"/>
      <c r="D419" s="157"/>
      <c r="E419" s="157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262</v>
      </c>
      <c r="S419" s="74">
        <v>447620</v>
      </c>
      <c r="T419" s="99">
        <f>IFERROR(J419,"")</f>
        <v>64.457279999999997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365</v>
      </c>
    </row>
    <row r="421" spans="1:20" ht="15" customHeight="1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168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>
      <c r="A432" s="157" t="s">
        <v>264</v>
      </c>
      <c r="B432" s="157"/>
      <c r="C432" s="157"/>
      <c r="D432" s="157"/>
      <c r="E432" s="157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262</v>
      </c>
      <c r="S432" s="74">
        <v>180150</v>
      </c>
      <c r="T432" s="99">
        <f>IFERROR(J432,"")</f>
        <v>25.941599999999998</v>
      </c>
    </row>
    <row r="433" spans="1:20" ht="18" customHeight="1">
      <c r="A433" s="158" t="s">
        <v>250</v>
      </c>
      <c r="B433" s="158"/>
      <c r="C433" s="158"/>
      <c r="D433" s="158"/>
      <c r="E433" s="158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265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275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366</v>
      </c>
      <c r="S434" s="81"/>
    </row>
    <row r="435" spans="1:20" ht="15" customHeight="1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366</v>
      </c>
      <c r="S436" s="81"/>
    </row>
    <row r="437" spans="1:20" ht="15" customHeight="1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275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>
      <c r="A446" s="157" t="s">
        <v>261</v>
      </c>
      <c r="B446" s="157"/>
      <c r="C446" s="157"/>
      <c r="D446" s="157"/>
      <c r="E446" s="157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262</v>
      </c>
      <c r="S446" s="74">
        <v>389280</v>
      </c>
      <c r="T446" s="99">
        <f>IFERROR(J446,"")</f>
        <v>74.494452705882338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136</v>
      </c>
      <c r="N447" s="70" t="s">
        <v>221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210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367</v>
      </c>
      <c r="S449" s="81"/>
    </row>
    <row r="450" spans="1:20" ht="15" customHeight="1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275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>
      <c r="A459" s="157" t="s">
        <v>264</v>
      </c>
      <c r="B459" s="157"/>
      <c r="C459" s="157"/>
      <c r="D459" s="157"/>
      <c r="E459" s="157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262</v>
      </c>
      <c r="S459" s="74">
        <v>471910</v>
      </c>
      <c r="T459" s="99">
        <f>IFERROR(J459,"")</f>
        <v>92.928007027027007</v>
      </c>
    </row>
    <row r="460" spans="1:20" ht="18" customHeight="1">
      <c r="A460" s="158" t="s">
        <v>250</v>
      </c>
      <c r="B460" s="158"/>
      <c r="C460" s="158"/>
      <c r="D460" s="158"/>
      <c r="E460" s="158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265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>
      <c r="A473" s="157" t="s">
        <v>261</v>
      </c>
      <c r="B473" s="157"/>
      <c r="C473" s="157"/>
      <c r="D473" s="157"/>
      <c r="E473" s="157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262</v>
      </c>
      <c r="S473" s="74">
        <v>353640</v>
      </c>
      <c r="T473" s="99">
        <f>IFERROR(J473,"")</f>
        <v>50.924159999999993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312</v>
      </c>
      <c r="S474" s="81"/>
    </row>
    <row r="475" spans="1:20" ht="15" customHeight="1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136</v>
      </c>
      <c r="N475" s="70" t="s">
        <v>194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168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140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368</v>
      </c>
      <c r="S477" s="81"/>
    </row>
    <row r="478" spans="1:20" ht="15" customHeight="1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>
      <c r="A486" s="157" t="s">
        <v>264</v>
      </c>
      <c r="B486" s="157"/>
      <c r="C486" s="157"/>
      <c r="D486" s="157"/>
      <c r="E486" s="157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262</v>
      </c>
      <c r="S486" s="74">
        <v>261400</v>
      </c>
      <c r="T486" s="99">
        <f>IFERROR(J486,"")</f>
        <v>37.641599999999997</v>
      </c>
    </row>
    <row r="487" spans="1:20" ht="18" customHeight="1">
      <c r="A487" s="158" t="s">
        <v>250</v>
      </c>
      <c r="B487" s="158"/>
      <c r="C487" s="158"/>
      <c r="D487" s="158"/>
      <c r="E487" s="158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265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15.510416666666666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2.2334999999999998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46.53125</v>
      </c>
      <c r="I489" s="90">
        <f>IFERROR(IF($D489="","",VLOOKUP($D489,Cadastro!$C$4:$G$7,5,FALSE())),"")</f>
        <v>0.6</v>
      </c>
      <c r="J489" s="91">
        <f t="shared" si="120"/>
        <v>6.7004999999999999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25.850694444444446</v>
      </c>
      <c r="I490" s="90">
        <f>IFERROR(IF($D490="","",VLOOKUP($D490,Cadastro!$C$4:$G$7,5,FALSE())),"")</f>
        <v>0.6</v>
      </c>
      <c r="J490" s="91">
        <f t="shared" si="120"/>
        <v>3.7224999999999997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25.850694444444446</v>
      </c>
      <c r="I491" s="90">
        <f>IFERROR(IF($D491="","",VLOOKUP($D491,Cadastro!$C$4:$G$7,5,FALSE())),"")</f>
        <v>0.6</v>
      </c>
      <c r="J491" s="91">
        <f t="shared" si="120"/>
        <v>3.7224999999999997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25.850694444444446</v>
      </c>
      <c r="I492" s="90">
        <f>IFERROR(IF($D492="","",VLOOKUP($D492,Cadastro!$C$4:$G$7,5,FALSE())),"")</f>
        <v>0.6</v>
      </c>
      <c r="J492" s="91">
        <f t="shared" si="120"/>
        <v>3.7224999999999997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275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31.020833333333332</v>
      </c>
      <c r="I493" s="90">
        <f>IFERROR(IF($D493="","",VLOOKUP($D493,Cadastro!$C$4:$G$7,5,FALSE())),"")</f>
        <v>0.6</v>
      </c>
      <c r="J493" s="91">
        <f t="shared" si="120"/>
        <v>4.4669999999999996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15.510416666666666</v>
      </c>
      <c r="I495" s="90">
        <f>IFERROR(IF($D495="","",VLOOKUP($D495,Cadastro!$C$4:$G$7,5,FALSE())),"")</f>
        <v>0.6</v>
      </c>
      <c r="J495" s="91">
        <f t="shared" si="120"/>
        <v>2.2334999999999998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67.211805555555557</v>
      </c>
      <c r="I496" s="90">
        <f>IFERROR(IF($D496="","",VLOOKUP($D496,Cadastro!$C$4:$G$7,5,FALSE())),"")</f>
        <v>0.6</v>
      </c>
      <c r="J496" s="91">
        <f t="shared" si="120"/>
        <v>9.6784999999999979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20.680555555555554</v>
      </c>
      <c r="I497" s="90">
        <f>IFERROR(IF($D497="","",VLOOKUP($D497,Cadastro!$C$4:$G$7,5,FALSE())),"")</f>
        <v>0.6</v>
      </c>
      <c r="J497" s="91">
        <f t="shared" si="120"/>
        <v>2.9779999999999998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 t="s">
        <v>353</v>
      </c>
      <c r="S497" s="81"/>
    </row>
    <row r="498" spans="1:20" ht="15" customHeight="1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12</v>
      </c>
      <c r="H498" s="88">
        <f>IFERROR(IF($G498="","",$G498*$S$500/$G$500/Cadastro!$E$33),"")</f>
        <v>62.041666666666664</v>
      </c>
      <c r="I498" s="90">
        <f>IFERROR(IF($D498="","",VLOOKUP($D498,Cadastro!$C$4:$G$7,5,FALSE())),"")</f>
        <v>0.6</v>
      </c>
      <c r="J498" s="91">
        <f t="shared" si="120"/>
        <v>8.9339999999999993</v>
      </c>
      <c r="K498" s="64">
        <f>IF(G498="","",IF(E498="PC 17",G498*4.2,IF(E498="PC 19",G498*5,IF(E498="CB",G498*24,""))))</f>
        <v>50.400000000000006</v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7</v>
      </c>
      <c r="H499" s="92">
        <f>IFERROR(IF($G499="","",$G499*$S$500/$G$500/Cadastro!$E$33),"")</f>
        <v>36.190972222222221</v>
      </c>
      <c r="I499" s="93">
        <f>IFERROR(IF($D499="","",VLOOKUP($D499,Cadastro!$C$4:$G$7,5,FALSE())),"")</f>
        <v>0.6</v>
      </c>
      <c r="J499" s="94">
        <f t="shared" si="120"/>
        <v>5.2115</v>
      </c>
      <c r="K499" s="69">
        <f>IF(G499="","",IF(E499="PC 17",G499*4.2,IF(E499="PC 19",G499*5,IF(E499="CB",G499*24,""))))</f>
        <v>29.400000000000002</v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>
      <c r="A500" s="157" t="s">
        <v>261</v>
      </c>
      <c r="B500" s="157"/>
      <c r="C500" s="157"/>
      <c r="D500" s="157"/>
      <c r="E500" s="157"/>
      <c r="F500" s="95"/>
      <c r="G500" s="96">
        <f>SUM(G488:G499)</f>
        <v>72</v>
      </c>
      <c r="H500" s="95">
        <f>IFERROR(SUM(H488:H499),"")</f>
        <v>372.25</v>
      </c>
      <c r="I500" s="97"/>
      <c r="J500" s="98">
        <f>IFERROR(SUM(J488:J499),"")</f>
        <v>53.603999999999992</v>
      </c>
      <c r="K500" s="2">
        <f>SUM(K488:K499)</f>
        <v>306.39999999999998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262</v>
      </c>
      <c r="S500" s="74">
        <v>372250</v>
      </c>
      <c r="T500" s="99">
        <f>IFERROR(J500,"")</f>
        <v>53.603999999999992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7</v>
      </c>
      <c r="H501" s="101">
        <f>IFERROR(IF($G501="","",$G501*$S$513/$G$513/Cadastro!$E$33),"")</f>
        <v>29.761666666666667</v>
      </c>
      <c r="I501" s="102">
        <f>IFERROR(IF($D501="","",VLOOKUP($D501,Cadastro!$C$4:$G$7,5,FALSE())),"")</f>
        <v>0.6</v>
      </c>
      <c r="J501" s="103">
        <f t="shared" ref="J501:J512" si="123">IFERROR(IF($H501="","",$H501*$F501*$I501),"")</f>
        <v>4.2856799999999993</v>
      </c>
      <c r="K501" s="69">
        <f t="shared" ref="K501:K512" si="124">IF(G501="","",IF(E501="PC 17",G501*4.2,IF(E501="PC 19",G501*5,IF(E501="CB",G501*24,""))))</f>
        <v>29.400000000000002</v>
      </c>
      <c r="L501" s="70" t="s">
        <v>29</v>
      </c>
      <c r="M501" s="70" t="s">
        <v>133</v>
      </c>
      <c r="N501" s="70" t="s">
        <v>123</v>
      </c>
      <c r="O501" s="65">
        <v>0.96111111111111114</v>
      </c>
      <c r="P501" s="65">
        <v>0.98263888888888884</v>
      </c>
      <c r="Q501" s="71">
        <f t="shared" ref="Q501:Q512" ca="1" si="125">IFERROR(IF(O501="","",IF(P501="",MOD(NOW()-O501,1),IF(P501&gt;=O501,P501-O501,P501+1-O501))),"")</f>
        <v>2.1527777777777701E-2</v>
      </c>
      <c r="R501" s="63" t="s">
        <v>369</v>
      </c>
      <c r="S501" s="81"/>
    </row>
    <row r="502" spans="1:20" ht="15" customHeight="1">
      <c r="A502" s="59">
        <v>46253</v>
      </c>
      <c r="B502" s="60">
        <f t="shared" ref="B502:B512" si="126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9</v>
      </c>
      <c r="H502" s="88">
        <f>IFERROR(IF($G502="","",$G502*$S$513/$G$513/Cadastro!$E$33),"")</f>
        <v>38.265000000000001</v>
      </c>
      <c r="I502" s="90">
        <f>IFERROR(IF($D502="","",VLOOKUP($D502,Cadastro!$C$4:$G$7,5,FALSE())),"")</f>
        <v>0.6</v>
      </c>
      <c r="J502" s="91">
        <f t="shared" si="123"/>
        <v>5.5101599999999999</v>
      </c>
      <c r="K502" s="64">
        <f t="shared" si="124"/>
        <v>37.800000000000004</v>
      </c>
      <c r="L502" s="61" t="s">
        <v>29</v>
      </c>
      <c r="M502" s="61" t="s">
        <v>56</v>
      </c>
      <c r="N502" s="61" t="s">
        <v>60</v>
      </c>
      <c r="O502" s="65">
        <v>0.98888888888888893</v>
      </c>
      <c r="P502" s="65">
        <v>0.99652777777777779</v>
      </c>
      <c r="Q502" s="66">
        <f t="shared" ca="1" si="125"/>
        <v>7.6388888888888618E-3</v>
      </c>
      <c r="R502" s="124"/>
      <c r="S502" s="81"/>
    </row>
    <row r="503" spans="1:20" ht="15" customHeight="1">
      <c r="A503" s="18">
        <v>46253</v>
      </c>
      <c r="B503" s="68">
        <f t="shared" si="126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7</v>
      </c>
      <c r="H503" s="88">
        <f>IFERROR(IF($G503="","",$G503*$S$513/$G$513/Cadastro!$E$33),"")</f>
        <v>29.761666666666667</v>
      </c>
      <c r="I503" s="90">
        <f>IFERROR(IF($D503="","",VLOOKUP($D503,Cadastro!$C$4:$G$7,5,FALSE())),"")</f>
        <v>0.6</v>
      </c>
      <c r="J503" s="91">
        <f t="shared" si="123"/>
        <v>4.2856799999999993</v>
      </c>
      <c r="K503" s="69">
        <f t="shared" si="124"/>
        <v>29.400000000000002</v>
      </c>
      <c r="L503" s="70" t="s">
        <v>29</v>
      </c>
      <c r="M503" s="61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5"/>
        <v>2.7083333333333331E-2</v>
      </c>
      <c r="R503" s="63"/>
      <c r="S503" s="81"/>
    </row>
    <row r="504" spans="1:20" ht="15" customHeight="1">
      <c r="A504" s="59">
        <v>46253</v>
      </c>
      <c r="B504" s="60">
        <f t="shared" si="126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6</v>
      </c>
      <c r="H504" s="88">
        <f>IFERROR(IF($G504="","",$G504*$S$513/$G$513/Cadastro!$E$33),"")</f>
        <v>25.51</v>
      </c>
      <c r="I504" s="90">
        <f>IFERROR(IF($D504="","",VLOOKUP($D504,Cadastro!$C$4:$G$7,5,FALSE())),"")</f>
        <v>0.6</v>
      </c>
      <c r="J504" s="91">
        <f t="shared" si="123"/>
        <v>3.6734399999999998</v>
      </c>
      <c r="K504" s="64">
        <f t="shared" si="124"/>
        <v>25.200000000000003</v>
      </c>
      <c r="L504" s="61" t="s">
        <v>29</v>
      </c>
      <c r="M504" s="124"/>
      <c r="N504" s="61" t="s">
        <v>210</v>
      </c>
      <c r="O504" s="65">
        <v>4.8611111111111112E-2</v>
      </c>
      <c r="P504" s="65">
        <v>6.25E-2</v>
      </c>
      <c r="Q504" s="66">
        <f t="shared" ca="1" si="125"/>
        <v>1.3888888888888888E-2</v>
      </c>
      <c r="R504" s="63"/>
      <c r="S504" s="81"/>
    </row>
    <row r="505" spans="1:20" ht="15" customHeight="1">
      <c r="A505" s="18">
        <v>46253</v>
      </c>
      <c r="B505" s="68">
        <f t="shared" si="126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6</v>
      </c>
      <c r="H505" s="88">
        <f>IFERROR(IF($G505="","",$G505*$S$513/$G$513/Cadastro!$E$33),"")</f>
        <v>25.51</v>
      </c>
      <c r="I505" s="90">
        <f>IFERROR(IF($D505="","",VLOOKUP($D505,Cadastro!$C$4:$G$7,5,FALSE())),"")</f>
        <v>0.6</v>
      </c>
      <c r="J505" s="91">
        <f t="shared" si="123"/>
        <v>3.6734399999999998</v>
      </c>
      <c r="K505" s="69">
        <f t="shared" si="124"/>
        <v>25.200000000000003</v>
      </c>
      <c r="L505" s="70" t="s">
        <v>27</v>
      </c>
      <c r="M505" s="70" t="s">
        <v>56</v>
      </c>
      <c r="N505" s="70" t="s">
        <v>167</v>
      </c>
      <c r="O505" s="65">
        <v>0.13055555555555556</v>
      </c>
      <c r="P505" s="65">
        <v>0.16319444444444445</v>
      </c>
      <c r="Q505" s="71">
        <f t="shared" ca="1" si="125"/>
        <v>3.2638888888888884E-2</v>
      </c>
      <c r="R505" s="63" t="s">
        <v>370</v>
      </c>
      <c r="S505" s="81"/>
    </row>
    <row r="506" spans="1:20" ht="15" customHeight="1">
      <c r="A506" s="59">
        <v>46253</v>
      </c>
      <c r="B506" s="60">
        <f t="shared" si="126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0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3"/>
        <v>0</v>
      </c>
      <c r="K506" s="64">
        <f t="shared" si="124"/>
        <v>0</v>
      </c>
      <c r="L506" s="61" t="s">
        <v>26</v>
      </c>
      <c r="M506" s="61"/>
      <c r="N506" s="61" t="s">
        <v>34</v>
      </c>
      <c r="O506" s="65">
        <v>0.25069444444444444</v>
      </c>
      <c r="P506" s="65">
        <v>0.26597222222222222</v>
      </c>
      <c r="Q506" s="66">
        <f t="shared" ca="1" si="125"/>
        <v>1.5277777777777779E-2</v>
      </c>
      <c r="R506" s="63"/>
      <c r="S506" s="81"/>
    </row>
    <row r="507" spans="1:20" ht="15" customHeight="1">
      <c r="A507" s="18">
        <v>46253</v>
      </c>
      <c r="B507" s="68">
        <f t="shared" si="126"/>
        <v>1.083333333333333</v>
      </c>
      <c r="C507" s="70" t="s">
        <v>38</v>
      </c>
      <c r="D507" s="75" t="s">
        <v>39</v>
      </c>
      <c r="E507" s="100" t="s">
        <v>275</v>
      </c>
      <c r="F507" s="88">
        <f>IFERROR(IF($D507="","",VLOOKUP($D507,Cadastro!$C$4:$E$7,3,FALSE())),"")</f>
        <v>0.24</v>
      </c>
      <c r="G507" s="89">
        <v>12</v>
      </c>
      <c r="H507" s="88">
        <f>IFERROR(IF($G507="","",$G507*$S$513/$G$513/Cadastro!$E$33),"")</f>
        <v>51.02</v>
      </c>
      <c r="I507" s="90">
        <f>IFERROR(IF($D507="","",VLOOKUP($D507,Cadastro!$C$4:$G$7,5,FALSE())),"")</f>
        <v>0.6</v>
      </c>
      <c r="J507" s="91">
        <f t="shared" si="123"/>
        <v>7.3468799999999996</v>
      </c>
      <c r="K507" s="69">
        <f t="shared" si="124"/>
        <v>50.400000000000006</v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>
      <c r="A508" s="59">
        <v>46253</v>
      </c>
      <c r="B508" s="60">
        <f t="shared" si="126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5</v>
      </c>
      <c r="H508" s="88">
        <f>IFERROR(IF($G508="","",$G508*$S$513/$G$513/Cadastro!$E$33),"")</f>
        <v>21.258333333333333</v>
      </c>
      <c r="I508" s="90">
        <f>IFERROR(IF($D508="","",VLOOKUP($D508,Cadastro!$C$4:$G$7,5,FALSE())),"")</f>
        <v>0.6</v>
      </c>
      <c r="J508" s="91">
        <f t="shared" si="123"/>
        <v>4.4642499999999989</v>
      </c>
      <c r="K508" s="64">
        <f t="shared" si="124"/>
        <v>21</v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>
      <c r="A509" s="18">
        <v>46253</v>
      </c>
      <c r="B509" s="68">
        <f t="shared" si="126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10</v>
      </c>
      <c r="H509" s="88">
        <f>IFERROR(IF($G509="","",$G509*$S$513/$G$513/Cadastro!$E$33),"")</f>
        <v>42.516666666666666</v>
      </c>
      <c r="I509" s="90">
        <f>IFERROR(IF($D509="","",VLOOKUP($D509,Cadastro!$C$4:$G$7,5,FALSE())),"")</f>
        <v>0.6</v>
      </c>
      <c r="J509" s="91">
        <f t="shared" si="123"/>
        <v>8.9284999999999979</v>
      </c>
      <c r="K509" s="69">
        <f t="shared" si="124"/>
        <v>42</v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>
      <c r="A510" s="59">
        <v>46253</v>
      </c>
      <c r="B510" s="60">
        <f t="shared" si="126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10</v>
      </c>
      <c r="H510" s="88">
        <f>IFERROR(IF($G510="","",$G510*$S$513/$G$513/Cadastro!$E$33),"")</f>
        <v>42.516666666666666</v>
      </c>
      <c r="I510" s="90">
        <f>IFERROR(IF($D510="","",VLOOKUP($D510,Cadastro!$C$4:$G$7,5,FALSE())),"")</f>
        <v>0.6</v>
      </c>
      <c r="J510" s="91">
        <f t="shared" si="123"/>
        <v>8.9284999999999979</v>
      </c>
      <c r="K510" s="64">
        <f t="shared" si="124"/>
        <v>42</v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>
      <c r="A511" s="18">
        <v>46253</v>
      </c>
      <c r="B511" s="68">
        <f t="shared" si="126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12</v>
      </c>
      <c r="H511" s="88">
        <f>IFERROR(IF($G511="","",$G511*$S$513/$G$513/Cadastro!$E$33),"")</f>
        <v>51.02</v>
      </c>
      <c r="I511" s="90">
        <f>IFERROR(IF($D511="","",VLOOKUP($D511,Cadastro!$C$4:$G$7,5,FALSE())),"")</f>
        <v>0.6</v>
      </c>
      <c r="J511" s="91">
        <f t="shared" si="123"/>
        <v>10.7142</v>
      </c>
      <c r="K511" s="69">
        <f t="shared" si="124"/>
        <v>50.400000000000006</v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>
      <c r="A512" s="59">
        <v>46253</v>
      </c>
      <c r="B512" s="60">
        <f t="shared" si="126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3"/>
        <v>0</v>
      </c>
      <c r="K512" s="64">
        <f t="shared" si="124"/>
        <v>0</v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>
      <c r="A513" s="157" t="s">
        <v>264</v>
      </c>
      <c r="B513" s="157"/>
      <c r="C513" s="157"/>
      <c r="D513" s="157"/>
      <c r="E513" s="157"/>
      <c r="F513" s="105"/>
      <c r="G513" s="96">
        <f>SUM(G501:G512)</f>
        <v>84</v>
      </c>
      <c r="H513" s="105">
        <f>IFERROR(SUM(H501:H512),"")</f>
        <v>357.14</v>
      </c>
      <c r="I513" s="106"/>
      <c r="J513" s="107">
        <f>IFERROR(SUM(J501:J512),"")</f>
        <v>61.810729999999992</v>
      </c>
      <c r="K513" s="2">
        <f>SUM(K501:K512)</f>
        <v>352.79999999999995</v>
      </c>
      <c r="L513" s="72"/>
      <c r="M513" s="72"/>
      <c r="N513" s="72"/>
      <c r="O513" s="72"/>
      <c r="P513" s="72"/>
      <c r="Q513" s="73">
        <f ca="1">IFERROR(SUM(Q501:Q512),"")</f>
        <v>0.11805555555555544</v>
      </c>
      <c r="R513" s="2" t="s">
        <v>262</v>
      </c>
      <c r="S513" s="74">
        <v>357140</v>
      </c>
      <c r="T513" s="99">
        <f>IFERROR(J513,"")</f>
        <v>61.810729999999992</v>
      </c>
    </row>
    <row r="514" spans="1:20" ht="18" customHeight="1">
      <c r="A514" s="158" t="s">
        <v>250</v>
      </c>
      <c r="B514" s="158"/>
      <c r="C514" s="158"/>
      <c r="D514" s="158"/>
      <c r="E514" s="158"/>
      <c r="F514" s="108"/>
      <c r="G514" s="109">
        <f>G500+G513</f>
        <v>156</v>
      </c>
      <c r="H514" s="108">
        <f>IFERROR(H500+H513,"")</f>
        <v>729.39</v>
      </c>
      <c r="I514" s="110"/>
      <c r="J514" s="111">
        <f>IFERROR(J500+J513,"")</f>
        <v>115.41472999999999</v>
      </c>
      <c r="K514" s="1">
        <f>K500+K513</f>
        <v>659.19999999999993</v>
      </c>
      <c r="L514" s="76"/>
      <c r="M514" s="76"/>
      <c r="N514" s="76"/>
      <c r="O514" s="76"/>
      <c r="P514" s="76"/>
      <c r="Q514" s="77">
        <f ca="1">IFERROR(Q500+Q513,"")</f>
        <v>0.21388888888888888</v>
      </c>
      <c r="R514" s="1" t="s">
        <v>265</v>
      </c>
      <c r="S514" s="82">
        <f>IFERROR(S500+S513,"")</f>
        <v>729390</v>
      </c>
      <c r="T514" s="118">
        <f>IFERROR(J514,"")</f>
        <v>115.41472999999999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6</v>
      </c>
      <c r="H515" s="101">
        <f>IFERROR(IF($G515="","",$G515*$S$527/$G$527/Cadastro!$E$33),"")</f>
        <v>30.633506493506495</v>
      </c>
      <c r="I515" s="102">
        <f>IFERROR(IF($D515="","",VLOOKUP($D515,Cadastro!$C$4:$G$7,5,FALSE())),"")</f>
        <v>0.6</v>
      </c>
      <c r="J515" s="103">
        <f t="shared" ref="J515:J526" si="127">IFERROR(IF($H515="","",$H515*$F515*$I515),"")</f>
        <v>6.4330363636363641</v>
      </c>
      <c r="K515" s="155">
        <f>IF(G515="","",IF(E515="PC 17",G515*4.2,IF(E515="PC 19",G515*5,IF(E515="CB",G515*24,""))))</f>
        <v>25.200000000000003</v>
      </c>
      <c r="L515" s="70" t="s">
        <v>29</v>
      </c>
      <c r="M515" s="70"/>
      <c r="N515" s="70" t="s">
        <v>83</v>
      </c>
      <c r="O515" s="65">
        <v>0.31666666666666665</v>
      </c>
      <c r="P515" s="65">
        <v>0.32916666666666666</v>
      </c>
      <c r="Q515" s="71">
        <f t="shared" ref="Q515:Q526" ca="1" si="128">IFERROR(IF(O515="","",IF(P515="",MOD(NOW()-O515,1),IF(P515&gt;=O515,P515-O515,P515+1-O515))),"")</f>
        <v>1.2500000000000011E-2</v>
      </c>
      <c r="R515" s="63"/>
      <c r="S515" s="81"/>
    </row>
    <row r="516" spans="1:20" ht="15" customHeight="1">
      <c r="A516" s="59">
        <v>46254</v>
      </c>
      <c r="B516" s="60">
        <f t="shared" ref="B516:B526" si="129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7</v>
      </c>
      <c r="H516" s="88">
        <f>IFERROR(IF($G516="","",$G516*$S$527/$G$527/Cadastro!$E$33),"")</f>
        <v>35.739090909090912</v>
      </c>
      <c r="I516" s="90">
        <f>IFERROR(IF($D516="","",VLOOKUP($D516,Cadastro!$C$4:$G$7,5,FALSE())),"")</f>
        <v>0.6</v>
      </c>
      <c r="J516" s="91">
        <f t="shared" si="127"/>
        <v>7.5052090909090907</v>
      </c>
      <c r="K516" s="64">
        <f t="shared" ref="K515:K526" si="130">IF(G516="","",IF(E516="PC 17",G516*4.2,IF(E516="PC 19",G516*5,IF(E516="CB",G516*24,""))))</f>
        <v>29.400000000000002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28"/>
        <v>4.8611111111110938E-3</v>
      </c>
      <c r="R516" s="63"/>
      <c r="S516" s="81"/>
    </row>
    <row r="517" spans="1:20" ht="15" customHeight="1">
      <c r="A517" s="18">
        <v>46254</v>
      </c>
      <c r="B517" s="68">
        <f t="shared" si="129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11</v>
      </c>
      <c r="H517" s="88">
        <f>IFERROR(IF($G517="","",$G517*$S$527/$G$527/Cadastro!$E$33),"")</f>
        <v>56.161428571428573</v>
      </c>
      <c r="I517" s="90">
        <f>IFERROR(IF($D517="","",VLOOKUP($D517,Cadastro!$C$4:$G$7,5,FALSE())),"")</f>
        <v>0.6</v>
      </c>
      <c r="J517" s="91">
        <f t="shared" si="127"/>
        <v>11.793899999999999</v>
      </c>
      <c r="K517" s="69">
        <f t="shared" si="130"/>
        <v>46.2</v>
      </c>
      <c r="L517" s="70" t="s">
        <v>28</v>
      </c>
      <c r="M517" s="70" t="s">
        <v>56</v>
      </c>
      <c r="N517" s="70" t="s">
        <v>36</v>
      </c>
      <c r="O517" s="65">
        <v>0.59097222222222223</v>
      </c>
      <c r="P517" s="65">
        <v>0.63263888888888886</v>
      </c>
      <c r="Q517" s="71">
        <f t="shared" ca="1" si="128"/>
        <v>4.166666666666663E-2</v>
      </c>
      <c r="R517" s="63" t="s">
        <v>371</v>
      </c>
      <c r="S517" s="81"/>
    </row>
    <row r="518" spans="1:20" ht="15" customHeight="1">
      <c r="A518" s="59">
        <v>46254</v>
      </c>
      <c r="B518" s="60">
        <f t="shared" si="129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4</v>
      </c>
      <c r="H518" s="88">
        <f>IFERROR(IF($G518="","",$G518*$S$527/$G$527/Cadastro!$E$33),"")</f>
        <v>20.422337662337661</v>
      </c>
      <c r="I518" s="90">
        <f>IFERROR(IF($D518="","",VLOOKUP($D518,Cadastro!$C$4:$G$7,5,FALSE())),"")</f>
        <v>0.6</v>
      </c>
      <c r="J518" s="91">
        <f t="shared" si="127"/>
        <v>4.2886909090909082</v>
      </c>
      <c r="K518" s="64">
        <f t="shared" si="130"/>
        <v>16.8</v>
      </c>
      <c r="L518" s="70" t="s">
        <v>29</v>
      </c>
      <c r="M518" s="61"/>
      <c r="N518" s="61" t="s">
        <v>83</v>
      </c>
      <c r="O518" s="65">
        <v>0.65138888888888891</v>
      </c>
      <c r="P518" s="65">
        <v>0.66111111111111109</v>
      </c>
      <c r="Q518" s="66">
        <f t="shared" ca="1" si="128"/>
        <v>9.7222222222221877E-3</v>
      </c>
      <c r="R518" s="63"/>
      <c r="S518" s="81"/>
    </row>
    <row r="519" spans="1:20" ht="15" customHeight="1">
      <c r="A519" s="18">
        <v>46254</v>
      </c>
      <c r="B519" s="68">
        <f t="shared" si="129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7</v>
      </c>
      <c r="H519" s="88">
        <f>IFERROR(IF($G519="","",$G519*$S$527/$G$527/Cadastro!$E$33),"")</f>
        <v>35.739090909090912</v>
      </c>
      <c r="I519" s="90">
        <f>IFERROR(IF($D519="","",VLOOKUP($D519,Cadastro!$C$4:$G$7,5,FALSE())),"")</f>
        <v>0.6</v>
      </c>
      <c r="J519" s="91">
        <f t="shared" si="127"/>
        <v>7.5052090909090907</v>
      </c>
      <c r="K519" s="69">
        <f t="shared" si="130"/>
        <v>29.400000000000002</v>
      </c>
      <c r="L519" s="70"/>
      <c r="M519" s="70"/>
      <c r="N519" s="70"/>
      <c r="O519" s="65"/>
      <c r="P519" s="65"/>
      <c r="Q519" s="71" t="str">
        <f t="shared" ca="1" si="128"/>
        <v/>
      </c>
      <c r="R519" s="63"/>
      <c r="S519" s="81"/>
    </row>
    <row r="520" spans="1:20" ht="15" customHeight="1">
      <c r="A520" s="59">
        <v>46254</v>
      </c>
      <c r="B520" s="60">
        <f t="shared" si="129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10</v>
      </c>
      <c r="H520" s="88">
        <f>IFERROR(IF($G520="","",$G520*$S$527/$G$527/Cadastro!$E$33),"")</f>
        <v>51.055844155844156</v>
      </c>
      <c r="I520" s="90">
        <f>IFERROR(IF($D520="","",VLOOKUP($D520,Cadastro!$C$4:$G$7,5,FALSE())),"")</f>
        <v>0.6</v>
      </c>
      <c r="J520" s="91">
        <f t="shared" si="127"/>
        <v>10.721727272727271</v>
      </c>
      <c r="K520" s="64">
        <f t="shared" si="130"/>
        <v>42</v>
      </c>
      <c r="L520" s="61"/>
      <c r="M520" s="61"/>
      <c r="N520" s="61"/>
      <c r="O520" s="65"/>
      <c r="P520" s="65"/>
      <c r="Q520" s="66" t="str">
        <f t="shared" ca="1" si="128"/>
        <v/>
      </c>
      <c r="R520" s="63"/>
      <c r="S520" s="81"/>
    </row>
    <row r="521" spans="1:20" ht="15" customHeight="1">
      <c r="A521" s="18">
        <v>46254</v>
      </c>
      <c r="B521" s="68">
        <f t="shared" si="129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7</v>
      </c>
      <c r="H521" s="88">
        <f>IFERROR(IF($G521="","",$G521*$S$527/$G$527/Cadastro!$E$33),"")</f>
        <v>35.739090909090912</v>
      </c>
      <c r="I521" s="90">
        <f>IFERROR(IF($D521="","",VLOOKUP($D521,Cadastro!$C$4:$G$7,5,FALSE())),"")</f>
        <v>0.6</v>
      </c>
      <c r="J521" s="91">
        <f t="shared" si="127"/>
        <v>7.5052090909090907</v>
      </c>
      <c r="K521" s="69">
        <f t="shared" si="130"/>
        <v>35</v>
      </c>
      <c r="L521" s="70"/>
      <c r="M521" s="70"/>
      <c r="N521" s="70"/>
      <c r="O521" s="65"/>
      <c r="P521" s="65"/>
      <c r="Q521" s="71" t="str">
        <f t="shared" ca="1" si="128"/>
        <v/>
      </c>
      <c r="R521" s="63"/>
      <c r="S521" s="81"/>
    </row>
    <row r="522" spans="1:20" ht="15" customHeight="1">
      <c r="A522" s="59">
        <v>46254</v>
      </c>
      <c r="B522" s="60">
        <f t="shared" si="129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2</v>
      </c>
      <c r="H522" s="88">
        <f>IFERROR(IF($G522="","",$G522*$S$527/$G$527/Cadastro!$E$33),"")</f>
        <v>10.21116883116883</v>
      </c>
      <c r="I522" s="90">
        <f>IFERROR(IF($D522="","",VLOOKUP($D522,Cadastro!$C$4:$G$7,5,FALSE())),"")</f>
        <v>0.6</v>
      </c>
      <c r="J522" s="91">
        <f t="shared" si="127"/>
        <v>2.1443454545454541</v>
      </c>
      <c r="K522" s="64">
        <f t="shared" si="130"/>
        <v>10</v>
      </c>
      <c r="L522" s="61"/>
      <c r="M522" s="61"/>
      <c r="N522" s="61"/>
      <c r="O522" s="65"/>
      <c r="P522" s="65"/>
      <c r="Q522" s="66" t="str">
        <f t="shared" ca="1" si="128"/>
        <v/>
      </c>
      <c r="R522" s="63"/>
      <c r="S522" s="81"/>
    </row>
    <row r="523" spans="1:20" ht="15" customHeight="1">
      <c r="A523" s="18">
        <v>46254</v>
      </c>
      <c r="B523" s="68">
        <f t="shared" si="129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6</v>
      </c>
      <c r="H523" s="88">
        <f>IFERROR(IF($G523="","",$G523*$S$527/$G$527/Cadastro!$E$33),"")</f>
        <v>30.633506493506495</v>
      </c>
      <c r="I523" s="90">
        <f>IFERROR(IF($D523="","",VLOOKUP($D523,Cadastro!$C$4:$G$7,5,FALSE())),"")</f>
        <v>0.6</v>
      </c>
      <c r="J523" s="91">
        <f t="shared" si="127"/>
        <v>6.4330363636363641</v>
      </c>
      <c r="K523" s="69">
        <f t="shared" si="130"/>
        <v>30</v>
      </c>
      <c r="L523" s="70"/>
      <c r="M523" s="70"/>
      <c r="N523" s="70"/>
      <c r="O523" s="65"/>
      <c r="P523" s="65"/>
      <c r="Q523" s="71" t="str">
        <f t="shared" ca="1" si="128"/>
        <v/>
      </c>
      <c r="R523" s="63"/>
      <c r="S523" s="81"/>
    </row>
    <row r="524" spans="1:20" ht="15" customHeight="1">
      <c r="A524" s="59">
        <v>46254</v>
      </c>
      <c r="B524" s="60">
        <f t="shared" si="129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5</v>
      </c>
      <c r="H524" s="88">
        <f>IFERROR(IF($G524="","",$G524*$S$527/$G$527/Cadastro!$E$33),"")</f>
        <v>25.527922077922078</v>
      </c>
      <c r="I524" s="90">
        <f>IFERROR(IF($D524="","",VLOOKUP($D524,Cadastro!$C$4:$G$7,5,FALSE())),"")</f>
        <v>0.6</v>
      </c>
      <c r="J524" s="91">
        <f t="shared" si="127"/>
        <v>5.3608636363636357</v>
      </c>
      <c r="K524" s="64">
        <f t="shared" si="130"/>
        <v>25</v>
      </c>
      <c r="L524" s="61"/>
      <c r="M524" s="61"/>
      <c r="N524" s="61"/>
      <c r="O524" s="65"/>
      <c r="P524" s="65"/>
      <c r="Q524" s="66" t="str">
        <f t="shared" ca="1" si="128"/>
        <v/>
      </c>
      <c r="R524" s="63"/>
      <c r="S524" s="81"/>
    </row>
    <row r="525" spans="1:20" ht="15" customHeight="1">
      <c r="A525" s="18">
        <v>46254</v>
      </c>
      <c r="B525" s="68">
        <f t="shared" si="129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10</v>
      </c>
      <c r="H525" s="88">
        <f>IFERROR(IF($G525="","",$G525*$S$527/$G$527/Cadastro!$E$33),"")</f>
        <v>51.055844155844156</v>
      </c>
      <c r="I525" s="90">
        <f>IFERROR(IF($D525="","",VLOOKUP($D525,Cadastro!$C$4:$G$7,5,FALSE())),"")</f>
        <v>0.6</v>
      </c>
      <c r="J525" s="91">
        <f t="shared" si="127"/>
        <v>10.721727272727271</v>
      </c>
      <c r="K525" s="69">
        <f t="shared" si="130"/>
        <v>50</v>
      </c>
      <c r="L525" s="70"/>
      <c r="M525" s="70"/>
      <c r="N525" s="70"/>
      <c r="O525" s="65"/>
      <c r="P525" s="65"/>
      <c r="Q525" s="71" t="str">
        <f t="shared" ca="1" si="128"/>
        <v/>
      </c>
      <c r="R525" s="63"/>
      <c r="S525" s="81"/>
    </row>
    <row r="526" spans="1:20" ht="15" customHeight="1">
      <c r="A526" s="59">
        <v>46254</v>
      </c>
      <c r="B526" s="60">
        <f t="shared" si="129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2</v>
      </c>
      <c r="H526" s="92">
        <f>IFERROR(IF($G526="","",$G526*$S$527/$G$527/Cadastro!$E$33),"")</f>
        <v>10.21116883116883</v>
      </c>
      <c r="I526" s="93">
        <f>IFERROR(IF($D526="","",VLOOKUP($D526,Cadastro!$C$4:$G$7,5,FALSE())),"")</f>
        <v>0.6</v>
      </c>
      <c r="J526" s="94">
        <f t="shared" si="127"/>
        <v>2.1443454545454541</v>
      </c>
      <c r="K526" s="64">
        <f t="shared" si="130"/>
        <v>10</v>
      </c>
      <c r="L526" s="61"/>
      <c r="M526" s="61"/>
      <c r="N526" s="61"/>
      <c r="O526" s="65"/>
      <c r="P526" s="65"/>
      <c r="Q526" s="66" t="str">
        <f t="shared" ca="1" si="128"/>
        <v/>
      </c>
      <c r="R526" s="63"/>
      <c r="S526" s="81"/>
    </row>
    <row r="527" spans="1:20" ht="15.75" customHeight="1">
      <c r="A527" s="157" t="s">
        <v>261</v>
      </c>
      <c r="B527" s="157"/>
      <c r="C527" s="157"/>
      <c r="D527" s="157"/>
      <c r="E527" s="157"/>
      <c r="F527" s="95"/>
      <c r="G527" s="96">
        <f>SUM(G515:G526)</f>
        <v>77</v>
      </c>
      <c r="H527" s="95">
        <f>IFERROR(SUM(H515:H526),"")</f>
        <v>393.13000000000005</v>
      </c>
      <c r="I527" s="97"/>
      <c r="J527" s="98">
        <f>IFERROR(SUM(J515:J526),"")</f>
        <v>82.557299999999998</v>
      </c>
      <c r="K527" s="2">
        <f>SUM(K515:K526)</f>
        <v>349</v>
      </c>
      <c r="L527" s="72"/>
      <c r="M527" s="72"/>
      <c r="N527" s="72"/>
      <c r="O527" s="72"/>
      <c r="P527" s="72"/>
      <c r="Q527" s="73">
        <f ca="1">IFERROR(SUM(Q515:Q526),"")</f>
        <v>6.8749999999999922E-2</v>
      </c>
      <c r="R527" s="2" t="s">
        <v>262</v>
      </c>
      <c r="S527" s="74">
        <v>393130</v>
      </c>
      <c r="T527" s="99">
        <f>IFERROR(J527,"")</f>
        <v>82.557299999999998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19</v>
      </c>
      <c r="H528" s="101">
        <f>IFERROR(IF($G528="","",$G528*$S$540/$G$540/Cadastro!$E$33),"")</f>
        <v>84.241639344262296</v>
      </c>
      <c r="I528" s="102">
        <f>IFERROR(IF($D528="","",VLOOKUP($D528,Cadastro!$C$4:$G$7,5,FALSE())),"")</f>
        <v>0.6</v>
      </c>
      <c r="J528" s="103">
        <f t="shared" ref="J528:J539" si="131">IFERROR(IF($H528="","",$H528*$F528*$I528),"")</f>
        <v>17.69074426229508</v>
      </c>
      <c r="K528" s="64">
        <f t="shared" ref="K528:K539" si="132">IF(G528="","",IF(E528="PC 17",G528*4.2,IF(E528="PC 19",G528*5,IF(E528="CB",G528*24,""))))</f>
        <v>79.8</v>
      </c>
      <c r="L528" s="61" t="s">
        <v>29</v>
      </c>
      <c r="M528" s="61" t="s">
        <v>56</v>
      </c>
      <c r="N528" s="61" t="s">
        <v>71</v>
      </c>
      <c r="O528" s="65">
        <v>0.86111111111111116</v>
      </c>
      <c r="P528" s="65">
        <v>0.86319444444444449</v>
      </c>
      <c r="Q528" s="66">
        <f t="shared" ref="Q528:Q539" ca="1" si="133">IFERROR(IF(O528="","",IF(P528="",MOD(NOW()-O528,1),IF(P528&gt;=O528,P528-O528,P528+1-O528))),"")</f>
        <v>2.0833333333333259E-3</v>
      </c>
      <c r="R528" s="63"/>
      <c r="S528" s="81"/>
    </row>
    <row r="529" spans="1:20" ht="15" customHeight="1">
      <c r="A529" s="18">
        <v>46254</v>
      </c>
      <c r="B529" s="68">
        <f t="shared" ref="B529:B539" si="134">B528+TIME(0,60,0)</f>
        <v>0.87499999999999967</v>
      </c>
      <c r="C529" s="61" t="s">
        <v>38</v>
      </c>
      <c r="D529" s="62" t="s">
        <v>39</v>
      </c>
      <c r="E529" s="87" t="s">
        <v>275</v>
      </c>
      <c r="F529" s="88">
        <f>IFERROR(IF($D529="","",VLOOKUP($D529,Cadastro!$C$4:$E$7,3,FALSE())),"")</f>
        <v>0.24</v>
      </c>
      <c r="G529" s="89">
        <v>11</v>
      </c>
      <c r="H529" s="88">
        <f>IFERROR(IF($G529="","",$G529*$S$540/$G$540/Cadastro!$E$33),"")</f>
        <v>48.771475409836064</v>
      </c>
      <c r="I529" s="90">
        <f>IFERROR(IF($D529="","",VLOOKUP($D529,Cadastro!$C$4:$G$7,5,FALSE())),"")</f>
        <v>0.6</v>
      </c>
      <c r="J529" s="91">
        <f t="shared" si="131"/>
        <v>7.023092459016393</v>
      </c>
      <c r="K529" s="69">
        <f t="shared" si="132"/>
        <v>46.2</v>
      </c>
      <c r="L529" s="70" t="s">
        <v>29</v>
      </c>
      <c r="M529" s="70" t="s">
        <v>56</v>
      </c>
      <c r="N529" s="70" t="s">
        <v>71</v>
      </c>
      <c r="O529" s="65">
        <v>0.87013888888888891</v>
      </c>
      <c r="P529" s="65">
        <v>0.87777777777777777</v>
      </c>
      <c r="Q529" s="71">
        <f t="shared" ca="1" si="133"/>
        <v>7.6388888888888618E-3</v>
      </c>
      <c r="R529" s="63"/>
      <c r="S529" s="81"/>
    </row>
    <row r="530" spans="1:20" ht="15" customHeight="1">
      <c r="A530" s="59">
        <v>46254</v>
      </c>
      <c r="B530" s="60">
        <f t="shared" si="134"/>
        <v>0.9166666666666663</v>
      </c>
      <c r="C530" s="61" t="s">
        <v>38</v>
      </c>
      <c r="D530" s="62" t="s">
        <v>39</v>
      </c>
      <c r="E530" s="87" t="s">
        <v>260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22.168852459016396</v>
      </c>
      <c r="I530" s="90">
        <f>IFERROR(IF($D530="","",VLOOKUP($D530,Cadastro!$C$4:$G$7,5,FALSE())),"")</f>
        <v>0.6</v>
      </c>
      <c r="J530" s="91">
        <f t="shared" si="131"/>
        <v>3.1923147540983607</v>
      </c>
      <c r="K530" s="64">
        <f t="shared" si="132"/>
        <v>25</v>
      </c>
      <c r="L530" s="61" t="s">
        <v>29</v>
      </c>
      <c r="M530" s="61" t="s">
        <v>168</v>
      </c>
      <c r="N530" s="61" t="s">
        <v>83</v>
      </c>
      <c r="O530" s="65">
        <v>0.93263888888888891</v>
      </c>
      <c r="P530" s="65">
        <v>0.9375</v>
      </c>
      <c r="Q530" s="66">
        <f t="shared" ca="1" si="133"/>
        <v>4.8611111111110938E-3</v>
      </c>
      <c r="R530" s="63"/>
      <c r="S530" s="81"/>
    </row>
    <row r="531" spans="1:20" ht="15" customHeight="1">
      <c r="A531" s="18">
        <v>46254</v>
      </c>
      <c r="B531" s="68">
        <f t="shared" si="134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2</v>
      </c>
      <c r="H531" s="88">
        <f>IFERROR(IF($G531="","",$G531*$S$540/$G$540/Cadastro!$E$33),"")</f>
        <v>8.867540983606558</v>
      </c>
      <c r="I531" s="90">
        <f>IFERROR(IF($D531="","",VLOOKUP($D531,Cadastro!$C$4:$G$7,5,FALSE())),"")</f>
        <v>0.6</v>
      </c>
      <c r="J531" s="91">
        <f t="shared" si="131"/>
        <v>1.2769259016393442</v>
      </c>
      <c r="K531" s="69">
        <f t="shared" si="132"/>
        <v>8.4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3"/>
        <v>1.4583333333333393E-2</v>
      </c>
      <c r="R531" s="63" t="s">
        <v>312</v>
      </c>
      <c r="S531" s="81"/>
    </row>
    <row r="532" spans="1:20" ht="15" customHeight="1">
      <c r="A532" s="59">
        <v>46254</v>
      </c>
      <c r="B532" s="60">
        <f t="shared" si="134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2</v>
      </c>
      <c r="H532" s="88">
        <f>IFERROR(IF($G532="","",$G532*$S$540/$G$540/Cadastro!$E$33),"")</f>
        <v>8.867540983606558</v>
      </c>
      <c r="I532" s="90">
        <f>IFERROR(IF($D532="","",VLOOKUP($D532,Cadastro!$C$4:$G$7,5,FALSE())),"")</f>
        <v>0.6</v>
      </c>
      <c r="J532" s="91">
        <f t="shared" si="131"/>
        <v>1.2769259016393442</v>
      </c>
      <c r="K532" s="64">
        <f t="shared" si="132"/>
        <v>8.4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3"/>
        <v>6.9444444444444441E-3</v>
      </c>
      <c r="R532" s="63"/>
      <c r="S532" s="81"/>
    </row>
    <row r="533" spans="1:20" ht="15" customHeight="1">
      <c r="A533" s="18">
        <v>46254</v>
      </c>
      <c r="B533" s="68">
        <f t="shared" si="134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2</v>
      </c>
      <c r="H533" s="88">
        <f>IFERROR(IF($G533="","",$G533*$S$540/$G$540/Cadastro!$E$33),"")</f>
        <v>8.867540983606558</v>
      </c>
      <c r="I533" s="90">
        <f>IFERROR(IF($D533="","",VLOOKUP($D533,Cadastro!$C$4:$G$7,5,FALSE())),"")</f>
        <v>0.6</v>
      </c>
      <c r="J533" s="91">
        <f t="shared" si="131"/>
        <v>1.2769259016393442</v>
      </c>
      <c r="K533" s="69">
        <f t="shared" si="132"/>
        <v>8.4</v>
      </c>
      <c r="L533" s="70" t="s">
        <v>29</v>
      </c>
      <c r="M533" s="70" t="s">
        <v>56</v>
      </c>
      <c r="N533" s="70" t="s">
        <v>60</v>
      </c>
      <c r="O533" s="65">
        <v>0.11527777777777778</v>
      </c>
      <c r="P533" s="65">
        <v>0.29166666666666669</v>
      </c>
      <c r="Q533" s="71">
        <f t="shared" ca="1" si="133"/>
        <v>0.1763888888888889</v>
      </c>
      <c r="R533" s="63" t="s">
        <v>372</v>
      </c>
      <c r="S533" s="81"/>
    </row>
    <row r="534" spans="1:20" ht="15" customHeight="1">
      <c r="A534" s="59">
        <v>46254</v>
      </c>
      <c r="B534" s="60">
        <f t="shared" si="134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12</v>
      </c>
      <c r="H534" s="88">
        <f>IFERROR(IF($G534="","",$G534*$S$540/$G$540/Cadastro!$E$33),"")</f>
        <v>53.205245901639344</v>
      </c>
      <c r="I534" s="90">
        <f>IFERROR(IF($D534="","",VLOOKUP($D534,Cadastro!$C$4:$G$7,5,FALSE())),"")</f>
        <v>0.6</v>
      </c>
      <c r="J534" s="91">
        <f t="shared" si="131"/>
        <v>7.6615554098360654</v>
      </c>
      <c r="K534" s="64">
        <f t="shared" si="132"/>
        <v>50.400000000000006</v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>
      <c r="A535" s="18">
        <v>46254</v>
      </c>
      <c r="B535" s="68">
        <f t="shared" si="134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1"/>
        <v>0</v>
      </c>
      <c r="K535" s="69">
        <f t="shared" si="132"/>
        <v>0</v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>
      <c r="A536" s="59">
        <v>46254</v>
      </c>
      <c r="B536" s="60">
        <f t="shared" si="134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8</v>
      </c>
      <c r="H536" s="88">
        <f>IFERROR(IF($G536="","",$G536*$S$540/$G$540/Cadastro!$E$33),"")</f>
        <v>35.470163934426232</v>
      </c>
      <c r="I536" s="90">
        <f>IFERROR(IF($D536="","",VLOOKUP($D536,Cadastro!$C$4:$G$7,5,FALSE())),"")</f>
        <v>0.6</v>
      </c>
      <c r="J536" s="91">
        <f t="shared" si="131"/>
        <v>7.4487344262295077</v>
      </c>
      <c r="K536" s="64">
        <f t="shared" si="132"/>
        <v>33.6</v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>
      <c r="A537" s="18">
        <v>46254</v>
      </c>
      <c r="B537" s="68">
        <f t="shared" si="134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0</v>
      </c>
      <c r="H537" s="88">
        <f>IFERROR(IF($G537="","",$G537*$S$540/$G$540/Cadastro!$E$33),"")</f>
        <v>0</v>
      </c>
      <c r="I537" s="90">
        <f>IFERROR(IF($D537="","",VLOOKUP($D537,Cadastro!$C$4:$G$7,5,FALSE())),"")</f>
        <v>0.6</v>
      </c>
      <c r="J537" s="91">
        <f t="shared" si="131"/>
        <v>0</v>
      </c>
      <c r="K537" s="69">
        <f t="shared" si="132"/>
        <v>0</v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>
      <c r="A538" s="59">
        <v>46254</v>
      </c>
      <c r="B538" s="60">
        <f t="shared" si="134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1"/>
        <v>0</v>
      </c>
      <c r="K538" s="64">
        <f t="shared" si="132"/>
        <v>0</v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>
      <c r="A539" s="18">
        <v>46254</v>
      </c>
      <c r="B539" s="68">
        <f t="shared" si="134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0</v>
      </c>
      <c r="H539" s="92">
        <f>IFERROR(IF($G539="","",$G539*$S$540/$G$540/Cadastro!$E$33),"")</f>
        <v>0</v>
      </c>
      <c r="I539" s="93">
        <f>IFERROR(IF($D539="","",VLOOKUP($D539,Cadastro!$C$4:$G$7,5,FALSE())),"")</f>
        <v>0.6</v>
      </c>
      <c r="J539" s="94">
        <f t="shared" si="131"/>
        <v>0</v>
      </c>
      <c r="K539" s="69">
        <f t="shared" si="132"/>
        <v>0</v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>
      <c r="A540" s="157" t="s">
        <v>264</v>
      </c>
      <c r="B540" s="157"/>
      <c r="C540" s="157"/>
      <c r="D540" s="157"/>
      <c r="E540" s="157"/>
      <c r="F540" s="105"/>
      <c r="G540" s="96">
        <f>SUM(G528:G539)</f>
        <v>61</v>
      </c>
      <c r="H540" s="105">
        <f>IFERROR(SUM(H528:H539),"")</f>
        <v>270.45999999999998</v>
      </c>
      <c r="I540" s="106"/>
      <c r="J540" s="107">
        <f>IFERROR(SUM(J528:J539),"")</f>
        <v>46.847219016393439</v>
      </c>
      <c r="K540" s="2">
        <f>SUM(K528:K539)</f>
        <v>260.20000000000005</v>
      </c>
      <c r="L540" s="72"/>
      <c r="M540" s="72"/>
      <c r="N540" s="72"/>
      <c r="O540" s="72"/>
      <c r="P540" s="72"/>
      <c r="Q540" s="73">
        <f ca="1">IFERROR(SUM(Q528:Q539),"")</f>
        <v>0.21250000000000002</v>
      </c>
      <c r="R540" s="2" t="s">
        <v>262</v>
      </c>
      <c r="S540" s="74">
        <v>270460</v>
      </c>
      <c r="T540" s="99">
        <f>IFERROR(J540,"")</f>
        <v>46.847219016393439</v>
      </c>
    </row>
    <row r="541" spans="1:20" ht="18" customHeight="1">
      <c r="A541" s="158" t="s">
        <v>250</v>
      </c>
      <c r="B541" s="158"/>
      <c r="C541" s="158"/>
      <c r="D541" s="158"/>
      <c r="E541" s="158"/>
      <c r="F541" s="108"/>
      <c r="G541" s="109">
        <f>G527+G540</f>
        <v>138</v>
      </c>
      <c r="H541" s="108">
        <f>IFERROR(H527+H540,"")</f>
        <v>663.59</v>
      </c>
      <c r="I541" s="110"/>
      <c r="J541" s="111">
        <f>IFERROR(J527+J540,"")</f>
        <v>129.40451901639344</v>
      </c>
      <c r="K541" s="1">
        <f>K527+K540</f>
        <v>609.20000000000005</v>
      </c>
      <c r="L541" s="76"/>
      <c r="M541" s="76"/>
      <c r="N541" s="76"/>
      <c r="O541" s="76"/>
      <c r="P541" s="76"/>
      <c r="Q541" s="77">
        <f ca="1">IFERROR(Q527+Q540,"")</f>
        <v>0.28124999999999994</v>
      </c>
      <c r="R541" s="1" t="s">
        <v>265</v>
      </c>
      <c r="S541" s="82">
        <f>IFERROR(S527+S540,"")</f>
        <v>663590</v>
      </c>
      <c r="T541" s="118">
        <f>IFERROR(J541,"")</f>
        <v>129.40451901639344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0</v>
      </c>
      <c r="H542" s="101">
        <f>IFERROR(IF($G542="","",$G542*$S$554/$G$554/Cadastro!$E$33),"")</f>
        <v>0</v>
      </c>
      <c r="I542" s="102">
        <f>IFERROR(IF($D542="","",VLOOKUP($D542,Cadastro!$C$4:$G$7,5,FALSE())),"")</f>
        <v>0.6</v>
      </c>
      <c r="J542" s="103">
        <f t="shared" ref="J542:J553" si="135">IFERROR(IF($H542="","",$H542*$F542*$I542),"")</f>
        <v>0</v>
      </c>
      <c r="K542" s="64">
        <f t="shared" ref="K542:K553" si="136">IF(G542="","",IF(E542="PC 17",G542*4.2,IF(E542="PC 19",G542*5,IF(E542="CB",G542*24,""))))</f>
        <v>0</v>
      </c>
      <c r="L542" s="61" t="s">
        <v>29</v>
      </c>
      <c r="M542" s="61" t="s">
        <v>56</v>
      </c>
      <c r="N542" s="61" t="s">
        <v>60</v>
      </c>
      <c r="O542" s="65">
        <v>0.29166666666666669</v>
      </c>
      <c r="P542" s="65">
        <v>0.67222222222222228</v>
      </c>
      <c r="Q542" s="66">
        <f t="shared" ref="Q542:Q553" ca="1" si="137">IFERROR(IF(O542="","",IF(P542="",MOD(NOW()-O542,1),IF(P542&gt;=O542,P542-O542,P542+1-O542))),"")</f>
        <v>0.38055555555555559</v>
      </c>
      <c r="R542" s="63" t="s">
        <v>373</v>
      </c>
      <c r="S542" s="81"/>
    </row>
    <row r="543" spans="1:20" ht="15" customHeight="1">
      <c r="A543" s="18">
        <v>46255</v>
      </c>
      <c r="B543" s="68">
        <f t="shared" ref="B543:B553" si="138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0</v>
      </c>
      <c r="H543" s="88">
        <f>IFERROR(IF($G543="","",$G543*$S$554/$G$554/Cadastro!$E$33),"")</f>
        <v>0</v>
      </c>
      <c r="I543" s="90">
        <f>IFERROR(IF($D543="","",VLOOKUP($D543,Cadastro!$C$4:$G$7,5,FALSE())),"")</f>
        <v>0.6</v>
      </c>
      <c r="J543" s="91">
        <f t="shared" si="135"/>
        <v>0</v>
      </c>
      <c r="K543" s="69">
        <f t="shared" si="136"/>
        <v>0</v>
      </c>
      <c r="L543" s="70" t="s">
        <v>29</v>
      </c>
      <c r="M543" s="70" t="s">
        <v>100</v>
      </c>
      <c r="N543" s="70" t="s">
        <v>223</v>
      </c>
      <c r="O543" s="65">
        <v>0.67708333333333337</v>
      </c>
      <c r="P543" s="65">
        <v>0.69444444444444442</v>
      </c>
      <c r="Q543" s="71">
        <f t="shared" ca="1" si="137"/>
        <v>1.7361111111111049E-2</v>
      </c>
      <c r="R543" s="63"/>
      <c r="S543" s="81"/>
    </row>
    <row r="544" spans="1:20" ht="15" customHeight="1">
      <c r="A544" s="59">
        <v>46255</v>
      </c>
      <c r="B544" s="60">
        <f t="shared" si="138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0</v>
      </c>
      <c r="H544" s="88">
        <f>IFERROR(IF($G544="","",$G544*$S$554/$G$554/Cadastro!$E$33),"")</f>
        <v>0</v>
      </c>
      <c r="I544" s="90">
        <f>IFERROR(IF($D544="","",VLOOKUP($D544,Cadastro!$C$4:$G$7,5,FALSE())),"")</f>
        <v>0.6</v>
      </c>
      <c r="J544" s="91">
        <f t="shared" si="135"/>
        <v>0</v>
      </c>
      <c r="K544" s="64">
        <f t="shared" si="136"/>
        <v>0</v>
      </c>
      <c r="L544" s="61" t="s">
        <v>28</v>
      </c>
      <c r="M544" s="61" t="s">
        <v>56</v>
      </c>
      <c r="N544" s="61" t="s">
        <v>87</v>
      </c>
      <c r="O544" s="65">
        <v>0.69791666666666663</v>
      </c>
      <c r="P544" s="65">
        <v>0.7055555555555556</v>
      </c>
      <c r="Q544" s="66">
        <f t="shared" ca="1" si="137"/>
        <v>7.6388888888889728E-3</v>
      </c>
      <c r="R544" s="63"/>
      <c r="S544" s="81"/>
    </row>
    <row r="545" spans="1:20" ht="15" customHeight="1">
      <c r="A545" s="18">
        <v>46255</v>
      </c>
      <c r="B545" s="68">
        <f t="shared" si="138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0</v>
      </c>
      <c r="H545" s="88">
        <f>IFERROR(IF($G545="","",$G545*$S$554/$G$554/Cadastro!$E$33),"")</f>
        <v>0</v>
      </c>
      <c r="I545" s="90">
        <f>IFERROR(IF($D545="","",VLOOKUP($D545,Cadastro!$C$4:$G$7,5,FALSE())),"")</f>
        <v>0.6</v>
      </c>
      <c r="J545" s="91">
        <f t="shared" si="135"/>
        <v>0</v>
      </c>
      <c r="K545" s="69">
        <f t="shared" si="136"/>
        <v>0</v>
      </c>
      <c r="L545" s="70" t="s">
        <v>29</v>
      </c>
      <c r="M545" s="70" t="s">
        <v>56</v>
      </c>
      <c r="N545" s="70" t="s">
        <v>60</v>
      </c>
      <c r="O545" s="65">
        <v>0.7104166666666667</v>
      </c>
      <c r="P545" s="65">
        <v>0.71527777777777779</v>
      </c>
      <c r="Q545" s="71">
        <f t="shared" ca="1" si="137"/>
        <v>4.8611111111110938E-3</v>
      </c>
      <c r="R545" s="63"/>
      <c r="S545" s="81"/>
    </row>
    <row r="546" spans="1:20" ht="15" customHeight="1">
      <c r="A546" s="59">
        <v>46255</v>
      </c>
      <c r="B546" s="60">
        <f t="shared" si="138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5"/>
        <v>0</v>
      </c>
      <c r="K546" s="64">
        <f t="shared" si="136"/>
        <v>0</v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>
      <c r="A547" s="18">
        <v>46255</v>
      </c>
      <c r="B547" s="68">
        <f t="shared" si="138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5"/>
        <v>0</v>
      </c>
      <c r="K547" s="69">
        <f t="shared" si="136"/>
        <v>0</v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>
      <c r="A548" s="59">
        <v>46255</v>
      </c>
      <c r="B548" s="60">
        <f t="shared" si="138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5"/>
        <v>0</v>
      </c>
      <c r="K548" s="64">
        <f t="shared" si="136"/>
        <v>0</v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>
      <c r="A549" s="18">
        <v>46255</v>
      </c>
      <c r="B549" s="68">
        <f t="shared" si="138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5"/>
        <v>0</v>
      </c>
      <c r="K549" s="69">
        <f t="shared" si="136"/>
        <v>0</v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>
      <c r="A550" s="59">
        <v>46255</v>
      </c>
      <c r="B550" s="60">
        <f t="shared" si="138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5"/>
        <v>0</v>
      </c>
      <c r="K550" s="64">
        <f t="shared" si="136"/>
        <v>0</v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>
      <c r="A551" s="18">
        <v>46255</v>
      </c>
      <c r="B551" s="68">
        <f t="shared" si="138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0</v>
      </c>
      <c r="H551" s="88">
        <f>IFERROR(IF($G551="","",$G551*$S$554/$G$554/Cadastro!$E$33),"")</f>
        <v>0</v>
      </c>
      <c r="I551" s="90">
        <f>IFERROR(IF($D551="","",VLOOKUP($D551,Cadastro!$C$4:$G$7,5,FALSE())),"")</f>
        <v>0.6</v>
      </c>
      <c r="J551" s="91">
        <f t="shared" si="135"/>
        <v>0</v>
      </c>
      <c r="K551" s="69">
        <f t="shared" si="136"/>
        <v>0</v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>
      <c r="A552" s="59">
        <v>46255</v>
      </c>
      <c r="B552" s="60">
        <f t="shared" si="138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7</v>
      </c>
      <c r="H552" s="88">
        <f>IFERROR(IF($G552="","",$G552*$S$554/$G$554/Cadastro!$E$33),"")</f>
        <v>31.025555555555556</v>
      </c>
      <c r="I552" s="90">
        <f>IFERROR(IF($D552="","",VLOOKUP($D552,Cadastro!$C$4:$G$7,5,FALSE())),"")</f>
        <v>0.6</v>
      </c>
      <c r="J552" s="91">
        <f t="shared" si="135"/>
        <v>4.4676799999999997</v>
      </c>
      <c r="K552" s="64">
        <f t="shared" si="136"/>
        <v>29.400000000000002</v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>
      <c r="A553" s="18">
        <v>46255</v>
      </c>
      <c r="B553" s="68">
        <f t="shared" si="138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2</v>
      </c>
      <c r="H553" s="92">
        <f>IFERROR(IF($G553="","",$G553*$S$554/$G$554/Cadastro!$E$33),"")</f>
        <v>8.8644444444444446</v>
      </c>
      <c r="I553" s="93">
        <f>IFERROR(IF($D553="","",VLOOKUP($D553,Cadastro!$C$4:$G$7,5,FALSE())),"")</f>
        <v>0.6</v>
      </c>
      <c r="J553" s="94">
        <f t="shared" si="135"/>
        <v>1.2764800000000001</v>
      </c>
      <c r="K553" s="69">
        <f t="shared" si="136"/>
        <v>8.4</v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>
      <c r="A554" s="157" t="s">
        <v>261</v>
      </c>
      <c r="B554" s="157"/>
      <c r="C554" s="157"/>
      <c r="D554" s="157"/>
      <c r="E554" s="157"/>
      <c r="F554" s="95"/>
      <c r="G554" s="96">
        <f>SUM(G542:G553)</f>
        <v>9</v>
      </c>
      <c r="H554" s="95">
        <f>IFERROR(SUM(H542:H553),"")</f>
        <v>39.89</v>
      </c>
      <c r="I554" s="97"/>
      <c r="J554" s="98">
        <f>IFERROR(SUM(J542:J553),"")</f>
        <v>5.7441599999999999</v>
      </c>
      <c r="K554" s="2">
        <f>SUM(K542:K553)</f>
        <v>37.800000000000004</v>
      </c>
      <c r="L554" s="72"/>
      <c r="M554" s="72"/>
      <c r="N554" s="72"/>
      <c r="O554" s="72"/>
      <c r="P554" s="72"/>
      <c r="Q554" s="73">
        <f ca="1">IFERROR(SUM(Q542:Q553),"")</f>
        <v>0.41041666666666671</v>
      </c>
      <c r="R554" s="2" t="s">
        <v>262</v>
      </c>
      <c r="S554" s="74">
        <v>39890</v>
      </c>
      <c r="T554" s="99">
        <f>IFERROR(J554,"")</f>
        <v>5.7441599999999999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0</v>
      </c>
      <c r="H555" s="101">
        <f>IFERROR(IF($G555="","",$G555*$S$567/$G$567/Cadastro!$E$33),"")</f>
        <v>0</v>
      </c>
      <c r="I555" s="102">
        <f>IFERROR(IF($D555="","",VLOOKUP($D555,Cadastro!$C$4:$G$7,5,FALSE())),"")</f>
        <v>0.6</v>
      </c>
      <c r="J555" s="103">
        <f t="shared" ref="J555:J566" si="139">IFERROR(IF($H555="","",$H555*$F555*$I555),"")</f>
        <v>0</v>
      </c>
      <c r="K555" s="69">
        <f t="shared" ref="K555:K566" si="140">IF(G555="","",IF(E555="PC 17",G555*4.2,IF(E555="PC 19",G555*5,IF(E555="CB",G555*24,""))))</f>
        <v>0</v>
      </c>
      <c r="L555" s="70" t="s">
        <v>29</v>
      </c>
      <c r="M555" s="70" t="s">
        <v>136</v>
      </c>
      <c r="N555" s="70" t="s">
        <v>123</v>
      </c>
      <c r="O555" s="65">
        <v>0.82291666666666663</v>
      </c>
      <c r="P555" s="65">
        <v>0.84027777777777779</v>
      </c>
      <c r="Q555" s="71">
        <f t="shared" ref="Q555:Q566" ca="1" si="141">IFERROR(IF(O555="","",IF(P555="",MOD(NOW()-O555,1),IF(P555&gt;=O555,P555-O555,P555+1-O555))),"")</f>
        <v>1.736111111111116E-2</v>
      </c>
      <c r="R555" s="63"/>
      <c r="S555" s="81"/>
    </row>
    <row r="556" spans="1:20" ht="15" customHeight="1">
      <c r="A556" s="59">
        <v>46255</v>
      </c>
      <c r="B556" s="60">
        <f t="shared" ref="B556:B566" si="142">B555+TIME(0,60,0)</f>
        <v>0.87499999999999967</v>
      </c>
      <c r="C556" s="70" t="s">
        <v>38</v>
      </c>
      <c r="D556" s="75" t="s">
        <v>39</v>
      </c>
      <c r="E556" s="100" t="s">
        <v>260</v>
      </c>
      <c r="F556" s="88">
        <f>IFERROR(IF($D556="","",VLOOKUP($D556,Cadastro!$C$4:$E$7,3,FALSE())),"")</f>
        <v>0.24</v>
      </c>
      <c r="G556" s="89">
        <v>19</v>
      </c>
      <c r="H556" s="88">
        <f>IFERROR(IF($G556="","",$G556*$S$567/$G$567/Cadastro!$E$33),"")</f>
        <v>88.119646017699111</v>
      </c>
      <c r="I556" s="90">
        <f>IFERROR(IF($D556="","",VLOOKUP($D556,Cadastro!$C$4:$G$7,5,FALSE())),"")</f>
        <v>0.6</v>
      </c>
      <c r="J556" s="91">
        <f t="shared" si="139"/>
        <v>12.689229026548672</v>
      </c>
      <c r="K556" s="64">
        <f t="shared" si="140"/>
        <v>95</v>
      </c>
      <c r="L556" s="61" t="s">
        <v>29</v>
      </c>
      <c r="M556" s="61" t="s">
        <v>56</v>
      </c>
      <c r="N556" s="61" t="s">
        <v>210</v>
      </c>
      <c r="O556" s="65">
        <v>0.89166666666666672</v>
      </c>
      <c r="P556" s="65">
        <v>0.8930555555555556</v>
      </c>
      <c r="Q556" s="66">
        <f t="shared" ca="1" si="141"/>
        <v>1.388888888888884E-3</v>
      </c>
      <c r="R556" s="63"/>
      <c r="S556" s="81"/>
    </row>
    <row r="557" spans="1:20" ht="15" customHeight="1">
      <c r="A557" s="18">
        <v>46255</v>
      </c>
      <c r="B557" s="68">
        <f t="shared" si="142"/>
        <v>0.9166666666666663</v>
      </c>
      <c r="C557" s="70" t="s">
        <v>38</v>
      </c>
      <c r="D557" s="75" t="s">
        <v>39</v>
      </c>
      <c r="E557" s="100" t="s">
        <v>275</v>
      </c>
      <c r="F557" s="88">
        <f>IFERROR(IF($D557="","",VLOOKUP($D557,Cadastro!$C$4:$E$7,3,FALSE())),"")</f>
        <v>0.24</v>
      </c>
      <c r="G557" s="89">
        <v>15</v>
      </c>
      <c r="H557" s="88">
        <f>IFERROR(IF($G557="","",$G557*$S$567/$G$567/Cadastro!$E$33),"")</f>
        <v>69.568141592920355</v>
      </c>
      <c r="I557" s="90">
        <f>IFERROR(IF($D557="","",VLOOKUP($D557,Cadastro!$C$4:$G$7,5,FALSE())),"")</f>
        <v>0.6</v>
      </c>
      <c r="J557" s="91">
        <f t="shared" si="139"/>
        <v>10.017812389380531</v>
      </c>
      <c r="K557" s="69">
        <f t="shared" si="140"/>
        <v>63</v>
      </c>
      <c r="L557" s="70" t="s">
        <v>29</v>
      </c>
      <c r="M557" s="70" t="s">
        <v>56</v>
      </c>
      <c r="N557" s="70" t="s">
        <v>210</v>
      </c>
      <c r="O557" s="65">
        <v>0.92847222222222225</v>
      </c>
      <c r="P557" s="65">
        <v>0.9291666666666667</v>
      </c>
      <c r="Q557" s="71">
        <f t="shared" ca="1" si="141"/>
        <v>6.9444444444444198E-4</v>
      </c>
      <c r="R557" s="63"/>
      <c r="S557" s="81"/>
    </row>
    <row r="558" spans="1:20" ht="15" customHeight="1">
      <c r="A558" s="59">
        <v>46255</v>
      </c>
      <c r="B558" s="60">
        <f t="shared" si="142"/>
        <v>0.95833333333333293</v>
      </c>
      <c r="C558" s="70" t="s">
        <v>38</v>
      </c>
      <c r="D558" s="75" t="s">
        <v>39</v>
      </c>
      <c r="E558" s="100" t="s">
        <v>275</v>
      </c>
      <c r="F558" s="88">
        <f>IFERROR(IF($D558="","",VLOOKUP($D558,Cadastro!$C$4:$E$7,3,FALSE())),"")</f>
        <v>0.24</v>
      </c>
      <c r="G558" s="89">
        <v>8</v>
      </c>
      <c r="H558" s="88">
        <f>IFERROR(IF($G558="","",$G558*$S$567/$G$567/Cadastro!$E$33),"")</f>
        <v>37.103008849557526</v>
      </c>
      <c r="I558" s="90">
        <f>IFERROR(IF($D558="","",VLOOKUP($D558,Cadastro!$C$4:$G$7,5,FALSE())),"")</f>
        <v>0.6</v>
      </c>
      <c r="J558" s="91">
        <f t="shared" si="139"/>
        <v>5.3428332743362832</v>
      </c>
      <c r="K558" s="64">
        <f t="shared" si="140"/>
        <v>33.6</v>
      </c>
      <c r="L558" s="61" t="s">
        <v>29</v>
      </c>
      <c r="M558" s="61" t="s">
        <v>56</v>
      </c>
      <c r="N558" s="61" t="s">
        <v>60</v>
      </c>
      <c r="O558" s="65">
        <v>0.94930555555555551</v>
      </c>
      <c r="P558" s="65">
        <v>0.95694444444444449</v>
      </c>
      <c r="Q558" s="66">
        <f t="shared" ca="1" si="141"/>
        <v>7.6388888888889728E-3</v>
      </c>
      <c r="R558" s="63"/>
      <c r="S558" s="81"/>
    </row>
    <row r="559" spans="1:20" ht="15" customHeight="1">
      <c r="A559" s="18">
        <v>46255</v>
      </c>
      <c r="B559" s="68">
        <f t="shared" si="142"/>
        <v>0.99999999999999956</v>
      </c>
      <c r="C559" s="70" t="s">
        <v>38</v>
      </c>
      <c r="D559" s="75" t="s">
        <v>39</v>
      </c>
      <c r="E559" s="100" t="s">
        <v>275</v>
      </c>
      <c r="F559" s="88">
        <f>IFERROR(IF($D559="","",VLOOKUP($D559,Cadastro!$C$4:$E$7,3,FALSE())),"")</f>
        <v>0.24</v>
      </c>
      <c r="G559" s="89">
        <v>15</v>
      </c>
      <c r="H559" s="88">
        <f>IFERROR(IF($G559="","",$G559*$S$567/$G$567/Cadastro!$E$33),"")</f>
        <v>69.568141592920355</v>
      </c>
      <c r="I559" s="90">
        <f>IFERROR(IF($D559="","",VLOOKUP($D559,Cadastro!$C$4:$G$7,5,FALSE())),"")</f>
        <v>0.6</v>
      </c>
      <c r="J559" s="91">
        <f t="shared" si="139"/>
        <v>10.017812389380531</v>
      </c>
      <c r="K559" s="69">
        <f t="shared" si="140"/>
        <v>63</v>
      </c>
      <c r="L559" s="70" t="s">
        <v>29</v>
      </c>
      <c r="M559" s="70" t="s">
        <v>56</v>
      </c>
      <c r="N559" s="70" t="s">
        <v>218</v>
      </c>
      <c r="O559" s="65">
        <v>5.6250000000000001E-2</v>
      </c>
      <c r="P559" s="65">
        <v>7.2222222222222215E-2</v>
      </c>
      <c r="Q559" s="71">
        <f t="shared" ca="1" si="141"/>
        <v>1.5972222222222214E-2</v>
      </c>
      <c r="R559" s="63" t="s">
        <v>312</v>
      </c>
      <c r="S559" s="81"/>
    </row>
    <row r="560" spans="1:20" ht="15" customHeight="1">
      <c r="A560" s="59">
        <v>46255</v>
      </c>
      <c r="B560" s="60">
        <f t="shared" si="142"/>
        <v>1.0416666666666663</v>
      </c>
      <c r="C560" s="70" t="s">
        <v>38</v>
      </c>
      <c r="D560" s="75" t="s">
        <v>39</v>
      </c>
      <c r="E560" s="100" t="s">
        <v>275</v>
      </c>
      <c r="F560" s="88">
        <f>IFERROR(IF($D560="","",VLOOKUP($D560,Cadastro!$C$4:$E$7,3,FALSE())),"")</f>
        <v>0.24</v>
      </c>
      <c r="G560" s="89">
        <v>12</v>
      </c>
      <c r="H560" s="88">
        <f>IFERROR(IF($G560="","",$G560*$S$567/$G$567/Cadastro!$E$33),"")</f>
        <v>55.654513274336281</v>
      </c>
      <c r="I560" s="90">
        <f>IFERROR(IF($D560="","",VLOOKUP($D560,Cadastro!$C$4:$G$7,5,FALSE())),"")</f>
        <v>0.6</v>
      </c>
      <c r="J560" s="91">
        <f t="shared" si="139"/>
        <v>8.0142499115044235</v>
      </c>
      <c r="K560" s="64">
        <f t="shared" si="140"/>
        <v>50.400000000000006</v>
      </c>
      <c r="L560" s="61" t="s">
        <v>29</v>
      </c>
      <c r="M560" s="61" t="s">
        <v>56</v>
      </c>
      <c r="N560" s="61" t="s">
        <v>208</v>
      </c>
      <c r="O560" s="65">
        <v>7.5694444444444439E-2</v>
      </c>
      <c r="P560" s="65">
        <v>7.7777777777777779E-2</v>
      </c>
      <c r="Q560" s="66">
        <f t="shared" ca="1" si="141"/>
        <v>2.0833333333333398E-3</v>
      </c>
      <c r="R560" s="63"/>
      <c r="S560" s="81"/>
    </row>
    <row r="561" spans="1:20" ht="15" customHeight="1">
      <c r="A561" s="18">
        <v>46255</v>
      </c>
      <c r="B561" s="68">
        <f t="shared" si="142"/>
        <v>1.083333333333333</v>
      </c>
      <c r="C561" s="70" t="s">
        <v>38</v>
      </c>
      <c r="D561" s="75" t="s">
        <v>39</v>
      </c>
      <c r="E561" s="100" t="s">
        <v>275</v>
      </c>
      <c r="F561" s="88">
        <f>IFERROR(IF($D561="","",VLOOKUP($D561,Cadastro!$C$4:$E$7,3,FALSE())),"")</f>
        <v>0.24</v>
      </c>
      <c r="G561" s="89">
        <v>3</v>
      </c>
      <c r="H561" s="88">
        <f>IFERROR(IF($G561="","",$G561*$S$567/$G$567/Cadastro!$E$33),"")</f>
        <v>13.91362831858407</v>
      </c>
      <c r="I561" s="90">
        <f>IFERROR(IF($D561="","",VLOOKUP($D561,Cadastro!$C$4:$G$7,5,FALSE())),"")</f>
        <v>0.6</v>
      </c>
      <c r="J561" s="91">
        <f t="shared" si="139"/>
        <v>2.0035624778761059</v>
      </c>
      <c r="K561" s="69">
        <f t="shared" si="140"/>
        <v>12.600000000000001</v>
      </c>
      <c r="L561" s="70" t="s">
        <v>29</v>
      </c>
      <c r="M561" s="70" t="s">
        <v>56</v>
      </c>
      <c r="N561" s="61" t="s">
        <v>60</v>
      </c>
      <c r="O561" s="65">
        <v>8.1250000000000003E-2</v>
      </c>
      <c r="P561" s="65">
        <v>8.611111111111111E-2</v>
      </c>
      <c r="Q561" s="71">
        <f t="shared" ca="1" si="141"/>
        <v>4.8611111111111077E-3</v>
      </c>
      <c r="R561" s="63"/>
      <c r="S561" s="81"/>
    </row>
    <row r="562" spans="1:20" ht="15" customHeight="1">
      <c r="A562" s="59">
        <v>46255</v>
      </c>
      <c r="B562" s="60">
        <f t="shared" si="142"/>
        <v>1.1249999999999998</v>
      </c>
      <c r="C562" s="70" t="s">
        <v>38</v>
      </c>
      <c r="D562" s="75" t="s">
        <v>39</v>
      </c>
      <c r="E562" s="100" t="s">
        <v>275</v>
      </c>
      <c r="F562" s="88">
        <f>IFERROR(IF($D562="","",VLOOKUP($D562,Cadastro!$C$4:$E$7,3,FALSE())),"")</f>
        <v>0.24</v>
      </c>
      <c r="G562" s="89">
        <v>7</v>
      </c>
      <c r="H562" s="88">
        <f>IFERROR(IF($G562="","",$G562*$S$567/$G$567/Cadastro!$E$33),"")</f>
        <v>32.46513274336283</v>
      </c>
      <c r="I562" s="90">
        <f>IFERROR(IF($D562="","",VLOOKUP($D562,Cadastro!$C$4:$G$7,5,FALSE())),"")</f>
        <v>0.6</v>
      </c>
      <c r="J562" s="91">
        <f t="shared" si="139"/>
        <v>4.6749791150442466</v>
      </c>
      <c r="K562" s="64">
        <f t="shared" si="140"/>
        <v>29.400000000000002</v>
      </c>
      <c r="L562" s="61" t="s">
        <v>29</v>
      </c>
      <c r="M562" s="61" t="s">
        <v>56</v>
      </c>
      <c r="N562" s="61" t="s">
        <v>210</v>
      </c>
      <c r="O562" s="65">
        <v>9.930555555555555E-2</v>
      </c>
      <c r="P562" s="65">
        <v>0.10069444444444445</v>
      </c>
      <c r="Q562" s="66">
        <f t="shared" ca="1" si="141"/>
        <v>1.3888888888888978E-3</v>
      </c>
      <c r="R562" s="63"/>
      <c r="S562" s="81"/>
    </row>
    <row r="563" spans="1:20" ht="15" customHeight="1">
      <c r="A563" s="18">
        <v>46255</v>
      </c>
      <c r="B563" s="68">
        <f t="shared" si="142"/>
        <v>1.1666666666666665</v>
      </c>
      <c r="C563" s="70" t="s">
        <v>38</v>
      </c>
      <c r="D563" s="75" t="s">
        <v>39</v>
      </c>
      <c r="E563" s="100" t="s">
        <v>275</v>
      </c>
      <c r="F563" s="88">
        <f>IFERROR(IF($D563="","",VLOOKUP($D563,Cadastro!$C$4:$E$7,3,FALSE())),"")</f>
        <v>0.24</v>
      </c>
      <c r="G563" s="89">
        <v>12</v>
      </c>
      <c r="H563" s="88">
        <f>IFERROR(IF($G563="","",$G563*$S$567/$G$567/Cadastro!$E$33),"")</f>
        <v>55.654513274336281</v>
      </c>
      <c r="I563" s="90">
        <f>IFERROR(IF($D563="","",VLOOKUP($D563,Cadastro!$C$4:$G$7,5,FALSE())),"")</f>
        <v>0.6</v>
      </c>
      <c r="J563" s="91">
        <f t="shared" si="139"/>
        <v>8.0142499115044235</v>
      </c>
      <c r="K563" s="69">
        <f t="shared" si="140"/>
        <v>50.400000000000006</v>
      </c>
      <c r="L563" s="70" t="s">
        <v>29</v>
      </c>
      <c r="M563" s="70" t="s">
        <v>56</v>
      </c>
      <c r="N563" s="70" t="s">
        <v>60</v>
      </c>
      <c r="O563" s="65">
        <v>0.10625</v>
      </c>
      <c r="P563" s="65">
        <v>0.1111111111111111</v>
      </c>
      <c r="Q563" s="71">
        <f t="shared" ca="1" si="141"/>
        <v>4.8611111111111077E-3</v>
      </c>
      <c r="R563" s="63"/>
      <c r="S563" s="81"/>
    </row>
    <row r="564" spans="1:20" ht="15" customHeight="1">
      <c r="A564" s="59">
        <v>46255</v>
      </c>
      <c r="B564" s="60">
        <f t="shared" si="142"/>
        <v>1.2083333333333333</v>
      </c>
      <c r="C564" s="70" t="s">
        <v>38</v>
      </c>
      <c r="D564" s="75" t="s">
        <v>39</v>
      </c>
      <c r="E564" s="100" t="s">
        <v>275</v>
      </c>
      <c r="F564" s="88">
        <f>IFERROR(IF($D564="","",VLOOKUP($D564,Cadastro!$C$4:$E$7,3,FALSE())),"")</f>
        <v>0.24</v>
      </c>
      <c r="G564" s="89">
        <v>15</v>
      </c>
      <c r="H564" s="88">
        <f>IFERROR(IF($G564="","",$G564*$S$567/$G$567/Cadastro!$E$33),"")</f>
        <v>69.568141592920355</v>
      </c>
      <c r="I564" s="90">
        <f>IFERROR(IF($D564="","",VLOOKUP($D564,Cadastro!$C$4:$G$7,5,FALSE())),"")</f>
        <v>0.6</v>
      </c>
      <c r="J564" s="91">
        <f t="shared" si="139"/>
        <v>10.017812389380531</v>
      </c>
      <c r="K564" s="64">
        <f t="shared" si="140"/>
        <v>63</v>
      </c>
      <c r="L564" s="61" t="s">
        <v>29</v>
      </c>
      <c r="M564" s="61" t="s">
        <v>56</v>
      </c>
      <c r="N564" s="61" t="s">
        <v>60</v>
      </c>
      <c r="O564" s="65">
        <v>0.11874999999999999</v>
      </c>
      <c r="P564" s="65">
        <v>0.13055555555555556</v>
      </c>
      <c r="Q564" s="66">
        <f t="shared" ca="1" si="141"/>
        <v>1.1805555555555569E-2</v>
      </c>
      <c r="R564" s="63" t="s">
        <v>374</v>
      </c>
      <c r="S564" s="81"/>
    </row>
    <row r="565" spans="1:20" ht="15" customHeight="1">
      <c r="A565" s="18">
        <v>46255</v>
      </c>
      <c r="B565" s="68">
        <f t="shared" si="142"/>
        <v>1.25</v>
      </c>
      <c r="C565" s="70" t="s">
        <v>38</v>
      </c>
      <c r="D565" s="75" t="s">
        <v>39</v>
      </c>
      <c r="E565" s="100" t="s">
        <v>260</v>
      </c>
      <c r="F565" s="88">
        <f>IFERROR(IF($D565="","",VLOOKUP($D565,Cadastro!$C$4:$E$7,3,FALSE())),"")</f>
        <v>0.24</v>
      </c>
      <c r="G565" s="89">
        <v>2</v>
      </c>
      <c r="H565" s="88">
        <f>IFERROR(IF($G565="","",$G565*$S$567/$G$567/Cadastro!$E$33),"")</f>
        <v>9.2757522123893814</v>
      </c>
      <c r="I565" s="90">
        <f>IFERROR(IF($D565="","",VLOOKUP($D565,Cadastro!$C$4:$G$7,5,FALSE())),"")</f>
        <v>0.6</v>
      </c>
      <c r="J565" s="91">
        <f t="shared" si="139"/>
        <v>1.3357083185840708</v>
      </c>
      <c r="K565" s="69">
        <f t="shared" si="140"/>
        <v>10</v>
      </c>
      <c r="L565" s="70" t="s">
        <v>29</v>
      </c>
      <c r="M565" s="70" t="s">
        <v>56</v>
      </c>
      <c r="N565" s="70" t="s">
        <v>65</v>
      </c>
      <c r="O565" s="65">
        <v>0.17291666666666666</v>
      </c>
      <c r="P565" s="65">
        <v>0.18402777777777779</v>
      </c>
      <c r="Q565" s="71">
        <f t="shared" ca="1" si="141"/>
        <v>1.1111111111111127E-2</v>
      </c>
      <c r="R565" s="63" t="s">
        <v>346</v>
      </c>
      <c r="S565" s="81"/>
    </row>
    <row r="566" spans="1:20" ht="15" customHeight="1">
      <c r="A566" s="59">
        <v>46255</v>
      </c>
      <c r="B566" s="60">
        <f t="shared" si="142"/>
        <v>1.2916666666666667</v>
      </c>
      <c r="C566" s="70" t="s">
        <v>38</v>
      </c>
      <c r="D566" s="75" t="s">
        <v>39</v>
      </c>
      <c r="E566" s="100" t="s">
        <v>260</v>
      </c>
      <c r="F566" s="92">
        <f>IFERROR(IF($D566="","",VLOOKUP($D566,Cadastro!$C$4:$E$7,3,FALSE())),"")</f>
        <v>0.24</v>
      </c>
      <c r="G566" s="89">
        <v>5</v>
      </c>
      <c r="H566" s="92">
        <f>IFERROR(IF($G566="","",$G566*$S$567/$G$567/Cadastro!$E$33),"")</f>
        <v>23.189380530973452</v>
      </c>
      <c r="I566" s="93">
        <f>IFERROR(IF($D566="","",VLOOKUP($D566,Cadastro!$C$4:$G$7,5,FALSE())),"")</f>
        <v>0.6</v>
      </c>
      <c r="J566" s="94">
        <f t="shared" si="139"/>
        <v>3.3392707964601769</v>
      </c>
      <c r="K566" s="64">
        <f t="shared" si="140"/>
        <v>25</v>
      </c>
      <c r="L566" s="61" t="s">
        <v>29</v>
      </c>
      <c r="M566" s="61" t="s">
        <v>56</v>
      </c>
      <c r="N566" s="61" t="s">
        <v>71</v>
      </c>
      <c r="O566" s="65">
        <v>0.23749999999999999</v>
      </c>
      <c r="P566" s="65">
        <v>0.26041666666666669</v>
      </c>
      <c r="Q566" s="66">
        <f t="shared" ca="1" si="141"/>
        <v>2.2916666666666696E-2</v>
      </c>
      <c r="R566" s="63"/>
      <c r="S566" s="81"/>
    </row>
    <row r="567" spans="1:20" ht="15.75" customHeight="1">
      <c r="A567" s="157" t="s">
        <v>264</v>
      </c>
      <c r="B567" s="157"/>
      <c r="C567" s="157"/>
      <c r="D567" s="157"/>
      <c r="E567" s="157"/>
      <c r="F567" s="105"/>
      <c r="G567" s="96">
        <f>SUM(G555:G566)</f>
        <v>113</v>
      </c>
      <c r="H567" s="105">
        <f>IFERROR(SUM(H555:H566),"")</f>
        <v>524.08000000000004</v>
      </c>
      <c r="I567" s="106"/>
      <c r="J567" s="107">
        <f>IFERROR(SUM(J555:J566),"")</f>
        <v>75.467519999999979</v>
      </c>
      <c r="K567" s="2">
        <f>SUM(K555:K566)</f>
        <v>495.4</v>
      </c>
      <c r="L567" s="72"/>
      <c r="M567" s="72"/>
      <c r="N567" s="72"/>
      <c r="O567" s="72"/>
      <c r="P567" s="72"/>
      <c r="Q567" s="73">
        <f ca="1">IFERROR(SUM(Q555:Q566),"")</f>
        <v>0.10208333333333353</v>
      </c>
      <c r="R567" s="2" t="s">
        <v>262</v>
      </c>
      <c r="S567" s="74">
        <v>524080</v>
      </c>
      <c r="T567" s="99">
        <f>IFERROR(J567,"")</f>
        <v>75.467519999999979</v>
      </c>
    </row>
    <row r="568" spans="1:20" ht="18" customHeight="1">
      <c r="A568" s="158" t="s">
        <v>250</v>
      </c>
      <c r="B568" s="158"/>
      <c r="C568" s="158"/>
      <c r="D568" s="158"/>
      <c r="E568" s="158"/>
      <c r="F568" s="108"/>
      <c r="G568" s="109">
        <f>G554+G567</f>
        <v>122</v>
      </c>
      <c r="H568" s="108">
        <f>IFERROR(H554+H567,"")</f>
        <v>563.97</v>
      </c>
      <c r="I568" s="110"/>
      <c r="J568" s="111">
        <f>IFERROR(J554+J567,"")</f>
        <v>81.211679999999973</v>
      </c>
      <c r="K568" s="1">
        <f>K554+K567</f>
        <v>533.19999999999993</v>
      </c>
      <c r="L568" s="76"/>
      <c r="M568" s="76"/>
      <c r="N568" s="76"/>
      <c r="O568" s="76"/>
      <c r="P568" s="76"/>
      <c r="Q568" s="77">
        <f ca="1">IFERROR(Q554+Q567,"")</f>
        <v>0.51250000000000018</v>
      </c>
      <c r="R568" s="1" t="s">
        <v>265</v>
      </c>
      <c r="S568" s="82">
        <f>IFERROR(S554+S567,"")</f>
        <v>563970</v>
      </c>
      <c r="T568" s="118">
        <f>IFERROR(J568,"")</f>
        <v>81.211679999999973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275</v>
      </c>
      <c r="F569" s="101">
        <f>IFERROR(IF($D569="","",VLOOKUP($D569,Cadastro!$C$4:$E$7,3,FALSE())),"")</f>
        <v>0.35</v>
      </c>
      <c r="G569" s="89">
        <v>18</v>
      </c>
      <c r="H569" s="101">
        <f>IFERROR(IF($G569="","",$G569*$S$581/$G$581/Cadastro!$E$33),"")</f>
        <v>0</v>
      </c>
      <c r="I569" s="102">
        <f>IFERROR(IF($D569="","",VLOOKUP($D569,Cadastro!$C$4:$G$7,5,FALSE())),"")</f>
        <v>0.6</v>
      </c>
      <c r="J569" s="103">
        <f t="shared" ref="J569:J580" si="143">IFERROR(IF($H569="","",$H569*$F569*$I569),"")</f>
        <v>0</v>
      </c>
      <c r="K569" s="69">
        <f t="shared" ref="K569:K580" si="144">IF(G569="","",IF(E569="PC 17",G569*4.2,IF(E569="PC 19",G569*5,IF(E569="CB",G569*24,""))))</f>
        <v>75.600000000000009</v>
      </c>
      <c r="L569" s="70" t="s">
        <v>27</v>
      </c>
      <c r="M569" s="70" t="s">
        <v>56</v>
      </c>
      <c r="N569" s="70" t="s">
        <v>140</v>
      </c>
      <c r="O569" s="65">
        <v>0.37152777777777779</v>
      </c>
      <c r="P569" s="65">
        <v>0.41180555555555554</v>
      </c>
      <c r="Q569" s="71">
        <f t="shared" ref="Q569:Q580" ca="1" si="145">IFERROR(IF(O569="","",IF(P569="",MOD(NOW()-O569,1),IF(P569&gt;=O569,P569-O569,P569+1-O569))),"")</f>
        <v>4.0277777777777746E-2</v>
      </c>
      <c r="R569" s="63" t="s">
        <v>312</v>
      </c>
      <c r="S569" s="81"/>
    </row>
    <row r="570" spans="1:20" ht="15" customHeight="1">
      <c r="A570" s="59">
        <v>46256</v>
      </c>
      <c r="B570" s="60">
        <f t="shared" ref="B570:B580" si="146">B569+TIME(0,60,0)</f>
        <v>0.37499999999999967</v>
      </c>
      <c r="C570" s="70" t="s">
        <v>30</v>
      </c>
      <c r="D570" s="75" t="s">
        <v>31</v>
      </c>
      <c r="E570" s="100" t="s">
        <v>275</v>
      </c>
      <c r="F570" s="88">
        <f>IFERROR(IF($D570="","",VLOOKUP($D570,Cadastro!$C$4:$E$7,3,FALSE())),"")</f>
        <v>0.35</v>
      </c>
      <c r="G570" s="89">
        <v>10</v>
      </c>
      <c r="H570" s="88">
        <f>IFERROR(IF($G570="","",$G570*$S$581/$G$581/Cadastro!$E$33),"")</f>
        <v>0</v>
      </c>
      <c r="I570" s="90">
        <f>IFERROR(IF($D570="","",VLOOKUP($D570,Cadastro!$C$4:$G$7,5,FALSE())),"")</f>
        <v>0.6</v>
      </c>
      <c r="J570" s="91">
        <f t="shared" si="143"/>
        <v>0</v>
      </c>
      <c r="K570" s="69">
        <f t="shared" si="144"/>
        <v>42</v>
      </c>
      <c r="L570" s="61" t="s">
        <v>27</v>
      </c>
      <c r="M570" s="61" t="s">
        <v>56</v>
      </c>
      <c r="N570" s="61" t="s">
        <v>177</v>
      </c>
      <c r="O570" s="65">
        <v>0.46666666666666667</v>
      </c>
      <c r="P570" s="65">
        <v>0.47361111111111109</v>
      </c>
      <c r="Q570" s="66">
        <f t="shared" ca="1" si="145"/>
        <v>6.9444444444444198E-3</v>
      </c>
      <c r="R570" s="63"/>
      <c r="S570" s="81"/>
    </row>
    <row r="571" spans="1:20" ht="15" customHeight="1">
      <c r="A571" s="18">
        <v>46256</v>
      </c>
      <c r="B571" s="68">
        <f t="shared" si="146"/>
        <v>0.41666666666666635</v>
      </c>
      <c r="C571" s="70" t="s">
        <v>30</v>
      </c>
      <c r="D571" s="75" t="s">
        <v>31</v>
      </c>
      <c r="E571" s="100" t="s">
        <v>275</v>
      </c>
      <c r="F571" s="88">
        <f>IFERROR(IF($D571="","",VLOOKUP($D571,Cadastro!$C$4:$E$7,3,FALSE())),"")</f>
        <v>0.35</v>
      </c>
      <c r="G571" s="89">
        <v>12</v>
      </c>
      <c r="H571" s="88">
        <f>IFERROR(IF($G571="","",$G571*$S$581/$G$581/Cadastro!$E$33),"")</f>
        <v>0</v>
      </c>
      <c r="I571" s="90">
        <f>IFERROR(IF($D571="","",VLOOKUP($D571,Cadastro!$C$4:$G$7,5,FALSE())),"")</f>
        <v>0.6</v>
      </c>
      <c r="J571" s="91">
        <f t="shared" si="143"/>
        <v>0</v>
      </c>
      <c r="K571" s="69">
        <f t="shared" si="144"/>
        <v>50.400000000000006</v>
      </c>
      <c r="L571" s="70" t="s">
        <v>29</v>
      </c>
      <c r="M571" s="70" t="s">
        <v>133</v>
      </c>
      <c r="N571" s="70" t="s">
        <v>123</v>
      </c>
      <c r="O571" s="65">
        <v>0.54513888888888884</v>
      </c>
      <c r="P571" s="65">
        <v>0.5541666666666667</v>
      </c>
      <c r="Q571" s="71">
        <f t="shared" ca="1" si="145"/>
        <v>9.0277777777778567E-3</v>
      </c>
      <c r="R571" s="63"/>
      <c r="S571" s="81"/>
    </row>
    <row r="572" spans="1:20" ht="15" customHeight="1">
      <c r="A572" s="59">
        <v>46256</v>
      </c>
      <c r="B572" s="60">
        <f t="shared" si="146"/>
        <v>0.45833333333333304</v>
      </c>
      <c r="C572" s="70" t="s">
        <v>30</v>
      </c>
      <c r="D572" s="75" t="s">
        <v>31</v>
      </c>
      <c r="E572" s="100" t="s">
        <v>275</v>
      </c>
      <c r="F572" s="88">
        <f>IFERROR(IF($D572="","",VLOOKUP($D572,Cadastro!$C$4:$E$7,3,FALSE())),"")</f>
        <v>0.35</v>
      </c>
      <c r="G572" s="89">
        <v>16</v>
      </c>
      <c r="H572" s="88">
        <f>IFERROR(IF($G572="","",$G572*$S$581/$G$581/Cadastro!$E$33),"")</f>
        <v>0</v>
      </c>
      <c r="I572" s="90">
        <f>IFERROR(IF($D572="","",VLOOKUP($D572,Cadastro!$C$4:$G$7,5,FALSE())),"")</f>
        <v>0.6</v>
      </c>
      <c r="J572" s="91">
        <f t="shared" si="143"/>
        <v>0</v>
      </c>
      <c r="K572" s="69">
        <f t="shared" si="144"/>
        <v>67.2</v>
      </c>
      <c r="L572" s="61" t="s">
        <v>29</v>
      </c>
      <c r="M572" s="61" t="s">
        <v>159</v>
      </c>
      <c r="N572" s="61" t="s">
        <v>60</v>
      </c>
      <c r="O572" s="65">
        <v>0.5625</v>
      </c>
      <c r="P572" s="65"/>
      <c r="Q572" s="66">
        <f t="shared" ca="1" si="145"/>
        <v>1.3428009260678664E-2</v>
      </c>
      <c r="R572" s="63"/>
      <c r="S572" s="81"/>
    </row>
    <row r="573" spans="1:20" ht="15" customHeight="1">
      <c r="A573" s="18">
        <v>46256</v>
      </c>
      <c r="B573" s="68">
        <f t="shared" si="146"/>
        <v>0.49999999999999972</v>
      </c>
      <c r="C573" s="70" t="s">
        <v>30</v>
      </c>
      <c r="D573" s="75" t="s">
        <v>31</v>
      </c>
      <c r="E573" s="100" t="s">
        <v>260</v>
      </c>
      <c r="F573" s="88">
        <f>IFERROR(IF($D573="","",VLOOKUP($D573,Cadastro!$C$4:$E$7,3,FALSE())),"")</f>
        <v>0.35</v>
      </c>
      <c r="G573" s="89">
        <v>11</v>
      </c>
      <c r="H573" s="88">
        <f>IFERROR(IF($G573="","",$G573*$S$581/$G$581/Cadastro!$E$33),"")</f>
        <v>0</v>
      </c>
      <c r="I573" s="90">
        <f>IFERROR(IF($D573="","",VLOOKUP($D573,Cadastro!$C$4:$G$7,5,FALSE())),"")</f>
        <v>0.6</v>
      </c>
      <c r="J573" s="91">
        <f t="shared" si="143"/>
        <v>0</v>
      </c>
      <c r="K573" s="69">
        <f t="shared" si="144"/>
        <v>55</v>
      </c>
      <c r="L573" s="70"/>
      <c r="M573" s="70"/>
      <c r="N573" s="70"/>
      <c r="O573" s="65"/>
      <c r="P573" s="65"/>
      <c r="Q573" s="71" t="str">
        <f t="shared" ca="1" si="145"/>
        <v/>
      </c>
      <c r="R573" s="63"/>
      <c r="S573" s="81"/>
    </row>
    <row r="574" spans="1:20" ht="15" customHeight="1">
      <c r="A574" s="59">
        <v>46256</v>
      </c>
      <c r="B574" s="60">
        <f t="shared" si="146"/>
        <v>0.54166666666666641</v>
      </c>
      <c r="C574" s="70" t="s">
        <v>30</v>
      </c>
      <c r="D574" s="75" t="s">
        <v>31</v>
      </c>
      <c r="E574" s="100" t="s">
        <v>275</v>
      </c>
      <c r="F574" s="88">
        <f>IFERROR(IF($D574="","",VLOOKUP($D574,Cadastro!$C$4:$E$7,3,FALSE())),"")</f>
        <v>0.35</v>
      </c>
      <c r="G574" s="89">
        <v>20</v>
      </c>
      <c r="H574" s="88">
        <f>IFERROR(IF($G574="","",$G574*$S$581/$G$581/Cadastro!$E$33),"")</f>
        <v>0</v>
      </c>
      <c r="I574" s="90">
        <f>IFERROR(IF($D574="","",VLOOKUP($D574,Cadastro!$C$4:$G$7,5,FALSE())),"")</f>
        <v>0.6</v>
      </c>
      <c r="J574" s="91">
        <f t="shared" si="143"/>
        <v>0</v>
      </c>
      <c r="K574" s="69">
        <f t="shared" si="144"/>
        <v>84</v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>
      <c r="A575" s="18">
        <v>46256</v>
      </c>
      <c r="B575" s="68">
        <f t="shared" si="146"/>
        <v>0.58333333333333304</v>
      </c>
      <c r="C575" s="70" t="s">
        <v>30</v>
      </c>
      <c r="D575" s="75" t="s">
        <v>31</v>
      </c>
      <c r="E575" s="100" t="s">
        <v>275</v>
      </c>
      <c r="F575" s="88">
        <f>IFERROR(IF($D575="","",VLOOKUP($D575,Cadastro!$C$4:$E$7,3,FALSE())),"")</f>
        <v>0.35</v>
      </c>
      <c r="G575" s="89"/>
      <c r="H575" s="88" t="str">
        <f>IFERROR(IF($G575="","",$G575*$S$581/$G$581/Cadastro!$E$33),"")</f>
        <v/>
      </c>
      <c r="I575" s="90">
        <f>IFERROR(IF($D575="","",VLOOKUP($D575,Cadastro!$C$4:$G$7,5,FALSE())),"")</f>
        <v>0.6</v>
      </c>
      <c r="J575" s="91" t="str">
        <f t="shared" si="143"/>
        <v/>
      </c>
      <c r="K575" s="69" t="str">
        <f t="shared" si="144"/>
        <v/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>
      <c r="A576" s="59">
        <v>46256</v>
      </c>
      <c r="B576" s="60">
        <f t="shared" si="146"/>
        <v>0.62499999999999967</v>
      </c>
      <c r="C576" s="70" t="s">
        <v>30</v>
      </c>
      <c r="D576" s="75" t="s">
        <v>31</v>
      </c>
      <c r="E576" s="100" t="s">
        <v>275</v>
      </c>
      <c r="F576" s="88">
        <f>IFERROR(IF($D576="","",VLOOKUP($D576,Cadastro!$C$4:$E$7,3,FALSE())),"")</f>
        <v>0.35</v>
      </c>
      <c r="G576" s="89"/>
      <c r="H576" s="88" t="str">
        <f>IFERROR(IF($G576="","",$G576*$S$581/$G$581/Cadastro!$E$33),"")</f>
        <v/>
      </c>
      <c r="I576" s="90">
        <f>IFERROR(IF($D576="","",VLOOKUP($D576,Cadastro!$C$4:$G$7,5,FALSE())),"")</f>
        <v>0.6</v>
      </c>
      <c r="J576" s="91" t="str">
        <f t="shared" si="143"/>
        <v/>
      </c>
      <c r="K576" s="69" t="str">
        <f t="shared" si="144"/>
        <v/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>
      <c r="A577" s="18">
        <v>46256</v>
      </c>
      <c r="B577" s="68">
        <f t="shared" si="146"/>
        <v>0.6666666666666663</v>
      </c>
      <c r="C577" s="70" t="s">
        <v>30</v>
      </c>
      <c r="D577" s="75" t="s">
        <v>31</v>
      </c>
      <c r="E577" s="100" t="s">
        <v>275</v>
      </c>
      <c r="F577" s="88">
        <f>IFERROR(IF($D577="","",VLOOKUP($D577,Cadastro!$C$4:$E$7,3,FALSE())),"")</f>
        <v>0.35</v>
      </c>
      <c r="G577" s="89"/>
      <c r="H577" s="88" t="str">
        <f>IFERROR(IF($G577="","",$G577*$S$581/$G$581/Cadastro!$E$33),"")</f>
        <v/>
      </c>
      <c r="I577" s="90">
        <f>IFERROR(IF($D577="","",VLOOKUP($D577,Cadastro!$C$4:$G$7,5,FALSE())),"")</f>
        <v>0.6</v>
      </c>
      <c r="J577" s="91" t="str">
        <f t="shared" si="143"/>
        <v/>
      </c>
      <c r="K577" s="69" t="str">
        <f t="shared" si="144"/>
        <v/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>
      <c r="A578" s="59">
        <v>46256</v>
      </c>
      <c r="B578" s="60">
        <f t="shared" si="146"/>
        <v>0.70833333333333293</v>
      </c>
      <c r="C578" s="70" t="s">
        <v>30</v>
      </c>
      <c r="D578" s="75" t="s">
        <v>31</v>
      </c>
      <c r="E578" s="100" t="s">
        <v>275</v>
      </c>
      <c r="F578" s="88">
        <f>IFERROR(IF($D578="","",VLOOKUP($D578,Cadastro!$C$4:$E$7,3,FALSE())),"")</f>
        <v>0.35</v>
      </c>
      <c r="G578" s="89"/>
      <c r="H578" s="88" t="str">
        <f>IFERROR(IF($G578="","",$G578*$S$581/$G$581/Cadastro!$E$33),"")</f>
        <v/>
      </c>
      <c r="I578" s="90">
        <f>IFERROR(IF($D578="","",VLOOKUP($D578,Cadastro!$C$4:$G$7,5,FALSE())),"")</f>
        <v>0.6</v>
      </c>
      <c r="J578" s="91" t="str">
        <f t="shared" si="143"/>
        <v/>
      </c>
      <c r="K578" s="69" t="str">
        <f t="shared" si="144"/>
        <v/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>
      <c r="A579" s="18">
        <v>46256</v>
      </c>
      <c r="B579" s="68">
        <f t="shared" si="146"/>
        <v>0.74999999999999956</v>
      </c>
      <c r="C579" s="70" t="s">
        <v>30</v>
      </c>
      <c r="D579" s="75" t="s">
        <v>31</v>
      </c>
      <c r="E579" s="100" t="s">
        <v>275</v>
      </c>
      <c r="F579" s="88">
        <f>IFERROR(IF($D579="","",VLOOKUP($D579,Cadastro!$C$4:$E$7,3,FALSE())),"")</f>
        <v>0.35</v>
      </c>
      <c r="G579" s="89"/>
      <c r="H579" s="88" t="str">
        <f>IFERROR(IF($G579="","",$G579*$S$581/$G$581/Cadastro!$E$33),"")</f>
        <v/>
      </c>
      <c r="I579" s="90">
        <f>IFERROR(IF($D579="","",VLOOKUP($D579,Cadastro!$C$4:$G$7,5,FALSE())),"")</f>
        <v>0.6</v>
      </c>
      <c r="J579" s="91" t="str">
        <f t="shared" si="143"/>
        <v/>
      </c>
      <c r="K579" s="69" t="str">
        <f t="shared" si="144"/>
        <v/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>
      <c r="A580" s="59">
        <v>46256</v>
      </c>
      <c r="B580" s="60">
        <f t="shared" si="146"/>
        <v>0.79166666666666619</v>
      </c>
      <c r="C580" s="70" t="s">
        <v>30</v>
      </c>
      <c r="D580" s="75" t="s">
        <v>31</v>
      </c>
      <c r="E580" s="100" t="s">
        <v>275</v>
      </c>
      <c r="F580" s="92">
        <f>IFERROR(IF($D580="","",VLOOKUP($D580,Cadastro!$C$4:$E$7,3,FALSE())),"")</f>
        <v>0.35</v>
      </c>
      <c r="G580" s="89"/>
      <c r="H580" s="92" t="str">
        <f>IFERROR(IF($G580="","",$G580*$S$581/$G$581/Cadastro!$E$33),"")</f>
        <v/>
      </c>
      <c r="I580" s="93">
        <f>IFERROR(IF($D580="","",VLOOKUP($D580,Cadastro!$C$4:$G$7,5,FALSE())),"")</f>
        <v>0.6</v>
      </c>
      <c r="J580" s="94" t="str">
        <f t="shared" si="143"/>
        <v/>
      </c>
      <c r="K580" s="69" t="str">
        <f t="shared" si="144"/>
        <v/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>
      <c r="A581" s="157" t="s">
        <v>261</v>
      </c>
      <c r="B581" s="157"/>
      <c r="C581" s="157"/>
      <c r="D581" s="157"/>
      <c r="E581" s="157"/>
      <c r="F581" s="95"/>
      <c r="G581" s="96">
        <f>SUM(G569:G580)</f>
        <v>87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374.2</v>
      </c>
      <c r="L581" s="72"/>
      <c r="M581" s="72"/>
      <c r="N581" s="72"/>
      <c r="O581" s="72"/>
      <c r="P581" s="72"/>
      <c r="Q581" s="73">
        <f ca="1">IFERROR(SUM(Q569:Q580),"")</f>
        <v>6.9678009260678686E-2</v>
      </c>
      <c r="R581" s="2" t="s">
        <v>262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47">IFERROR(IF($H582="","",$H582*$F582*$I582),"")</f>
        <v/>
      </c>
      <c r="K582" s="64" t="str">
        <f t="shared" ref="K582:K593" si="148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49">IFERROR(IF(O582="","",IF(P582="",MOD(NOW()-O582,1),IF(P582&gt;=O582,P582-O582,P582+1-O582))),"")</f>
        <v/>
      </c>
      <c r="R582" s="63"/>
      <c r="S582" s="81"/>
    </row>
    <row r="583" spans="1:20" ht="15" customHeight="1">
      <c r="A583" s="18">
        <v>46256</v>
      </c>
      <c r="B583" s="68">
        <f t="shared" ref="B583:B593" si="150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47"/>
        <v/>
      </c>
      <c r="K583" s="69" t="str">
        <f t="shared" si="148"/>
        <v/>
      </c>
      <c r="L583" s="70"/>
      <c r="M583" s="70"/>
      <c r="N583" s="70"/>
      <c r="O583" s="65"/>
      <c r="P583" s="65"/>
      <c r="Q583" s="71" t="str">
        <f t="shared" ca="1" si="149"/>
        <v/>
      </c>
      <c r="R583" s="63"/>
      <c r="S583" s="81"/>
    </row>
    <row r="584" spans="1:20" ht="15" customHeight="1">
      <c r="A584" s="59">
        <v>46256</v>
      </c>
      <c r="B584" s="60">
        <f t="shared" si="150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47"/>
        <v/>
      </c>
      <c r="K584" s="64" t="str">
        <f t="shared" si="148"/>
        <v/>
      </c>
      <c r="L584" s="61"/>
      <c r="M584" s="61"/>
      <c r="N584" s="61"/>
      <c r="O584" s="65"/>
      <c r="P584" s="65"/>
      <c r="Q584" s="66" t="str">
        <f t="shared" ca="1" si="149"/>
        <v/>
      </c>
      <c r="R584" s="63"/>
      <c r="S584" s="81"/>
    </row>
    <row r="585" spans="1:20" ht="15" customHeight="1">
      <c r="A585" s="18">
        <v>46256</v>
      </c>
      <c r="B585" s="68">
        <f t="shared" si="150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47"/>
        <v/>
      </c>
      <c r="K585" s="69" t="str">
        <f t="shared" si="148"/>
        <v/>
      </c>
      <c r="L585" s="70"/>
      <c r="M585" s="70"/>
      <c r="N585" s="70"/>
      <c r="O585" s="65"/>
      <c r="P585" s="65"/>
      <c r="Q585" s="71" t="str">
        <f t="shared" ca="1" si="149"/>
        <v/>
      </c>
      <c r="R585" s="63"/>
      <c r="S585" s="81"/>
    </row>
    <row r="586" spans="1:20" ht="15" customHeight="1">
      <c r="A586" s="59">
        <v>46256</v>
      </c>
      <c r="B586" s="60">
        <f t="shared" si="150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47"/>
        <v/>
      </c>
      <c r="K586" s="64" t="str">
        <f t="shared" si="148"/>
        <v/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>
      <c r="A587" s="18">
        <v>46256</v>
      </c>
      <c r="B587" s="68">
        <f t="shared" si="150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47"/>
        <v/>
      </c>
      <c r="K587" s="69" t="str">
        <f t="shared" si="148"/>
        <v/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>
      <c r="A588" s="59">
        <v>46256</v>
      </c>
      <c r="B588" s="60">
        <f t="shared" si="150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47"/>
        <v/>
      </c>
      <c r="K588" s="64" t="str">
        <f t="shared" si="148"/>
        <v/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>
      <c r="A589" s="18">
        <v>46256</v>
      </c>
      <c r="B589" s="68">
        <f t="shared" si="150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47"/>
        <v/>
      </c>
      <c r="K589" s="69" t="str">
        <f t="shared" si="148"/>
        <v/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>
      <c r="A590" s="168">
        <v>46256</v>
      </c>
      <c r="B590" s="60">
        <f t="shared" si="150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47"/>
        <v/>
      </c>
      <c r="K590" s="64" t="str">
        <f t="shared" si="148"/>
        <v/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>
      <c r="A591" s="18">
        <v>46256</v>
      </c>
      <c r="B591" s="68">
        <f t="shared" si="150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47"/>
        <v/>
      </c>
      <c r="K591" s="69" t="str">
        <f t="shared" si="148"/>
        <v/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>
      <c r="A592" s="59">
        <v>46256</v>
      </c>
      <c r="B592" s="60">
        <f t="shared" si="150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47"/>
        <v/>
      </c>
      <c r="K592" s="64" t="str">
        <f t="shared" si="148"/>
        <v/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>
      <c r="A593" s="18">
        <v>46256</v>
      </c>
      <c r="B593" s="68">
        <f t="shared" si="150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47"/>
        <v/>
      </c>
      <c r="K593" s="69" t="str">
        <f t="shared" si="148"/>
        <v/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>
      <c r="A594" s="157" t="s">
        <v>264</v>
      </c>
      <c r="B594" s="157"/>
      <c r="C594" s="157"/>
      <c r="D594" s="157"/>
      <c r="E594" s="157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8" t="s">
        <v>250</v>
      </c>
      <c r="B595" s="158"/>
      <c r="C595" s="158"/>
      <c r="D595" s="158"/>
      <c r="E595" s="158"/>
      <c r="F595" s="108"/>
      <c r="G595" s="109">
        <f>G581+G594</f>
        <v>87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374.2</v>
      </c>
      <c r="L595" s="76"/>
      <c r="M595" s="76"/>
      <c r="N595" s="76"/>
      <c r="O595" s="76"/>
      <c r="P595" s="76"/>
      <c r="Q595" s="77">
        <f ca="1">IFERROR(Q581+Q594,"")</f>
        <v>6.9678009260678686E-2</v>
      </c>
      <c r="R595" s="1" t="s">
        <v>265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1">IFERROR(IF($H596="","",$H596*$F596*$I596),"")</f>
        <v/>
      </c>
      <c r="K596" s="64" t="str">
        <f t="shared" ref="K596:K607" si="152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3">IFERROR(IF(O596="","",IF(P596="",MOD(NOW()-O596,1),IF(P596&gt;=O596,P596-O596,P596+1-O596))),"")</f>
        <v/>
      </c>
      <c r="R596" s="63"/>
      <c r="S596" s="81"/>
    </row>
    <row r="597" spans="1:20" ht="15" customHeight="1">
      <c r="A597" s="18">
        <v>46257</v>
      </c>
      <c r="B597" s="68">
        <f t="shared" ref="B597:B607" si="154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1"/>
        <v/>
      </c>
      <c r="K597" s="69" t="str">
        <f t="shared" si="152"/>
        <v/>
      </c>
      <c r="L597" s="70"/>
      <c r="M597" s="70"/>
      <c r="N597" s="70"/>
      <c r="O597" s="65"/>
      <c r="P597" s="65"/>
      <c r="Q597" s="71" t="str">
        <f t="shared" ca="1" si="153"/>
        <v/>
      </c>
      <c r="R597" s="63"/>
      <c r="S597" s="81"/>
    </row>
    <row r="598" spans="1:20" ht="15" customHeight="1">
      <c r="A598" s="59">
        <v>46256</v>
      </c>
      <c r="B598" s="60">
        <f t="shared" si="154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1"/>
        <v/>
      </c>
      <c r="K598" s="64" t="str">
        <f t="shared" si="152"/>
        <v/>
      </c>
      <c r="L598" s="61"/>
      <c r="M598" s="61"/>
      <c r="N598" s="61"/>
      <c r="O598" s="65"/>
      <c r="P598" s="65"/>
      <c r="Q598" s="66" t="str">
        <f t="shared" ca="1" si="153"/>
        <v/>
      </c>
      <c r="R598" s="63"/>
      <c r="S598" s="81"/>
    </row>
    <row r="599" spans="1:20" ht="15" customHeight="1">
      <c r="A599" s="18">
        <v>46257</v>
      </c>
      <c r="B599" s="68">
        <f t="shared" si="154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1"/>
        <v/>
      </c>
      <c r="K599" s="69" t="str">
        <f t="shared" si="152"/>
        <v/>
      </c>
      <c r="L599" s="70"/>
      <c r="M599" s="70"/>
      <c r="N599" s="70"/>
      <c r="O599" s="65"/>
      <c r="P599" s="65"/>
      <c r="Q599" s="71" t="str">
        <f t="shared" ca="1" si="153"/>
        <v/>
      </c>
      <c r="R599" s="63"/>
      <c r="S599" s="81"/>
    </row>
    <row r="600" spans="1:20" ht="15" customHeight="1">
      <c r="A600" s="59">
        <v>46257</v>
      </c>
      <c r="B600" s="60">
        <f t="shared" si="154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1"/>
        <v/>
      </c>
      <c r="K600" s="64" t="str">
        <f t="shared" si="152"/>
        <v/>
      </c>
      <c r="L600" s="61"/>
      <c r="M600" s="61"/>
      <c r="N600" s="61"/>
      <c r="O600" s="65"/>
      <c r="P600" s="65"/>
      <c r="Q600" s="66" t="str">
        <f t="shared" ca="1" si="153"/>
        <v/>
      </c>
      <c r="R600" s="63"/>
      <c r="S600" s="81"/>
    </row>
    <row r="601" spans="1:20" ht="15" customHeight="1">
      <c r="A601" s="18">
        <v>46257</v>
      </c>
      <c r="B601" s="68">
        <f t="shared" si="154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>
      <c r="A602" s="59">
        <v>46257</v>
      </c>
      <c r="B602" s="60">
        <f t="shared" si="154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>
      <c r="A603" s="18">
        <v>46257</v>
      </c>
      <c r="B603" s="68">
        <f t="shared" si="154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>
      <c r="A604" s="59">
        <v>46257</v>
      </c>
      <c r="B604" s="60">
        <f t="shared" si="154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>
      <c r="A605" s="18">
        <v>46257</v>
      </c>
      <c r="B605" s="68">
        <f t="shared" si="154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>
      <c r="A606" s="59">
        <v>46257</v>
      </c>
      <c r="B606" s="60">
        <f t="shared" si="154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>
      <c r="A607" s="18">
        <v>46257</v>
      </c>
      <c r="B607" s="68">
        <f t="shared" si="154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>
      <c r="A608" s="157" t="s">
        <v>261</v>
      </c>
      <c r="B608" s="157"/>
      <c r="C608" s="157"/>
      <c r="D608" s="157"/>
      <c r="E608" s="157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5">IFERROR(IF($H609="","",$H609*$F609*$I609),"")</f>
        <v/>
      </c>
      <c r="K609" s="69" t="str">
        <f t="shared" ref="K609:K614" si="156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57">IFERROR(IF(O609="","",IF(P609="",MOD(NOW()-O609,1),IF(P609&gt;=O609,P609-O609,P609+1-O609))),"")</f>
        <v/>
      </c>
      <c r="R609" s="63"/>
      <c r="S609" s="81"/>
    </row>
    <row r="610" spans="1:20" ht="15" customHeight="1">
      <c r="A610" s="59">
        <v>46257</v>
      </c>
      <c r="B610" s="60">
        <f t="shared" ref="B610:B620" si="158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5"/>
        <v/>
      </c>
      <c r="K610" s="64" t="str">
        <f t="shared" si="156"/>
        <v/>
      </c>
      <c r="L610" s="61"/>
      <c r="M610" s="61"/>
      <c r="N610" s="61"/>
      <c r="O610" s="65"/>
      <c r="P610" s="65"/>
      <c r="Q610" s="66" t="str">
        <f t="shared" ca="1" si="157"/>
        <v/>
      </c>
      <c r="R610" s="63"/>
      <c r="S610" s="81"/>
    </row>
    <row r="611" spans="1:20" ht="15" customHeight="1">
      <c r="A611" s="18">
        <v>46257</v>
      </c>
      <c r="B611" s="68">
        <f t="shared" si="158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5"/>
        <v/>
      </c>
      <c r="K611" s="69" t="str">
        <f t="shared" si="156"/>
        <v/>
      </c>
      <c r="L611" s="70"/>
      <c r="M611" s="70"/>
      <c r="N611" s="70"/>
      <c r="O611" s="65"/>
      <c r="P611" s="65"/>
      <c r="Q611" s="71" t="str">
        <f t="shared" ca="1" si="157"/>
        <v/>
      </c>
      <c r="R611" s="63"/>
      <c r="S611" s="81"/>
    </row>
    <row r="612" spans="1:20" ht="15" customHeight="1">
      <c r="A612" s="59">
        <v>46257</v>
      </c>
      <c r="B612" s="60">
        <f t="shared" si="158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5"/>
        <v/>
      </c>
      <c r="K612" s="64" t="str">
        <f t="shared" si="156"/>
        <v/>
      </c>
      <c r="L612" s="61"/>
      <c r="M612" s="61"/>
      <c r="N612" s="61"/>
      <c r="O612" s="65"/>
      <c r="P612" s="65"/>
      <c r="Q612" s="66" t="str">
        <f t="shared" ca="1" si="157"/>
        <v/>
      </c>
      <c r="R612" s="63"/>
      <c r="S612" s="81"/>
    </row>
    <row r="613" spans="1:20" ht="15" customHeight="1">
      <c r="A613" s="18">
        <v>46257</v>
      </c>
      <c r="B613" s="68">
        <f t="shared" si="158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5"/>
        <v/>
      </c>
      <c r="K613" s="69" t="str">
        <f t="shared" si="156"/>
        <v/>
      </c>
      <c r="L613" s="70"/>
      <c r="M613" s="70"/>
      <c r="N613" s="70"/>
      <c r="O613" s="65"/>
      <c r="P613" s="65"/>
      <c r="Q613" s="71" t="str">
        <f t="shared" ca="1" si="157"/>
        <v/>
      </c>
      <c r="R613" s="63"/>
      <c r="S613" s="81"/>
    </row>
    <row r="614" spans="1:20" ht="15" customHeight="1">
      <c r="A614" s="59">
        <v>46257</v>
      </c>
      <c r="B614" s="60">
        <f t="shared" si="158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5"/>
        <v/>
      </c>
      <c r="K614" s="64" t="str">
        <f t="shared" si="156"/>
        <v/>
      </c>
      <c r="L614" s="61"/>
      <c r="M614" s="61"/>
      <c r="N614" s="61"/>
      <c r="O614" s="65"/>
      <c r="P614" s="65"/>
      <c r="Q614" s="66" t="str">
        <f t="shared" ca="1" si="157"/>
        <v/>
      </c>
      <c r="R614" s="63"/>
      <c r="S614" s="81"/>
    </row>
    <row r="615" spans="1:20" ht="15" customHeight="1">
      <c r="A615" s="18">
        <v>46257</v>
      </c>
      <c r="B615" s="68">
        <f t="shared" si="158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5"/>
        <v/>
      </c>
      <c r="K615" s="69"/>
      <c r="L615" s="70"/>
      <c r="M615" s="70"/>
      <c r="N615" s="70"/>
      <c r="O615" s="65"/>
      <c r="P615" s="65"/>
      <c r="Q615" s="71" t="str">
        <f t="shared" ca="1" si="157"/>
        <v/>
      </c>
      <c r="R615" s="63"/>
      <c r="S615" s="81"/>
    </row>
    <row r="616" spans="1:20" ht="15" customHeight="1">
      <c r="A616" s="59">
        <v>46257</v>
      </c>
      <c r="B616" s="60">
        <f t="shared" si="158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5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57"/>
        <v/>
      </c>
      <c r="R616" s="63"/>
      <c r="S616" s="81"/>
    </row>
    <row r="617" spans="1:20" ht="15" customHeight="1">
      <c r="A617" s="18">
        <v>46257</v>
      </c>
      <c r="B617" s="68">
        <f t="shared" si="158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5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57"/>
        <v/>
      </c>
      <c r="R617" s="63"/>
      <c r="S617" s="81"/>
    </row>
    <row r="618" spans="1:20" ht="15" customHeight="1">
      <c r="A618" s="59">
        <v>46257</v>
      </c>
      <c r="B618" s="60">
        <f t="shared" si="158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5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57"/>
        <v/>
      </c>
      <c r="R618" s="63"/>
      <c r="S618" s="81"/>
    </row>
    <row r="619" spans="1:20" ht="15" customHeight="1">
      <c r="A619" s="18">
        <v>46257</v>
      </c>
      <c r="B619" s="68">
        <f t="shared" si="158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5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57"/>
        <v/>
      </c>
      <c r="R619" s="63"/>
      <c r="S619" s="81"/>
    </row>
    <row r="620" spans="1:20" ht="15" customHeight="1">
      <c r="A620" s="59">
        <v>46257</v>
      </c>
      <c r="B620" s="60">
        <f t="shared" si="158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5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57"/>
        <v/>
      </c>
      <c r="R620" s="63"/>
      <c r="S620" s="81"/>
    </row>
    <row r="621" spans="1:20" ht="15.75" customHeight="1">
      <c r="A621" s="157" t="s">
        <v>264</v>
      </c>
      <c r="B621" s="157"/>
      <c r="C621" s="157"/>
      <c r="D621" s="157"/>
      <c r="E621" s="157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8" t="s">
        <v>250</v>
      </c>
      <c r="B622" s="158"/>
      <c r="C622" s="158"/>
      <c r="D622" s="158"/>
      <c r="E622" s="158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265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59">IFERROR(IF($H623="","",$H623*$F623*$I623),"")</f>
        <v/>
      </c>
      <c r="K623" s="69" t="str">
        <f t="shared" ref="K623:K634" si="160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1">IFERROR(IF(O623="","",IF(P623="",MOD(NOW()-O623,1),IF(P623&gt;=O623,P623-O623,P623+1-O623))),"")</f>
        <v/>
      </c>
      <c r="R623" s="63"/>
      <c r="S623" s="81"/>
    </row>
    <row r="624" spans="1:20" ht="15" customHeight="1">
      <c r="A624" s="59">
        <v>46258</v>
      </c>
      <c r="B624" s="60">
        <f t="shared" ref="B624:B634" si="162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59"/>
        <v/>
      </c>
      <c r="K624" s="64" t="str">
        <f t="shared" si="160"/>
        <v/>
      </c>
      <c r="L624" s="61"/>
      <c r="M624" s="61"/>
      <c r="N624" s="61"/>
      <c r="O624" s="65"/>
      <c r="P624" s="65"/>
      <c r="Q624" s="66" t="str">
        <f t="shared" ca="1" si="161"/>
        <v/>
      </c>
      <c r="R624" s="63"/>
      <c r="S624" s="81"/>
    </row>
    <row r="625" spans="1:20" ht="15" customHeight="1">
      <c r="A625" s="18">
        <v>46258</v>
      </c>
      <c r="B625" s="68">
        <f t="shared" si="162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59"/>
        <v/>
      </c>
      <c r="K625" s="69" t="str">
        <f t="shared" si="160"/>
        <v/>
      </c>
      <c r="L625" s="70"/>
      <c r="M625" s="70"/>
      <c r="N625" s="70"/>
      <c r="O625" s="65"/>
      <c r="P625" s="65"/>
      <c r="Q625" s="71" t="str">
        <f t="shared" ca="1" si="161"/>
        <v/>
      </c>
      <c r="R625" s="63"/>
      <c r="S625" s="81"/>
    </row>
    <row r="626" spans="1:20" ht="15" customHeight="1">
      <c r="A626" s="59">
        <v>46258</v>
      </c>
      <c r="B626" s="60">
        <f t="shared" si="162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59"/>
        <v/>
      </c>
      <c r="K626" s="64" t="str">
        <f t="shared" si="160"/>
        <v/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>
      <c r="A627" s="18">
        <v>46258</v>
      </c>
      <c r="B627" s="68">
        <f t="shared" si="162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59"/>
        <v/>
      </c>
      <c r="K627" s="69" t="str">
        <f t="shared" si="160"/>
        <v/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>
      <c r="A628" s="59">
        <v>46258</v>
      </c>
      <c r="B628" s="60">
        <f t="shared" si="162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59"/>
        <v/>
      </c>
      <c r="K628" s="64" t="str">
        <f t="shared" si="160"/>
        <v/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>
      <c r="A629" s="18">
        <v>46258</v>
      </c>
      <c r="B629" s="68">
        <f t="shared" si="162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59"/>
        <v/>
      </c>
      <c r="K629" s="69" t="str">
        <f t="shared" si="160"/>
        <v/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>
      <c r="A630" s="59">
        <v>46258</v>
      </c>
      <c r="B630" s="60">
        <f t="shared" si="162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59"/>
        <v/>
      </c>
      <c r="K630" s="64" t="str">
        <f t="shared" si="160"/>
        <v/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>
      <c r="A631" s="18">
        <v>46258</v>
      </c>
      <c r="B631" s="68">
        <f t="shared" si="162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59"/>
        <v/>
      </c>
      <c r="K631" s="69" t="str">
        <f t="shared" si="160"/>
        <v/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>
      <c r="A632" s="59">
        <v>46258</v>
      </c>
      <c r="B632" s="60">
        <f t="shared" si="162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59"/>
        <v/>
      </c>
      <c r="K632" s="64" t="str">
        <f t="shared" si="160"/>
        <v/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>
      <c r="A633" s="18">
        <v>46258</v>
      </c>
      <c r="B633" s="68">
        <f t="shared" si="162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59"/>
        <v/>
      </c>
      <c r="K633" s="69" t="str">
        <f t="shared" si="160"/>
        <v/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>
      <c r="A634" s="59">
        <v>46258</v>
      </c>
      <c r="B634" s="60">
        <f t="shared" si="162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59"/>
        <v/>
      </c>
      <c r="K634" s="64" t="str">
        <f t="shared" si="160"/>
        <v/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>
      <c r="A635" s="157" t="s">
        <v>261</v>
      </c>
      <c r="B635" s="157"/>
      <c r="C635" s="157"/>
      <c r="D635" s="157"/>
      <c r="E635" s="157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3">IFERROR(IF($H636="","",$H636*$F636*$I636),"")</f>
        <v/>
      </c>
      <c r="K636" s="64" t="str">
        <f t="shared" ref="K636:K647" si="164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5">IFERROR(IF(O636="","",IF(P636="",MOD(NOW()-O636,1),IF(P636&gt;=O636,P636-O636,P636+1-O636))),"")</f>
        <v/>
      </c>
      <c r="R636" s="63"/>
      <c r="S636" s="81"/>
    </row>
    <row r="637" spans="1:20" ht="15" customHeight="1">
      <c r="A637" s="18">
        <v>46258</v>
      </c>
      <c r="B637" s="68">
        <f t="shared" ref="B637:B647" si="166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3"/>
        <v/>
      </c>
      <c r="K637" s="69" t="str">
        <f t="shared" si="164"/>
        <v/>
      </c>
      <c r="L637" s="70"/>
      <c r="M637" s="70"/>
      <c r="N637" s="70"/>
      <c r="O637" s="65"/>
      <c r="P637" s="65"/>
      <c r="Q637" s="71" t="str">
        <f t="shared" ca="1" si="165"/>
        <v/>
      </c>
      <c r="R637" s="63"/>
      <c r="S637" s="81"/>
    </row>
    <row r="638" spans="1:20" ht="15" customHeight="1">
      <c r="A638" s="59">
        <v>46258</v>
      </c>
      <c r="B638" s="60">
        <f t="shared" si="166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3"/>
        <v/>
      </c>
      <c r="K638" s="64" t="str">
        <f t="shared" si="164"/>
        <v/>
      </c>
      <c r="L638" s="61"/>
      <c r="M638" s="61"/>
      <c r="N638" s="61"/>
      <c r="O638" s="65"/>
      <c r="P638" s="65"/>
      <c r="Q638" s="66" t="str">
        <f t="shared" ca="1" si="165"/>
        <v/>
      </c>
      <c r="R638" s="63"/>
      <c r="S638" s="81"/>
    </row>
    <row r="639" spans="1:20" ht="15" customHeight="1">
      <c r="A639" s="18">
        <v>46258</v>
      </c>
      <c r="B639" s="68">
        <f t="shared" si="166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3"/>
        <v/>
      </c>
      <c r="K639" s="69" t="str">
        <f t="shared" si="164"/>
        <v/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>
      <c r="A640" s="59">
        <v>46258</v>
      </c>
      <c r="B640" s="60">
        <f t="shared" si="166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3"/>
        <v/>
      </c>
      <c r="K640" s="64" t="str">
        <f t="shared" si="164"/>
        <v/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>
      <c r="A641" s="18">
        <v>46258</v>
      </c>
      <c r="B641" s="68">
        <f t="shared" si="166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3"/>
        <v/>
      </c>
      <c r="K641" s="69" t="str">
        <f t="shared" si="164"/>
        <v/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>
      <c r="A642" s="59">
        <v>46258</v>
      </c>
      <c r="B642" s="60">
        <f t="shared" si="166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>
      <c r="A643" s="18">
        <v>46258</v>
      </c>
      <c r="B643" s="68">
        <f t="shared" si="166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>
      <c r="A644" s="59">
        <v>46258</v>
      </c>
      <c r="B644" s="60">
        <f t="shared" si="166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>
      <c r="A645" s="18">
        <v>46258</v>
      </c>
      <c r="B645" s="68">
        <f t="shared" si="166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>
      <c r="A646" s="59">
        <v>46258</v>
      </c>
      <c r="B646" s="60">
        <f t="shared" si="166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>
      <c r="A647" s="18">
        <v>46258</v>
      </c>
      <c r="B647" s="68">
        <f t="shared" si="166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>
      <c r="A648" s="157" t="s">
        <v>264</v>
      </c>
      <c r="B648" s="157"/>
      <c r="C648" s="157"/>
      <c r="D648" s="157"/>
      <c r="E648" s="157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8" t="s">
        <v>250</v>
      </c>
      <c r="B649" s="158"/>
      <c r="C649" s="158"/>
      <c r="D649" s="158"/>
      <c r="E649" s="158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265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>
      <c r="A662" s="157" t="s">
        <v>261</v>
      </c>
      <c r="B662" s="157"/>
      <c r="C662" s="157"/>
      <c r="D662" s="157"/>
      <c r="E662" s="157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>
      <c r="A675" s="157" t="s">
        <v>264</v>
      </c>
      <c r="B675" s="157"/>
      <c r="C675" s="157"/>
      <c r="D675" s="157"/>
      <c r="E675" s="157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8" t="s">
        <v>250</v>
      </c>
      <c r="B676" s="158"/>
      <c r="C676" s="158"/>
      <c r="D676" s="158"/>
      <c r="E676" s="158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>
      <c r="A689" s="157" t="s">
        <v>261</v>
      </c>
      <c r="B689" s="157"/>
      <c r="C689" s="157"/>
      <c r="D689" s="157"/>
      <c r="E689" s="157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>
      <c r="A702" s="157" t="s">
        <v>264</v>
      </c>
      <c r="B702" s="157"/>
      <c r="C702" s="157"/>
      <c r="D702" s="157"/>
      <c r="E702" s="157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8" t="s">
        <v>250</v>
      </c>
      <c r="B703" s="158"/>
      <c r="C703" s="158"/>
      <c r="D703" s="158"/>
      <c r="E703" s="158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>
      <c r="A716" s="157" t="s">
        <v>261</v>
      </c>
      <c r="B716" s="157"/>
      <c r="C716" s="157"/>
      <c r="D716" s="157"/>
      <c r="E716" s="157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>
      <c r="A729" s="157" t="s">
        <v>264</v>
      </c>
      <c r="B729" s="157"/>
      <c r="C729" s="157"/>
      <c r="D729" s="157"/>
      <c r="E729" s="157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8" t="s">
        <v>250</v>
      </c>
      <c r="B730" s="158"/>
      <c r="C730" s="158"/>
      <c r="D730" s="158"/>
      <c r="E730" s="158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>
      <c r="A743" s="157" t="s">
        <v>261</v>
      </c>
      <c r="B743" s="157"/>
      <c r="C743" s="157"/>
      <c r="D743" s="157"/>
      <c r="E743" s="157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>
      <c r="A756" s="157" t="s">
        <v>264</v>
      </c>
      <c r="B756" s="157"/>
      <c r="C756" s="157"/>
      <c r="D756" s="157"/>
      <c r="E756" s="157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8" t="s">
        <v>250</v>
      </c>
      <c r="B757" s="158"/>
      <c r="C757" s="158"/>
      <c r="D757" s="158"/>
      <c r="E757" s="158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>
      <c r="A770" s="157" t="s">
        <v>261</v>
      </c>
      <c r="B770" s="157"/>
      <c r="C770" s="157"/>
      <c r="D770" s="157"/>
      <c r="E770" s="157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>
      <c r="A783" s="157" t="s">
        <v>264</v>
      </c>
      <c r="B783" s="157"/>
      <c r="C783" s="157"/>
      <c r="D783" s="157"/>
      <c r="E783" s="157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8" t="s">
        <v>250</v>
      </c>
      <c r="B784" s="158"/>
      <c r="C784" s="158"/>
      <c r="D784" s="158"/>
      <c r="E784" s="158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>
      <c r="A797" s="157" t="s">
        <v>261</v>
      </c>
      <c r="B797" s="157"/>
      <c r="C797" s="157"/>
      <c r="D797" s="157"/>
      <c r="E797" s="157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>
      <c r="A810" s="157" t="s">
        <v>264</v>
      </c>
      <c r="B810" s="157"/>
      <c r="C810" s="157"/>
      <c r="D810" s="157"/>
      <c r="E810" s="157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8" t="s">
        <v>250</v>
      </c>
      <c r="B811" s="158"/>
      <c r="C811" s="158"/>
      <c r="D811" s="158"/>
      <c r="E811" s="158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>
      <c r="A824" s="157" t="s">
        <v>261</v>
      </c>
      <c r="B824" s="157"/>
      <c r="C824" s="157"/>
      <c r="D824" s="157"/>
      <c r="E824" s="157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262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>
      <c r="A837" s="157" t="s">
        <v>264</v>
      </c>
      <c r="B837" s="157"/>
      <c r="C837" s="157"/>
      <c r="D837" s="157"/>
      <c r="E837" s="157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262</v>
      </c>
      <c r="S837" s="74"/>
      <c r="T837" s="99">
        <f>IFERROR(J837,"")</f>
        <v>0</v>
      </c>
    </row>
    <row r="838" spans="1:20" ht="18" customHeight="1">
      <c r="A838" s="158" t="s">
        <v>250</v>
      </c>
      <c r="B838" s="158"/>
      <c r="C838" s="158"/>
      <c r="D838" s="158"/>
      <c r="E838" s="158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265</v>
      </c>
      <c r="S838" s="30">
        <f>IFERROR(S824+S837,"")</f>
        <v>0</v>
      </c>
      <c r="T838" s="31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415D7C0A-B150-49C8-97DA-3046E5553ACA}">
      <formula1>"PC 17,PC 19,CB"</formula1>
      <formula2>0</formula2>
    </dataValidation>
    <dataValidation type="list" allowBlank="1" showErrorMessage="1" errorTitle="Valor inválido" error="Selecione PC 17 ou PC 19 da lista." sqref="F515" xr:uid="{7C1C9A57-7CE2-4D98-94A9-884E16424BF1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DA841361-CB60-4433-A068-BE43F91EE5DB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tabSelected="1" zoomScale="85" zoomScaleNormal="85" workbookViewId="0">
      <pane ySplit="1" topLeftCell="A550" activePane="bottomLeft" state="frozen"/>
      <selection pane="bottomLeft" activeCell="N574" sqref="N574"/>
    </sheetView>
  </sheetViews>
  <sheetFormatPr defaultColWidth="8.5703125" defaultRowHeight="14.4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301</v>
      </c>
      <c r="I1" s="86" t="s">
        <v>22</v>
      </c>
      <c r="J1" s="86" t="s">
        <v>302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302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>
      <c r="A14" s="157" t="s">
        <v>261</v>
      </c>
      <c r="B14" s="157"/>
      <c r="C14" s="157"/>
      <c r="D14" s="157"/>
      <c r="E14" s="157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262</v>
      </c>
      <c r="S14" s="74">
        <v>561420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275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275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375</v>
      </c>
      <c r="S16" s="133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275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309</v>
      </c>
      <c r="S17" s="133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275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140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346</v>
      </c>
      <c r="S18" s="133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275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140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376</v>
      </c>
      <c r="S19" s="133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275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275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275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172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377</v>
      </c>
      <c r="S22" s="133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275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275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275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275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>
      <c r="A27" s="157" t="s">
        <v>264</v>
      </c>
      <c r="B27" s="157"/>
      <c r="C27" s="157"/>
      <c r="D27" s="157"/>
      <c r="E27" s="157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262</v>
      </c>
      <c r="S27" s="74">
        <v>491520</v>
      </c>
      <c r="T27" s="99">
        <f>IFERROR(J27,"")</f>
        <v>0</v>
      </c>
    </row>
    <row r="28" spans="1:20" ht="18" customHeight="1">
      <c r="A28" s="158" t="s">
        <v>250</v>
      </c>
      <c r="B28" s="158"/>
      <c r="C28" s="158"/>
      <c r="D28" s="158"/>
      <c r="E28" s="158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265</v>
      </c>
      <c r="S28" s="82">
        <f>IFERROR(S14+S27,"")</f>
        <v>1052940</v>
      </c>
      <c r="T28" s="118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275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275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275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275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275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275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275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275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275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275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275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275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>
      <c r="A41" s="157" t="s">
        <v>261</v>
      </c>
      <c r="B41" s="157"/>
      <c r="C41" s="157"/>
      <c r="D41" s="157"/>
      <c r="E41" s="157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262</v>
      </c>
      <c r="S41" s="74">
        <v>766800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378</v>
      </c>
      <c r="S45" s="133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>
      <c r="A54" s="157" t="s">
        <v>264</v>
      </c>
      <c r="B54" s="157"/>
      <c r="C54" s="157"/>
      <c r="D54" s="157"/>
      <c r="E54" s="157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262</v>
      </c>
      <c r="S54" s="74">
        <v>352430</v>
      </c>
      <c r="T54" s="99">
        <f>IFERROR(J54,"")</f>
        <v>0</v>
      </c>
    </row>
    <row r="55" spans="1:20" ht="18" customHeight="1">
      <c r="A55" s="158" t="s">
        <v>250</v>
      </c>
      <c r="B55" s="158"/>
      <c r="C55" s="158"/>
      <c r="D55" s="158"/>
      <c r="E55" s="158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265</v>
      </c>
      <c r="S55" s="82">
        <f>IFERROR(S41+S54,"")</f>
        <v>1119230</v>
      </c>
      <c r="T55" s="118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275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218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275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379</v>
      </c>
      <c r="S59" s="133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275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140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380</v>
      </c>
      <c r="S60" s="133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275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275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275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275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275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275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275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>
      <c r="A68" s="157" t="s">
        <v>261</v>
      </c>
      <c r="B68" s="157"/>
      <c r="C68" s="157"/>
      <c r="D68" s="157"/>
      <c r="E68" s="157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262</v>
      </c>
      <c r="S68" s="74">
        <v>477090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231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381</v>
      </c>
      <c r="S69" s="133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140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346</v>
      </c>
      <c r="S72" s="133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218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275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>
      <c r="A81" s="157" t="s">
        <v>264</v>
      </c>
      <c r="B81" s="157"/>
      <c r="C81" s="157"/>
      <c r="D81" s="157"/>
      <c r="E81" s="157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262</v>
      </c>
      <c r="S81" s="74">
        <v>612410</v>
      </c>
      <c r="T81" s="99">
        <f>IFERROR(J81,"")</f>
        <v>0</v>
      </c>
    </row>
    <row r="82" spans="1:20" ht="18" customHeight="1">
      <c r="A82" s="158" t="s">
        <v>250</v>
      </c>
      <c r="B82" s="158"/>
      <c r="C82" s="158"/>
      <c r="D82" s="158"/>
      <c r="E82" s="158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265</v>
      </c>
      <c r="S82" s="82">
        <f>IFERROR(S68+S81,"")</f>
        <v>1089500</v>
      </c>
      <c r="T82" s="118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275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173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>
      <c r="A95" s="157" t="s">
        <v>261</v>
      </c>
      <c r="B95" s="157"/>
      <c r="C95" s="157"/>
      <c r="D95" s="157"/>
      <c r="E95" s="157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262</v>
      </c>
      <c r="S95" s="74">
        <v>786700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173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140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346</v>
      </c>
      <c r="S97" s="133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>
      <c r="A108" s="157" t="s">
        <v>264</v>
      </c>
      <c r="B108" s="157"/>
      <c r="C108" s="157"/>
      <c r="D108" s="157"/>
      <c r="E108" s="157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262</v>
      </c>
      <c r="S108" s="74">
        <v>956070</v>
      </c>
      <c r="T108" s="99">
        <f>IFERROR(J108,"")</f>
        <v>0</v>
      </c>
    </row>
    <row r="109" spans="1:20" ht="18" customHeight="1">
      <c r="A109" s="158" t="s">
        <v>250</v>
      </c>
      <c r="B109" s="158"/>
      <c r="C109" s="158"/>
      <c r="D109" s="158"/>
      <c r="E109" s="158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265</v>
      </c>
      <c r="S109" s="82">
        <f>IFERROR(S95+S108,"")</f>
        <v>1742770</v>
      </c>
      <c r="T109" s="118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173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231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236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236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173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382</v>
      </c>
      <c r="S114" s="133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>
      <c r="A122" s="157" t="s">
        <v>261</v>
      </c>
      <c r="B122" s="157"/>
      <c r="C122" s="157"/>
      <c r="D122" s="157"/>
      <c r="E122" s="157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262</v>
      </c>
      <c r="S122" s="74">
        <v>811580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218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383</v>
      </c>
      <c r="S124" s="133"/>
    </row>
    <row r="125" spans="1:20" ht="15" customHeight="1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312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140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346</v>
      </c>
      <c r="S129" s="133"/>
    </row>
    <row r="130" spans="1:22" ht="15" customHeight="1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>
      <c r="A135" s="157" t="s">
        <v>264</v>
      </c>
      <c r="B135" s="157"/>
      <c r="C135" s="157"/>
      <c r="D135" s="157"/>
      <c r="E135" s="157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262</v>
      </c>
      <c r="S135" s="74">
        <v>912240</v>
      </c>
      <c r="T135" s="99">
        <f>IFERROR(J135,"")</f>
        <v>0</v>
      </c>
    </row>
    <row r="136" spans="1:22" ht="18" customHeight="1">
      <c r="A136" s="158" t="s">
        <v>250</v>
      </c>
      <c r="B136" s="158"/>
      <c r="C136" s="158"/>
      <c r="D136" s="158"/>
      <c r="E136" s="158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265</v>
      </c>
      <c r="S136" s="82">
        <f>IFERROR(S122+S135,"")</f>
        <v>1723820</v>
      </c>
      <c r="T136" s="118">
        <f>IFERROR(J136,"")</f>
        <v>0</v>
      </c>
    </row>
    <row r="137" spans="1:22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173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384</v>
      </c>
      <c r="S138" s="67"/>
    </row>
    <row r="139" spans="1:22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385</v>
      </c>
      <c r="S139" s="67"/>
    </row>
    <row r="140" spans="1:22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151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173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320</v>
      </c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20" t="s">
        <v>261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262</v>
      </c>
      <c r="S149" s="74">
        <v>797860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173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386</v>
      </c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150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387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7" t="s">
        <v>264</v>
      </c>
      <c r="B162" s="157"/>
      <c r="C162" s="157"/>
      <c r="D162" s="157"/>
      <c r="E162" s="157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262</v>
      </c>
      <c r="S162" s="74">
        <v>573230</v>
      </c>
      <c r="T162" s="99">
        <f>IFERROR(J162,"")</f>
        <v>0</v>
      </c>
    </row>
    <row r="163" spans="1:20" ht="18" customHeight="1">
      <c r="A163" s="158" t="s">
        <v>250</v>
      </c>
      <c r="B163" s="158"/>
      <c r="C163" s="158"/>
      <c r="D163" s="158"/>
      <c r="E163" s="158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265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150</v>
      </c>
      <c r="N164" s="61" t="s">
        <v>144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275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173</v>
      </c>
      <c r="N165" s="70" t="s">
        <v>195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275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173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275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275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167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275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151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275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173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388</v>
      </c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275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151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275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275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275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275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7" t="s">
        <v>261</v>
      </c>
      <c r="B176" s="157"/>
      <c r="C176" s="157"/>
      <c r="D176" s="157"/>
      <c r="E176" s="157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262</v>
      </c>
      <c r="S176" s="74">
        <v>659400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389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275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151</v>
      </c>
      <c r="N178" s="61" t="s">
        <v>140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173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275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275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275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275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275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7" t="s">
        <v>264</v>
      </c>
      <c r="B189" s="157"/>
      <c r="C189" s="157"/>
      <c r="D189" s="157"/>
      <c r="E189" s="157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262</v>
      </c>
      <c r="S189" s="74">
        <v>692750</v>
      </c>
      <c r="T189" s="99">
        <f>IFERROR(J189,"")</f>
        <v>0</v>
      </c>
    </row>
    <row r="190" spans="1:20" ht="18" customHeight="1">
      <c r="A190" s="158" t="s">
        <v>250</v>
      </c>
      <c r="B190" s="158"/>
      <c r="C190" s="158"/>
      <c r="D190" s="158"/>
      <c r="E190" s="158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265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173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167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390</v>
      </c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168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7" t="s">
        <v>261</v>
      </c>
      <c r="B203" s="157"/>
      <c r="C203" s="157"/>
      <c r="D203" s="157"/>
      <c r="E203" s="157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262</v>
      </c>
      <c r="S203" s="74">
        <v>790070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391</v>
      </c>
      <c r="S204" s="133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392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393</v>
      </c>
      <c r="S206" s="133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>
      <c r="A216" s="157" t="s">
        <v>264</v>
      </c>
      <c r="B216" s="157"/>
      <c r="C216" s="157"/>
      <c r="D216" s="157"/>
      <c r="E216" s="157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262</v>
      </c>
      <c r="S216" s="74">
        <v>607180</v>
      </c>
      <c r="T216" s="99">
        <f>IFERROR(J216,"")</f>
        <v>0</v>
      </c>
    </row>
    <row r="217" spans="1:20" ht="18" customHeight="1">
      <c r="A217" s="158" t="s">
        <v>250</v>
      </c>
      <c r="B217" s="158"/>
      <c r="C217" s="158"/>
      <c r="D217" s="158"/>
      <c r="E217" s="158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265</v>
      </c>
      <c r="S217" s="82">
        <f>IFERROR(S203+S216,"")</f>
        <v>1397250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394</v>
      </c>
      <c r="S220" s="133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395</v>
      </c>
      <c r="S221" s="133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>
      <c r="A230" s="157" t="s">
        <v>261</v>
      </c>
      <c r="B230" s="157"/>
      <c r="C230" s="157"/>
      <c r="D230" s="157"/>
      <c r="E230" s="157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262</v>
      </c>
      <c r="S230" s="74">
        <v>755220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396</v>
      </c>
      <c r="S231" s="133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397</v>
      </c>
      <c r="S232" s="133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162</v>
      </c>
      <c r="N233" s="70" t="s">
        <v>140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>
      <c r="A243" s="157" t="s">
        <v>264</v>
      </c>
      <c r="B243" s="157"/>
      <c r="C243" s="157"/>
      <c r="D243" s="157"/>
      <c r="E243" s="157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262</v>
      </c>
      <c r="S243" s="74">
        <v>795250</v>
      </c>
      <c r="T243" s="99">
        <f>IFERROR(J243,"")</f>
        <v>0</v>
      </c>
    </row>
    <row r="244" spans="1:20" ht="18" customHeight="1">
      <c r="A244" s="158" t="s">
        <v>250</v>
      </c>
      <c r="B244" s="158"/>
      <c r="C244" s="158"/>
      <c r="D244" s="158"/>
      <c r="E244" s="158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265</v>
      </c>
      <c r="S244" s="82">
        <f>IFERROR(S230+S243,"")</f>
        <v>1550470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177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 t="s">
        <v>285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162</v>
      </c>
      <c r="N249" s="70" t="s">
        <v>140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398</v>
      </c>
      <c r="S249" s="133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275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275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>
      <c r="A257" s="157" t="s">
        <v>261</v>
      </c>
      <c r="B257" s="157"/>
      <c r="C257" s="157"/>
      <c r="D257" s="157"/>
      <c r="E257" s="157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262</v>
      </c>
      <c r="S257" s="74">
        <v>803560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100" t="s">
        <v>275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275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275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275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275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275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275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275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275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275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275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275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>
      <c r="A270" s="157" t="s">
        <v>264</v>
      </c>
      <c r="B270" s="157"/>
      <c r="C270" s="157"/>
      <c r="D270" s="157"/>
      <c r="E270" s="157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262</v>
      </c>
      <c r="S270" s="74">
        <v>683360</v>
      </c>
      <c r="T270" s="99">
        <f>IFERROR(J270,"")</f>
        <v>0</v>
      </c>
    </row>
    <row r="271" spans="1:20" ht="18" customHeight="1">
      <c r="A271" s="158" t="s">
        <v>250</v>
      </c>
      <c r="B271" s="158"/>
      <c r="C271" s="158"/>
      <c r="D271" s="158"/>
      <c r="E271" s="158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265</v>
      </c>
      <c r="S271" s="82">
        <f>IFERROR(S257+S270,"")</f>
        <v>1486920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275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275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275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275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275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275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>
      <c r="A284" s="157" t="s">
        <v>261</v>
      </c>
      <c r="B284" s="157"/>
      <c r="C284" s="157"/>
      <c r="D284" s="157"/>
      <c r="E284" s="157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262</v>
      </c>
      <c r="S284" s="74">
        <v>762600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260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260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275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260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260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260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260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260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260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260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260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260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>
      <c r="A297" s="157" t="s">
        <v>264</v>
      </c>
      <c r="B297" s="157"/>
      <c r="C297" s="157"/>
      <c r="D297" s="157"/>
      <c r="E297" s="157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262</v>
      </c>
      <c r="S297" s="74">
        <v>904710</v>
      </c>
      <c r="T297" s="99">
        <f>IFERROR(J297,"")</f>
        <v>0</v>
      </c>
    </row>
    <row r="298" spans="1:20" ht="18" customHeight="1">
      <c r="A298" s="158" t="s">
        <v>250</v>
      </c>
      <c r="B298" s="158"/>
      <c r="C298" s="158"/>
      <c r="D298" s="158"/>
      <c r="E298" s="158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265</v>
      </c>
      <c r="S298" s="82">
        <f>IFERROR(S284+S297,"")</f>
        <v>1667310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275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195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275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275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275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275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275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275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275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275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275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275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275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>
      <c r="A311" s="157" t="s">
        <v>261</v>
      </c>
      <c r="B311" s="157"/>
      <c r="C311" s="157"/>
      <c r="D311" s="157"/>
      <c r="E311" s="157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262</v>
      </c>
      <c r="S311" s="74">
        <v>948950</v>
      </c>
      <c r="T311" s="99">
        <f>IFERROR(J311,"")</f>
        <v>159.15670781249997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275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168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275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173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275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275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275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275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275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275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275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275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275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275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>
      <c r="A324" s="157" t="s">
        <v>264</v>
      </c>
      <c r="B324" s="157"/>
      <c r="C324" s="157"/>
      <c r="D324" s="157"/>
      <c r="E324" s="157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262</v>
      </c>
      <c r="S324" s="74">
        <v>1049720</v>
      </c>
      <c r="T324" s="99">
        <f>IFERROR(J324,"")</f>
        <v>151.15967999999998</v>
      </c>
    </row>
    <row r="325" spans="1:20" ht="18" customHeight="1">
      <c r="A325" s="158" t="s">
        <v>250</v>
      </c>
      <c r="B325" s="158"/>
      <c r="C325" s="158"/>
      <c r="D325" s="158"/>
      <c r="E325" s="158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265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173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275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260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>
      <c r="A338" s="157" t="s">
        <v>261</v>
      </c>
      <c r="B338" s="157"/>
      <c r="C338" s="157"/>
      <c r="D338" s="157"/>
      <c r="E338" s="157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262</v>
      </c>
      <c r="S338" s="74">
        <v>1211360</v>
      </c>
      <c r="T338" s="99">
        <f>IFERROR(J338,"")</f>
        <v>254.38559999999993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173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173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173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399</v>
      </c>
      <c r="S346" s="133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400</v>
      </c>
      <c r="S347" s="133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>
      <c r="A351" s="157" t="s">
        <v>264</v>
      </c>
      <c r="B351" s="157"/>
      <c r="C351" s="157"/>
      <c r="D351" s="157"/>
      <c r="E351" s="157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262</v>
      </c>
      <c r="S351" s="74">
        <v>1058130</v>
      </c>
      <c r="T351" s="99">
        <f>IFERROR(J351,"")</f>
        <v>222.20729999999995</v>
      </c>
    </row>
    <row r="352" spans="1:20" ht="18" customHeight="1">
      <c r="A352" s="158" t="s">
        <v>250</v>
      </c>
      <c r="B352" s="158"/>
      <c r="C352" s="158"/>
      <c r="D352" s="158"/>
      <c r="E352" s="158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265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151</v>
      </c>
      <c r="N354" s="70" t="s">
        <v>140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401</v>
      </c>
      <c r="S356" s="133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402</v>
      </c>
      <c r="S358" s="133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>
      <c r="A365" s="120" t="s">
        <v>261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262</v>
      </c>
      <c r="S365" s="74">
        <v>885120</v>
      </c>
      <c r="T365" s="99">
        <f>IFERROR(J365,"")</f>
        <v>185.87519999999998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142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173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167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403</v>
      </c>
      <c r="S372" s="133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177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>
      <c r="A378" s="157" t="s">
        <v>264</v>
      </c>
      <c r="B378" s="157"/>
      <c r="C378" s="157"/>
      <c r="D378" s="157"/>
      <c r="E378" s="157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262</v>
      </c>
      <c r="S378" s="74">
        <v>1137080</v>
      </c>
      <c r="T378" s="99">
        <f>IFERROR(J378,"")</f>
        <v>238.78679999999994</v>
      </c>
    </row>
    <row r="379" spans="1:20" ht="18" customHeight="1">
      <c r="A379" s="158" t="s">
        <v>250</v>
      </c>
      <c r="B379" s="158"/>
      <c r="C379" s="158"/>
      <c r="D379" s="158"/>
      <c r="E379" s="158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265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275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142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275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139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173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334</v>
      </c>
      <c r="S384" s="133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404</v>
      </c>
      <c r="S385" s="133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>
      <c r="A392" s="157" t="s">
        <v>261</v>
      </c>
      <c r="B392" s="157"/>
      <c r="C392" s="157"/>
      <c r="D392" s="157"/>
      <c r="E392" s="157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262</v>
      </c>
      <c r="S392" s="74">
        <v>675670</v>
      </c>
      <c r="T392" s="99">
        <f>IFERROR(J392,"")</f>
        <v>141.89069999999998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231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173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405</v>
      </c>
      <c r="S394" s="133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>
      <c r="A405" s="157" t="s">
        <v>264</v>
      </c>
      <c r="B405" s="157"/>
      <c r="C405" s="157"/>
      <c r="D405" s="157"/>
      <c r="E405" s="157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262</v>
      </c>
      <c r="S405" s="74">
        <v>989450</v>
      </c>
      <c r="T405" s="99">
        <f>IFERROR(J405,"")</f>
        <v>195.72390675675675</v>
      </c>
    </row>
    <row r="406" spans="1:20" ht="18" customHeight="1">
      <c r="A406" s="158" t="s">
        <v>250</v>
      </c>
      <c r="B406" s="158"/>
      <c r="C406" s="158"/>
      <c r="D406" s="158"/>
      <c r="E406" s="158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265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238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406</v>
      </c>
      <c r="S407" s="133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173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173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140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>
      <c r="A419" s="157" t="s">
        <v>261</v>
      </c>
      <c r="B419" s="157"/>
      <c r="C419" s="157"/>
      <c r="D419" s="157"/>
      <c r="E419" s="157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262</v>
      </c>
      <c r="S419" s="74">
        <v>627410</v>
      </c>
      <c r="T419" s="99">
        <f>IFERROR(J419,"")</f>
        <v>90.347039999999993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173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407</v>
      </c>
      <c r="S423" s="133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139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173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>
      <c r="A432" s="157" t="s">
        <v>264</v>
      </c>
      <c r="B432" s="157"/>
      <c r="C432" s="157"/>
      <c r="D432" s="157"/>
      <c r="E432" s="157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262</v>
      </c>
      <c r="S432" s="74">
        <v>766030</v>
      </c>
      <c r="T432" s="99">
        <f>IFERROR(J432,"")</f>
        <v>110.30832000000001</v>
      </c>
    </row>
    <row r="433" spans="1:21" ht="18" customHeight="1">
      <c r="A433" s="158" t="s">
        <v>250</v>
      </c>
      <c r="B433" s="158"/>
      <c r="C433" s="158"/>
      <c r="D433" s="158"/>
      <c r="E433" s="158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265</v>
      </c>
      <c r="S433" s="82">
        <f>IFERROR(S419+S432,"")</f>
        <v>1393440</v>
      </c>
      <c r="T433" s="118">
        <f>IFERROR(J433,"")</f>
        <v>200.65536</v>
      </c>
    </row>
    <row r="434" spans="1:21" ht="15" customHeight="1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275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173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167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275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>
      <c r="A446" s="157" t="s">
        <v>261</v>
      </c>
      <c r="B446" s="157"/>
      <c r="C446" s="157"/>
      <c r="D446" s="157"/>
      <c r="E446" s="157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262</v>
      </c>
      <c r="S446" s="74">
        <v>833920</v>
      </c>
      <c r="T446" s="99">
        <f>IFERROR(J446,"")</f>
        <v>161.58908852459015</v>
      </c>
    </row>
    <row r="447" spans="1:21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173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408</v>
      </c>
      <c r="S447" s="133"/>
    </row>
    <row r="448" spans="1:21" ht="15" customHeight="1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177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275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212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402</v>
      </c>
      <c r="S451" s="133"/>
    </row>
    <row r="452" spans="1:20" ht="15" customHeight="1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>
      <c r="A459" s="157" t="s">
        <v>264</v>
      </c>
      <c r="B459" s="157"/>
      <c r="C459" s="157"/>
      <c r="D459" s="157"/>
      <c r="E459" s="157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262</v>
      </c>
      <c r="S459" s="74">
        <v>1024280</v>
      </c>
      <c r="T459" s="99">
        <f>IFERROR(J459,"")</f>
        <v>202.88866044052861</v>
      </c>
    </row>
    <row r="460" spans="1:20" ht="18" customHeight="1">
      <c r="A460" s="158" t="s">
        <v>250</v>
      </c>
      <c r="B460" s="158"/>
      <c r="C460" s="158"/>
      <c r="D460" s="158"/>
      <c r="E460" s="158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265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139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139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>
      <c r="A473" s="157" t="s">
        <v>261</v>
      </c>
      <c r="B473" s="157"/>
      <c r="C473" s="157"/>
      <c r="D473" s="157"/>
      <c r="E473" s="157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262</v>
      </c>
      <c r="S473" s="74">
        <v>738810</v>
      </c>
      <c r="T473" s="99">
        <f>IFERROR(J473,"")</f>
        <v>106.38864000000001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173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168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139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409</v>
      </c>
      <c r="S476" s="133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173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140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368</v>
      </c>
      <c r="S479" s="133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>
      <c r="A486" s="157" t="s">
        <v>264</v>
      </c>
      <c r="B486" s="157"/>
      <c r="C486" s="157"/>
      <c r="D486" s="157"/>
      <c r="E486" s="157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262</v>
      </c>
      <c r="S486" s="74">
        <v>616050</v>
      </c>
      <c r="T486" s="99">
        <f>IFERROR(J486,"")</f>
        <v>88.711199999999977</v>
      </c>
    </row>
    <row r="487" spans="1:20" ht="18" customHeight="1">
      <c r="A487" s="158" t="s">
        <v>250</v>
      </c>
      <c r="B487" s="158"/>
      <c r="C487" s="158"/>
      <c r="D487" s="158"/>
      <c r="E487" s="158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265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81.293663366336631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11.706287524752474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42.78613861386139</v>
      </c>
      <c r="I489" s="90">
        <f>IFERROR(IF($D489="","",VLOOKUP($D489,Cadastro!$C$4:$G$7,5,FALSE())),"")</f>
        <v>0.6</v>
      </c>
      <c r="J489" s="91">
        <f t="shared" si="122"/>
        <v>6.1612039603960396</v>
      </c>
      <c r="K489" s="69">
        <f t="shared" si="123"/>
        <v>42</v>
      </c>
      <c r="L489" s="70" t="s">
        <v>28</v>
      </c>
      <c r="M489" s="70" t="s">
        <v>173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98.408118811881181</v>
      </c>
      <c r="I490" s="90">
        <f>IFERROR(IF($D490="","",VLOOKUP($D490,Cadastro!$C$4:$G$7,5,FALSE())),"")</f>
        <v>0.6</v>
      </c>
      <c r="J490" s="91">
        <f t="shared" si="122"/>
        <v>14.170769108910891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68.457821782178215</v>
      </c>
      <c r="I491" s="90">
        <f>IFERROR(IF($D491="","",VLOOKUP($D491,Cadastro!$C$4:$G$7,5,FALSE())),"")</f>
        <v>0.6</v>
      </c>
      <c r="J491" s="91">
        <f t="shared" si="122"/>
        <v>9.8579263366336622</v>
      </c>
      <c r="K491" s="69">
        <f t="shared" si="123"/>
        <v>67.2</v>
      </c>
      <c r="L491" s="70" t="s">
        <v>29</v>
      </c>
      <c r="M491" s="70" t="s">
        <v>61</v>
      </c>
      <c r="N491" s="70" t="s">
        <v>37</v>
      </c>
      <c r="O491" s="65">
        <v>0.75138888888888888</v>
      </c>
      <c r="P491" s="65">
        <v>0.75416666666666665</v>
      </c>
      <c r="Q491" s="71">
        <f ca="1">IFERROR(IF(O491="","",IF(P491="",MOD(NOW()-O491,1),IF(P491&gt;=O491,P491-O491,P491+1-O491))),"")</f>
        <v>2.7777777777777679E-3</v>
      </c>
      <c r="R491" s="63"/>
      <c r="S491" s="133"/>
    </row>
    <row r="492" spans="1:20" ht="15" customHeight="1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29.95029702970297</v>
      </c>
      <c r="I492" s="90">
        <f>IFERROR(IF($D492="","",VLOOKUP($D492,Cadastro!$C$4:$G$7,5,FALSE())),"")</f>
        <v>0.6</v>
      </c>
      <c r="J492" s="91">
        <f t="shared" si="122"/>
        <v>4.3128427722772278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275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51.343366336633665</v>
      </c>
      <c r="I493" s="90">
        <f>IFERROR(IF($D493="","",VLOOKUP($D493,Cadastro!$C$4:$G$7,5,FALSE())),"")</f>
        <v>0.6</v>
      </c>
      <c r="J493" s="91">
        <f t="shared" si="122"/>
        <v>7.3934447524752471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115.52257425742575</v>
      </c>
      <c r="I494" s="90">
        <f>IFERROR(IF($D494="","",VLOOKUP($D494,Cadastro!$C$4:$G$7,5,FALSE())),"")</f>
        <v>0.6</v>
      </c>
      <c r="J494" s="91">
        <f t="shared" si="122"/>
        <v>16.635250693069306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111.24396039603961</v>
      </c>
      <c r="I495" s="90">
        <f>IFERROR(IF($D495="","",VLOOKUP($D495,Cadastro!$C$4:$G$7,5,FALSE())),"")</f>
        <v>0.6</v>
      </c>
      <c r="J495" s="91">
        <f t="shared" si="122"/>
        <v>16.019130297029704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72.736435643564363</v>
      </c>
      <c r="I496" s="90">
        <f>IFERROR(IF($D496="","",VLOOKUP($D496,Cadastro!$C$4:$G$7,5,FALSE())),"")</f>
        <v>0.6</v>
      </c>
      <c r="J496" s="91">
        <f t="shared" si="122"/>
        <v>10.474046732673267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42.78613861386139</v>
      </c>
      <c r="I497" s="90">
        <f>IFERROR(IF($D497="","",VLOOKUP($D497,Cadastro!$C$4:$G$7,5,FALSE())),"")</f>
        <v>0.6</v>
      </c>
      <c r="J497" s="91">
        <f t="shared" si="122"/>
        <v>6.1612039603960396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23</v>
      </c>
      <c r="H498" s="88">
        <f>IFERROR(IF($G498="","",$G498*$S$500/$G$500/Cadastro!$E$33),"")</f>
        <v>98.408118811881181</v>
      </c>
      <c r="I498" s="90">
        <f>IFERROR(IF($D498="","",VLOOKUP($D498,Cadastro!$C$4:$G$7,5,FALSE())),"")</f>
        <v>0.6</v>
      </c>
      <c r="J498" s="91">
        <f t="shared" si="122"/>
        <v>14.170769108910891</v>
      </c>
      <c r="K498" s="64">
        <f t="shared" si="123"/>
        <v>96.600000000000009</v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12</v>
      </c>
      <c r="H499" s="92">
        <f>IFERROR(IF($G499="","",$G499*$S$500/$G$500/Cadastro!$E$33),"")</f>
        <v>51.343366336633665</v>
      </c>
      <c r="I499" s="93">
        <f>IFERROR(IF($D499="","",VLOOKUP($D499,Cadastro!$C$4:$G$7,5,FALSE())),"")</f>
        <v>0.6</v>
      </c>
      <c r="J499" s="94">
        <f t="shared" si="122"/>
        <v>7.3934447524752471</v>
      </c>
      <c r="K499" s="69">
        <f t="shared" si="123"/>
        <v>50.400000000000006</v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>
      <c r="A500" s="157" t="s">
        <v>261</v>
      </c>
      <c r="B500" s="157"/>
      <c r="C500" s="157"/>
      <c r="D500" s="157"/>
      <c r="E500" s="157"/>
      <c r="F500" s="95"/>
      <c r="G500" s="96">
        <f>SUM(G488:G499)</f>
        <v>202</v>
      </c>
      <c r="H500" s="95">
        <f>IFERROR(SUM(H488:H499),"")</f>
        <v>864.28</v>
      </c>
      <c r="I500" s="97"/>
      <c r="J500" s="98">
        <f>IFERROR(SUM(J488:J499),"")</f>
        <v>124.45631999999999</v>
      </c>
      <c r="K500" s="2">
        <f>SUM(K488:K499)</f>
        <v>854</v>
      </c>
      <c r="L500" s="72"/>
      <c r="M500" s="72"/>
      <c r="N500" s="72"/>
      <c r="O500" s="134"/>
      <c r="P500" s="134"/>
      <c r="Q500" s="73">
        <f ca="1">IFERROR(SUM(Q488:Q499),"")</f>
        <v>8.4722222222221533E-2</v>
      </c>
      <c r="R500" s="2" t="s">
        <v>262</v>
      </c>
      <c r="S500" s="74">
        <v>864280</v>
      </c>
      <c r="T500" s="99">
        <f>IFERROR(J500,"")</f>
        <v>124.45631999999999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10</v>
      </c>
      <c r="H501" s="101">
        <f>IFERROR(IF($G501="","",$G501*$S$513/$G$513/Cadastro!$E$33),"")</f>
        <v>45.481250000000003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6.5492999999999997</v>
      </c>
      <c r="K501" s="69">
        <f t="shared" ref="K501:K512" si="127">IF(G501="","",IF(E501="PC 17",G501*4.2,IF(E501="PC 19",G501*5,IF(E501="CB",G501*24,""))))</f>
        <v>42</v>
      </c>
      <c r="L501" s="70" t="s">
        <v>28</v>
      </c>
      <c r="M501" s="70" t="s">
        <v>173</v>
      </c>
      <c r="N501" s="70" t="s">
        <v>36</v>
      </c>
      <c r="O501" s="65">
        <v>0.79166666666666663</v>
      </c>
      <c r="P501" s="65">
        <v>0.79722222222222228</v>
      </c>
      <c r="Q501" s="71">
        <f t="shared" ref="Q501:Q512" ca="1" si="128">IFERROR(IF(O501="","",IF(P501="",MOD(NOW()-O501,1),IF(P501&gt;=O501,P501-O501,P501+1-O501))),"")</f>
        <v>5.5555555555556468E-3</v>
      </c>
      <c r="R501" s="63"/>
      <c r="S501" s="133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14</v>
      </c>
      <c r="H502" s="88">
        <f>IFERROR(IF($G502="","",$G502*$S$513/$G$513/Cadastro!$E$33),"")</f>
        <v>63.673749999999998</v>
      </c>
      <c r="I502" s="90">
        <f>IFERROR(IF($D502="","",VLOOKUP($D502,Cadastro!$C$4:$G$7,5,FALSE())),"")</f>
        <v>0.6</v>
      </c>
      <c r="J502" s="91">
        <f t="shared" si="126"/>
        <v>9.1690199999999997</v>
      </c>
      <c r="K502" s="64">
        <f t="shared" si="127"/>
        <v>58.800000000000004</v>
      </c>
      <c r="L502" s="61" t="s">
        <v>27</v>
      </c>
      <c r="M502" s="61" t="s">
        <v>139</v>
      </c>
      <c r="N502" s="61" t="s">
        <v>209</v>
      </c>
      <c r="O502" s="65">
        <v>0.94236111111111109</v>
      </c>
      <c r="P502" s="65">
        <v>0.99236111111111114</v>
      </c>
      <c r="Q502" s="66">
        <f t="shared" ca="1" si="128"/>
        <v>5.0000000000000044E-2</v>
      </c>
      <c r="R502" s="63"/>
      <c r="S502" s="133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23</v>
      </c>
      <c r="H503" s="88">
        <f>IFERROR(IF($G503="","",$G503*$S$513/$G$513/Cadastro!$E$33),"")</f>
        <v>104.606875</v>
      </c>
      <c r="I503" s="90">
        <f>IFERROR(IF($D503="","",VLOOKUP($D503,Cadastro!$C$4:$G$7,5,FALSE())),"")</f>
        <v>0.6</v>
      </c>
      <c r="J503" s="91">
        <f t="shared" si="126"/>
        <v>15.06339</v>
      </c>
      <c r="K503" s="69">
        <f t="shared" si="127"/>
        <v>96.600000000000009</v>
      </c>
      <c r="L503" s="70" t="s">
        <v>28</v>
      </c>
      <c r="M503" s="70" t="s">
        <v>173</v>
      </c>
      <c r="N503" s="70" t="s">
        <v>36</v>
      </c>
      <c r="O503" s="65">
        <v>0.16319444444444445</v>
      </c>
      <c r="P503" s="65">
        <v>0.17499999999999999</v>
      </c>
      <c r="Q503" s="71">
        <f t="shared" ca="1" si="128"/>
        <v>1.1805555555555541E-2</v>
      </c>
      <c r="R503" s="63"/>
      <c r="S503" s="133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7</v>
      </c>
      <c r="H504" s="88">
        <f>IFERROR(IF($G504="","",$G504*$S$513/$G$513/Cadastro!$E$33),"")</f>
        <v>31.836874999999999</v>
      </c>
      <c r="I504" s="90">
        <f>IFERROR(IF($D504="","",VLOOKUP($D504,Cadastro!$C$4:$G$7,5,FALSE())),"")</f>
        <v>0.6</v>
      </c>
      <c r="J504" s="91">
        <f t="shared" si="126"/>
        <v>4.5845099999999999</v>
      </c>
      <c r="K504" s="64">
        <f t="shared" si="127"/>
        <v>29.400000000000002</v>
      </c>
      <c r="L504" s="61" t="s">
        <v>28</v>
      </c>
      <c r="M504" s="61" t="s">
        <v>61</v>
      </c>
      <c r="N504" s="61" t="s">
        <v>36</v>
      </c>
      <c r="O504" s="65">
        <v>0.21666666666666667</v>
      </c>
      <c r="P504" s="65">
        <v>0.24166666666666667</v>
      </c>
      <c r="Q504" s="66">
        <f t="shared" ca="1" si="128"/>
        <v>2.4999999999999994E-2</v>
      </c>
      <c r="R504" s="63" t="s">
        <v>410</v>
      </c>
      <c r="S504" s="133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7</v>
      </c>
      <c r="H505" s="88">
        <f>IFERROR(IF($G505="","",$G505*$S$513/$G$513/Cadastro!$E$33),"")</f>
        <v>31.836874999999999</v>
      </c>
      <c r="I505" s="90">
        <f>IFERROR(IF($D505="","",VLOOKUP($D505,Cadastro!$C$4:$G$7,5,FALSE())),"")</f>
        <v>0.6</v>
      </c>
      <c r="J505" s="91">
        <f t="shared" si="126"/>
        <v>4.5845099999999999</v>
      </c>
      <c r="K505" s="69">
        <f t="shared" si="127"/>
        <v>29.400000000000002</v>
      </c>
      <c r="L505" s="70" t="s">
        <v>26</v>
      </c>
      <c r="M505" s="70"/>
      <c r="N505" s="70" t="s">
        <v>34</v>
      </c>
      <c r="O505" s="65">
        <v>0.25069444444444444</v>
      </c>
      <c r="P505" s="65">
        <v>0.26597222222222222</v>
      </c>
      <c r="Q505" s="71">
        <f t="shared" ca="1" si="128"/>
        <v>1.5277777777777779E-2</v>
      </c>
      <c r="R505" s="63"/>
      <c r="S505" s="133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14</v>
      </c>
      <c r="H506" s="88">
        <f>IFERROR(IF($G506="","",$G506*$S$513/$G$513/Cadastro!$E$33),"")</f>
        <v>63.673749999999998</v>
      </c>
      <c r="I506" s="90">
        <f>IFERROR(IF($D506="","",VLOOKUP($D506,Cadastro!$C$4:$G$7,5,FALSE())),"")</f>
        <v>0.6</v>
      </c>
      <c r="J506" s="91">
        <f t="shared" si="126"/>
        <v>9.1690199999999997</v>
      </c>
      <c r="K506" s="64">
        <f>IF(G506="","",IF(E506="PC 17",G506*4.2,IF(E506="PC 19",G506*5,IF(E506="CB",G506*24,""))))</f>
        <v>58.800000000000004</v>
      </c>
      <c r="L506" s="61" t="s">
        <v>29</v>
      </c>
      <c r="M506" s="61" t="s">
        <v>61</v>
      </c>
      <c r="N506" s="61" t="s">
        <v>71</v>
      </c>
      <c r="O506" s="65">
        <v>0.27291666666666664</v>
      </c>
      <c r="P506" s="65">
        <v>0.27500000000000002</v>
      </c>
      <c r="Q506" s="66">
        <f t="shared" ca="1" si="128"/>
        <v>2.0833333333333814E-3</v>
      </c>
      <c r="R506" s="63"/>
      <c r="S506" s="133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54" t="s">
        <v>275</v>
      </c>
      <c r="F507" s="88">
        <f>IFERROR(IF($D507="","",VLOOKUP($D507,Cadastro!$C$4:$E$7,3,FALSE())),"")</f>
        <v>0.24</v>
      </c>
      <c r="G507" s="89">
        <v>22</v>
      </c>
      <c r="H507" s="88">
        <f>IFERROR(IF($G507="","",$G507*$S$513/$G$513/Cadastro!$E$33),"")</f>
        <v>100.05875</v>
      </c>
      <c r="I507" s="90">
        <f>IFERROR(IF($D507="","",VLOOKUP($D507,Cadastro!$C$4:$G$7,5,FALSE())),"")</f>
        <v>0.6</v>
      </c>
      <c r="J507" s="91">
        <f t="shared" si="126"/>
        <v>14.408459999999998</v>
      </c>
      <c r="K507" s="155">
        <f>IF(G507="","",IF(E507="PC 17",G507*4.2,IF(E507="PC 19",G507*5,IF(E507="CB",G507*24,""))))</f>
        <v>92.4</v>
      </c>
      <c r="L507" s="70" t="s">
        <v>29</v>
      </c>
      <c r="M507" s="70" t="s">
        <v>61</v>
      </c>
      <c r="N507" s="70" t="s">
        <v>65</v>
      </c>
      <c r="O507" s="65">
        <v>0.27777777777777779</v>
      </c>
      <c r="P507" s="65">
        <v>0.28680555555555554</v>
      </c>
      <c r="Q507" s="71">
        <f t="shared" ca="1" si="128"/>
        <v>9.0277777777777457E-3</v>
      </c>
      <c r="R507" s="63"/>
      <c r="S507" s="133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21</v>
      </c>
      <c r="H508" s="88">
        <f>IFERROR(IF($G508="","",$G508*$S$513/$G$513/Cadastro!$E$33),"")</f>
        <v>95.510625000000005</v>
      </c>
      <c r="I508" s="90">
        <f>IFERROR(IF($D508="","",VLOOKUP($D508,Cadastro!$C$4:$G$7,5,FALSE())),"")</f>
        <v>0.6</v>
      </c>
      <c r="J508" s="91">
        <f t="shared" si="126"/>
        <v>20.057231250000001</v>
      </c>
      <c r="K508" s="64">
        <f t="shared" si="127"/>
        <v>88.2</v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90.962500000000006</v>
      </c>
      <c r="I509" s="90">
        <f>IFERROR(IF($D509="","",VLOOKUP($D509,Cadastro!$C$4:$G$7,5,FALSE())),"")</f>
        <v>0.6</v>
      </c>
      <c r="J509" s="91">
        <f t="shared" si="126"/>
        <v>19.102124999999997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12</v>
      </c>
      <c r="H510" s="88">
        <f>IFERROR(IF($G510="","",$G510*$S$513/$G$513/Cadastro!$E$33),"")</f>
        <v>54.577500000000001</v>
      </c>
      <c r="I510" s="90">
        <f>IFERROR(IF($D510="","",VLOOKUP($D510,Cadastro!$C$4:$G$7,5,FALSE())),"")</f>
        <v>0.6</v>
      </c>
      <c r="J510" s="91">
        <f t="shared" si="126"/>
        <v>11.461274999999999</v>
      </c>
      <c r="K510" s="64">
        <f t="shared" si="127"/>
        <v>50.400000000000006</v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10</v>
      </c>
      <c r="H511" s="88">
        <f>IFERROR(IF($G511="","",$G511*$S$513/$G$513/Cadastro!$E$33),"")</f>
        <v>45.481250000000003</v>
      </c>
      <c r="I511" s="90">
        <f>IFERROR(IF($D511="","",VLOOKUP($D511,Cadastro!$C$4:$G$7,5,FALSE())),"")</f>
        <v>0.6</v>
      </c>
      <c r="J511" s="91">
        <f t="shared" si="126"/>
        <v>9.5510624999999987</v>
      </c>
      <c r="K511" s="69">
        <f t="shared" si="127"/>
        <v>42</v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>
      <c r="A513" s="157" t="s">
        <v>264</v>
      </c>
      <c r="B513" s="157"/>
      <c r="C513" s="157"/>
      <c r="D513" s="157"/>
      <c r="E513" s="157"/>
      <c r="F513" s="105"/>
      <c r="G513" s="96">
        <f>SUM(G501:G512)</f>
        <v>160</v>
      </c>
      <c r="H513" s="105">
        <f>IFERROR(SUM(H501:H512),"")</f>
        <v>727.7</v>
      </c>
      <c r="I513" s="106"/>
      <c r="J513" s="107">
        <f>IFERROR(SUM(J501:J512),"")</f>
        <v>123.69990375</v>
      </c>
      <c r="K513" s="2">
        <f>SUM(K501:K512)</f>
        <v>672.00000000000011</v>
      </c>
      <c r="L513" s="72"/>
      <c r="M513" s="72"/>
      <c r="N513" s="72"/>
      <c r="O513" s="134"/>
      <c r="P513" s="134"/>
      <c r="Q513" s="73">
        <f ca="1">IFERROR(SUM(Q501:Q512),"")</f>
        <v>0.11875000000000013</v>
      </c>
      <c r="R513" s="2" t="s">
        <v>262</v>
      </c>
      <c r="S513" s="74">
        <v>727700</v>
      </c>
      <c r="T513" s="99">
        <f>IFERROR(J513,"")</f>
        <v>123.69990375</v>
      </c>
    </row>
    <row r="514" spans="1:20" ht="18" customHeight="1">
      <c r="A514" s="158" t="s">
        <v>250</v>
      </c>
      <c r="B514" s="158"/>
      <c r="C514" s="158"/>
      <c r="D514" s="158"/>
      <c r="E514" s="158"/>
      <c r="F514" s="108"/>
      <c r="G514" s="109">
        <f>G500+G513</f>
        <v>362</v>
      </c>
      <c r="H514" s="108">
        <f>IFERROR(H500+H513,"")</f>
        <v>1591.98</v>
      </c>
      <c r="I514" s="110"/>
      <c r="J514" s="111">
        <f>IFERROR(J500+J513,"")</f>
        <v>248.15622374999998</v>
      </c>
      <c r="K514" s="1">
        <f>K500+K513</f>
        <v>1526</v>
      </c>
      <c r="L514" s="76"/>
      <c r="M514" s="76"/>
      <c r="N514" s="76"/>
      <c r="O514" s="135"/>
      <c r="P514" s="135"/>
      <c r="Q514" s="77">
        <f ca="1">IFERROR(Q500+Q513,"")</f>
        <v>0.20347222222222167</v>
      </c>
      <c r="R514" s="1" t="s">
        <v>265</v>
      </c>
      <c r="S514" s="82">
        <f>IFERROR(S500+S513,"")</f>
        <v>1591980</v>
      </c>
      <c r="T514" s="118">
        <f>IFERROR(J514,"")</f>
        <v>248.15622374999998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13</v>
      </c>
      <c r="H515" s="101">
        <f>IFERROR(IF($G515="","",$G515*$S$527/$G$527/Cadastro!$E$33),"")</f>
        <v>63.554162436548218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13.346374111675125</v>
      </c>
      <c r="K515" s="69">
        <f t="shared" ref="K515:K526" si="131">IF(G515="","",IF(E515="PC 17",G515*4.2,IF(E515="PC 19",G515*5,IF(E515="CB",G515*24,""))))</f>
        <v>54.6</v>
      </c>
      <c r="L515" s="70" t="s">
        <v>29</v>
      </c>
      <c r="M515" s="70" t="s">
        <v>61</v>
      </c>
      <c r="N515" s="70" t="s">
        <v>65</v>
      </c>
      <c r="O515" s="65">
        <v>0.29930555555555555</v>
      </c>
      <c r="P515" s="65">
        <v>0.31597222222222221</v>
      </c>
      <c r="Q515" s="71">
        <f t="shared" ref="Q515:Q526" ca="1" si="132">IFERROR(IF(O515="","",IF(P515="",MOD(NOW()-O515,1),IF(P515&gt;=O515,P515-O515,P515+1-O515))),"")</f>
        <v>1.6666666666666663E-2</v>
      </c>
      <c r="R515" s="63"/>
      <c r="S515" s="133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22</v>
      </c>
      <c r="H516" s="88">
        <f>IFERROR(IF($G516="","",$G516*$S$527/$G$527/Cadastro!$E$33),"")</f>
        <v>107.55319796954315</v>
      </c>
      <c r="I516" s="90">
        <f>IFERROR(IF($D516="","",VLOOKUP($D516,Cadastro!$C$4:$G$7,5,FALSE())),"")</f>
        <v>0.6</v>
      </c>
      <c r="J516" s="91">
        <f t="shared" si="130"/>
        <v>22.586171573604059</v>
      </c>
      <c r="K516" s="64">
        <f t="shared" si="131"/>
        <v>92.4</v>
      </c>
      <c r="L516" s="70" t="s">
        <v>29</v>
      </c>
      <c r="M516" s="61" t="s">
        <v>66</v>
      </c>
      <c r="N516" s="70" t="s">
        <v>37</v>
      </c>
      <c r="O516" s="65">
        <v>0.51388888888888884</v>
      </c>
      <c r="P516" s="65">
        <v>0.51944444444444449</v>
      </c>
      <c r="Q516" s="66">
        <f t="shared" ca="1" si="132"/>
        <v>5.5555555555556468E-3</v>
      </c>
      <c r="R516" s="63"/>
      <c r="S516" s="133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19</v>
      </c>
      <c r="H517" s="88">
        <f>IFERROR(IF($G517="","",$G517*$S$527/$G$527/Cadastro!$E$33),"")</f>
        <v>92.886852791878169</v>
      </c>
      <c r="I517" s="90">
        <f>IFERROR(IF($D517="","",VLOOKUP($D517,Cadastro!$C$4:$G$7,5,FALSE())),"")</f>
        <v>0.6</v>
      </c>
      <c r="J517" s="91">
        <f t="shared" si="130"/>
        <v>19.506239086294414</v>
      </c>
      <c r="K517" s="69">
        <f t="shared" si="131"/>
        <v>79.8</v>
      </c>
      <c r="L517" s="70" t="s">
        <v>28</v>
      </c>
      <c r="M517" s="70" t="s">
        <v>173</v>
      </c>
      <c r="N517" s="70" t="s">
        <v>36</v>
      </c>
      <c r="O517" s="65">
        <v>0.55208333333333337</v>
      </c>
      <c r="P517" s="65">
        <v>0.5756944444444444</v>
      </c>
      <c r="Q517" s="71">
        <f t="shared" ca="1" si="132"/>
        <v>2.3611111111111027E-2</v>
      </c>
      <c r="R517" s="63"/>
      <c r="S517" s="133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20</v>
      </c>
      <c r="H518" s="88">
        <f>IFERROR(IF($G518="","",$G518*$S$527/$G$527/Cadastro!$E$33),"")</f>
        <v>97.775634517766491</v>
      </c>
      <c r="I518" s="90">
        <f>IFERROR(IF($D518="","",VLOOKUP($D518,Cadastro!$C$4:$G$7,5,FALSE())),"")</f>
        <v>0.6</v>
      </c>
      <c r="J518" s="91">
        <f t="shared" si="130"/>
        <v>20.532883248730958</v>
      </c>
      <c r="K518" s="64">
        <f t="shared" si="131"/>
        <v>84</v>
      </c>
      <c r="L518" s="70" t="s">
        <v>29</v>
      </c>
      <c r="M518" s="61"/>
      <c r="N518" s="61" t="s">
        <v>83</v>
      </c>
      <c r="O518" s="65">
        <v>0.66874999999999996</v>
      </c>
      <c r="P518" s="65">
        <v>0.67291666666666672</v>
      </c>
      <c r="Q518" s="66">
        <f t="shared" ca="1" si="132"/>
        <v>4.1666666666667629E-3</v>
      </c>
      <c r="R518" s="63"/>
      <c r="S518" s="133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63.554162436548218</v>
      </c>
      <c r="I519" s="90">
        <f>IFERROR(IF($D519="","",VLOOKUP($D519,Cadastro!$C$4:$G$7,5,FALSE())),"")</f>
        <v>0.6</v>
      </c>
      <c r="J519" s="91">
        <f t="shared" si="130"/>
        <v>13.346374111675125</v>
      </c>
      <c r="K519" s="69">
        <f t="shared" si="131"/>
        <v>54.6</v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18</v>
      </c>
      <c r="H520" s="88">
        <f>IFERROR(IF($G520="","",$G520*$S$527/$G$527/Cadastro!$E$33),"")</f>
        <v>87.998071065989848</v>
      </c>
      <c r="I520" s="90">
        <f>IFERROR(IF($D520="","",VLOOKUP($D520,Cadastro!$C$4:$G$7,5,FALSE())),"")</f>
        <v>0.6</v>
      </c>
      <c r="J520" s="91">
        <f t="shared" si="130"/>
        <v>18.479594923857867</v>
      </c>
      <c r="K520" s="64">
        <f t="shared" si="131"/>
        <v>75.600000000000009</v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17</v>
      </c>
      <c r="H521" s="88">
        <f>IFERROR(IF($G521="","",$G521*$S$527/$G$527/Cadastro!$E$33),"")</f>
        <v>83.109289340101512</v>
      </c>
      <c r="I521" s="90">
        <f>IFERROR(IF($D521="","",VLOOKUP($D521,Cadastro!$C$4:$G$7,5,FALSE())),"")</f>
        <v>0.6</v>
      </c>
      <c r="J521" s="91">
        <f t="shared" si="130"/>
        <v>17.452950761421317</v>
      </c>
      <c r="K521" s="69">
        <f t="shared" si="131"/>
        <v>85</v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19</v>
      </c>
      <c r="H522" s="88">
        <f>IFERROR(IF($G522="","",$G522*$S$527/$G$527/Cadastro!$E$33),"")</f>
        <v>92.886852791878169</v>
      </c>
      <c r="I522" s="90">
        <f>IFERROR(IF($D522="","",VLOOKUP($D522,Cadastro!$C$4:$G$7,5,FALSE())),"")</f>
        <v>0.6</v>
      </c>
      <c r="J522" s="91">
        <f t="shared" si="130"/>
        <v>19.506239086294414</v>
      </c>
      <c r="K522" s="64">
        <f t="shared" si="131"/>
        <v>95</v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15</v>
      </c>
      <c r="H523" s="88">
        <f>IFERROR(IF($G523="","",$G523*$S$527/$G$527/Cadastro!$E$33),"")</f>
        <v>73.331725888324868</v>
      </c>
      <c r="I523" s="90">
        <f>IFERROR(IF($D523="","",VLOOKUP($D523,Cadastro!$C$4:$G$7,5,FALSE())),"")</f>
        <v>0.6</v>
      </c>
      <c r="J523" s="91">
        <f t="shared" si="130"/>
        <v>15.399662436548221</v>
      </c>
      <c r="K523" s="69">
        <f t="shared" si="131"/>
        <v>75</v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15</v>
      </c>
      <c r="H524" s="88">
        <f>IFERROR(IF($G524="","",$G524*$S$527/$G$527/Cadastro!$E$33),"")</f>
        <v>73.331725888324868</v>
      </c>
      <c r="I524" s="90">
        <f>IFERROR(IF($D524="","",VLOOKUP($D524,Cadastro!$C$4:$G$7,5,FALSE())),"")</f>
        <v>0.6</v>
      </c>
      <c r="J524" s="91">
        <f t="shared" si="130"/>
        <v>15.399662436548221</v>
      </c>
      <c r="K524" s="64">
        <f t="shared" si="131"/>
        <v>75</v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15</v>
      </c>
      <c r="H525" s="88">
        <f>IFERROR(IF($G525="","",$G525*$S$527/$G$527/Cadastro!$E$33),"")</f>
        <v>73.331725888324868</v>
      </c>
      <c r="I525" s="90">
        <f>IFERROR(IF($D525="","",VLOOKUP($D525,Cadastro!$C$4:$G$7,5,FALSE())),"")</f>
        <v>0.6</v>
      </c>
      <c r="J525" s="91">
        <f t="shared" si="130"/>
        <v>15.399662436548221</v>
      </c>
      <c r="K525" s="69">
        <f t="shared" si="131"/>
        <v>75</v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11</v>
      </c>
      <c r="H526" s="92">
        <f>IFERROR(IF($G526="","",$G526*$S$527/$G$527/Cadastro!$E$33),"")</f>
        <v>53.776598984771574</v>
      </c>
      <c r="I526" s="93">
        <f>IFERROR(IF($D526="","",VLOOKUP($D526,Cadastro!$C$4:$G$7,5,FALSE())),"")</f>
        <v>0.6</v>
      </c>
      <c r="J526" s="94">
        <f t="shared" si="130"/>
        <v>11.293085786802029</v>
      </c>
      <c r="K526" s="64">
        <f t="shared" si="131"/>
        <v>55</v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>
      <c r="A527" s="157" t="s">
        <v>261</v>
      </c>
      <c r="B527" s="157"/>
      <c r="C527" s="157"/>
      <c r="D527" s="157"/>
      <c r="E527" s="157"/>
      <c r="F527" s="95"/>
      <c r="G527" s="96">
        <f>SUM(G515:G526)</f>
        <v>197</v>
      </c>
      <c r="H527" s="95">
        <f>IFERROR(SUM(H515:H526),"")</f>
        <v>963.08999999999992</v>
      </c>
      <c r="I527" s="97"/>
      <c r="J527" s="98">
        <f>IFERROR(SUM(J515:J526),"")</f>
        <v>202.24889999999996</v>
      </c>
      <c r="K527" s="2">
        <f>SUM(K515:K526)</f>
        <v>901</v>
      </c>
      <c r="L527" s="72"/>
      <c r="M527" s="72"/>
      <c r="N527" s="72"/>
      <c r="O527" s="134"/>
      <c r="P527" s="134"/>
      <c r="Q527" s="73">
        <f ca="1">IFERROR(SUM(Q515:Q526),"")</f>
        <v>5.00000000000001E-2</v>
      </c>
      <c r="R527" s="2" t="s">
        <v>262</v>
      </c>
      <c r="S527" s="74">
        <v>963090</v>
      </c>
      <c r="T527" s="99">
        <f>IFERROR(J527,"")</f>
        <v>202.24889999999996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22</v>
      </c>
      <c r="H528" s="101">
        <f>IFERROR(IF($G528="","",$G528*$S$540/$G$540/Cadastro!$E$33),"")</f>
        <v>98.289940119760473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20.640887425149696</v>
      </c>
      <c r="K528" s="64">
        <f t="shared" ref="K528:K539" si="135">IF(G528="","",IF(E528="PC 17",G528*4.2,IF(E528="PC 19",G528*5,IF(E528="CB",G528*24,""))))</f>
        <v>92.4</v>
      </c>
      <c r="L528" s="61" t="s">
        <v>29</v>
      </c>
      <c r="M528" s="61" t="s">
        <v>61</v>
      </c>
      <c r="N528" s="61" t="s">
        <v>71</v>
      </c>
      <c r="O528" s="65">
        <v>0.86388888888888893</v>
      </c>
      <c r="P528" s="65">
        <v>0.86597222222222225</v>
      </c>
      <c r="Q528" s="66">
        <f t="shared" ref="Q528:Q539" ca="1" si="136">IFERROR(IF(O528="","",IF(P528="",MOD(NOW()-O528,1),IF(P528&gt;=O528,P528-O528,P528+1-O528))),"")</f>
        <v>2.0833333333333259E-3</v>
      </c>
      <c r="R528" s="63"/>
      <c r="S528" s="133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260</v>
      </c>
      <c r="F529" s="88">
        <f>IFERROR(IF($D529="","",VLOOKUP($D529,Cadastro!$C$4:$E$7,3,FALSE())),"")</f>
        <v>0.24</v>
      </c>
      <c r="G529" s="89">
        <v>19</v>
      </c>
      <c r="H529" s="88">
        <f>IFERROR(IF($G529="","",$G529*$S$540/$G$540/Cadastro!$E$33),"")</f>
        <v>84.886766467065868</v>
      </c>
      <c r="I529" s="90">
        <f>IFERROR(IF($D529="","",VLOOKUP($D529,Cadastro!$C$4:$G$7,5,FALSE())),"")</f>
        <v>0.6</v>
      </c>
      <c r="J529" s="91">
        <f t="shared" si="134"/>
        <v>12.223694371257483</v>
      </c>
      <c r="K529" s="69">
        <f t="shared" si="135"/>
        <v>95</v>
      </c>
      <c r="L529" s="70" t="s">
        <v>28</v>
      </c>
      <c r="M529" s="70" t="s">
        <v>173</v>
      </c>
      <c r="N529" s="70" t="s">
        <v>36</v>
      </c>
      <c r="O529" s="65">
        <v>0.8666666666666667</v>
      </c>
      <c r="P529" s="65">
        <v>0.88888888888888884</v>
      </c>
      <c r="Q529" s="71">
        <f t="shared" ca="1" si="136"/>
        <v>2.2222222222222143E-2</v>
      </c>
      <c r="R529" s="63"/>
      <c r="S529" s="133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275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22.338622754491016</v>
      </c>
      <c r="I530" s="90">
        <f>IFERROR(IF($D530="","",VLOOKUP($D530,Cadastro!$C$4:$G$7,5,FALSE())),"")</f>
        <v>0.6</v>
      </c>
      <c r="J530" s="91">
        <f t="shared" si="134"/>
        <v>3.2167616766467062</v>
      </c>
      <c r="K530" s="64">
        <f t="shared" si="135"/>
        <v>21</v>
      </c>
      <c r="L530" s="61" t="s">
        <v>29</v>
      </c>
      <c r="M530" s="61" t="s">
        <v>66</v>
      </c>
      <c r="N530" s="61" t="s">
        <v>37</v>
      </c>
      <c r="O530" s="65">
        <v>0.88888888888888884</v>
      </c>
      <c r="P530" s="65">
        <v>0.89444444444444449</v>
      </c>
      <c r="Q530" s="66">
        <f t="shared" ca="1" si="136"/>
        <v>5.5555555555556468E-3</v>
      </c>
      <c r="R530" s="63"/>
      <c r="S530" s="133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10</v>
      </c>
      <c r="H531" s="88">
        <f>IFERROR(IF($G531="","",$G531*$S$540/$G$540/Cadastro!$E$33),"")</f>
        <v>44.677245508982033</v>
      </c>
      <c r="I531" s="90">
        <f>IFERROR(IF($D531="","",VLOOKUP($D531,Cadastro!$C$4:$G$7,5,FALSE())),"")</f>
        <v>0.6</v>
      </c>
      <c r="J531" s="91">
        <f t="shared" si="134"/>
        <v>6.4335233532934124</v>
      </c>
      <c r="K531" s="69">
        <f t="shared" si="135"/>
        <v>42</v>
      </c>
      <c r="L531" s="70" t="s">
        <v>29</v>
      </c>
      <c r="M531" s="70" t="s">
        <v>66</v>
      </c>
      <c r="N531" s="70" t="s">
        <v>60</v>
      </c>
      <c r="O531" s="65">
        <v>0.92152777777777772</v>
      </c>
      <c r="P531" s="65">
        <v>0.9243055555555556</v>
      </c>
      <c r="Q531" s="71">
        <f t="shared" ca="1" si="136"/>
        <v>2.7777777777778789E-3</v>
      </c>
      <c r="R531" s="63"/>
      <c r="S531" s="133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20</v>
      </c>
      <c r="H532" s="88">
        <f>IFERROR(IF($G532="","",$G532*$S$540/$G$540/Cadastro!$E$33),"")</f>
        <v>89.354491017964065</v>
      </c>
      <c r="I532" s="90">
        <f>IFERROR(IF($D532="","",VLOOKUP($D532,Cadastro!$C$4:$G$7,5,FALSE())),"")</f>
        <v>0.6</v>
      </c>
      <c r="J532" s="91">
        <f t="shared" si="134"/>
        <v>12.867046706586825</v>
      </c>
      <c r="K532" s="64">
        <f t="shared" si="135"/>
        <v>84</v>
      </c>
      <c r="L532" s="61" t="s">
        <v>29</v>
      </c>
      <c r="M532" s="61" t="s">
        <v>61</v>
      </c>
      <c r="N532" s="61" t="s">
        <v>60</v>
      </c>
      <c r="O532" s="65">
        <v>0.12569444444444444</v>
      </c>
      <c r="P532" s="65">
        <v>0.12986111111111112</v>
      </c>
      <c r="Q532" s="66">
        <f t="shared" ca="1" si="136"/>
        <v>4.1666666666666796E-3</v>
      </c>
      <c r="R532" s="63"/>
      <c r="S532" s="133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20</v>
      </c>
      <c r="H533" s="88">
        <f>IFERROR(IF($G533="","",$G533*$S$540/$G$540/Cadastro!$E$33),"")</f>
        <v>89.354491017964065</v>
      </c>
      <c r="I533" s="90">
        <f>IFERROR(IF($D533="","",VLOOKUP($D533,Cadastro!$C$4:$G$7,5,FALSE())),"")</f>
        <v>0.6</v>
      </c>
      <c r="J533" s="91">
        <f t="shared" si="134"/>
        <v>12.867046706586825</v>
      </c>
      <c r="K533" s="69">
        <f t="shared" si="135"/>
        <v>84</v>
      </c>
      <c r="L533" s="70" t="s">
        <v>29</v>
      </c>
      <c r="M533" s="70" t="s">
        <v>61</v>
      </c>
      <c r="N533" s="70" t="s">
        <v>60</v>
      </c>
      <c r="O533" s="65">
        <v>0.13472222222222222</v>
      </c>
      <c r="P533" s="65">
        <v>0.14791666666666667</v>
      </c>
      <c r="Q533" s="71">
        <f t="shared" ca="1" si="136"/>
        <v>1.3194444444444453E-2</v>
      </c>
      <c r="R533" s="63"/>
      <c r="S533" s="133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14</v>
      </c>
      <c r="H534" s="88">
        <f>IFERROR(IF($G534="","",$G534*$S$540/$G$540/Cadastro!$E$33),"")</f>
        <v>62.548143712574849</v>
      </c>
      <c r="I534" s="90">
        <f>IFERROR(IF($D534="","",VLOOKUP($D534,Cadastro!$C$4:$G$7,5,FALSE())),"")</f>
        <v>0.6</v>
      </c>
      <c r="J534" s="91">
        <f t="shared" si="134"/>
        <v>9.0069326946107768</v>
      </c>
      <c r="K534" s="64">
        <f t="shared" si="135"/>
        <v>58.800000000000004</v>
      </c>
      <c r="L534" s="61" t="s">
        <v>28</v>
      </c>
      <c r="M534" s="61" t="s">
        <v>173</v>
      </c>
      <c r="N534" s="61" t="s">
        <v>36</v>
      </c>
      <c r="O534" s="65">
        <v>0.17986111111111111</v>
      </c>
      <c r="P534" s="65">
        <v>0.2013888888888889</v>
      </c>
      <c r="Q534" s="66">
        <f t="shared" ca="1" si="136"/>
        <v>2.1527777777777785E-2</v>
      </c>
      <c r="R534" s="63"/>
      <c r="S534" s="133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14</v>
      </c>
      <c r="H535" s="88">
        <f>IFERROR(IF($G535="","",$G535*$S$540/$G$540/Cadastro!$E$33),"")</f>
        <v>62.548143712574849</v>
      </c>
      <c r="I535" s="90">
        <f>IFERROR(IF($D535="","",VLOOKUP($D535,Cadastro!$C$4:$G$7,5,FALSE())),"")</f>
        <v>0.6</v>
      </c>
      <c r="J535" s="91">
        <f t="shared" si="134"/>
        <v>9.0069326946107768</v>
      </c>
      <c r="K535" s="69">
        <f t="shared" si="135"/>
        <v>58.800000000000004</v>
      </c>
      <c r="L535" s="70" t="s">
        <v>29</v>
      </c>
      <c r="M535" s="70" t="s">
        <v>66</v>
      </c>
      <c r="N535" s="70" t="s">
        <v>71</v>
      </c>
      <c r="O535" s="65">
        <v>0.2388888888888889</v>
      </c>
      <c r="P535" s="65">
        <v>0.24513888888888888</v>
      </c>
      <c r="Q535" s="71">
        <f t="shared" ca="1" si="136"/>
        <v>6.2499999999999778E-3</v>
      </c>
      <c r="R535" s="63"/>
      <c r="S535" s="133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5</v>
      </c>
      <c r="H536" s="88">
        <f>IFERROR(IF($G536="","",$G536*$S$540/$G$540/Cadastro!$E$33),"")</f>
        <v>22.338622754491016</v>
      </c>
      <c r="I536" s="90">
        <f>IFERROR(IF($D536="","",VLOOKUP($D536,Cadastro!$C$4:$G$7,5,FALSE())),"")</f>
        <v>0.6</v>
      </c>
      <c r="J536" s="91">
        <f t="shared" si="134"/>
        <v>4.6911107784431127</v>
      </c>
      <c r="K536" s="64">
        <f t="shared" si="135"/>
        <v>21</v>
      </c>
      <c r="L536" s="61" t="s">
        <v>29</v>
      </c>
      <c r="M536" s="61" t="s">
        <v>61</v>
      </c>
      <c r="N536" s="61" t="s">
        <v>71</v>
      </c>
      <c r="O536" s="65">
        <v>0.26944444444444443</v>
      </c>
      <c r="P536" s="65">
        <v>0.29166666666666669</v>
      </c>
      <c r="Q536" s="66">
        <f t="shared" ca="1" si="136"/>
        <v>2.2222222222222254E-2</v>
      </c>
      <c r="R536" s="63"/>
      <c r="S536" s="133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7</v>
      </c>
      <c r="H537" s="88">
        <f>IFERROR(IF($G537="","",$G537*$S$540/$G$540/Cadastro!$E$33),"")</f>
        <v>31.274071856287424</v>
      </c>
      <c r="I537" s="90">
        <f>IFERROR(IF($D537="","",VLOOKUP($D537,Cadastro!$C$4:$G$7,5,FALSE())),"")</f>
        <v>0.6</v>
      </c>
      <c r="J537" s="91">
        <f t="shared" si="134"/>
        <v>6.5675550898203587</v>
      </c>
      <c r="K537" s="69">
        <f t="shared" si="135"/>
        <v>29.400000000000002</v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14</v>
      </c>
      <c r="H538" s="88">
        <f>IFERROR(IF($G538="","",$G538*$S$540/$G$540/Cadastro!$E$33),"")</f>
        <v>62.548143712574849</v>
      </c>
      <c r="I538" s="90">
        <f>IFERROR(IF($D538="","",VLOOKUP($D538,Cadastro!$C$4:$G$7,5,FALSE())),"")</f>
        <v>0.6</v>
      </c>
      <c r="J538" s="91">
        <f t="shared" si="134"/>
        <v>13.135110179640717</v>
      </c>
      <c r="K538" s="64">
        <f t="shared" si="135"/>
        <v>58.800000000000004</v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17</v>
      </c>
      <c r="H539" s="92">
        <f>IFERROR(IF($G539="","",$G539*$S$540/$G$540/Cadastro!$E$33),"")</f>
        <v>75.951317365269475</v>
      </c>
      <c r="I539" s="93">
        <f>IFERROR(IF($D539="","",VLOOKUP($D539,Cadastro!$C$4:$G$7,5,FALSE())),"")</f>
        <v>0.6</v>
      </c>
      <c r="J539" s="94">
        <f t="shared" si="134"/>
        <v>15.949776646706587</v>
      </c>
      <c r="K539" s="69">
        <f t="shared" si="135"/>
        <v>71.400000000000006</v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>
      <c r="A540" s="157" t="s">
        <v>264</v>
      </c>
      <c r="B540" s="157"/>
      <c r="C540" s="157"/>
      <c r="D540" s="157"/>
      <c r="E540" s="157"/>
      <c r="F540" s="105"/>
      <c r="G540" s="96">
        <f>SUM(G528:G539)</f>
        <v>167</v>
      </c>
      <c r="H540" s="105">
        <f>IFERROR(SUM(H528:H539),"")</f>
        <v>746.1099999999999</v>
      </c>
      <c r="I540" s="106"/>
      <c r="J540" s="107">
        <f>IFERROR(SUM(J528:J539),"")</f>
        <v>126.60637832335328</v>
      </c>
      <c r="K540" s="2">
        <f>SUM(K528:K539)</f>
        <v>716.59999999999991</v>
      </c>
      <c r="L540" s="72"/>
      <c r="M540" s="72"/>
      <c r="N540" s="72"/>
      <c r="O540" s="134"/>
      <c r="P540" s="134"/>
      <c r="Q540" s="73">
        <f ca="1">IFERROR(SUM(Q528:Q539),"")</f>
        <v>0.10000000000000014</v>
      </c>
      <c r="R540" s="2" t="s">
        <v>262</v>
      </c>
      <c r="S540" s="74">
        <v>746110</v>
      </c>
      <c r="T540" s="99">
        <f>IFERROR(J540,"")</f>
        <v>126.60637832335328</v>
      </c>
    </row>
    <row r="541" spans="1:20" ht="18" customHeight="1">
      <c r="A541" s="158" t="s">
        <v>250</v>
      </c>
      <c r="B541" s="158"/>
      <c r="C541" s="158"/>
      <c r="D541" s="158"/>
      <c r="E541" s="158"/>
      <c r="F541" s="108"/>
      <c r="G541" s="109">
        <f>G527+G540</f>
        <v>364</v>
      </c>
      <c r="H541" s="108">
        <f>IFERROR(H527+H540,"")</f>
        <v>1709.1999999999998</v>
      </c>
      <c r="I541" s="110"/>
      <c r="J541" s="111">
        <f>IFERROR(J527+J540,"")</f>
        <v>328.85527832335322</v>
      </c>
      <c r="K541" s="1">
        <f>K527+K540</f>
        <v>1617.6</v>
      </c>
      <c r="L541" s="76"/>
      <c r="M541" s="76"/>
      <c r="N541" s="76"/>
      <c r="O541" s="135"/>
      <c r="P541" s="135"/>
      <c r="Q541" s="77">
        <f ca="1">IFERROR(Q527+Q540,"")</f>
        <v>0.15000000000000024</v>
      </c>
      <c r="R541" s="1" t="s">
        <v>265</v>
      </c>
      <c r="S541" s="82">
        <f>IFERROR(S527+S540,"")</f>
        <v>1709200</v>
      </c>
      <c r="T541" s="118">
        <f>IFERROR(J541,"")</f>
        <v>328.85527832335322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14</v>
      </c>
      <c r="H542" s="101">
        <f>IFERROR(IF($G542="","",$G542*$S$554/$G$554/Cadastro!$E$33),"")</f>
        <v>81.878625954198483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11.790522137404579</v>
      </c>
      <c r="K542" s="64">
        <f t="shared" ref="K542:K553" si="139">IF(G542="","",IF(E542="PC 17",G542*4.2,IF(E542="PC 19",G542*5,IF(E542="CB",G542*24,""))))</f>
        <v>58.800000000000004</v>
      </c>
      <c r="L542" s="61" t="s">
        <v>29</v>
      </c>
      <c r="M542" s="61" t="s">
        <v>61</v>
      </c>
      <c r="N542" s="61" t="s">
        <v>65</v>
      </c>
      <c r="O542" s="65">
        <v>0.2986111111111111</v>
      </c>
      <c r="P542" s="65">
        <v>0.31736111111111109</v>
      </c>
      <c r="Q542" s="66">
        <f t="shared" ref="Q542:Q553" ca="1" si="140">IFERROR(IF(O542="","",IF(P542="",MOD(NOW()-O542,1),IF(P542&gt;=O542,P542-O542,P542+1-O542))),"")</f>
        <v>1.8749999999999989E-2</v>
      </c>
      <c r="R542" s="63"/>
      <c r="S542" s="133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30</v>
      </c>
      <c r="H543" s="88">
        <f>IFERROR(IF($G543="","",$G543*$S$554/$G$554/Cadastro!$E$33),"")</f>
        <v>175.45419847328245</v>
      </c>
      <c r="I543" s="90">
        <f>IFERROR(IF($D543="","",VLOOKUP($D543,Cadastro!$C$4:$G$7,5,FALSE())),"")</f>
        <v>0.6</v>
      </c>
      <c r="J543" s="91">
        <f t="shared" si="138"/>
        <v>25.265404580152673</v>
      </c>
      <c r="K543" s="69">
        <f t="shared" si="139"/>
        <v>126</v>
      </c>
      <c r="L543" s="70" t="s">
        <v>29</v>
      </c>
      <c r="M543" s="70" t="s">
        <v>61</v>
      </c>
      <c r="N543" s="70" t="s">
        <v>71</v>
      </c>
      <c r="O543" s="65">
        <v>0.3298611111111111</v>
      </c>
      <c r="P543" s="65">
        <v>0.33194444444444443</v>
      </c>
      <c r="Q543" s="71">
        <f t="shared" ca="1" si="140"/>
        <v>2.0833333333333259E-3</v>
      </c>
      <c r="R543" s="63"/>
      <c r="S543" s="133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6</v>
      </c>
      <c r="H544" s="88">
        <f>IFERROR(IF($G544="","",$G544*$S$554/$G$554/Cadastro!$E$33),"")</f>
        <v>35.090839694656488</v>
      </c>
      <c r="I544" s="90">
        <f>IFERROR(IF($D544="","",VLOOKUP($D544,Cadastro!$C$4:$G$7,5,FALSE())),"")</f>
        <v>0.6</v>
      </c>
      <c r="J544" s="91">
        <f t="shared" si="138"/>
        <v>5.0530809160305337</v>
      </c>
      <c r="K544" s="64">
        <f t="shared" si="139"/>
        <v>25.200000000000003</v>
      </c>
      <c r="L544" s="61" t="s">
        <v>29</v>
      </c>
      <c r="M544" s="61" t="s">
        <v>66</v>
      </c>
      <c r="N544" s="61" t="s">
        <v>60</v>
      </c>
      <c r="O544" s="65">
        <v>0.39583333333333331</v>
      </c>
      <c r="P544" s="65">
        <v>0.40277777777777779</v>
      </c>
      <c r="Q544" s="66">
        <f t="shared" ca="1" si="140"/>
        <v>6.9444444444444753E-3</v>
      </c>
      <c r="R544" s="63"/>
      <c r="S544" s="133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10</v>
      </c>
      <c r="H545" s="88">
        <f>IFERROR(IF($G545="","",$G545*$S$554/$G$554/Cadastro!$E$33),"")</f>
        <v>58.484732824427482</v>
      </c>
      <c r="I545" s="90">
        <f>IFERROR(IF($D545="","",VLOOKUP($D545,Cadastro!$C$4:$G$7,5,FALSE())),"")</f>
        <v>0.6</v>
      </c>
      <c r="J545" s="91">
        <f t="shared" si="138"/>
        <v>8.421801526717557</v>
      </c>
      <c r="K545" s="69">
        <f t="shared" si="139"/>
        <v>42</v>
      </c>
      <c r="L545" s="70" t="s">
        <v>29</v>
      </c>
      <c r="M545" s="70" t="s">
        <v>66</v>
      </c>
      <c r="N545" s="70" t="s">
        <v>60</v>
      </c>
      <c r="O545" s="65">
        <v>0.41805555555555557</v>
      </c>
      <c r="P545" s="65">
        <v>0.42499999999999999</v>
      </c>
      <c r="Q545" s="71">
        <f t="shared" ca="1" si="140"/>
        <v>6.9444444444444198E-3</v>
      </c>
      <c r="R545" s="63"/>
      <c r="S545" s="133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9</v>
      </c>
      <c r="H546" s="88">
        <f>IFERROR(IF($G546="","",$G546*$S$554/$G$554/Cadastro!$E$33),"")</f>
        <v>52.636259541984735</v>
      </c>
      <c r="I546" s="90">
        <f>IFERROR(IF($D546="","",VLOOKUP($D546,Cadastro!$C$4:$G$7,5,FALSE())),"")</f>
        <v>0.6</v>
      </c>
      <c r="J546" s="91">
        <f t="shared" si="138"/>
        <v>7.5796213740458018</v>
      </c>
      <c r="K546" s="64">
        <f t="shared" si="139"/>
        <v>37.800000000000004</v>
      </c>
      <c r="L546" s="61" t="s">
        <v>29</v>
      </c>
      <c r="M546" s="61" t="s">
        <v>168</v>
      </c>
      <c r="N546" s="61" t="s">
        <v>83</v>
      </c>
      <c r="O546" s="65">
        <v>0.46875</v>
      </c>
      <c r="P546" s="65">
        <v>0.4826388888888889</v>
      </c>
      <c r="Q546" s="66">
        <f t="shared" ca="1" si="140"/>
        <v>1.3888888888888895E-2</v>
      </c>
      <c r="R546" s="63"/>
      <c r="S546" s="133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 t="s">
        <v>29</v>
      </c>
      <c r="M547" s="70" t="s">
        <v>61</v>
      </c>
      <c r="N547" s="70" t="s">
        <v>178</v>
      </c>
      <c r="O547" s="65">
        <v>0.5</v>
      </c>
      <c r="P547" s="65">
        <v>0.53749999999999998</v>
      </c>
      <c r="Q547" s="71">
        <f t="shared" ca="1" si="140"/>
        <v>3.7499999999999978E-2</v>
      </c>
      <c r="R547" s="63" t="s">
        <v>411</v>
      </c>
      <c r="S547" s="133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13</v>
      </c>
      <c r="H548" s="88">
        <f>IFERROR(IF($G548="","",$G548*$S$554/$G$554/Cadastro!$E$33),"")</f>
        <v>76.030152671755729</v>
      </c>
      <c r="I548" s="90">
        <f>IFERROR(IF($D548="","",VLOOKUP($D548,Cadastro!$C$4:$G$7,5,FALSE())),"")</f>
        <v>0.6</v>
      </c>
      <c r="J548" s="91">
        <f t="shared" si="138"/>
        <v>10.948341984732824</v>
      </c>
      <c r="K548" s="64">
        <f t="shared" si="139"/>
        <v>54.6</v>
      </c>
      <c r="L548" s="61" t="s">
        <v>29</v>
      </c>
      <c r="M548" s="61" t="s">
        <v>66</v>
      </c>
      <c r="N548" s="61" t="s">
        <v>60</v>
      </c>
      <c r="O548" s="65">
        <v>0.5444444444444444</v>
      </c>
      <c r="P548" s="65">
        <v>0.54861111111111116</v>
      </c>
      <c r="Q548" s="66">
        <f t="shared" ca="1" si="140"/>
        <v>4.1666666666667629E-3</v>
      </c>
      <c r="R548" s="63"/>
      <c r="S548" s="133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9</v>
      </c>
      <c r="H549" s="88">
        <f>IFERROR(IF($G549="","",$G549*$S$554/$G$554/Cadastro!$E$33),"")</f>
        <v>52.636259541984735</v>
      </c>
      <c r="I549" s="90">
        <f>IFERROR(IF($D549="","",VLOOKUP($D549,Cadastro!$C$4:$G$7,5,FALSE())),"")</f>
        <v>0.6</v>
      </c>
      <c r="J549" s="91">
        <f t="shared" si="138"/>
        <v>7.5796213740458018</v>
      </c>
      <c r="K549" s="69">
        <f t="shared" si="139"/>
        <v>37.800000000000004</v>
      </c>
      <c r="L549" s="70" t="s">
        <v>29</v>
      </c>
      <c r="M549" s="70" t="s">
        <v>66</v>
      </c>
      <c r="N549" s="70" t="s">
        <v>60</v>
      </c>
      <c r="O549" s="65">
        <v>0.55208333333333337</v>
      </c>
      <c r="P549" s="65">
        <v>0.5541666666666667</v>
      </c>
      <c r="Q549" s="71">
        <f t="shared" ca="1" si="140"/>
        <v>2.0833333333333259E-3</v>
      </c>
      <c r="R549" s="63"/>
      <c r="S549" s="133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9</v>
      </c>
      <c r="H550" s="88">
        <f>IFERROR(IF($G550="","",$G550*$S$554/$G$554/Cadastro!$E$33),"")</f>
        <v>52.636259541984735</v>
      </c>
      <c r="I550" s="90">
        <f>IFERROR(IF($D550="","",VLOOKUP($D550,Cadastro!$C$4:$G$7,5,FALSE())),"")</f>
        <v>0.6</v>
      </c>
      <c r="J550" s="91">
        <f t="shared" si="138"/>
        <v>7.5796213740458018</v>
      </c>
      <c r="K550" s="64">
        <f t="shared" si="139"/>
        <v>37.800000000000004</v>
      </c>
      <c r="L550" s="61" t="s">
        <v>29</v>
      </c>
      <c r="M550" s="61" t="s">
        <v>61</v>
      </c>
      <c r="N550" s="61" t="s">
        <v>60</v>
      </c>
      <c r="O550" s="65">
        <v>0.5541666666666667</v>
      </c>
      <c r="P550" s="65">
        <v>0.55555555555555558</v>
      </c>
      <c r="Q550" s="66">
        <f t="shared" ca="1" si="140"/>
        <v>1.388888888888884E-3</v>
      </c>
      <c r="R550" s="63"/>
      <c r="S550" s="133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6</v>
      </c>
      <c r="H551" s="88">
        <f>IFERROR(IF($G551="","",$G551*$S$554/$G$554/Cadastro!$E$33),"")</f>
        <v>35.090839694656488</v>
      </c>
      <c r="I551" s="90">
        <f>IFERROR(IF($D551="","",VLOOKUP($D551,Cadastro!$C$4:$G$7,5,FALSE())),"")</f>
        <v>0.6</v>
      </c>
      <c r="J551" s="91">
        <f t="shared" si="138"/>
        <v>5.0530809160305337</v>
      </c>
      <c r="K551" s="69">
        <f t="shared" si="139"/>
        <v>25.200000000000003</v>
      </c>
      <c r="L551" s="70" t="s">
        <v>29</v>
      </c>
      <c r="M551" s="70" t="s">
        <v>66</v>
      </c>
      <c r="N551" s="70" t="s">
        <v>60</v>
      </c>
      <c r="O551" s="65">
        <v>0.55694444444444446</v>
      </c>
      <c r="P551" s="65">
        <v>0.55902777777777779</v>
      </c>
      <c r="Q551" s="71">
        <f t="shared" ca="1" si="140"/>
        <v>2.0833333333333259E-3</v>
      </c>
      <c r="R551" s="63"/>
      <c r="S551" s="133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21</v>
      </c>
      <c r="H552" s="88">
        <f>IFERROR(IF($G552="","",$G552*$S$554/$G$554/Cadastro!$E$33),"")</f>
        <v>122.81793893129772</v>
      </c>
      <c r="I552" s="90">
        <f>IFERROR(IF($D552="","",VLOOKUP($D552,Cadastro!$C$4:$G$7,5,FALSE())),"")</f>
        <v>0.6</v>
      </c>
      <c r="J552" s="91">
        <f t="shared" si="138"/>
        <v>17.685783206106869</v>
      </c>
      <c r="K552" s="64">
        <f t="shared" si="139"/>
        <v>88.2</v>
      </c>
      <c r="L552" s="61" t="s">
        <v>29</v>
      </c>
      <c r="M552" s="61" t="s">
        <v>66</v>
      </c>
      <c r="N552" s="61" t="s">
        <v>60</v>
      </c>
      <c r="O552" s="65">
        <v>0.57638888888888884</v>
      </c>
      <c r="P552" s="65">
        <v>0.62361111111111112</v>
      </c>
      <c r="Q552" s="66">
        <f t="shared" ca="1" si="140"/>
        <v>4.7222222222222276E-2</v>
      </c>
      <c r="R552" s="63" t="s">
        <v>412</v>
      </c>
      <c r="S552" s="133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4</v>
      </c>
      <c r="H553" s="92">
        <f>IFERROR(IF($G553="","",$G553*$S$554/$G$554/Cadastro!$E$33),"")</f>
        <v>23.393893129770994</v>
      </c>
      <c r="I553" s="93">
        <f>IFERROR(IF($D553="","",VLOOKUP($D553,Cadastro!$C$4:$G$7,5,FALSE())),"")</f>
        <v>0.6</v>
      </c>
      <c r="J553" s="94">
        <f t="shared" si="138"/>
        <v>3.3687206106870229</v>
      </c>
      <c r="K553" s="69">
        <f t="shared" si="139"/>
        <v>16.8</v>
      </c>
      <c r="L553" s="70" t="s">
        <v>29</v>
      </c>
      <c r="M553" s="70" t="s">
        <v>61</v>
      </c>
      <c r="N553" s="70" t="s">
        <v>60</v>
      </c>
      <c r="O553" s="65">
        <v>0.67777777777777781</v>
      </c>
      <c r="P553" s="65">
        <v>0.69097222222222221</v>
      </c>
      <c r="Q553" s="71">
        <f t="shared" ca="1" si="140"/>
        <v>1.3194444444444398E-2</v>
      </c>
      <c r="R553" s="63"/>
      <c r="S553" s="133"/>
    </row>
    <row r="554" spans="1:20" ht="15.75" customHeight="1">
      <c r="A554" s="157" t="s">
        <v>261</v>
      </c>
      <c r="B554" s="157"/>
      <c r="C554" s="157"/>
      <c r="D554" s="157"/>
      <c r="E554" s="157"/>
      <c r="F554" s="95"/>
      <c r="G554" s="96">
        <f>SUM(G542:G553)</f>
        <v>131</v>
      </c>
      <c r="H554" s="95">
        <f>IFERROR(SUM(H542:H553),"")</f>
        <v>766.15</v>
      </c>
      <c r="I554" s="97"/>
      <c r="J554" s="98">
        <f>IFERROR(SUM(J542:J553),"")</f>
        <v>110.32559999999999</v>
      </c>
      <c r="K554" s="2">
        <f>SUM(K542:K553)</f>
        <v>550.20000000000005</v>
      </c>
      <c r="L554" s="72"/>
      <c r="M554" s="72"/>
      <c r="N554" s="72"/>
      <c r="O554" s="134"/>
      <c r="P554" s="134"/>
      <c r="Q554" s="73">
        <f ca="1">IFERROR(SUM(Q542:Q553),"")</f>
        <v>0.15625000000000006</v>
      </c>
      <c r="R554" s="2" t="s">
        <v>262</v>
      </c>
      <c r="S554" s="74">
        <v>766150</v>
      </c>
      <c r="T554" s="99">
        <f>IFERROR(J554,"")</f>
        <v>110.32559999999999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22</v>
      </c>
      <c r="H555" s="101">
        <f>IFERROR(IF($G555="","",$G555*$S$567/$G$567/Cadastro!$E$33),"")</f>
        <v>100.88660377358491</v>
      </c>
      <c r="I555" s="102">
        <f>IFERROR(IF($D555="","",VLOOKUP($D555,Cadastro!$C$4:$G$7,5,FALSE())),"")</f>
        <v>0.6</v>
      </c>
      <c r="J555" s="103">
        <f t="shared" ref="J555:J566" si="142">IFERROR(IF($H555="","",$H555*$F555*$I555),"")</f>
        <v>14.527670943396226</v>
      </c>
      <c r="K555" s="69">
        <f t="shared" ref="K555:K566" si="143">IF(G555="","",IF(E555="PC 17",G555*4.2,IF(E555="PC 19",G555*5,IF(E555="CB",G555*24,""))))</f>
        <v>92.4</v>
      </c>
      <c r="L555" s="70" t="s">
        <v>29</v>
      </c>
      <c r="M555" s="70" t="s">
        <v>61</v>
      </c>
      <c r="N555" s="70" t="s">
        <v>60</v>
      </c>
      <c r="O555" s="65">
        <v>0.83819444444444446</v>
      </c>
      <c r="P555" s="65">
        <v>0.84861111111111109</v>
      </c>
      <c r="Q555" s="71"/>
      <c r="R555" s="63" t="s">
        <v>413</v>
      </c>
      <c r="S555" s="133"/>
    </row>
    <row r="556" spans="1:20" ht="15" customHeight="1">
      <c r="A556" s="59">
        <v>46255</v>
      </c>
      <c r="B556" s="60">
        <f t="shared" ref="B556:B566" si="144">B555+TIME(0,60,0)</f>
        <v>0.87499999999999967</v>
      </c>
      <c r="C556" s="70" t="s">
        <v>38</v>
      </c>
      <c r="D556" s="75" t="s">
        <v>39</v>
      </c>
      <c r="E556" s="100" t="s">
        <v>260</v>
      </c>
      <c r="F556" s="88">
        <f>IFERROR(IF($D556="","",VLOOKUP($D556,Cadastro!$C$4:$E$7,3,FALSE())),"")</f>
        <v>0.24</v>
      </c>
      <c r="G556" s="89">
        <v>3</v>
      </c>
      <c r="H556" s="88">
        <f>IFERROR(IF($G556="","",$G556*$S$567/$G$567/Cadastro!$E$33),"")</f>
        <v>13.757264150943396</v>
      </c>
      <c r="I556" s="90">
        <f>IFERROR(IF($D556="","",VLOOKUP($D556,Cadastro!$C$4:$G$7,5,FALSE())),"")</f>
        <v>0.6</v>
      </c>
      <c r="J556" s="91">
        <f t="shared" si="142"/>
        <v>1.9810460377358488</v>
      </c>
      <c r="K556" s="64">
        <f t="shared" si="143"/>
        <v>15</v>
      </c>
      <c r="L556" s="61" t="s">
        <v>29</v>
      </c>
      <c r="M556" s="61" t="s">
        <v>173</v>
      </c>
      <c r="N556" s="61" t="s">
        <v>60</v>
      </c>
      <c r="O556" s="65">
        <v>0.90208333333333335</v>
      </c>
      <c r="P556" s="65">
        <v>0.91736111111111107</v>
      </c>
      <c r="Q556" s="66">
        <f t="shared" ref="Q556:Q566" ca="1" si="145">IFERROR(IF(O556="","",IF(P556="",MOD(NOW()-O556,1),IF(P556&gt;=O556,P556-O556,P556+1-O556))),"")</f>
        <v>1.5277777777777724E-2</v>
      </c>
      <c r="R556" s="63" t="s">
        <v>414</v>
      </c>
      <c r="S556" s="133"/>
    </row>
    <row r="557" spans="1:20" ht="15" customHeight="1">
      <c r="A557" s="18">
        <v>46255</v>
      </c>
      <c r="B557" s="68">
        <f t="shared" si="144"/>
        <v>0.9166666666666663</v>
      </c>
      <c r="C557" s="70" t="s">
        <v>38</v>
      </c>
      <c r="D557" s="75" t="s">
        <v>39</v>
      </c>
      <c r="E557" s="100" t="s">
        <v>275</v>
      </c>
      <c r="F557" s="88">
        <f>IFERROR(IF($D557="","",VLOOKUP($D557,Cadastro!$C$4:$E$7,3,FALSE())),"")</f>
        <v>0.24</v>
      </c>
      <c r="G557" s="89">
        <v>1</v>
      </c>
      <c r="H557" s="88">
        <f>IFERROR(IF($G557="","",$G557*$S$567/$G$567/Cadastro!$E$33),"")</f>
        <v>4.5857547169811319</v>
      </c>
      <c r="I557" s="90">
        <f>IFERROR(IF($D557="","",VLOOKUP($D557,Cadastro!$C$4:$G$7,5,FALSE())),"")</f>
        <v>0.6</v>
      </c>
      <c r="J557" s="91">
        <f t="shared" si="142"/>
        <v>0.66034867924528295</v>
      </c>
      <c r="K557" s="69">
        <f t="shared" si="143"/>
        <v>4.2</v>
      </c>
      <c r="L557" s="70" t="s">
        <v>29</v>
      </c>
      <c r="M557" s="70" t="s">
        <v>61</v>
      </c>
      <c r="N557" s="70" t="s">
        <v>71</v>
      </c>
      <c r="O557" s="65">
        <v>0.93402777777777779</v>
      </c>
      <c r="P557" s="65">
        <v>0.94027777777777777</v>
      </c>
      <c r="Q557" s="71">
        <f t="shared" ca="1" si="145"/>
        <v>6.2499999999999778E-3</v>
      </c>
      <c r="R557" s="63"/>
      <c r="S557" s="133"/>
    </row>
    <row r="558" spans="1:20" ht="15" customHeight="1">
      <c r="A558" s="59">
        <v>46255</v>
      </c>
      <c r="B558" s="60">
        <f t="shared" si="144"/>
        <v>0.95833333333333293</v>
      </c>
      <c r="C558" s="70" t="s">
        <v>38</v>
      </c>
      <c r="D558" s="75" t="s">
        <v>39</v>
      </c>
      <c r="E558" s="100" t="s">
        <v>275</v>
      </c>
      <c r="F558" s="88">
        <f>IFERROR(IF($D558="","",VLOOKUP($D558,Cadastro!$C$4:$E$7,3,FALSE())),"")</f>
        <v>0.24</v>
      </c>
      <c r="G558" s="89">
        <v>15</v>
      </c>
      <c r="H558" s="88">
        <f>IFERROR(IF($G558="","",$G558*$S$567/$G$567/Cadastro!$E$33),"")</f>
        <v>68.786320754716982</v>
      </c>
      <c r="I558" s="90">
        <f>IFERROR(IF($D558="","",VLOOKUP($D558,Cadastro!$C$4:$G$7,5,FALSE())),"")</f>
        <v>0.6</v>
      </c>
      <c r="J558" s="91">
        <f t="shared" si="142"/>
        <v>9.9052301886792442</v>
      </c>
      <c r="K558" s="64">
        <f t="shared" si="143"/>
        <v>63</v>
      </c>
      <c r="L558" s="61" t="s">
        <v>29</v>
      </c>
      <c r="M558" s="61" t="s">
        <v>61</v>
      </c>
      <c r="N558" s="61" t="s">
        <v>60</v>
      </c>
      <c r="O558" s="65">
        <v>0.94930555555555551</v>
      </c>
      <c r="P558" s="65">
        <v>0.95208333333333328</v>
      </c>
      <c r="Q558" s="66">
        <f t="shared" ca="1" si="145"/>
        <v>2.7777777777777679E-3</v>
      </c>
      <c r="R558" s="63"/>
      <c r="S558" s="133"/>
    </row>
    <row r="559" spans="1:20" ht="15" customHeight="1">
      <c r="A559" s="18">
        <v>46255</v>
      </c>
      <c r="B559" s="68">
        <f t="shared" si="144"/>
        <v>0.99999999999999956</v>
      </c>
      <c r="C559" s="70" t="s">
        <v>38</v>
      </c>
      <c r="D559" s="75" t="s">
        <v>39</v>
      </c>
      <c r="E559" s="100" t="s">
        <v>275</v>
      </c>
      <c r="F559" s="88">
        <f>IFERROR(IF($D559="","",VLOOKUP($D559,Cadastro!$C$4:$E$7,3,FALSE())),"")</f>
        <v>0.24</v>
      </c>
      <c r="G559" s="89">
        <v>7</v>
      </c>
      <c r="H559" s="88">
        <f>IFERROR(IF($G559="","",$G559*$S$567/$G$567/Cadastro!$E$33),"")</f>
        <v>32.100283018867927</v>
      </c>
      <c r="I559" s="90">
        <f>IFERROR(IF($D559="","",VLOOKUP($D559,Cadastro!$C$4:$G$7,5,FALSE())),"")</f>
        <v>0.6</v>
      </c>
      <c r="J559" s="91">
        <f t="shared" si="142"/>
        <v>4.6224407547169815</v>
      </c>
      <c r="K559" s="69">
        <f t="shared" si="143"/>
        <v>29.400000000000002</v>
      </c>
      <c r="L559" s="61" t="s">
        <v>29</v>
      </c>
      <c r="M559" s="70" t="s">
        <v>61</v>
      </c>
      <c r="N559" s="70" t="s">
        <v>60</v>
      </c>
      <c r="O559" s="65">
        <v>0.95694444444444449</v>
      </c>
      <c r="P559" s="65">
        <v>0.95972222222222225</v>
      </c>
      <c r="Q559" s="71">
        <f t="shared" ca="1" si="145"/>
        <v>2.7777777777777679E-3</v>
      </c>
      <c r="R559" s="63"/>
      <c r="S559" s="133"/>
    </row>
    <row r="560" spans="1:20" ht="15" customHeight="1">
      <c r="A560" s="59">
        <v>46255</v>
      </c>
      <c r="B560" s="60">
        <f t="shared" si="144"/>
        <v>1.0416666666666663</v>
      </c>
      <c r="C560" s="70" t="s">
        <v>38</v>
      </c>
      <c r="D560" s="75" t="s">
        <v>39</v>
      </c>
      <c r="E560" s="100" t="s">
        <v>275</v>
      </c>
      <c r="F560" s="88">
        <f>IFERROR(IF($D560="","",VLOOKUP($D560,Cadastro!$C$4:$E$7,3,FALSE())),"")</f>
        <v>0.24</v>
      </c>
      <c r="G560" s="89">
        <v>1</v>
      </c>
      <c r="H560" s="88">
        <f>IFERROR(IF($G560="","",$G560*$S$567/$G$567/Cadastro!$E$33),"")</f>
        <v>4.5857547169811319</v>
      </c>
      <c r="I560" s="90">
        <f>IFERROR(IF($D560="","",VLOOKUP($D560,Cadastro!$C$4:$G$7,5,FALSE())),"")</f>
        <v>0.6</v>
      </c>
      <c r="J560" s="91">
        <f t="shared" si="142"/>
        <v>0.66034867924528295</v>
      </c>
      <c r="K560" s="64">
        <f t="shared" si="143"/>
        <v>4.2</v>
      </c>
      <c r="L560" s="154" t="s">
        <v>29</v>
      </c>
      <c r="M560" s="61" t="s">
        <v>173</v>
      </c>
      <c r="N560" s="61" t="s">
        <v>210</v>
      </c>
      <c r="O560" s="65">
        <v>0.96527777777777779</v>
      </c>
      <c r="P560" s="65">
        <v>0.97222222222222221</v>
      </c>
      <c r="Q560" s="66">
        <f t="shared" ca="1" si="145"/>
        <v>6.9444444444444198E-3</v>
      </c>
      <c r="R560" s="63" t="s">
        <v>415</v>
      </c>
      <c r="S560" s="133"/>
    </row>
    <row r="561" spans="1:20" ht="15" customHeight="1">
      <c r="A561" s="18">
        <v>46255</v>
      </c>
      <c r="B561" s="68">
        <f t="shared" si="144"/>
        <v>1.083333333333333</v>
      </c>
      <c r="C561" s="70" t="s">
        <v>38</v>
      </c>
      <c r="D561" s="75" t="s">
        <v>39</v>
      </c>
      <c r="E561" s="100" t="s">
        <v>275</v>
      </c>
      <c r="F561" s="88">
        <f>IFERROR(IF($D561="","",VLOOKUP($D561,Cadastro!$C$4:$E$7,3,FALSE())),"")</f>
        <v>0.24</v>
      </c>
      <c r="G561" s="89">
        <v>12</v>
      </c>
      <c r="H561" s="88">
        <f>IFERROR(IF($G561="","",$G561*$S$567/$G$567/Cadastro!$E$33),"")</f>
        <v>55.029056603773583</v>
      </c>
      <c r="I561" s="90">
        <f>IFERROR(IF($D561="","",VLOOKUP($D561,Cadastro!$C$4:$G$7,5,FALSE())),"")</f>
        <v>0.6</v>
      </c>
      <c r="J561" s="91">
        <f t="shared" si="142"/>
        <v>7.924184150943395</v>
      </c>
      <c r="K561" s="69">
        <f t="shared" si="143"/>
        <v>50.400000000000006</v>
      </c>
      <c r="L561" s="70" t="s">
        <v>29</v>
      </c>
      <c r="M561" s="70" t="s">
        <v>66</v>
      </c>
      <c r="N561" s="70" t="s">
        <v>60</v>
      </c>
      <c r="O561" s="65">
        <v>0.98333333333333328</v>
      </c>
      <c r="P561" s="65">
        <v>0.99236111111111114</v>
      </c>
      <c r="Q561" s="71">
        <f t="shared" ca="1" si="145"/>
        <v>9.0277777777778567E-3</v>
      </c>
      <c r="R561" s="63" t="s">
        <v>416</v>
      </c>
      <c r="S561" s="133"/>
    </row>
    <row r="562" spans="1:20" ht="15" customHeight="1">
      <c r="A562" s="59">
        <v>46255</v>
      </c>
      <c r="B562" s="60">
        <f t="shared" si="144"/>
        <v>1.1249999999999998</v>
      </c>
      <c r="C562" s="70" t="s">
        <v>38</v>
      </c>
      <c r="D562" s="75" t="s">
        <v>39</v>
      </c>
      <c r="E562" s="100" t="s">
        <v>275</v>
      </c>
      <c r="F562" s="88">
        <f>IFERROR(IF($D562="","",VLOOKUP($D562,Cadastro!$C$4:$E$7,3,FALSE())),"")</f>
        <v>0.24</v>
      </c>
      <c r="G562" s="89">
        <v>16</v>
      </c>
      <c r="H562" s="88">
        <f>IFERROR(IF($G562="","",$G562*$S$567/$G$567/Cadastro!$E$33),"")</f>
        <v>73.372075471698111</v>
      </c>
      <c r="I562" s="90">
        <f>IFERROR(IF($D562="","",VLOOKUP($D562,Cadastro!$C$4:$G$7,5,FALSE())),"")</f>
        <v>0.6</v>
      </c>
      <c r="J562" s="91">
        <f t="shared" si="142"/>
        <v>10.565578867924527</v>
      </c>
      <c r="K562" s="64">
        <f t="shared" si="143"/>
        <v>67.2</v>
      </c>
      <c r="L562" s="61" t="s">
        <v>29</v>
      </c>
      <c r="M562" s="61" t="s">
        <v>66</v>
      </c>
      <c r="N562" s="61" t="s">
        <v>60</v>
      </c>
      <c r="O562" s="65">
        <v>0.99722222222222223</v>
      </c>
      <c r="P562" s="65">
        <v>5.2083333333333336E-2</v>
      </c>
      <c r="Q562" s="66">
        <f t="shared" ca="1" si="145"/>
        <v>5.4861111111111027E-2</v>
      </c>
      <c r="R562" s="63" t="s">
        <v>417</v>
      </c>
      <c r="S562" s="133"/>
    </row>
    <row r="563" spans="1:20" ht="15" customHeight="1">
      <c r="A563" s="18">
        <v>46255</v>
      </c>
      <c r="B563" s="68">
        <f t="shared" si="144"/>
        <v>1.1666666666666665</v>
      </c>
      <c r="C563" s="70" t="s">
        <v>38</v>
      </c>
      <c r="D563" s="75" t="s">
        <v>39</v>
      </c>
      <c r="E563" s="100" t="s">
        <v>275</v>
      </c>
      <c r="F563" s="88">
        <f>IFERROR(IF($D563="","",VLOOKUP($D563,Cadastro!$C$4:$E$7,3,FALSE())),"")</f>
        <v>0.24</v>
      </c>
      <c r="G563" s="89">
        <v>9</v>
      </c>
      <c r="H563" s="88">
        <f>IFERROR(IF($G563="","",$G563*$S$567/$G$567/Cadastro!$E$33),"")</f>
        <v>41.271792452830191</v>
      </c>
      <c r="I563" s="90">
        <f>IFERROR(IF($D563="","",VLOOKUP($D563,Cadastro!$C$4:$G$7,5,FALSE())),"")</f>
        <v>0.6</v>
      </c>
      <c r="J563" s="91">
        <f t="shared" si="142"/>
        <v>5.9431381132075476</v>
      </c>
      <c r="K563" s="69">
        <f t="shared" si="143"/>
        <v>37.800000000000004</v>
      </c>
      <c r="L563" s="70" t="s">
        <v>29</v>
      </c>
      <c r="M563" s="70" t="s">
        <v>61</v>
      </c>
      <c r="N563" s="70" t="s">
        <v>60</v>
      </c>
      <c r="O563" s="65">
        <v>0.11527777777777778</v>
      </c>
      <c r="P563" s="65">
        <v>0.12083333333333333</v>
      </c>
      <c r="Q563" s="71">
        <f t="shared" ca="1" si="145"/>
        <v>5.5555555555555497E-3</v>
      </c>
      <c r="R563" s="63"/>
      <c r="S563" s="133"/>
    </row>
    <row r="564" spans="1:20" ht="15" customHeight="1">
      <c r="A564" s="59">
        <v>46255</v>
      </c>
      <c r="B564" s="60">
        <f t="shared" si="144"/>
        <v>1.2083333333333333</v>
      </c>
      <c r="C564" s="70" t="s">
        <v>38</v>
      </c>
      <c r="D564" s="75" t="s">
        <v>39</v>
      </c>
      <c r="E564" s="100" t="s">
        <v>275</v>
      </c>
      <c r="F564" s="88">
        <f>IFERROR(IF($D564="","",VLOOKUP($D564,Cadastro!$C$4:$E$7,3,FALSE())),"")</f>
        <v>0.24</v>
      </c>
      <c r="G564" s="89">
        <v>13</v>
      </c>
      <c r="H564" s="88">
        <f>IFERROR(IF($G564="","",$G564*$S$567/$G$567/Cadastro!$E$33),"")</f>
        <v>59.614811320754711</v>
      </c>
      <c r="I564" s="90">
        <f>IFERROR(IF($D564="","",VLOOKUP($D564,Cadastro!$C$4:$G$7,5,FALSE())),"")</f>
        <v>0.6</v>
      </c>
      <c r="J564" s="91">
        <f t="shared" si="142"/>
        <v>8.5845328301886781</v>
      </c>
      <c r="K564" s="64">
        <f t="shared" si="143"/>
        <v>54.6</v>
      </c>
      <c r="L564" s="61" t="s">
        <v>29</v>
      </c>
      <c r="M564" s="61" t="s">
        <v>173</v>
      </c>
      <c r="N564" s="61" t="s">
        <v>65</v>
      </c>
      <c r="O564" s="65">
        <v>0.1423611111111111</v>
      </c>
      <c r="P564" s="65">
        <v>0.1701388888888889</v>
      </c>
      <c r="Q564" s="66">
        <f t="shared" ca="1" si="145"/>
        <v>2.777777777777779E-2</v>
      </c>
      <c r="R564" s="63" t="s">
        <v>418</v>
      </c>
      <c r="S564" s="133"/>
    </row>
    <row r="565" spans="1:20" ht="15" customHeight="1">
      <c r="A565" s="18">
        <v>46255</v>
      </c>
      <c r="B565" s="68">
        <f t="shared" si="144"/>
        <v>1.25</v>
      </c>
      <c r="C565" s="70" t="s">
        <v>38</v>
      </c>
      <c r="D565" s="75" t="s">
        <v>39</v>
      </c>
      <c r="E565" s="100" t="s">
        <v>275</v>
      </c>
      <c r="F565" s="88">
        <f>IFERROR(IF($D565="","",VLOOKUP($D565,Cadastro!$C$4:$E$7,3,FALSE())),"")</f>
        <v>0.24</v>
      </c>
      <c r="G565" s="89">
        <v>5</v>
      </c>
      <c r="H565" s="88">
        <f>IFERROR(IF($G565="","",$G565*$S$567/$G$567/Cadastro!$E$33),"")</f>
        <v>22.92877358490566</v>
      </c>
      <c r="I565" s="90">
        <f>IFERROR(IF($D565="","",VLOOKUP($D565,Cadastro!$C$4:$G$7,5,FALSE())),"")</f>
        <v>0.6</v>
      </c>
      <c r="J565" s="91">
        <f t="shared" si="142"/>
        <v>3.3017433962264149</v>
      </c>
      <c r="K565" s="69">
        <f t="shared" si="143"/>
        <v>21</v>
      </c>
      <c r="L565" s="70" t="s">
        <v>28</v>
      </c>
      <c r="M565" s="70" t="s">
        <v>61</v>
      </c>
      <c r="N565" s="70" t="s">
        <v>36</v>
      </c>
      <c r="O565" s="65">
        <v>0.18819444444444444</v>
      </c>
      <c r="P565" s="65">
        <v>0.23333333333333334</v>
      </c>
      <c r="Q565" s="71">
        <f t="shared" ca="1" si="145"/>
        <v>4.5138888888888895E-2</v>
      </c>
      <c r="R565" s="63" t="s">
        <v>401</v>
      </c>
      <c r="S565" s="133"/>
    </row>
    <row r="566" spans="1:20" ht="15" customHeight="1">
      <c r="A566" s="59">
        <v>46255</v>
      </c>
      <c r="B566" s="60">
        <f t="shared" si="144"/>
        <v>1.2916666666666667</v>
      </c>
      <c r="C566" s="70" t="s">
        <v>38</v>
      </c>
      <c r="D566" s="75" t="s">
        <v>39</v>
      </c>
      <c r="E566" s="100" t="s">
        <v>275</v>
      </c>
      <c r="F566" s="92">
        <f>IFERROR(IF($D566="","",VLOOKUP($D566,Cadastro!$C$4:$E$7,3,FALSE())),"")</f>
        <v>0.24</v>
      </c>
      <c r="G566" s="89">
        <v>2</v>
      </c>
      <c r="H566" s="92">
        <f>IFERROR(IF($G566="","",$G566*$S$567/$G$567/Cadastro!$E$33),"")</f>
        <v>9.1715094339622638</v>
      </c>
      <c r="I566" s="93">
        <f>IFERROR(IF($D566="","",VLOOKUP($D566,Cadastro!$C$4:$G$7,5,FALSE())),"")</f>
        <v>0.6</v>
      </c>
      <c r="J566" s="94">
        <f t="shared" si="142"/>
        <v>1.3206973584905659</v>
      </c>
      <c r="K566" s="64">
        <f t="shared" si="143"/>
        <v>8.4</v>
      </c>
      <c r="L566" s="61" t="s">
        <v>27</v>
      </c>
      <c r="M566" s="61" t="s">
        <v>61</v>
      </c>
      <c r="N566" s="61" t="s">
        <v>134</v>
      </c>
      <c r="O566" s="65">
        <v>0.2388888888888889</v>
      </c>
      <c r="P566" s="65">
        <v>0.25833333333333336</v>
      </c>
      <c r="Q566" s="66">
        <f t="shared" ca="1" si="145"/>
        <v>1.9444444444444459E-2</v>
      </c>
      <c r="R566" s="63"/>
      <c r="S566" s="133"/>
    </row>
    <row r="567" spans="1:20" ht="15.75" customHeight="1">
      <c r="A567" s="157" t="s">
        <v>264</v>
      </c>
      <c r="B567" s="157"/>
      <c r="C567" s="157"/>
      <c r="D567" s="157"/>
      <c r="E567" s="157"/>
      <c r="F567" s="105"/>
      <c r="G567" s="96">
        <f>SUM(G555:G566)</f>
        <v>106</v>
      </c>
      <c r="H567" s="105">
        <f>IFERROR(SUM(H555:H566),"")</f>
        <v>486.09000000000003</v>
      </c>
      <c r="I567" s="106"/>
      <c r="J567" s="107">
        <f>IFERROR(SUM(J555:J566),"")</f>
        <v>69.996959999999987</v>
      </c>
      <c r="K567" s="2">
        <f>SUM(K555:K566)</f>
        <v>447.6</v>
      </c>
      <c r="L567" s="72"/>
      <c r="M567" s="72"/>
      <c r="N567" s="72"/>
      <c r="O567" s="134"/>
      <c r="P567" s="134"/>
      <c r="Q567" s="73">
        <f ca="1">IFERROR(SUM(Q555:Q566),"")</f>
        <v>0.19583333333333322</v>
      </c>
      <c r="R567" s="2" t="s">
        <v>262</v>
      </c>
      <c r="S567" s="74">
        <v>486090</v>
      </c>
      <c r="T567" s="99">
        <f>IFERROR(J567,"")</f>
        <v>69.996959999999987</v>
      </c>
    </row>
    <row r="568" spans="1:20" ht="18" customHeight="1">
      <c r="A568" s="158" t="s">
        <v>250</v>
      </c>
      <c r="B568" s="158"/>
      <c r="C568" s="158"/>
      <c r="D568" s="158"/>
      <c r="E568" s="158"/>
      <c r="F568" s="108"/>
      <c r="G568" s="109">
        <f>G554+G567</f>
        <v>237</v>
      </c>
      <c r="H568" s="108">
        <f>IFERROR(H554+H567,"")</f>
        <v>1252.24</v>
      </c>
      <c r="I568" s="110"/>
      <c r="J568" s="111">
        <f>IFERROR(J554+J567,"")</f>
        <v>180.32255999999998</v>
      </c>
      <c r="K568" s="1">
        <f>K554+K567</f>
        <v>997.80000000000007</v>
      </c>
      <c r="L568" s="76"/>
      <c r="M568" s="76"/>
      <c r="N568" s="76"/>
      <c r="O568" s="135"/>
      <c r="P568" s="135"/>
      <c r="Q568" s="77">
        <f ca="1">IFERROR(Q554+Q567,"")</f>
        <v>0.3520833333333333</v>
      </c>
      <c r="R568" s="1" t="s">
        <v>265</v>
      </c>
      <c r="S568" s="82">
        <f>IFERROR(S554+S567,"")</f>
        <v>1252240</v>
      </c>
      <c r="T568" s="118">
        <f>IFERROR(J568,"")</f>
        <v>180.32255999999998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275</v>
      </c>
      <c r="F569" s="101">
        <f>IFERROR(IF($D569="","",VLOOKUP($D569,Cadastro!$C$4:$E$7,3,FALSE())),"")</f>
        <v>0.35</v>
      </c>
      <c r="G569" s="89">
        <v>17</v>
      </c>
      <c r="H569" s="101">
        <f>IFERROR(IF($G569="","",$G569*$S$581/$G$581/Cadastro!$E$33),"")</f>
        <v>0</v>
      </c>
      <c r="I569" s="102">
        <f>IFERROR(IF($D569="","",VLOOKUP($D569,Cadastro!$C$4:$G$7,5,FALSE())),"")</f>
        <v>0.6</v>
      </c>
      <c r="J569" s="103">
        <f t="shared" ref="J569:J580" si="146">IFERROR(IF($H569="","",$H569*$F569*$I569),"")</f>
        <v>0</v>
      </c>
      <c r="K569" s="69">
        <f t="shared" ref="K569:K580" si="147">IF(G569="","",IF(E569="PC 17",G569*4.2,IF(E569="PC 19",G569*5,IF(E569="CB",G569*24,""))))</f>
        <v>71.400000000000006</v>
      </c>
      <c r="L569" s="70" t="s">
        <v>29</v>
      </c>
      <c r="M569" s="70" t="s">
        <v>168</v>
      </c>
      <c r="N569" s="70" t="s">
        <v>83</v>
      </c>
      <c r="O569" s="65">
        <v>0.2986111111111111</v>
      </c>
      <c r="P569" s="65">
        <v>0.30555555555555558</v>
      </c>
      <c r="Q569" s="71">
        <f t="shared" ref="Q569:Q574" ca="1" si="148">IFERROR(IF(O569="","",IF(P569="",MOD(NOW()-O569,1),IF(P569&gt;=O569,P569-O569,P569+1-O569))),"")</f>
        <v>6.9444444444444753E-3</v>
      </c>
      <c r="R569" s="63"/>
      <c r="S569" s="133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 t="s">
        <v>30</v>
      </c>
      <c r="D570" s="75" t="s">
        <v>31</v>
      </c>
      <c r="E570" s="100" t="s">
        <v>275</v>
      </c>
      <c r="F570" s="88">
        <f>IFERROR(IF($D570="","",VLOOKUP($D570,Cadastro!$C$4:$E$7,3,FALSE())),"")</f>
        <v>0.35</v>
      </c>
      <c r="G570" s="89">
        <v>7</v>
      </c>
      <c r="H570" s="88">
        <f>IFERROR(IF($G570="","",$G570*$S$581/$G$581/Cadastro!$E$33),"")</f>
        <v>0</v>
      </c>
      <c r="I570" s="90">
        <f>IFERROR(IF($D570="","",VLOOKUP($D570,Cadastro!$C$4:$G$7,5,FALSE())),"")</f>
        <v>0.6</v>
      </c>
      <c r="J570" s="91">
        <f t="shared" si="146"/>
        <v>0</v>
      </c>
      <c r="K570" s="69">
        <f t="shared" si="147"/>
        <v>29.400000000000002</v>
      </c>
      <c r="L570" s="61" t="s">
        <v>28</v>
      </c>
      <c r="M570" s="61" t="s">
        <v>61</v>
      </c>
      <c r="N570" s="61" t="s">
        <v>87</v>
      </c>
      <c r="O570" s="65">
        <v>0.31597222222222221</v>
      </c>
      <c r="P570" s="65">
        <v>0.32777777777777778</v>
      </c>
      <c r="Q570" s="66">
        <f t="shared" ca="1" si="148"/>
        <v>1.1805555555555569E-2</v>
      </c>
      <c r="R570" s="63"/>
      <c r="S570" s="133"/>
    </row>
    <row r="571" spans="1:20" ht="15" customHeight="1">
      <c r="A571" s="18">
        <v>46256</v>
      </c>
      <c r="B571" s="68">
        <f t="shared" si="149"/>
        <v>0.41666666666666635</v>
      </c>
      <c r="C571" s="70" t="s">
        <v>30</v>
      </c>
      <c r="D571" s="75" t="s">
        <v>31</v>
      </c>
      <c r="E571" s="100" t="s">
        <v>275</v>
      </c>
      <c r="F571" s="88">
        <f>IFERROR(IF($D571="","",VLOOKUP($D571,Cadastro!$C$4:$E$7,3,FALSE())),"")</f>
        <v>0.35</v>
      </c>
      <c r="G571" s="89">
        <v>21</v>
      </c>
      <c r="H571" s="88">
        <f>IFERROR(IF($G571="","",$G571*$S$581/$G$581/Cadastro!$E$33),"")</f>
        <v>0</v>
      </c>
      <c r="I571" s="90">
        <f>IFERROR(IF($D571="","",VLOOKUP($D571,Cadastro!$C$4:$G$7,5,FALSE())),"")</f>
        <v>0.6</v>
      </c>
      <c r="J571" s="91">
        <f t="shared" si="146"/>
        <v>0</v>
      </c>
      <c r="K571" s="69">
        <f t="shared" si="147"/>
        <v>88.2</v>
      </c>
      <c r="L571" s="70" t="s">
        <v>27</v>
      </c>
      <c r="M571" s="70" t="s">
        <v>66</v>
      </c>
      <c r="N571" s="70" t="s">
        <v>167</v>
      </c>
      <c r="O571" s="65">
        <v>0.34236111111111112</v>
      </c>
      <c r="P571" s="65">
        <v>0.375</v>
      </c>
      <c r="Q571" s="71">
        <f t="shared" ca="1" si="148"/>
        <v>3.2638888888888884E-2</v>
      </c>
      <c r="R571" s="63" t="s">
        <v>402</v>
      </c>
      <c r="S571" s="133"/>
    </row>
    <row r="572" spans="1:20" ht="15" customHeight="1">
      <c r="A572" s="59">
        <v>46256</v>
      </c>
      <c r="B572" s="60">
        <f t="shared" si="149"/>
        <v>0.45833333333333304</v>
      </c>
      <c r="C572" s="70" t="s">
        <v>30</v>
      </c>
      <c r="D572" s="75" t="s">
        <v>31</v>
      </c>
      <c r="E572" s="100" t="s">
        <v>275</v>
      </c>
      <c r="F572" s="88">
        <f>IFERROR(IF($D572="","",VLOOKUP($D572,Cadastro!$C$4:$E$7,3,FALSE())),"")</f>
        <v>0.35</v>
      </c>
      <c r="G572" s="89">
        <v>26</v>
      </c>
      <c r="H572" s="88">
        <f>IFERROR(IF($G572="","",$G572*$S$581/$G$581/Cadastro!$E$33),"")</f>
        <v>0</v>
      </c>
      <c r="I572" s="90">
        <f>IFERROR(IF($D572="","",VLOOKUP($D572,Cadastro!$C$4:$G$7,5,FALSE())),"")</f>
        <v>0.6</v>
      </c>
      <c r="J572" s="91">
        <f t="shared" si="146"/>
        <v>0</v>
      </c>
      <c r="K572" s="69">
        <f t="shared" si="147"/>
        <v>109.2</v>
      </c>
      <c r="L572" s="61" t="s">
        <v>29</v>
      </c>
      <c r="M572" s="61" t="s">
        <v>168</v>
      </c>
      <c r="N572" s="61" t="s">
        <v>83</v>
      </c>
      <c r="O572" s="65">
        <v>0.45694444444444443</v>
      </c>
      <c r="P572" s="65">
        <v>0.46319444444444446</v>
      </c>
      <c r="Q572" s="66">
        <f t="shared" ca="1" si="148"/>
        <v>6.2500000000000333E-3</v>
      </c>
      <c r="R572" s="63"/>
      <c r="S572" s="133"/>
    </row>
    <row r="573" spans="1:20" ht="15" customHeight="1">
      <c r="A573" s="18">
        <v>46256</v>
      </c>
      <c r="B573" s="68">
        <f t="shared" si="149"/>
        <v>0.49999999999999972</v>
      </c>
      <c r="C573" s="70" t="s">
        <v>30</v>
      </c>
      <c r="D573" s="75" t="s">
        <v>31</v>
      </c>
      <c r="E573" s="100" t="s">
        <v>260</v>
      </c>
      <c r="F573" s="88">
        <f>IFERROR(IF($D573="","",VLOOKUP($D573,Cadastro!$C$4:$E$7,3,FALSE())),"")</f>
        <v>0.35</v>
      </c>
      <c r="G573" s="89">
        <v>20</v>
      </c>
      <c r="H573" s="88">
        <f>IFERROR(IF($G573="","",$G573*$S$581/$G$581/Cadastro!$E$33),"")</f>
        <v>0</v>
      </c>
      <c r="I573" s="90">
        <f>IFERROR(IF($D573="","",VLOOKUP($D573,Cadastro!$C$4:$G$7,5,FALSE())),"")</f>
        <v>0.6</v>
      </c>
      <c r="J573" s="91">
        <f t="shared" si="146"/>
        <v>0</v>
      </c>
      <c r="K573" s="69">
        <f t="shared" si="147"/>
        <v>100</v>
      </c>
      <c r="L573" s="70" t="s">
        <v>29</v>
      </c>
      <c r="M573" s="70" t="s">
        <v>61</v>
      </c>
      <c r="N573" s="70" t="s">
        <v>65</v>
      </c>
      <c r="O573" s="65">
        <v>0.47361111111111109</v>
      </c>
      <c r="P573" s="65">
        <v>0.4861111111111111</v>
      </c>
      <c r="Q573" s="71">
        <f t="shared" ca="1" si="148"/>
        <v>1.2500000000000011E-2</v>
      </c>
      <c r="R573" s="63" t="s">
        <v>419</v>
      </c>
      <c r="S573" s="133"/>
    </row>
    <row r="574" spans="1:20" ht="15" customHeight="1">
      <c r="A574" s="59">
        <v>46256</v>
      </c>
      <c r="B574" s="60">
        <f t="shared" si="149"/>
        <v>0.54166666666666641</v>
      </c>
      <c r="C574" s="70" t="s">
        <v>30</v>
      </c>
      <c r="D574" s="75" t="s">
        <v>31</v>
      </c>
      <c r="E574" s="100" t="s">
        <v>275</v>
      </c>
      <c r="F574" s="88">
        <f>IFERROR(IF($D574="","",VLOOKUP($D574,Cadastro!$C$4:$E$7,3,FALSE())),"")</f>
        <v>0.35</v>
      </c>
      <c r="G574" s="89">
        <v>25</v>
      </c>
      <c r="H574" s="88">
        <f>IFERROR(IF($G574="","",$G574*$S$581/$G$581/Cadastro!$E$33),"")</f>
        <v>0</v>
      </c>
      <c r="I574" s="90">
        <f>IFERROR(IF($D574="","",VLOOKUP($D574,Cadastro!$C$4:$G$7,5,FALSE())),"")</f>
        <v>0.6</v>
      </c>
      <c r="J574" s="91">
        <f t="shared" si="146"/>
        <v>0</v>
      </c>
      <c r="K574" s="69">
        <f t="shared" si="147"/>
        <v>105</v>
      </c>
      <c r="L574" s="61" t="s">
        <v>29</v>
      </c>
      <c r="M574" s="61" t="s">
        <v>168</v>
      </c>
      <c r="N574" s="61" t="s">
        <v>83</v>
      </c>
      <c r="O574" s="65">
        <v>0.57499999999999996</v>
      </c>
      <c r="P574" s="65"/>
      <c r="Q574" s="66">
        <f t="shared" ca="1" si="148"/>
        <v>9.280092635890469E-4</v>
      </c>
      <c r="R574" s="63"/>
      <c r="S574" s="133"/>
    </row>
    <row r="575" spans="1:20" ht="15" customHeight="1">
      <c r="A575" s="18">
        <v>46256</v>
      </c>
      <c r="B575" s="68">
        <f t="shared" si="149"/>
        <v>0.58333333333333304</v>
      </c>
      <c r="C575" s="70" t="s">
        <v>30</v>
      </c>
      <c r="D575" s="75" t="s">
        <v>31</v>
      </c>
      <c r="E575" s="100" t="s">
        <v>275</v>
      </c>
      <c r="F575" s="88">
        <f>IFERROR(IF($D575="","",VLOOKUP($D575,Cadastro!$C$4:$E$7,3,FALSE())),"")</f>
        <v>0.35</v>
      </c>
      <c r="G575" s="89"/>
      <c r="H575" s="88" t="str">
        <f>IFERROR(IF($G575="","",$G575*$S$581/$G$581/Cadastro!$E$33),"")</f>
        <v/>
      </c>
      <c r="I575" s="90">
        <f>IFERROR(IF($D575="","",VLOOKUP($D575,Cadastro!$C$4:$G$7,5,FALSE())),"")</f>
        <v>0.6</v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/>
      <c r="R575" s="63"/>
      <c r="S575" s="133"/>
    </row>
    <row r="576" spans="1:20" ht="15" customHeight="1">
      <c r="A576" s="59">
        <v>46256</v>
      </c>
      <c r="B576" s="60">
        <f t="shared" si="149"/>
        <v>0.62499999999999967</v>
      </c>
      <c r="C576" s="70" t="s">
        <v>30</v>
      </c>
      <c r="D576" s="75" t="s">
        <v>31</v>
      </c>
      <c r="E576" s="100" t="s">
        <v>275</v>
      </c>
      <c r="F576" s="88">
        <f>IFERROR(IF($D576="","",VLOOKUP($D576,Cadastro!$C$4:$E$7,3,FALSE())),"")</f>
        <v>0.35</v>
      </c>
      <c r="G576" s="89"/>
      <c r="H576" s="88" t="str">
        <f>IFERROR(IF($G576="","",$G576*$S$581/$G$581/Cadastro!$E$33),"")</f>
        <v/>
      </c>
      <c r="I576" s="90">
        <f>IFERROR(IF($D576="","",VLOOKUP($D576,Cadastro!$C$4:$G$7,5,FALSE())),"")</f>
        <v>0.6</v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ca="1">IFERROR(IF(O576="","",IF(P576="",MOD(NOW()-O576,1),IF(P576&gt;=O576,P576-O576,P576+1-O576))),"")</f>
        <v/>
      </c>
      <c r="R576" s="63"/>
      <c r="S576" s="133"/>
    </row>
    <row r="577" spans="1:20" ht="15" customHeight="1">
      <c r="A577" s="18">
        <v>46256</v>
      </c>
      <c r="B577" s="68">
        <f t="shared" si="149"/>
        <v>0.6666666666666663</v>
      </c>
      <c r="C577" s="70" t="s">
        <v>30</v>
      </c>
      <c r="D577" s="75" t="s">
        <v>31</v>
      </c>
      <c r="E577" s="100" t="s">
        <v>275</v>
      </c>
      <c r="F577" s="88">
        <f>IFERROR(IF($D577="","",VLOOKUP($D577,Cadastro!$C$4:$E$7,3,FALSE())),"")</f>
        <v>0.35</v>
      </c>
      <c r="G577" s="89"/>
      <c r="H577" s="88" t="str">
        <f>IFERROR(IF($G577="","",$G577*$S$581/$G$581/Cadastro!$E$33),"")</f>
        <v/>
      </c>
      <c r="I577" s="90">
        <f>IFERROR(IF($D577="","",VLOOKUP($D577,Cadastro!$C$4:$G$7,5,FALSE())),"")</f>
        <v>0.6</v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>
      <c r="A578" s="59">
        <v>46256</v>
      </c>
      <c r="B578" s="60">
        <f t="shared" si="149"/>
        <v>0.70833333333333293</v>
      </c>
      <c r="C578" s="70" t="s">
        <v>30</v>
      </c>
      <c r="D578" s="75" t="s">
        <v>31</v>
      </c>
      <c r="E578" s="100" t="s">
        <v>275</v>
      </c>
      <c r="F578" s="88">
        <f>IFERROR(IF($D578="","",VLOOKUP($D578,Cadastro!$C$4:$E$7,3,FALSE())),"")</f>
        <v>0.35</v>
      </c>
      <c r="G578" s="89"/>
      <c r="H578" s="88" t="str">
        <f>IFERROR(IF($G578="","",$G578*$S$581/$G$581/Cadastro!$E$33),"")</f>
        <v/>
      </c>
      <c r="I578" s="90">
        <f>IFERROR(IF($D578="","",VLOOKUP($D578,Cadastro!$C$4:$G$7,5,FALSE())),"")</f>
        <v>0.6</v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>
      <c r="A579" s="18">
        <v>46256</v>
      </c>
      <c r="B579" s="68">
        <f t="shared" si="149"/>
        <v>0.74999999999999956</v>
      </c>
      <c r="C579" s="70" t="s">
        <v>30</v>
      </c>
      <c r="D579" s="75" t="s">
        <v>31</v>
      </c>
      <c r="E579" s="100" t="s">
        <v>275</v>
      </c>
      <c r="F579" s="88">
        <f>IFERROR(IF($D579="","",VLOOKUP($D579,Cadastro!$C$4:$E$7,3,FALSE())),"")</f>
        <v>0.35</v>
      </c>
      <c r="G579" s="89"/>
      <c r="H579" s="88" t="str">
        <f>IFERROR(IF($G579="","",$G579*$S$581/$G$581/Cadastro!$E$33),"")</f>
        <v/>
      </c>
      <c r="I579" s="90">
        <f>IFERROR(IF($D579="","",VLOOKUP($D579,Cadastro!$C$4:$G$7,5,FALSE())),"")</f>
        <v>0.6</v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>
      <c r="A580" s="59">
        <v>46256</v>
      </c>
      <c r="B580" s="60">
        <f t="shared" si="149"/>
        <v>0.79166666666666619</v>
      </c>
      <c r="C580" s="70" t="s">
        <v>30</v>
      </c>
      <c r="D580" s="75" t="s">
        <v>31</v>
      </c>
      <c r="E580" s="100" t="s">
        <v>275</v>
      </c>
      <c r="F580" s="92">
        <f>IFERROR(IF($D580="","",VLOOKUP($D580,Cadastro!$C$4:$E$7,3,FALSE())),"")</f>
        <v>0.35</v>
      </c>
      <c r="G580" s="89"/>
      <c r="H580" s="92" t="str">
        <f>IFERROR(IF($G580="","",$G580*$S$581/$G$581/Cadastro!$E$33),"")</f>
        <v/>
      </c>
      <c r="I580" s="93">
        <f>IFERROR(IF($D580="","",VLOOKUP($D580,Cadastro!$C$4:$G$7,5,FALSE())),"")</f>
        <v>0.6</v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>
      <c r="A581" s="157" t="s">
        <v>261</v>
      </c>
      <c r="B581" s="157"/>
      <c r="C581" s="157"/>
      <c r="D581" s="157"/>
      <c r="E581" s="157"/>
      <c r="F581" s="95"/>
      <c r="G581" s="96">
        <f>SUM(G569:G580)</f>
        <v>116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503.2</v>
      </c>
      <c r="L581" s="72"/>
      <c r="M581" s="72"/>
      <c r="N581" s="72"/>
      <c r="O581" s="134"/>
      <c r="P581" s="134"/>
      <c r="Q581" s="73">
        <f ca="1">IFERROR(SUM(Q569:Q580),"")</f>
        <v>7.106689815247802E-2</v>
      </c>
      <c r="R581" s="2" t="s">
        <v>262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63"/>
      <c r="S582" s="133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63"/>
      <c r="S583" s="133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63"/>
      <c r="S584" s="133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63"/>
      <c r="S585" s="133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63"/>
      <c r="S586" s="133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63"/>
      <c r="S587" s="133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63"/>
      <c r="S588" s="133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>
      <c r="A594" s="157" t="s">
        <v>264</v>
      </c>
      <c r="B594" s="157"/>
      <c r="C594" s="157"/>
      <c r="D594" s="157"/>
      <c r="E594" s="157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134"/>
      <c r="P594" s="134"/>
      <c r="Q594" s="73">
        <f ca="1">IFERROR(SUM(Q582:Q593),"")</f>
        <v>0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8" t="s">
        <v>250</v>
      </c>
      <c r="B595" s="158"/>
      <c r="C595" s="158"/>
      <c r="D595" s="158"/>
      <c r="E595" s="158"/>
      <c r="F595" s="108"/>
      <c r="G595" s="109">
        <f>G581+G594</f>
        <v>116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503.2</v>
      </c>
      <c r="L595" s="76"/>
      <c r="M595" s="76"/>
      <c r="N595" s="76"/>
      <c r="O595" s="135"/>
      <c r="P595" s="135"/>
      <c r="Q595" s="77">
        <f ca="1">IFERROR(Q581+Q594,"")</f>
        <v>7.106689815247802E-2</v>
      </c>
      <c r="R595" s="1" t="s">
        <v>265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63"/>
      <c r="S596" s="133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>
      <c r="A608" s="157" t="s">
        <v>261</v>
      </c>
      <c r="B608" s="157"/>
      <c r="C608" s="157"/>
      <c r="D608" s="157"/>
      <c r="E608" s="157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134"/>
      <c r="P608" s="134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63"/>
      <c r="S609" s="133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63"/>
      <c r="S610" s="133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63"/>
      <c r="S611" s="133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63"/>
      <c r="S612" s="133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63"/>
      <c r="S613" s="133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63"/>
      <c r="S614" s="133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63"/>
      <c r="S615" s="133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63"/>
      <c r="S616" s="133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63"/>
      <c r="S617" s="133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63"/>
      <c r="S618" s="133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63"/>
      <c r="S619" s="133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63"/>
      <c r="S620" s="133"/>
    </row>
    <row r="621" spans="1:20" ht="15.75" customHeight="1">
      <c r="A621" s="157" t="s">
        <v>264</v>
      </c>
      <c r="B621" s="157"/>
      <c r="C621" s="157"/>
      <c r="D621" s="157"/>
      <c r="E621" s="157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134"/>
      <c r="P621" s="134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8" t="s">
        <v>250</v>
      </c>
      <c r="B622" s="158"/>
      <c r="C622" s="158"/>
      <c r="D622" s="158"/>
      <c r="E622" s="158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135"/>
      <c r="P622" s="135"/>
      <c r="Q622" s="77">
        <f ca="1">IFERROR(Q608+Q621,"")</f>
        <v>0</v>
      </c>
      <c r="R622" s="1" t="s">
        <v>265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63"/>
      <c r="S623" s="133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63"/>
      <c r="S624" s="133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63"/>
      <c r="S625" s="133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>
      <c r="A635" s="157" t="s">
        <v>261</v>
      </c>
      <c r="B635" s="157"/>
      <c r="C635" s="157"/>
      <c r="D635" s="157"/>
      <c r="E635" s="157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134"/>
      <c r="P635" s="134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63"/>
      <c r="S636" s="133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63"/>
      <c r="S637" s="133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63"/>
      <c r="S638" s="133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>
      <c r="A648" s="157" t="s">
        <v>264</v>
      </c>
      <c r="B648" s="157"/>
      <c r="C648" s="157"/>
      <c r="D648" s="157"/>
      <c r="E648" s="157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134"/>
      <c r="P648" s="134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8" t="s">
        <v>250</v>
      </c>
      <c r="B649" s="158"/>
      <c r="C649" s="158"/>
      <c r="D649" s="158"/>
      <c r="E649" s="158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135"/>
      <c r="P649" s="135"/>
      <c r="Q649" s="77">
        <f ca="1">IFERROR(Q635+Q648,"")</f>
        <v>0</v>
      </c>
      <c r="R649" s="1" t="s">
        <v>265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>
      <c r="A662" s="157" t="s">
        <v>261</v>
      </c>
      <c r="B662" s="157"/>
      <c r="C662" s="157"/>
      <c r="D662" s="157"/>
      <c r="E662" s="157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>
      <c r="A675" s="157" t="s">
        <v>264</v>
      </c>
      <c r="B675" s="157"/>
      <c r="C675" s="157"/>
      <c r="D675" s="157"/>
      <c r="E675" s="157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8" t="s">
        <v>250</v>
      </c>
      <c r="B676" s="158"/>
      <c r="C676" s="158"/>
      <c r="D676" s="158"/>
      <c r="E676" s="158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>
      <c r="A689" s="157" t="s">
        <v>261</v>
      </c>
      <c r="B689" s="157"/>
      <c r="C689" s="157"/>
      <c r="D689" s="157"/>
      <c r="E689" s="157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>
      <c r="A702" s="157" t="s">
        <v>264</v>
      </c>
      <c r="B702" s="157"/>
      <c r="C702" s="157"/>
      <c r="D702" s="157"/>
      <c r="E702" s="157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8" t="s">
        <v>250</v>
      </c>
      <c r="B703" s="158"/>
      <c r="C703" s="158"/>
      <c r="D703" s="158"/>
      <c r="E703" s="158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>
      <c r="A716" s="157" t="s">
        <v>261</v>
      </c>
      <c r="B716" s="157"/>
      <c r="C716" s="157"/>
      <c r="D716" s="157"/>
      <c r="E716" s="157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>
      <c r="A729" s="157" t="s">
        <v>264</v>
      </c>
      <c r="B729" s="157"/>
      <c r="C729" s="157"/>
      <c r="D729" s="157"/>
      <c r="E729" s="157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8" t="s">
        <v>250</v>
      </c>
      <c r="B730" s="158"/>
      <c r="C730" s="158"/>
      <c r="D730" s="158"/>
      <c r="E730" s="158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>
      <c r="A743" s="157" t="s">
        <v>261</v>
      </c>
      <c r="B743" s="157"/>
      <c r="C743" s="157"/>
      <c r="D743" s="157"/>
      <c r="E743" s="157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>
      <c r="A756" s="157" t="s">
        <v>264</v>
      </c>
      <c r="B756" s="157"/>
      <c r="C756" s="157"/>
      <c r="D756" s="157"/>
      <c r="E756" s="157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8" t="s">
        <v>250</v>
      </c>
      <c r="B757" s="158"/>
      <c r="C757" s="158"/>
      <c r="D757" s="158"/>
      <c r="E757" s="158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>
      <c r="A770" s="157" t="s">
        <v>261</v>
      </c>
      <c r="B770" s="157"/>
      <c r="C770" s="157"/>
      <c r="D770" s="157"/>
      <c r="E770" s="157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>
      <c r="A783" s="157" t="s">
        <v>264</v>
      </c>
      <c r="B783" s="157"/>
      <c r="C783" s="157"/>
      <c r="D783" s="157"/>
      <c r="E783" s="157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8" t="s">
        <v>250</v>
      </c>
      <c r="B784" s="158"/>
      <c r="C784" s="158"/>
      <c r="D784" s="158"/>
      <c r="E784" s="158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>
      <c r="A797" s="157" t="s">
        <v>261</v>
      </c>
      <c r="B797" s="157"/>
      <c r="C797" s="157"/>
      <c r="D797" s="157"/>
      <c r="E797" s="157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>
      <c r="A810" s="157" t="s">
        <v>264</v>
      </c>
      <c r="B810" s="157"/>
      <c r="C810" s="157"/>
      <c r="D810" s="157"/>
      <c r="E810" s="157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8" t="s">
        <v>250</v>
      </c>
      <c r="B811" s="158"/>
      <c r="C811" s="158"/>
      <c r="D811" s="158"/>
      <c r="E811" s="158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>
      <c r="A824" s="157" t="s">
        <v>261</v>
      </c>
      <c r="B824" s="157"/>
      <c r="C824" s="157"/>
      <c r="D824" s="157"/>
      <c r="E824" s="157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262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>
      <c r="A837" s="157" t="s">
        <v>264</v>
      </c>
      <c r="B837" s="157"/>
      <c r="C837" s="157"/>
      <c r="D837" s="157"/>
      <c r="E837" s="157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262</v>
      </c>
      <c r="S837" s="74"/>
      <c r="T837" s="99">
        <f>IFERROR(J837,"")</f>
        <v>0</v>
      </c>
    </row>
    <row r="838" spans="1:20" ht="18" customHeight="1">
      <c r="A838" s="158" t="s">
        <v>250</v>
      </c>
      <c r="B838" s="158"/>
      <c r="C838" s="158"/>
      <c r="D838" s="158"/>
      <c r="E838" s="158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265</v>
      </c>
      <c r="S838" s="82">
        <f>IFERROR(S824+S837,"")</f>
        <v>0</v>
      </c>
      <c r="T838" s="118">
        <f>IFERROR(J838,"")</f>
        <v>0</v>
      </c>
    </row>
  </sheetData>
  <sheetProtection algorithmName="SHA-512" hashValue="kxPPFervXGnmgyrW50iGSJUo3io946tXDmP41FW+w61kVlRo9pTxrlET9lt8tSPhFteLJBH9C9hVTtrtPCTgQQ==" saltValue="U0bisFdpfCvQwbXv4qEyB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L561:L900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2B1A3CF-5FC7-4FEA-8536-053612F4F612}"/>
</file>

<file path=customXml/itemProps2.xml><?xml version="1.0" encoding="utf-8"?>
<ds:datastoreItem xmlns:ds="http://schemas.openxmlformats.org/officeDocument/2006/customXml" ds:itemID="{F4B32959-3F17-4606-A7DA-57182556EC1F}"/>
</file>

<file path=customXml/itemProps3.xml><?xml version="1.0" encoding="utf-8"?>
<ds:datastoreItem xmlns:ds="http://schemas.openxmlformats.org/officeDocument/2006/customXml" ds:itemID="{956D0346-DD6D-4A32-81B9-BD446DB6FCD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2026-08-22T17:49:30Z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