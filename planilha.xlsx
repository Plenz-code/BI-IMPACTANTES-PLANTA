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85" documentId="8_{C51EB6CB-002B-4D6B-B68F-DDEBDB4460C0}" xr6:coauthVersionLast="47" xr6:coauthVersionMax="47" xr10:uidLastSave="{0C3BC814-D009-4DD7-A013-6FB05622D311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<sst xmlns="http://schemas.openxmlformats.org/spreadsheetml/2006/main" count="5223" uniqueCount="327">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</sst>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E273" sqref="E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/>
      <c r="M272" s="30">
        <f t="shared" ref="M272:M283" ca="1" si="61">IFERROR(IF(K272="","",IF(L272="",MOD(NOW()-K272,1),IF(L272&gt;=K272,L272-K272,L272+1-K272))),"")</f>
        <v>4.8855324057512917E-3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37</v>
      </c>
      <c r="G284" s="36">
        <f>SUM(G272:G283)</f>
        <v>185</v>
      </c>
      <c r="H284" s="37"/>
      <c r="I284" s="37"/>
      <c r="J284" s="37"/>
      <c r="K284" s="37"/>
      <c r="L284" s="37"/>
      <c r="M284" s="38">
        <f ca="1">IFERROR(SUM(M272:M283),"")</f>
        <v>4.8855324057512917E-3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37</v>
      </c>
      <c r="G298" s="40">
        <f>G284+G297</f>
        <v>185</v>
      </c>
      <c r="H298" s="41"/>
      <c r="I298" s="41"/>
      <c r="J298" s="41"/>
      <c r="K298" s="41"/>
      <c r="L298" s="41"/>
      <c r="M298" s="42">
        <f ca="1">IFERROR(M284+M297,"")</f>
        <v>4.8855324057512917E-3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0.2180799768466386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0.3569688657355275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0.44169108795774981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7</v>
      </c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0.14516331018239725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0.20696886573795281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0.26807997684906398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4</v>
      </c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85" sqref="F2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20</v>
      </c>
      <c r="G284" s="36">
        <f>SUM(G272:G283)</f>
        <v>84</v>
      </c>
      <c r="H284" s="37"/>
      <c r="I284" s="37"/>
      <c r="J284" s="37"/>
      <c r="K284" s="61"/>
      <c r="L284" s="61"/>
      <c r="M284" s="38">
        <f ca="1">IFERROR(SUM(M272:M283),"")</f>
        <v>7.6388888888888618E-3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20</v>
      </c>
      <c r="G298" s="40">
        <f>G284+G297</f>
        <v>84</v>
      </c>
      <c r="H298" s="41"/>
      <c r="I298" s="41"/>
      <c r="J298" s="41"/>
      <c r="K298" s="63"/>
      <c r="L298" s="63"/>
      <c r="M298" s="42">
        <f ca="1">IFERROR(M284+M297,"")</f>
        <v>7.6388888888888618E-3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