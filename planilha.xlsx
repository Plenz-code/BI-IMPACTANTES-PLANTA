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531" documentId="8_{AF585B22-221D-4780-BB9C-493D365A6A02}" xr6:coauthVersionLast="47" xr6:coauthVersionMax="47" xr10:uidLastSave="{596FE9DE-94C8-46BE-9678-F39678283828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<sst xmlns="http://schemas.openxmlformats.org/spreadsheetml/2006/main" count="3447" uniqueCount="261">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</sst>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1946430</v>
      </c>
      <c r="D10" s="8">
        <f>IFERROR('Linha 1'!O190,"")</f>
        <v>0</v>
      </c>
      <c r="E10" s="8">
        <f>IFERROR('Linha 2'!O190,"")</f>
        <v>190950</v>
      </c>
      <c r="F10" s="8">
        <f>IFERROR('Linha 3'!O190,"")</f>
        <v>500370</v>
      </c>
      <c r="G10" s="9">
        <f t="shared" si="0"/>
        <v>691320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17077500</v>
      </c>
      <c r="D35" s="13">
        <f>IFERROR(SUM(D4:D34),"")</f>
        <v>7238930</v>
      </c>
      <c r="E35" s="13">
        <f>IFERROR(SUM(E4:E34),"")</f>
        <v>3891340</v>
      </c>
      <c r="F35" s="13">
        <f>IFERROR(SUM(F4:F34),"")</f>
        <v>7231960</v>
      </c>
      <c r="G35" s="13">
        <f>IFERROR(SUM(G4:G34),"")</f>
        <v>18362230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61" activePane="bottomLeft" state="frozen"/>
      <selection pane="bottomLeft" activeCell="F188" sqref="F18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377</v>
      </c>
      <c r="G189" s="36">
        <f>SUM(G177:G188)</f>
        <v>1885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722</v>
      </c>
      <c r="G190" s="40">
        <f>G176+G189</f>
        <v>3610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1946430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60" activePane="bottomLeft" state="frozen"/>
      <selection pane="bottomLeft" activeCell="K178" sqref="K1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/>
      <c r="M177" s="35">
        <f t="shared" ref="M177:M188" ca="1" si="40">IFERROR(IF(K177="","",IF(L177="",MOD(NOW()-K177,1),IF(L177&gt;=K177,L177-K177,L177+1-K177))),"")</f>
        <v>0.47313437500270084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0.47313437500270084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0.97313437500270084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65" activePane="bottomLeft" state="frozen"/>
      <selection pane="bottomLeft" activeCell="F189" sqref="F1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190950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61" activePane="bottomLeft" state="frozen"/>
      <selection pane="bottomLeft" activeCell="F189" sqref="F18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1.5495486113650259E-2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0.21480104166920588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0.58216215278031691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/>
      <c r="M179" s="35">
        <f t="shared" ca="1" si="40"/>
        <v>5.2301041665486991E-2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8.7023263887709229E-2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0.15021770833215367</v>
      </c>
      <c r="N190" s="40" t="s">
        <v>212</v>
      </c>
      <c r="O190" s="43">
        <f>IFERROR(O176+O189,"")</f>
        <v>500370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2026-07-08T10:21:46Z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