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624" documentId="13_ncr:1_{9DFDFEE8-78F7-4C04-B87C-99924EE6CC37}" xr6:coauthVersionLast="47" xr6:coauthVersionMax="47" xr10:uidLastSave="{74ED7810-4EFD-48D8-93FF-548E57C63E02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<sst xmlns="http://schemas.openxmlformats.org/spreadsheetml/2006/main" count="8882" uniqueCount="2873">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</sst>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6" sqref="G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71" sqref="F7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51</v>
      </c>
      <c r="G81" s="2">
        <f>SUM(G69:G80)</f>
        <v>255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440</v>
      </c>
      <c r="G82" s="1">
        <f>G68+G81</f>
        <v>2176</v>
      </c>
      <c r="H82" s="91"/>
      <c r="I82" s="91"/>
      <c r="J82" s="91"/>
      <c r="K82" s="91"/>
      <c r="L82" s="91"/>
      <c r="M82" s="92">
        <f ca="1">IFERROR(M68+M81,"")</f>
        <v>4.1666666666666519E-3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54" activePane="bottomLeft" state="frozen"/>
      <selection pane="bottomLeft" activeCell="N71" sqref="N7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/>
      <c r="M71" s="85"/>
      <c r="N71" s="85"/>
      <c r="O71" s="80">
        <v>0.91666666666666663</v>
      </c>
      <c r="P71" s="80"/>
      <c r="Q71" s="81">
        <f t="shared" ca="1" si="24"/>
        <v>3.1392245371534955E-2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/>
      <c r="H72" s="107" t="str">
        <f>IFERROR(IF($G72="","",$G72*$S$81/$G$81/Cadastro!$E$33),"")</f>
        <v/>
      </c>
      <c r="I72" s="109">
        <f>IFERROR(IF($D72="","",VLOOKUP($D72,Cadastro!$C$4:$G$20,5,FALSE())),"")</f>
        <v>0.6</v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61</v>
      </c>
      <c r="E74" s="119" t="s">
        <v>278</v>
      </c>
      <c r="F74" s="107">
        <f>IFERROR(IF($D74="","",VLOOKUP($D74,Cadastro!$C$4:$E$20,3,FALSE())),"")</f>
        <v>0.35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62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260.39999999999998</v>
      </c>
      <c r="L81" s="87"/>
      <c r="M81" s="87"/>
      <c r="N81" s="87"/>
      <c r="O81" s="87"/>
      <c r="P81" s="87"/>
      <c r="Q81" s="88">
        <f ca="1">IFERROR(SUM(Q69:Q80),"")</f>
        <v>4.5281134260423905E-2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234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982.8</v>
      </c>
      <c r="L82" s="91"/>
      <c r="M82" s="91"/>
      <c r="N82" s="91"/>
      <c r="O82" s="91"/>
      <c r="P82" s="91"/>
      <c r="Q82" s="92">
        <f ca="1">IFERROR(Q68+Q81,"")</f>
        <v>0.10986446759375734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G72" sqref="G7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/>
      <c r="H72" s="107" t="str">
        <f>IFERROR(IF($G72="","",$G72*$S$81/$G$81/Cadastro!$E$33),"")</f>
        <v/>
      </c>
      <c r="I72" s="109">
        <f>IFERROR(IF($D72="","",VLOOKUP($D72,Cadastro!$C$4:$G$20,5,FALSE())),"")</f>
        <v>0.6</v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37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155.4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163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684.6</v>
      </c>
      <c r="L82" s="91"/>
      <c r="M82" s="91"/>
      <c r="N82" s="91"/>
      <c r="O82" s="91"/>
      <c r="P82" s="91"/>
      <c r="Q82" s="92">
        <f ca="1">IFERROR(Q68+Q81,"")</f>
        <v>2.9166666666666674E-2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3" activePane="bottomLeft" state="frozen"/>
      <selection pane="bottomLeft" activeCell="G72" sqref="G7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/>
      <c r="H72" s="107" t="str">
        <f>IFERROR(IF($G72="","",$G72*$S$81/$G$81/Cadastro!$E$33),"")</f>
        <v/>
      </c>
      <c r="I72" s="109">
        <f>IFERROR(IF($D72="","",VLOOKUP($D72,Cadastro!$C$4:$G$20,5,FALSE())),"")</f>
        <v>0.6</v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44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184.8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241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1012.2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2026-09-04T02:45:46Z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