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808" documentId="13_ncr:1_{0A10D8D4-8450-4366-8075-B53B08E6B7EA}" xr6:coauthVersionLast="47" xr6:coauthVersionMax="47" xr10:uidLastSave="{DF4E635B-DB54-43EB-B103-C378E8AC5E51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4" i="6"/>
  <c r="J354" i="6" s="1"/>
  <c r="H355" i="6"/>
  <c r="J355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379" i="6" l="1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53" i="6" l="1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<sst xmlns="http://schemas.openxmlformats.org/spreadsheetml/2006/main" count="6248" uniqueCount="342">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</sst>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548.93232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1231.8974415403104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D359" sqref="D35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34</v>
      </c>
      <c r="D354" s="62" t="s">
        <v>35</v>
      </c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34</v>
      </c>
      <c r="D355" s="62" t="s">
        <v>35</v>
      </c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34</v>
      </c>
      <c r="D356" s="62" t="s">
        <v>35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34</v>
      </c>
      <c r="D357" s="62" t="s">
        <v>35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34</v>
      </c>
      <c r="D358" s="62" t="s">
        <v>35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34</v>
      </c>
      <c r="D359" s="62" t="s">
        <v>35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34</v>
      </c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34</v>
      </c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34</v>
      </c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34</v>
      </c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34</v>
      </c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P355" sqref="P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0.21436400462698657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0.35325289351587547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0.43797511573809778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3.577412093023256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8.9435302325581389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10.732236279069767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7.154824186046512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12.520942325581395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12.520942325581395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7.751059534883721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7.154824186046512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4.1736474418604645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11.328471627906977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9.539765581395347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7.154824186046512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102.55248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102.55248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129.46464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129.46464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 t="s">
        <v>25</v>
      </c>
      <c r="M353" s="33" t="s">
        <v>44</v>
      </c>
      <c r="N353" s="33" t="s">
        <v>61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277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26" t="s">
        <v>24</v>
      </c>
      <c r="M354" s="26" t="s">
        <v>36</v>
      </c>
      <c r="N354" s="26" t="s">
        <v>32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P354" sqref="P3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4.9184640000000002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1.8444240000000001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4.9184640000000002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2.4592320000000001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1.229616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3.6888480000000001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1.8444240000000001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2.4592320000000001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5.5332720000000002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3.0740400000000001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2.4592320000000001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2.4592320000000001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36.888480000000001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36.888480000000001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92.661119999999983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92.661119999999983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 t="s">
        <v>25</v>
      </c>
      <c r="M353" s="33" t="s">
        <v>52</v>
      </c>
      <c r="N353" s="33" t="s">
        <v>67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E353" sqref="E35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19.287432911392404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10.286630886075949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20.573261772151898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7.7149731645569615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9.6437164556962021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17.358689620253163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15.429946329113923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12.215374177215187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16.072860759493672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8.3578875949367077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5.7862298734177209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9.6437164556962021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152.37071999999995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152.37071999999995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326.80655999999999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326.80655999999999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 t="s">
        <v>256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23</v>
      </c>
      <c r="M353" s="33"/>
      <c r="N353" s="33" t="s">
        <v>99</v>
      </c>
      <c r="O353" s="29">
        <v>0.31458333333333333</v>
      </c>
      <c r="P353" s="29"/>
      <c r="Q353" s="35">
        <f t="shared" ref="Q353:Q364" ca="1" si="84">IFERROR(IF(O353="","",IF(P353="",MOD(NOW()-O353,1),IF(P353&gt;=O353,P353-O353,P353+1-O353))),"")</f>
        <v>2.1308449075149838E-2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12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50.400000000000006</v>
      </c>
      <c r="L365" s="37"/>
      <c r="M365" s="37"/>
      <c r="N365" s="37"/>
      <c r="O365" s="61"/>
      <c r="P365" s="61"/>
      <c r="Q365" s="38">
        <f ca="1">IFERROR(SUM(Q353:Q364),"")</f>
        <v>2.1308449075149838E-2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12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50.400000000000006</v>
      </c>
      <c r="L379" s="41"/>
      <c r="M379" s="41"/>
      <c r="N379" s="41"/>
      <c r="O379" s="63"/>
      <c r="P379" s="63"/>
      <c r="Q379" s="42">
        <f ca="1">IFERROR(Q365+Q378,"")</f>
        <v>2.1308449075149838E-2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2026-08-14T12:04:12Z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