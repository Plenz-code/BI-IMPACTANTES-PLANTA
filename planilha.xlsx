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959" documentId="8_{AF585B22-221D-4780-BB9C-493D365A6A02}" xr6:coauthVersionLast="47" xr6:coauthVersionMax="47" xr10:uidLastSave="{D54BC2C0-6969-4FFB-8FE3-9800AF7303B6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<sst xmlns="http://schemas.openxmlformats.org/spreadsheetml/2006/main" count="3772" uniqueCount="269">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</sst>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1895110</v>
      </c>
      <c r="D11" s="11">
        <f>IFERROR('Linha 1'!O217,"")</f>
        <v>0</v>
      </c>
      <c r="E11" s="11">
        <f>IFERROR('Linha 2'!O217,"")</f>
        <v>324840</v>
      </c>
      <c r="F11" s="11">
        <f>IFERROR('Linha 3'!O217,"")</f>
        <v>674440</v>
      </c>
      <c r="G11" s="12">
        <f t="shared" si="0"/>
        <v>999280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21328420</v>
      </c>
      <c r="D35" s="13">
        <f>IFERROR(SUM(D4:D34),"")</f>
        <v>7238930</v>
      </c>
      <c r="E35" s="13">
        <f>IFERROR(SUM(E4:E34),"")</f>
        <v>4963390</v>
      </c>
      <c r="F35" s="13">
        <f>IFERROR(SUM(F4:F34),"")</f>
        <v>8879980</v>
      </c>
      <c r="G35" s="13">
        <f>IFERROR(SUM(G4:G34),"")</f>
        <v>21082300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97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97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97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97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97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97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97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97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97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97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97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97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97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97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97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97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97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97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97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97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97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97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97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97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97"/>
      <c r="I52" s="16"/>
      <c r="J52" s="16"/>
      <c r="K52" s="16" t="s">
        <v>191</v>
      </c>
      <c r="L52" s="16"/>
      <c r="M52" s="16"/>
    </row>
    <row r="53" spans="1:13" ht="36" customHeight="1">
      <c r="H53" s="97"/>
      <c r="I53" s="17"/>
      <c r="J53" s="17"/>
      <c r="K53" s="17" t="s">
        <v>192</v>
      </c>
      <c r="L53" s="17"/>
      <c r="M53" s="17"/>
    </row>
    <row r="54" spans="1:13" ht="15" customHeight="1">
      <c r="H54" s="97"/>
      <c r="I54" s="16"/>
      <c r="J54" s="16"/>
      <c r="K54" s="16" t="s">
        <v>193</v>
      </c>
      <c r="L54" s="16"/>
      <c r="M54" s="16"/>
    </row>
    <row r="55" spans="1:13" ht="15" customHeight="1">
      <c r="H55" s="97"/>
      <c r="I55" s="17"/>
      <c r="J55" s="17"/>
      <c r="K55" s="17" t="s">
        <v>194</v>
      </c>
      <c r="L55" s="17"/>
      <c r="M55" s="17"/>
    </row>
    <row r="56" spans="1:13" ht="15" customHeight="1">
      <c r="H56" s="97"/>
      <c r="I56" s="16"/>
      <c r="J56" s="16"/>
      <c r="K56" s="16" t="s">
        <v>195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196</v>
      </c>
      <c r="L58" s="16"/>
      <c r="M58" s="16"/>
    </row>
    <row r="59" spans="1:13" ht="15" customHeight="1">
      <c r="H59" s="97"/>
      <c r="I59" s="17"/>
      <c r="J59" s="17"/>
      <c r="K59" s="17" t="s">
        <v>197</v>
      </c>
      <c r="L59" s="17"/>
      <c r="M59" s="17"/>
    </row>
    <row r="60" spans="1:13" ht="15" customHeight="1">
      <c r="H60" s="97"/>
      <c r="I60" s="16"/>
      <c r="J60" s="16"/>
      <c r="K60" s="99" t="s">
        <v>104</v>
      </c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88" activePane="bottomLeft" state="frozen"/>
      <selection pane="bottomLeft" activeCell="F210" sqref="F21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18</v>
      </c>
      <c r="I204" s="26"/>
      <c r="J204" s="26" t="s">
        <v>193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109.2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169</v>
      </c>
      <c r="G216" s="36">
        <f>SUM(G204:G215)</f>
        <v>824.2</v>
      </c>
      <c r="H216" s="37"/>
      <c r="I216" s="37"/>
      <c r="J216" s="37"/>
      <c r="K216" s="37"/>
      <c r="L216" s="37"/>
      <c r="M216" s="38">
        <f ca="1">IFERROR(SUM(M204:M215),"")</f>
        <v>2.1527777777777812E-2</v>
      </c>
      <c r="N216" s="36" t="s">
        <v>212</v>
      </c>
      <c r="O216" s="45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499</v>
      </c>
      <c r="G217" s="40">
        <f>G203+G216</f>
        <v>2474.1999999999998</v>
      </c>
      <c r="H217" s="41"/>
      <c r="I217" s="41"/>
      <c r="J217" s="41"/>
      <c r="K217" s="41"/>
      <c r="L217" s="41"/>
      <c r="M217" s="42">
        <f ca="1">IFERROR(M203+M216,"")</f>
        <v>4.5138888888888951E-2</v>
      </c>
      <c r="N217" s="40" t="s">
        <v>215</v>
      </c>
      <c r="O217" s="48">
        <f>IFERROR(O203+O216,"")</f>
        <v>1895110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97" activePane="bottomLeft" state="frozen"/>
      <selection pane="bottomLeft" activeCell="J206" sqref="J20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220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29.400000000000002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24</v>
      </c>
      <c r="G206" s="28">
        <f t="shared" si="45"/>
        <v>100.80000000000001</v>
      </c>
      <c r="H206" s="26" t="s">
        <v>18</v>
      </c>
      <c r="I206" s="26"/>
      <c r="J206" s="26" t="s">
        <v>142</v>
      </c>
      <c r="K206" s="29">
        <v>6.25E-2</v>
      </c>
      <c r="L206" s="29"/>
      <c r="M206" s="30">
        <f t="shared" ca="1" si="46"/>
        <v>1.5695717593189329E-2</v>
      </c>
      <c r="N206" s="46" t="s">
        <v>237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27</v>
      </c>
      <c r="G207" s="34">
        <f t="shared" si="45"/>
        <v>113.4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112</v>
      </c>
      <c r="G216" s="36">
        <f>SUM(G204:G215)</f>
        <v>470.40000000000009</v>
      </c>
      <c r="H216" s="37"/>
      <c r="I216" s="37"/>
      <c r="J216" s="37"/>
      <c r="K216" s="37"/>
      <c r="L216" s="37"/>
      <c r="M216" s="38">
        <f ca="1">IFERROR(SUM(M204:M215),"")</f>
        <v>6.7779050926522644E-2</v>
      </c>
      <c r="N216" s="36" t="s">
        <v>212</v>
      </c>
      <c r="O216" s="78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112</v>
      </c>
      <c r="G217" s="40">
        <f>G203+G216</f>
        <v>470.40000000000009</v>
      </c>
      <c r="H217" s="41"/>
      <c r="I217" s="41"/>
      <c r="J217" s="41"/>
      <c r="K217" s="41"/>
      <c r="L217" s="41"/>
      <c r="M217" s="42">
        <f ca="1">IFERROR(M203+M216,"")</f>
        <v>6.7779050926522644E-2</v>
      </c>
      <c r="N217" s="40" t="s">
        <v>215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89" activePane="bottomLeft" state="frozen"/>
      <selection pane="bottomLeft" activeCell="F210" sqref="F21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246</v>
      </c>
      <c r="N166" s="27" t="s">
        <v>247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54.6</v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15</v>
      </c>
      <c r="G206" s="28">
        <f t="shared" si="45"/>
        <v>63</v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58</v>
      </c>
      <c r="G216" s="36">
        <f>SUM(G204:G215)</f>
        <v>243.60000000000002</v>
      </c>
      <c r="H216" s="37"/>
      <c r="I216" s="37"/>
      <c r="J216" s="37"/>
      <c r="K216" s="37"/>
      <c r="L216" s="37"/>
      <c r="M216" s="38">
        <f ca="1">IFERROR(SUM(M204:M215),"")</f>
        <v>3.472222222222221E-2</v>
      </c>
      <c r="N216" s="36" t="s">
        <v>212</v>
      </c>
      <c r="O216" s="39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148</v>
      </c>
      <c r="G217" s="40">
        <f>G203+G216</f>
        <v>621.59999999999991</v>
      </c>
      <c r="H217" s="41"/>
      <c r="I217" s="41"/>
      <c r="J217" s="41"/>
      <c r="K217" s="41"/>
      <c r="L217" s="41"/>
      <c r="M217" s="42">
        <f ca="1">IFERROR(M203+M216,"")</f>
        <v>0.19097222222222227</v>
      </c>
      <c r="N217" s="40" t="s">
        <v>215</v>
      </c>
      <c r="O217" s="48">
        <f>IFERROR(O203+O216,"")</f>
        <v>324840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03" activePane="bottomLeft" state="frozen"/>
      <selection pane="bottomLeft" activeCell="F210" sqref="F21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253</v>
      </c>
      <c r="L58" s="29">
        <v>0.54097222222222219</v>
      </c>
      <c r="M58" s="30" t="str">
        <f t="shared" ca="1" si="13"/>
        <v/>
      </c>
      <c r="N58" s="27" t="s">
        <v>254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0.8288901620398974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1.028195717595453</v>
      </c>
      <c r="N135" s="36" t="s">
        <v>212</v>
      </c>
      <c r="O135" s="39">
        <v>729290</v>
      </c>
    </row>
    <row r="136" spans="1:18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1.3955568287065641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220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50.400000000000006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268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26</v>
      </c>
      <c r="G208" s="28">
        <f t="shared" si="45"/>
        <v>109.2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100</v>
      </c>
      <c r="G216" s="36">
        <f>SUM(G204:G215)</f>
        <v>420</v>
      </c>
      <c r="H216" s="37"/>
      <c r="I216" s="37"/>
      <c r="J216" s="37"/>
      <c r="K216" s="61"/>
      <c r="L216" s="61"/>
      <c r="M216" s="38">
        <f ca="1">IFERROR(SUM(M204:M215),"")</f>
        <v>5.8333333333333404E-2</v>
      </c>
      <c r="N216" s="36" t="s">
        <v>212</v>
      </c>
      <c r="O216" s="45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250</v>
      </c>
      <c r="G217" s="40">
        <f>G203+G216</f>
        <v>1050</v>
      </c>
      <c r="H217" s="41"/>
      <c r="I217" s="41"/>
      <c r="J217" s="41"/>
      <c r="K217" s="63"/>
      <c r="L217" s="63"/>
      <c r="M217" s="42">
        <f ca="1">IFERROR(M203+M216,"")</f>
        <v>0.25555555555555559</v>
      </c>
      <c r="N217" s="40" t="s">
        <v>215</v>
      </c>
      <c r="O217" s="48">
        <f>IFERROR(O203+O216,"")</f>
        <v>674440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2026-07-09T05:52:46Z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