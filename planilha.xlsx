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83" documentId="8_{AF585B22-221D-4780-BB9C-493D365A6A02}" xr6:coauthVersionLast="47" xr6:coauthVersionMax="47" xr10:uidLastSave="{0FC439C2-55BB-4AFE-8CE0-6337D0626A61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<sst xmlns="http://schemas.openxmlformats.org/spreadsheetml/2006/main" count="9117" uniqueCount="376">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</sst>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2" activePane="bottomLeft" state="frozen"/>
      <selection pane="bottomLeft" activeCell="F585" sqref="F5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228</v>
      </c>
      <c r="F582" s="27">
        <v>20</v>
      </c>
      <c r="G582" s="28">
        <f t="shared" ref="G582:G593" si="129">IF(F582="","",IF(E582="PC 17",F582*4.2,IF(E582="PC 19",F582*5,"")))</f>
        <v>100</v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228</v>
      </c>
      <c r="F583" s="27">
        <v>18</v>
      </c>
      <c r="G583" s="34">
        <f t="shared" si="129"/>
        <v>90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228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228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228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228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228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228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228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228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228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54</v>
      </c>
      <c r="G594" s="36">
        <f>SUM(G582:G593)</f>
        <v>270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240</v>
      </c>
      <c r="G595" s="40">
        <f>G581+G594</f>
        <v>1200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5" sqref="F5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0.69059467592160217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0.84823356481049106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0.95795578703271322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0.6690668981464114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0.8399002314797448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0.98503912036863372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228</v>
      </c>
      <c r="F583" s="27">
        <v>11</v>
      </c>
      <c r="G583" s="34">
        <f t="shared" si="129"/>
        <v>55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37</v>
      </c>
      <c r="G594" s="36">
        <f>SUM(G582:G593)</f>
        <v>164.2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267</v>
      </c>
      <c r="G595" s="40">
        <f>G581+G594</f>
        <v>1130.2</v>
      </c>
      <c r="H595" s="41"/>
      <c r="I595" s="41"/>
      <c r="J595" s="41"/>
      <c r="K595" s="41"/>
      <c r="L595" s="41"/>
      <c r="M595" s="42">
        <f ca="1">IFERROR(M581+M594,"")</f>
        <v>3.0555555555555558E-2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5" sqref="F5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228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13</v>
      </c>
      <c r="G594" s="36">
        <f>SUM(G582:G593)</f>
        <v>58.6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66</v>
      </c>
      <c r="G595" s="40">
        <f>G581+G594</f>
        <v>281.20000000000005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F585" sqref="F58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0.6808724537040689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0.88017800925962453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1.2475391203707356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255</v>
      </c>
      <c r="F583" s="27">
        <v>5</v>
      </c>
      <c r="G583" s="34">
        <f t="shared" si="129"/>
        <v>21</v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255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255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10</v>
      </c>
      <c r="G594" s="36">
        <f>SUM(G582:G593)</f>
        <v>42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10</v>
      </c>
      <c r="G595" s="40">
        <f>G581+G594</f>
        <v>42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2026-07-23T02:19:32Z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