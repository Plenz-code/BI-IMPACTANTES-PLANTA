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72" documentId="13_ncr:1_{0A10D8D4-8450-4366-8075-B53B08E6B7EA}" xr6:coauthVersionLast="47" xr6:coauthVersionMax="47" xr10:uidLastSave="{59EC4C0A-27DB-4E12-B014-6639286F1116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6" i="6" s="1"/>
  <c r="J376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6" i="5" s="1"/>
  <c r="J376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6" i="4" s="1"/>
  <c r="J376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4" i="6" l="1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<sst xmlns="http://schemas.openxmlformats.org/spreadsheetml/2006/main" count="6562" uniqueCount="349">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</sst>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47" activePane="bottomLeft" state="frozen"/>
      <selection pane="bottomLeft" activeCell="F377" sqref="F37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415</v>
      </c>
      <c r="G378" s="36">
        <f>SUM(G366:G377)</f>
        <v>2075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815</v>
      </c>
      <c r="G379" s="40">
        <f>G365+G378</f>
        <v>4041.4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77" sqref="G3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0.12954791666561505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0.26843680555450394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0.35315902777672625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0</v>
      </c>
      <c r="I375" s="135">
        <f>IFERROR(IF($D375="","",VLOOKUP($D375,Cadastro!$C$4:$G$7,5,FALSE)),"")</f>
        <v>0.6</v>
      </c>
      <c r="J375" s="136">
        <f t="shared" si="86"/>
        <v>0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0</v>
      </c>
      <c r="I376" s="135">
        <f>IFERROR(IF($D376="","",VLOOKUP($D376,Cadastro!$C$4:$G$7,5,FALSE)),"")</f>
        <v>0.6</v>
      </c>
      <c r="J376" s="136">
        <f t="shared" si="86"/>
        <v>0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166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697.2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274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1150.8000000000002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7" sqref="G3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4"/>
        <v>0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0</v>
      </c>
      <c r="I375" s="135">
        <f>IFERROR(IF($D375="","",VLOOKUP($D375,Cadastro!$C$4:$G$7,5,FALSE)),"")</f>
        <v>0.6</v>
      </c>
      <c r="J375" s="136">
        <f t="shared" si="84"/>
        <v>0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0</v>
      </c>
      <c r="I376" s="135">
        <f>IFERROR(IF($D376="","",VLOOKUP($D376,Cadastro!$C$4:$G$7,5,FALSE)),"")</f>
        <v>0.6</v>
      </c>
      <c r="J376" s="136">
        <f t="shared" si="84"/>
        <v>0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72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302.40000000000003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162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680.40000000000009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G377" sqref="G37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0</v>
      </c>
      <c r="I375" s="135">
        <f>IFERROR(IF($D375="","",VLOOKUP($D375,Cadastro!$C$4:$G$7,5,FALSE)),"")</f>
        <v>0.6</v>
      </c>
      <c r="J375" s="136">
        <f t="shared" si="86"/>
        <v>0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0</v>
      </c>
      <c r="I376" s="135">
        <f>IFERROR(IF($D376="","",VLOOKUP($D376,Cadastro!$C$4:$G$7,5,FALSE)),"")</f>
        <v>0.6</v>
      </c>
      <c r="J376" s="136">
        <f t="shared" si="86"/>
        <v>0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234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982.8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430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1806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2026-08-15T10:01:45Z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