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867" documentId="8_{AF585B22-221D-4780-BB9C-493D365A6A02}" xr6:coauthVersionLast="47" xr6:coauthVersionMax="47" xr10:uidLastSave="{395DAB20-29F4-4DE1-9555-F12C594262B4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<sst xmlns="http://schemas.openxmlformats.org/spreadsheetml/2006/main" count="11751" uniqueCount="426">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</sst>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0" sqref="N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1751285</v>
      </c>
      <c r="D32" s="8">
        <f>IFERROR('Linha 1'!O784,"")</f>
        <v>610890</v>
      </c>
      <c r="E32" s="8">
        <f>IFERROR('Linha 2'!O784,"")</f>
        <v>172140</v>
      </c>
      <c r="F32" s="8">
        <f>IFERROR('Linha 3'!O784,"")</f>
        <v>39360</v>
      </c>
      <c r="G32" s="9">
        <f>IFERROR(D32+E32+F32,"")</f>
        <v>822390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87532313</v>
      </c>
      <c r="D35" s="13">
        <f>IFERROR(SUM(D4:D34),"")</f>
        <v>35210690</v>
      </c>
      <c r="E35" s="13">
        <f>IFERROR(SUM(E4:E34),"")</f>
        <v>19876800</v>
      </c>
      <c r="F35" s="13">
        <f>IFERROR(SUM(F4:F34),"")</f>
        <v>36042620</v>
      </c>
      <c r="G35" s="13">
        <f>IFERROR(SUM(G4:G34),"")</f>
        <v>91130110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52" activePane="bottomLeft" state="frozen"/>
      <selection pane="bottomLeft" activeCell="F774" sqref="F77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273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235</v>
      </c>
      <c r="O770" s="39">
        <v>1751285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232</v>
      </c>
      <c r="F771" s="27">
        <v>30</v>
      </c>
      <c r="G771" s="34">
        <f t="shared" ref="G771:G782" si="171">IF(F771="","",IF(E771="PC 17",F771*4.2,IF(E771="PC 19",F771*5,"")))</f>
        <v>150</v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232</v>
      </c>
      <c r="F773" s="27">
        <v>5</v>
      </c>
      <c r="G773" s="34">
        <f t="shared" si="171"/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232</v>
      </c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232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232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232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232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232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232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232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232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80</v>
      </c>
      <c r="G783" s="36">
        <f>SUM(G771:G782)</f>
        <v>400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430</v>
      </c>
      <c r="G784" s="40">
        <f>G770+G783</f>
        <v>2150</v>
      </c>
      <c r="H784" s="41"/>
      <c r="I784" s="41"/>
      <c r="J784" s="41"/>
      <c r="K784" s="41"/>
      <c r="L784" s="41"/>
      <c r="M784" s="42">
        <f ca="1">IFERROR(M770+M783,"")</f>
        <v>7.1527777777777746E-2</v>
      </c>
      <c r="N784" s="40" t="s">
        <v>238</v>
      </c>
      <c r="O784" s="48">
        <f>IFERROR(O770+O783,"")</f>
        <v>1751285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750" activePane="bottomLeft" state="frozen"/>
      <selection pane="bottomLeft" activeCell="L773" sqref="L77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0.69510844907199498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0.85274733796088387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0.96246956018310603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0.67358067129680421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0.8444140046301376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0.98955289351902653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327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234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328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329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331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332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333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334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335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336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337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338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339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235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26</v>
      </c>
      <c r="G773" s="34">
        <f t="shared" si="171"/>
        <v>109.2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60</v>
      </c>
      <c r="G783" s="36">
        <f>SUM(G771:G782)</f>
        <v>260.8</v>
      </c>
      <c r="H783" s="37"/>
      <c r="I783" s="37"/>
      <c r="J783" s="37"/>
      <c r="K783" s="37"/>
      <c r="L783" s="37"/>
      <c r="M783" s="38">
        <f ca="1">IFERROR(SUM(M771:M782),"")</f>
        <v>2.9166666666666674E-2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194</v>
      </c>
      <c r="G784" s="40">
        <f>G770+G783</f>
        <v>831.60000000000014</v>
      </c>
      <c r="H784" s="41"/>
      <c r="I784" s="41"/>
      <c r="J784" s="41"/>
      <c r="K784" s="41"/>
      <c r="L784" s="41"/>
      <c r="M784" s="42">
        <f ca="1">IFERROR(M770+M783,"")</f>
        <v>0.1243055555555555</v>
      </c>
      <c r="N784" s="40" t="s">
        <v>238</v>
      </c>
      <c r="O784" s="83">
        <f>IFERROR(O770+O783,"")</f>
        <v>610890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54" zoomScale="50" zoomScaleNormal="50" workbookViewId="0">
      <selection activeCell="L774" sqref="L77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287</v>
      </c>
      <c r="K141" s="29">
        <v>0.71597222222222223</v>
      </c>
      <c r="L141" s="29" t="s">
        <v>345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347</v>
      </c>
      <c r="N166" s="27" t="s">
        <v>348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326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324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324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369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370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371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324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372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235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19</v>
      </c>
      <c r="G783" s="36">
        <f>SUM(G771:G782)</f>
        <v>83.8</v>
      </c>
      <c r="H783" s="37"/>
      <c r="I783" s="37"/>
      <c r="J783" s="37"/>
      <c r="K783" s="37"/>
      <c r="L783" s="37"/>
      <c r="M783" s="38">
        <f ca="1">IFERROR(SUM(M771:M782),"")</f>
        <v>4.3750000000000067E-2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60</v>
      </c>
      <c r="G784" s="40">
        <f>G770+G783</f>
        <v>260</v>
      </c>
      <c r="H784" s="41"/>
      <c r="I784" s="41"/>
      <c r="J784" s="41"/>
      <c r="K784" s="41"/>
      <c r="L784" s="41"/>
      <c r="M784" s="42">
        <f ca="1">IFERROR(M770+M783,"")</f>
        <v>0.15763888888888899</v>
      </c>
      <c r="N784" s="40" t="s">
        <v>238</v>
      </c>
      <c r="O784" s="48">
        <f>IFERROR(O770+O783,"")</f>
        <v>172140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51" activePane="bottomLeft" state="frozen"/>
      <selection pane="bottomLeft" activeCell="F774" sqref="F77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377</v>
      </c>
      <c r="L58" s="29">
        <v>0.54097222222222219</v>
      </c>
      <c r="M58" s="30" t="str">
        <f t="shared" ca="1" si="13"/>
        <v/>
      </c>
      <c r="N58" s="27" t="s">
        <v>378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0.68538622685446171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0.88469178241001734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1.2520528935211284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416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417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418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419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420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421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422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282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324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423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424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425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339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235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30</v>
      </c>
      <c r="G771" s="34">
        <f t="shared" ref="G771:G782" si="171">IF(F771="","",IF(E771="PC 17",F771*4.2,IF(E771="PC 19",F771*5,"")))</f>
        <v>126</v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12</v>
      </c>
      <c r="G772" s="28">
        <f t="shared" si="171"/>
        <v>60</v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25</v>
      </c>
      <c r="G773" s="34">
        <f t="shared" si="171"/>
        <v>105</v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67</v>
      </c>
      <c r="G783" s="36">
        <f>SUM(G771:G782)</f>
        <v>291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75</v>
      </c>
      <c r="G784" s="40">
        <f>G770+G783</f>
        <v>324.60000000000002</v>
      </c>
      <c r="H784" s="41"/>
      <c r="I784" s="41"/>
      <c r="J784" s="41"/>
      <c r="K784" s="63"/>
      <c r="L784" s="63"/>
      <c r="M784" s="42">
        <f ca="1">IFERROR(M770+M783,"")</f>
        <v>0.46388888888888885</v>
      </c>
      <c r="N784" s="40" t="s">
        <v>238</v>
      </c>
      <c r="O784" s="48">
        <f>IFERROR(O770+O783,"")</f>
        <v>39360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2026-07-30T02:26:22Z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